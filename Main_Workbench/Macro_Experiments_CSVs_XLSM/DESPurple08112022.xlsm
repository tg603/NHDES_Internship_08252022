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chary.t.thoroughgo\DES\week_test\"/>
    </mc:Choice>
  </mc:AlternateContent>
  <xr:revisionPtr revIDLastSave="0" documentId="13_ncr:1_{CE6E3C18-FC1E-4322-9BF6-8A9B7E42F94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ESPurple08112022" sheetId="1" r:id="rId1"/>
    <sheet name="25985" sheetId="22" r:id="rId2"/>
    <sheet name="1202" sheetId="21" r:id="rId3"/>
    <sheet name="1224" sheetId="20" r:id="rId4"/>
    <sheet name="12188" sheetId="19" r:id="rId5"/>
    <sheet name="146644" sheetId="18" r:id="rId6"/>
    <sheet name="148555" sheetId="17" r:id="rId7"/>
    <sheet name="58135" sheetId="16" r:id="rId8"/>
    <sheet name="23443" sheetId="15" r:id="rId9"/>
    <sheet name="12050" sheetId="14" r:id="rId10"/>
    <sheet name="115703" sheetId="13" r:id="rId11"/>
    <sheet name="75981" sheetId="12" r:id="rId12"/>
    <sheet name="12178" sheetId="11" r:id="rId13"/>
    <sheet name="12212" sheetId="10" r:id="rId14"/>
    <sheet name="151706" sheetId="9" r:id="rId15"/>
    <sheet name="151710" sheetId="8" r:id="rId16"/>
    <sheet name="151712" sheetId="7" r:id="rId17"/>
    <sheet name="135984" sheetId="6" r:id="rId18"/>
    <sheet name="151700" sheetId="5" r:id="rId19"/>
    <sheet name="151702" sheetId="4" r:id="rId20"/>
    <sheet name="143456" sheetId="3" r:id="rId21"/>
    <sheet name="151708" sheetId="2" r:id="rId2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40" i="2" l="1"/>
  <c r="K134" i="2"/>
  <c r="K128" i="2"/>
  <c r="K122" i="2"/>
  <c r="K116" i="2"/>
  <c r="K110" i="2"/>
  <c r="K104" i="2"/>
  <c r="K98" i="2"/>
  <c r="K92" i="2"/>
  <c r="K86" i="2"/>
  <c r="K80" i="2"/>
  <c r="K74" i="2"/>
  <c r="K68" i="2"/>
  <c r="K62" i="2"/>
  <c r="K56" i="2"/>
  <c r="K50" i="2"/>
  <c r="K44" i="2"/>
  <c r="K38" i="2"/>
  <c r="K32" i="2"/>
  <c r="K26" i="2"/>
  <c r="K20" i="2"/>
  <c r="K14" i="2"/>
  <c r="K8" i="2"/>
  <c r="K2" i="2"/>
  <c r="K140" i="3"/>
  <c r="K134" i="3"/>
  <c r="K128" i="3"/>
  <c r="K122" i="3"/>
  <c r="K116" i="3"/>
  <c r="K110" i="3"/>
  <c r="K104" i="3"/>
  <c r="K98" i="3"/>
  <c r="K92" i="3"/>
  <c r="K86" i="3"/>
  <c r="K80" i="3"/>
  <c r="K74" i="3"/>
  <c r="K68" i="3"/>
  <c r="K62" i="3"/>
  <c r="K56" i="3"/>
  <c r="K50" i="3"/>
  <c r="K44" i="3"/>
  <c r="K38" i="3"/>
  <c r="K32" i="3"/>
  <c r="K26" i="3"/>
  <c r="K20" i="3"/>
  <c r="K14" i="3"/>
  <c r="K8" i="3"/>
  <c r="K2" i="3"/>
  <c r="K140" i="4"/>
  <c r="K134" i="4"/>
  <c r="K128" i="4"/>
  <c r="K122" i="4"/>
  <c r="K116" i="4"/>
  <c r="K110" i="4"/>
  <c r="K104" i="4"/>
  <c r="K98" i="4"/>
  <c r="K92" i="4"/>
  <c r="K86" i="4"/>
  <c r="K80" i="4"/>
  <c r="K74" i="4"/>
  <c r="K68" i="4"/>
  <c r="K62" i="4"/>
  <c r="K56" i="4"/>
  <c r="K50" i="4"/>
  <c r="K44" i="4"/>
  <c r="K38" i="4"/>
  <c r="K32" i="4"/>
  <c r="K26" i="4"/>
  <c r="K20" i="4"/>
  <c r="K14" i="4"/>
  <c r="K8" i="4"/>
  <c r="K2" i="4"/>
  <c r="K140" i="5"/>
  <c r="K134" i="5"/>
  <c r="K128" i="5"/>
  <c r="K122" i="5"/>
  <c r="K116" i="5"/>
  <c r="K110" i="5"/>
  <c r="K104" i="5"/>
  <c r="K98" i="5"/>
  <c r="K92" i="5"/>
  <c r="K86" i="5"/>
  <c r="K80" i="5"/>
  <c r="K74" i="5"/>
  <c r="K68" i="5"/>
  <c r="K62" i="5"/>
  <c r="K56" i="5"/>
  <c r="K50" i="5"/>
  <c r="K44" i="5"/>
  <c r="K38" i="5"/>
  <c r="K32" i="5"/>
  <c r="K26" i="5"/>
  <c r="K20" i="5"/>
  <c r="K14" i="5"/>
  <c r="K8" i="5"/>
  <c r="K2" i="5"/>
  <c r="K140" i="6"/>
  <c r="K134" i="6"/>
  <c r="K128" i="6"/>
  <c r="K122" i="6"/>
  <c r="K116" i="6"/>
  <c r="K110" i="6"/>
  <c r="K104" i="6"/>
  <c r="K98" i="6"/>
  <c r="K92" i="6"/>
  <c r="K86" i="6"/>
  <c r="K80" i="6"/>
  <c r="K74" i="6"/>
  <c r="K68" i="6"/>
  <c r="K62" i="6"/>
  <c r="K56" i="6"/>
  <c r="K50" i="6"/>
  <c r="K44" i="6"/>
  <c r="K38" i="6"/>
  <c r="K32" i="6"/>
  <c r="K26" i="6"/>
  <c r="K20" i="6"/>
  <c r="K14" i="6"/>
  <c r="K8" i="6"/>
  <c r="K2" i="6"/>
  <c r="K140" i="7"/>
  <c r="K134" i="7"/>
  <c r="K128" i="7"/>
  <c r="K122" i="7"/>
  <c r="K116" i="7"/>
  <c r="K110" i="7"/>
  <c r="K104" i="7"/>
  <c r="K98" i="7"/>
  <c r="K92" i="7"/>
  <c r="K86" i="7"/>
  <c r="K80" i="7"/>
  <c r="K74" i="7"/>
  <c r="K68" i="7"/>
  <c r="K62" i="7"/>
  <c r="K56" i="7"/>
  <c r="K50" i="7"/>
  <c r="K44" i="7"/>
  <c r="K38" i="7"/>
  <c r="K32" i="7"/>
  <c r="K26" i="7"/>
  <c r="K20" i="7"/>
  <c r="K14" i="7"/>
  <c r="K8" i="7"/>
  <c r="K2" i="7"/>
  <c r="K140" i="8"/>
  <c r="K134" i="8"/>
  <c r="K128" i="8"/>
  <c r="K122" i="8"/>
  <c r="K116" i="8"/>
  <c r="K110" i="8"/>
  <c r="K104" i="8"/>
  <c r="K98" i="8"/>
  <c r="K92" i="8"/>
  <c r="K86" i="8"/>
  <c r="K80" i="8"/>
  <c r="K74" i="8"/>
  <c r="K68" i="8"/>
  <c r="K62" i="8"/>
  <c r="K56" i="8"/>
  <c r="K50" i="8"/>
  <c r="K44" i="8"/>
  <c r="K38" i="8"/>
  <c r="K32" i="8"/>
  <c r="K26" i="8"/>
  <c r="K20" i="8"/>
  <c r="K14" i="8"/>
  <c r="K8" i="8"/>
  <c r="K2" i="8"/>
  <c r="K140" i="9"/>
  <c r="K134" i="9"/>
  <c r="K128" i="9"/>
  <c r="K122" i="9"/>
  <c r="K116" i="9"/>
  <c r="K110" i="9"/>
  <c r="K104" i="9"/>
  <c r="K98" i="9"/>
  <c r="K92" i="9"/>
  <c r="K86" i="9"/>
  <c r="K80" i="9"/>
  <c r="K74" i="9"/>
  <c r="K68" i="9"/>
  <c r="K62" i="9"/>
  <c r="K56" i="9"/>
  <c r="K50" i="9"/>
  <c r="K44" i="9"/>
  <c r="K38" i="9"/>
  <c r="K32" i="9"/>
  <c r="K26" i="9"/>
  <c r="K20" i="9"/>
  <c r="K14" i="9"/>
  <c r="K8" i="9"/>
  <c r="K2" i="9"/>
  <c r="K140" i="10"/>
  <c r="K134" i="10"/>
  <c r="K128" i="10"/>
  <c r="K122" i="10"/>
  <c r="K116" i="10"/>
  <c r="K110" i="10"/>
  <c r="K104" i="10"/>
  <c r="K98" i="10"/>
  <c r="K92" i="10"/>
  <c r="K86" i="10"/>
  <c r="K80" i="10"/>
  <c r="K74" i="10"/>
  <c r="K68" i="10"/>
  <c r="K62" i="10"/>
  <c r="K56" i="10"/>
  <c r="K50" i="10"/>
  <c r="K44" i="10"/>
  <c r="K38" i="10"/>
  <c r="K32" i="10"/>
  <c r="K26" i="10"/>
  <c r="K20" i="10"/>
  <c r="K14" i="10"/>
  <c r="K8" i="10"/>
  <c r="K2" i="10"/>
  <c r="K140" i="11"/>
  <c r="K134" i="11"/>
  <c r="K128" i="11"/>
  <c r="K122" i="11"/>
  <c r="K116" i="11"/>
  <c r="K110" i="11"/>
  <c r="K104" i="11"/>
  <c r="K98" i="11"/>
  <c r="K92" i="11"/>
  <c r="K86" i="11"/>
  <c r="K80" i="11"/>
  <c r="K74" i="11"/>
  <c r="K68" i="11"/>
  <c r="K62" i="11"/>
  <c r="K56" i="11"/>
  <c r="K50" i="11"/>
  <c r="K44" i="11"/>
  <c r="K38" i="11"/>
  <c r="K32" i="11"/>
  <c r="K26" i="11"/>
  <c r="K20" i="11"/>
  <c r="K14" i="11"/>
  <c r="K8" i="11"/>
  <c r="K2" i="11"/>
  <c r="K140" i="12"/>
  <c r="K134" i="12"/>
  <c r="K128" i="12"/>
  <c r="K122" i="12"/>
  <c r="K116" i="12"/>
  <c r="K110" i="12"/>
  <c r="K104" i="12"/>
  <c r="K98" i="12"/>
  <c r="K92" i="12"/>
  <c r="K86" i="12"/>
  <c r="K80" i="12"/>
  <c r="K74" i="12"/>
  <c r="K68" i="12"/>
  <c r="K62" i="12"/>
  <c r="K56" i="12"/>
  <c r="K50" i="12"/>
  <c r="K44" i="12"/>
  <c r="K38" i="12"/>
  <c r="K32" i="12"/>
  <c r="K26" i="12"/>
  <c r="K20" i="12"/>
  <c r="K14" i="12"/>
  <c r="K8" i="12"/>
  <c r="K2" i="12"/>
  <c r="K140" i="13"/>
  <c r="K134" i="13"/>
  <c r="K128" i="13"/>
  <c r="K122" i="13"/>
  <c r="K116" i="13"/>
  <c r="K110" i="13"/>
  <c r="K104" i="13"/>
  <c r="K98" i="13"/>
  <c r="K92" i="13"/>
  <c r="K86" i="13"/>
  <c r="K80" i="13"/>
  <c r="K74" i="13"/>
  <c r="K68" i="13"/>
  <c r="K62" i="13"/>
  <c r="K56" i="13"/>
  <c r="K50" i="13"/>
  <c r="K44" i="13"/>
  <c r="K38" i="13"/>
  <c r="K32" i="13"/>
  <c r="K26" i="13"/>
  <c r="K20" i="13"/>
  <c r="K14" i="13"/>
  <c r="K8" i="13"/>
  <c r="K2" i="13"/>
  <c r="K140" i="14"/>
  <c r="K134" i="14"/>
  <c r="K128" i="14"/>
  <c r="K122" i="14"/>
  <c r="K116" i="14"/>
  <c r="K110" i="14"/>
  <c r="K104" i="14"/>
  <c r="K98" i="14"/>
  <c r="K92" i="14"/>
  <c r="K86" i="14"/>
  <c r="K80" i="14"/>
  <c r="K74" i="14"/>
  <c r="K68" i="14"/>
  <c r="K62" i="14"/>
  <c r="K56" i="14"/>
  <c r="K50" i="14"/>
  <c r="K44" i="14"/>
  <c r="K38" i="14"/>
  <c r="K32" i="14"/>
  <c r="K26" i="14"/>
  <c r="K20" i="14"/>
  <c r="K14" i="14"/>
  <c r="K8" i="14"/>
  <c r="K2" i="14"/>
  <c r="K140" i="15"/>
  <c r="K134" i="15"/>
  <c r="K128" i="15"/>
  <c r="K122" i="15"/>
  <c r="K116" i="15"/>
  <c r="K110" i="15"/>
  <c r="K104" i="15"/>
  <c r="K98" i="15"/>
  <c r="K92" i="15"/>
  <c r="K86" i="15"/>
  <c r="K80" i="15"/>
  <c r="K74" i="15"/>
  <c r="K68" i="15"/>
  <c r="K62" i="15"/>
  <c r="K56" i="15"/>
  <c r="K50" i="15"/>
  <c r="K44" i="15"/>
  <c r="K38" i="15"/>
  <c r="K32" i="15"/>
  <c r="K26" i="15"/>
  <c r="K20" i="15"/>
  <c r="K14" i="15"/>
  <c r="K8" i="15"/>
  <c r="K2" i="15"/>
  <c r="K140" i="16"/>
  <c r="K134" i="16"/>
  <c r="K128" i="16"/>
  <c r="K122" i="16"/>
  <c r="K116" i="16"/>
  <c r="K110" i="16"/>
  <c r="K104" i="16"/>
  <c r="K98" i="16"/>
  <c r="K92" i="16"/>
  <c r="K86" i="16"/>
  <c r="K80" i="16"/>
  <c r="K74" i="16"/>
  <c r="K68" i="16"/>
  <c r="K62" i="16"/>
  <c r="K56" i="16"/>
  <c r="K50" i="16"/>
  <c r="K44" i="16"/>
  <c r="K38" i="16"/>
  <c r="K32" i="16"/>
  <c r="K26" i="16"/>
  <c r="K20" i="16"/>
  <c r="K14" i="16"/>
  <c r="K8" i="16"/>
  <c r="K2" i="16"/>
  <c r="K140" i="17"/>
  <c r="K134" i="17"/>
  <c r="K128" i="17"/>
  <c r="K122" i="17"/>
  <c r="K116" i="17"/>
  <c r="K110" i="17"/>
  <c r="K104" i="17"/>
  <c r="K98" i="17"/>
  <c r="K92" i="17"/>
  <c r="K86" i="17"/>
  <c r="K80" i="17"/>
  <c r="K74" i="17"/>
  <c r="K68" i="17"/>
  <c r="K62" i="17"/>
  <c r="K56" i="17"/>
  <c r="K50" i="17"/>
  <c r="K44" i="17"/>
  <c r="K38" i="17"/>
  <c r="K32" i="17"/>
  <c r="K26" i="17"/>
  <c r="K20" i="17"/>
  <c r="K14" i="17"/>
  <c r="K8" i="17"/>
  <c r="K2" i="17"/>
  <c r="K140" i="18"/>
  <c r="K134" i="18"/>
  <c r="K128" i="18"/>
  <c r="K122" i="18"/>
  <c r="K116" i="18"/>
  <c r="K110" i="18"/>
  <c r="K104" i="18"/>
  <c r="K98" i="18"/>
  <c r="K92" i="18"/>
  <c r="K86" i="18"/>
  <c r="K80" i="18"/>
  <c r="K74" i="18"/>
  <c r="K68" i="18"/>
  <c r="K62" i="18"/>
  <c r="K56" i="18"/>
  <c r="K50" i="18"/>
  <c r="K44" i="18"/>
  <c r="K38" i="18"/>
  <c r="K32" i="18"/>
  <c r="K26" i="18"/>
  <c r="K20" i="18"/>
  <c r="K14" i="18"/>
  <c r="K8" i="18"/>
  <c r="K2" i="18"/>
  <c r="K140" i="19"/>
  <c r="K134" i="19"/>
  <c r="K128" i="19"/>
  <c r="K122" i="19"/>
  <c r="K116" i="19"/>
  <c r="K110" i="19"/>
  <c r="K104" i="19"/>
  <c r="K98" i="19"/>
  <c r="K92" i="19"/>
  <c r="K86" i="19"/>
  <c r="K80" i="19"/>
  <c r="K74" i="19"/>
  <c r="K68" i="19"/>
  <c r="K62" i="19"/>
  <c r="K56" i="19"/>
  <c r="K50" i="19"/>
  <c r="K44" i="19"/>
  <c r="K38" i="19"/>
  <c r="K32" i="19"/>
  <c r="K26" i="19"/>
  <c r="K20" i="19"/>
  <c r="K14" i="19"/>
  <c r="K8" i="19"/>
  <c r="K2" i="19"/>
  <c r="K140" i="20"/>
  <c r="K134" i="20"/>
  <c r="K128" i="20"/>
  <c r="K122" i="20"/>
  <c r="K116" i="20"/>
  <c r="K110" i="20"/>
  <c r="K104" i="20"/>
  <c r="K98" i="20"/>
  <c r="K92" i="20"/>
  <c r="K86" i="20"/>
  <c r="K80" i="20"/>
  <c r="K74" i="20"/>
  <c r="K68" i="20"/>
  <c r="K62" i="20"/>
  <c r="K56" i="20"/>
  <c r="K50" i="20"/>
  <c r="K44" i="20"/>
  <c r="K38" i="20"/>
  <c r="K32" i="20"/>
  <c r="K26" i="20"/>
  <c r="K20" i="20"/>
  <c r="K14" i="20"/>
  <c r="K8" i="20"/>
  <c r="K2" i="20"/>
  <c r="K140" i="21"/>
  <c r="K134" i="21"/>
  <c r="K128" i="21"/>
  <c r="K122" i="21"/>
  <c r="K116" i="21"/>
  <c r="K110" i="21"/>
  <c r="K104" i="21"/>
  <c r="K98" i="21"/>
  <c r="K92" i="21"/>
  <c r="K86" i="21"/>
  <c r="K80" i="21"/>
  <c r="K74" i="21"/>
  <c r="K68" i="21"/>
  <c r="K62" i="21"/>
  <c r="K56" i="21"/>
  <c r="K50" i="21"/>
  <c r="K44" i="21"/>
  <c r="K38" i="21"/>
  <c r="K32" i="21"/>
  <c r="K26" i="21"/>
  <c r="K20" i="21"/>
  <c r="K14" i="21"/>
  <c r="K8" i="21"/>
  <c r="K2" i="21"/>
  <c r="K140" i="22"/>
  <c r="K134" i="22"/>
  <c r="K128" i="22"/>
  <c r="K122" i="22"/>
  <c r="K116" i="22"/>
  <c r="K110" i="22"/>
  <c r="K104" i="22"/>
  <c r="K98" i="22"/>
  <c r="K92" i="22"/>
  <c r="K86" i="22"/>
  <c r="K80" i="22"/>
  <c r="K74" i="22"/>
  <c r="K68" i="22"/>
  <c r="K62" i="22"/>
  <c r="K56" i="22"/>
  <c r="K50" i="22"/>
  <c r="K44" i="22"/>
  <c r="K38" i="22"/>
  <c r="K32" i="22"/>
  <c r="K26" i="22"/>
  <c r="K20" i="22"/>
  <c r="K14" i="22"/>
  <c r="K8" i="22"/>
  <c r="K2" i="22"/>
  <c r="J140" i="2"/>
  <c r="J134" i="2"/>
  <c r="J128" i="2"/>
  <c r="J122" i="2"/>
  <c r="J116" i="2"/>
  <c r="J110" i="2"/>
  <c r="J104" i="2"/>
  <c r="J98" i="2"/>
  <c r="J92" i="2"/>
  <c r="J86" i="2"/>
  <c r="J80" i="2"/>
  <c r="J74" i="2"/>
  <c r="J68" i="2"/>
  <c r="J62" i="2"/>
  <c r="J56" i="2"/>
  <c r="J50" i="2"/>
  <c r="J44" i="2"/>
  <c r="J38" i="2"/>
  <c r="J32" i="2"/>
  <c r="J26" i="2"/>
  <c r="J20" i="2"/>
  <c r="J14" i="2"/>
  <c r="J8" i="2"/>
  <c r="J140" i="3"/>
  <c r="J134" i="3"/>
  <c r="J128" i="3"/>
  <c r="J122" i="3"/>
  <c r="J116" i="3"/>
  <c r="J110" i="3"/>
  <c r="J104" i="3"/>
  <c r="J98" i="3"/>
  <c r="J92" i="3"/>
  <c r="J86" i="3"/>
  <c r="J80" i="3"/>
  <c r="J74" i="3"/>
  <c r="J68" i="3"/>
  <c r="J62" i="3"/>
  <c r="J56" i="3"/>
  <c r="J50" i="3"/>
  <c r="J44" i="3"/>
  <c r="J38" i="3"/>
  <c r="J32" i="3"/>
  <c r="J26" i="3"/>
  <c r="J20" i="3"/>
  <c r="J14" i="3"/>
  <c r="J8" i="3"/>
  <c r="J140" i="4"/>
  <c r="J134" i="4"/>
  <c r="J128" i="4"/>
  <c r="J122" i="4"/>
  <c r="J116" i="4"/>
  <c r="J110" i="4"/>
  <c r="J104" i="4"/>
  <c r="J98" i="4"/>
  <c r="J92" i="4"/>
  <c r="J86" i="4"/>
  <c r="J80" i="4"/>
  <c r="J74" i="4"/>
  <c r="J68" i="4"/>
  <c r="J62" i="4"/>
  <c r="J56" i="4"/>
  <c r="J50" i="4"/>
  <c r="J44" i="4"/>
  <c r="J38" i="4"/>
  <c r="J32" i="4"/>
  <c r="J26" i="4"/>
  <c r="J20" i="4"/>
  <c r="J14" i="4"/>
  <c r="J8" i="4"/>
  <c r="J140" i="5"/>
  <c r="J134" i="5"/>
  <c r="J128" i="5"/>
  <c r="J122" i="5"/>
  <c r="J116" i="5"/>
  <c r="J110" i="5"/>
  <c r="J104" i="5"/>
  <c r="J98" i="5"/>
  <c r="J92" i="5"/>
  <c r="J86" i="5"/>
  <c r="J80" i="5"/>
  <c r="J74" i="5"/>
  <c r="J68" i="5"/>
  <c r="J62" i="5"/>
  <c r="J56" i="5"/>
  <c r="J50" i="5"/>
  <c r="J44" i="5"/>
  <c r="J38" i="5"/>
  <c r="J32" i="5"/>
  <c r="J26" i="5"/>
  <c r="J20" i="5"/>
  <c r="J14" i="5"/>
  <c r="J8" i="5"/>
  <c r="J140" i="6"/>
  <c r="J134" i="6"/>
  <c r="J128" i="6"/>
  <c r="J122" i="6"/>
  <c r="J116" i="6"/>
  <c r="J110" i="6"/>
  <c r="J104" i="6"/>
  <c r="J98" i="6"/>
  <c r="J92" i="6"/>
  <c r="J86" i="6"/>
  <c r="J80" i="6"/>
  <c r="J74" i="6"/>
  <c r="J68" i="6"/>
  <c r="J62" i="6"/>
  <c r="J56" i="6"/>
  <c r="J50" i="6"/>
  <c r="J44" i="6"/>
  <c r="J38" i="6"/>
  <c r="J32" i="6"/>
  <c r="J26" i="6"/>
  <c r="J20" i="6"/>
  <c r="J14" i="6"/>
  <c r="J8" i="6"/>
  <c r="J140" i="7"/>
  <c r="J134" i="7"/>
  <c r="J128" i="7"/>
  <c r="J122" i="7"/>
  <c r="J116" i="7"/>
  <c r="J110" i="7"/>
  <c r="J104" i="7"/>
  <c r="J98" i="7"/>
  <c r="J92" i="7"/>
  <c r="J86" i="7"/>
  <c r="J80" i="7"/>
  <c r="J74" i="7"/>
  <c r="J68" i="7"/>
  <c r="J62" i="7"/>
  <c r="J56" i="7"/>
  <c r="J50" i="7"/>
  <c r="J44" i="7"/>
  <c r="J38" i="7"/>
  <c r="J32" i="7"/>
  <c r="J26" i="7"/>
  <c r="J20" i="7"/>
  <c r="J14" i="7"/>
  <c r="J8" i="7"/>
  <c r="J140" i="8"/>
  <c r="J134" i="8"/>
  <c r="J128" i="8"/>
  <c r="J122" i="8"/>
  <c r="J116" i="8"/>
  <c r="J110" i="8"/>
  <c r="J104" i="8"/>
  <c r="J98" i="8"/>
  <c r="J92" i="8"/>
  <c r="J86" i="8"/>
  <c r="J80" i="8"/>
  <c r="J74" i="8"/>
  <c r="J68" i="8"/>
  <c r="J62" i="8"/>
  <c r="J56" i="8"/>
  <c r="J50" i="8"/>
  <c r="J44" i="8"/>
  <c r="J38" i="8"/>
  <c r="J32" i="8"/>
  <c r="J26" i="8"/>
  <c r="J20" i="8"/>
  <c r="J14" i="8"/>
  <c r="J8" i="8"/>
  <c r="J140" i="9"/>
  <c r="J134" i="9"/>
  <c r="J128" i="9"/>
  <c r="J122" i="9"/>
  <c r="J116" i="9"/>
  <c r="J110" i="9"/>
  <c r="J104" i="9"/>
  <c r="J98" i="9"/>
  <c r="J92" i="9"/>
  <c r="J86" i="9"/>
  <c r="J80" i="9"/>
  <c r="J74" i="9"/>
  <c r="J68" i="9"/>
  <c r="J62" i="9"/>
  <c r="J56" i="9"/>
  <c r="J50" i="9"/>
  <c r="J44" i="9"/>
  <c r="J38" i="9"/>
  <c r="J32" i="9"/>
  <c r="J26" i="9"/>
  <c r="J20" i="9"/>
  <c r="J14" i="9"/>
  <c r="J8" i="9"/>
  <c r="J140" i="10"/>
  <c r="J134" i="10"/>
  <c r="J128" i="10"/>
  <c r="J122" i="10"/>
  <c r="J116" i="10"/>
  <c r="J110" i="10"/>
  <c r="J104" i="10"/>
  <c r="J98" i="10"/>
  <c r="J92" i="10"/>
  <c r="J86" i="10"/>
  <c r="J80" i="10"/>
  <c r="J74" i="10"/>
  <c r="J68" i="10"/>
  <c r="J62" i="10"/>
  <c r="J56" i="10"/>
  <c r="J50" i="10"/>
  <c r="J44" i="10"/>
  <c r="J38" i="10"/>
  <c r="J32" i="10"/>
  <c r="J26" i="10"/>
  <c r="J20" i="10"/>
  <c r="J14" i="10"/>
  <c r="J8" i="10"/>
  <c r="J140" i="11"/>
  <c r="J134" i="11"/>
  <c r="J128" i="11"/>
  <c r="J122" i="11"/>
  <c r="J116" i="11"/>
  <c r="J110" i="11"/>
  <c r="J104" i="11"/>
  <c r="J98" i="11"/>
  <c r="J92" i="11"/>
  <c r="J86" i="11"/>
  <c r="J80" i="11"/>
  <c r="J74" i="11"/>
  <c r="J68" i="11"/>
  <c r="J62" i="11"/>
  <c r="J56" i="11"/>
  <c r="J50" i="11"/>
  <c r="J44" i="11"/>
  <c r="J38" i="11"/>
  <c r="J32" i="11"/>
  <c r="J26" i="11"/>
  <c r="J20" i="11"/>
  <c r="J14" i="11"/>
  <c r="J8" i="11"/>
  <c r="J140" i="12"/>
  <c r="J134" i="12"/>
  <c r="J128" i="12"/>
  <c r="J122" i="12"/>
  <c r="J116" i="12"/>
  <c r="J110" i="12"/>
  <c r="J104" i="12"/>
  <c r="J98" i="12"/>
  <c r="J92" i="12"/>
  <c r="J86" i="12"/>
  <c r="J80" i="12"/>
  <c r="J74" i="12"/>
  <c r="J68" i="12"/>
  <c r="J62" i="12"/>
  <c r="J56" i="12"/>
  <c r="J50" i="12"/>
  <c r="J44" i="12"/>
  <c r="J38" i="12"/>
  <c r="J32" i="12"/>
  <c r="J26" i="12"/>
  <c r="J20" i="12"/>
  <c r="J14" i="12"/>
  <c r="J8" i="12"/>
  <c r="J140" i="13"/>
  <c r="J134" i="13"/>
  <c r="J128" i="13"/>
  <c r="J122" i="13"/>
  <c r="J116" i="13"/>
  <c r="J110" i="13"/>
  <c r="J104" i="13"/>
  <c r="J98" i="13"/>
  <c r="J92" i="13"/>
  <c r="J86" i="13"/>
  <c r="J80" i="13"/>
  <c r="J74" i="13"/>
  <c r="J68" i="13"/>
  <c r="J62" i="13"/>
  <c r="J56" i="13"/>
  <c r="J50" i="13"/>
  <c r="J44" i="13"/>
  <c r="J38" i="13"/>
  <c r="J32" i="13"/>
  <c r="J26" i="13"/>
  <c r="J20" i="13"/>
  <c r="J14" i="13"/>
  <c r="J8" i="13"/>
  <c r="J140" i="14"/>
  <c r="J134" i="14"/>
  <c r="J128" i="14"/>
  <c r="J122" i="14"/>
  <c r="J116" i="14"/>
  <c r="J110" i="14"/>
  <c r="J104" i="14"/>
  <c r="J98" i="14"/>
  <c r="J92" i="14"/>
  <c r="J86" i="14"/>
  <c r="J80" i="14"/>
  <c r="J74" i="14"/>
  <c r="J68" i="14"/>
  <c r="J62" i="14"/>
  <c r="J56" i="14"/>
  <c r="J50" i="14"/>
  <c r="J44" i="14"/>
  <c r="J38" i="14"/>
  <c r="J32" i="14"/>
  <c r="J26" i="14"/>
  <c r="J20" i="14"/>
  <c r="J14" i="14"/>
  <c r="J8" i="14"/>
  <c r="J140" i="15"/>
  <c r="J134" i="15"/>
  <c r="J128" i="15"/>
  <c r="J122" i="15"/>
  <c r="J116" i="15"/>
  <c r="J110" i="15"/>
  <c r="J104" i="15"/>
  <c r="J98" i="15"/>
  <c r="J92" i="15"/>
  <c r="J86" i="15"/>
  <c r="J80" i="15"/>
  <c r="J74" i="15"/>
  <c r="J68" i="15"/>
  <c r="J62" i="15"/>
  <c r="J56" i="15"/>
  <c r="J50" i="15"/>
  <c r="J44" i="15"/>
  <c r="J38" i="15"/>
  <c r="J32" i="15"/>
  <c r="J26" i="15"/>
  <c r="J20" i="15"/>
  <c r="J14" i="15"/>
  <c r="J8" i="15"/>
  <c r="J140" i="16"/>
  <c r="J134" i="16"/>
  <c r="J128" i="16"/>
  <c r="J122" i="16"/>
  <c r="J116" i="16"/>
  <c r="J110" i="16"/>
  <c r="J104" i="16"/>
  <c r="J98" i="16"/>
  <c r="J92" i="16"/>
  <c r="J86" i="16"/>
  <c r="J80" i="16"/>
  <c r="J74" i="16"/>
  <c r="J68" i="16"/>
  <c r="J62" i="16"/>
  <c r="J56" i="16"/>
  <c r="J50" i="16"/>
  <c r="J44" i="16"/>
  <c r="J38" i="16"/>
  <c r="J32" i="16"/>
  <c r="J26" i="16"/>
  <c r="J20" i="16"/>
  <c r="J14" i="16"/>
  <c r="J8" i="16"/>
  <c r="J140" i="17"/>
  <c r="J134" i="17"/>
  <c r="J128" i="17"/>
  <c r="J122" i="17"/>
  <c r="J116" i="17"/>
  <c r="J110" i="17"/>
  <c r="J104" i="17"/>
  <c r="J98" i="17"/>
  <c r="J92" i="17"/>
  <c r="J86" i="17"/>
  <c r="J80" i="17"/>
  <c r="J74" i="17"/>
  <c r="J68" i="17"/>
  <c r="J62" i="17"/>
  <c r="J56" i="17"/>
  <c r="J50" i="17"/>
  <c r="J44" i="17"/>
  <c r="J38" i="17"/>
  <c r="J32" i="17"/>
  <c r="J26" i="17"/>
  <c r="J20" i="17"/>
  <c r="J14" i="17"/>
  <c r="J8" i="17"/>
  <c r="J140" i="18"/>
  <c r="J134" i="18"/>
  <c r="J128" i="18"/>
  <c r="J122" i="18"/>
  <c r="J116" i="18"/>
  <c r="J110" i="18"/>
  <c r="J104" i="18"/>
  <c r="J98" i="18"/>
  <c r="J92" i="18"/>
  <c r="J86" i="18"/>
  <c r="J80" i="18"/>
  <c r="J74" i="18"/>
  <c r="J68" i="18"/>
  <c r="J62" i="18"/>
  <c r="J56" i="18"/>
  <c r="J50" i="18"/>
  <c r="J44" i="18"/>
  <c r="J38" i="18"/>
  <c r="J32" i="18"/>
  <c r="J26" i="18"/>
  <c r="J20" i="18"/>
  <c r="J14" i="18"/>
  <c r="J8" i="18"/>
  <c r="J140" i="19"/>
  <c r="J134" i="19"/>
  <c r="J128" i="19"/>
  <c r="J122" i="19"/>
  <c r="J116" i="19"/>
  <c r="J110" i="19"/>
  <c r="J104" i="19"/>
  <c r="J98" i="19"/>
  <c r="J92" i="19"/>
  <c r="J86" i="19"/>
  <c r="J80" i="19"/>
  <c r="J74" i="19"/>
  <c r="J68" i="19"/>
  <c r="J62" i="19"/>
  <c r="J56" i="19"/>
  <c r="J50" i="19"/>
  <c r="J44" i="19"/>
  <c r="J38" i="19"/>
  <c r="J32" i="19"/>
  <c r="J26" i="19"/>
  <c r="J20" i="19"/>
  <c r="J14" i="19"/>
  <c r="J8" i="19"/>
  <c r="J140" i="20"/>
  <c r="J134" i="20"/>
  <c r="J128" i="20"/>
  <c r="J122" i="20"/>
  <c r="J116" i="20"/>
  <c r="J110" i="20"/>
  <c r="J104" i="20"/>
  <c r="J98" i="20"/>
  <c r="J92" i="20"/>
  <c r="J86" i="20"/>
  <c r="J80" i="20"/>
  <c r="J74" i="20"/>
  <c r="J68" i="20"/>
  <c r="J62" i="20"/>
  <c r="J56" i="20"/>
  <c r="J50" i="20"/>
  <c r="J44" i="20"/>
  <c r="J38" i="20"/>
  <c r="J32" i="20"/>
  <c r="J26" i="20"/>
  <c r="J20" i="20"/>
  <c r="J14" i="20"/>
  <c r="J8" i="20"/>
  <c r="J140" i="21"/>
  <c r="J134" i="21"/>
  <c r="J128" i="21"/>
  <c r="J122" i="21"/>
  <c r="J116" i="21"/>
  <c r="J110" i="21"/>
  <c r="J104" i="21"/>
  <c r="J98" i="21"/>
  <c r="J92" i="21"/>
  <c r="J86" i="21"/>
  <c r="J80" i="21"/>
  <c r="J74" i="21"/>
  <c r="J68" i="21"/>
  <c r="J62" i="21"/>
  <c r="J56" i="21"/>
  <c r="J50" i="21"/>
  <c r="J44" i="21"/>
  <c r="J38" i="21"/>
  <c r="J32" i="21"/>
  <c r="J26" i="21"/>
  <c r="J20" i="21"/>
  <c r="J14" i="21"/>
  <c r="J8" i="21"/>
  <c r="J140" i="22"/>
  <c r="J134" i="22"/>
  <c r="J128" i="22"/>
  <c r="J122" i="22"/>
  <c r="J116" i="22"/>
  <c r="J110" i="22"/>
  <c r="J104" i="22"/>
  <c r="J98" i="22"/>
  <c r="J92" i="22"/>
  <c r="J86" i="22"/>
  <c r="J80" i="22"/>
  <c r="J74" i="22"/>
  <c r="J68" i="22"/>
  <c r="J62" i="22"/>
  <c r="J56" i="22"/>
  <c r="J50" i="22"/>
  <c r="J44" i="22"/>
  <c r="J38" i="22"/>
  <c r="J32" i="22"/>
  <c r="J26" i="22"/>
  <c r="J20" i="22"/>
  <c r="J14" i="22"/>
  <c r="J8" i="22"/>
</calcChain>
</file>

<file path=xl/sharedStrings.xml><?xml version="1.0" encoding="utf-8"?>
<sst xmlns="http://schemas.openxmlformats.org/spreadsheetml/2006/main" count="18607" uniqueCount="63">
  <si>
    <t>time_stamp</t>
  </si>
  <si>
    <t>last_seen</t>
  </si>
  <si>
    <t>sensor_index</t>
  </si>
  <si>
    <t>name</t>
  </si>
  <si>
    <t>model</t>
  </si>
  <si>
    <t>firmware_version</t>
  </si>
  <si>
    <t>latitude</t>
  </si>
  <si>
    <t>longitude</t>
  </si>
  <si>
    <t>altitude</t>
  </si>
  <si>
    <t>temperature_a</t>
  </si>
  <si>
    <t>temperature_b</t>
  </si>
  <si>
    <t>Time Executed</t>
  </si>
  <si>
    <t>pm2.5_10minute_a</t>
  </si>
  <si>
    <t>pm2.5_10minute_b</t>
  </si>
  <si>
    <t>PM2.5_Diff</t>
  </si>
  <si>
    <t>PM2.5_RelDiff</t>
  </si>
  <si>
    <t>PM2.5_JumpA</t>
  </si>
  <si>
    <t>PM2.5_JumpB</t>
  </si>
  <si>
    <t>PM2.5_JumpRelDiff</t>
  </si>
  <si>
    <t>PM2.5 QA Flag</t>
  </si>
  <si>
    <t>PM2.5 Uncorrected Avg</t>
  </si>
  <si>
    <t>humidity_a</t>
  </si>
  <si>
    <t>humidity_b</t>
  </si>
  <si>
    <t>RH_Diff</t>
  </si>
  <si>
    <t>RH_JumpA</t>
  </si>
  <si>
    <t>RH_JumpB</t>
  </si>
  <si>
    <t>RH_JumpDiff</t>
  </si>
  <si>
    <t>RH QA Flag</t>
  </si>
  <si>
    <t>RH Avg</t>
  </si>
  <si>
    <t>PM2.5 Corrected</t>
  </si>
  <si>
    <t>12 Noyes Street, Concord, NH</t>
  </si>
  <si>
    <t>PA-II-SD</t>
  </si>
  <si>
    <t>T</t>
  </si>
  <si>
    <t>Passed</t>
  </si>
  <si>
    <t>Junder22</t>
  </si>
  <si>
    <t>PA-II</t>
  </si>
  <si>
    <t>RHZB</t>
  </si>
  <si>
    <t>NHDES_katerr</t>
  </si>
  <si>
    <t>RHZAB</t>
  </si>
  <si>
    <t>NH7</t>
  </si>
  <si>
    <t>NHDES Max</t>
  </si>
  <si>
    <t>NH2</t>
  </si>
  <si>
    <t>MChase_ParkPl</t>
  </si>
  <si>
    <t>ZB</t>
  </si>
  <si>
    <t>KSC 04</t>
  </si>
  <si>
    <t>KSC 15</t>
  </si>
  <si>
    <t>Team Woofy</t>
  </si>
  <si>
    <t>Waterville Valley, NH</t>
  </si>
  <si>
    <t>ZA</t>
  </si>
  <si>
    <t>Franconia</t>
  </si>
  <si>
    <t>KNHPLAIN15</t>
  </si>
  <si>
    <t>NNF</t>
  </si>
  <si>
    <t>Londonderry</t>
  </si>
  <si>
    <t>PA-II-FLEX</t>
  </si>
  <si>
    <t>Jones Ave</t>
  </si>
  <si>
    <t>KSC 16 Old</t>
  </si>
  <si>
    <t>KSC 17</t>
  </si>
  <si>
    <t>6.06a</t>
  </si>
  <si>
    <t>KSC 19</t>
  </si>
  <si>
    <t>KSC 20</t>
  </si>
  <si>
    <t>QQ</t>
  </si>
  <si>
    <t>Rolling Hourly Average</t>
  </si>
  <si>
    <t>Rolling 24 Hour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</si>
</sst>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lightDown">
        <bgColor theme="0" tint="-0.14993743705557422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22" fontId="0" fillId="0" borderId="0" xfId="0" applyNumberFormat="1"/>
    <xf numFmtId="0" fontId="0" fillId="33" borderId="0" xfId="0" applyFill="1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3004"/>
  <sheetViews>
    <sheetView tabSelected="1" workbookViewId="0">
      <selection activeCell="B2" sqref="B2"/>
    </sheetView>
  </sheetViews>
  <sheetFormatPr defaultRowHeight="15" x14ac:dyDescent="0.25"/>
  <cols>
    <col min="1" max="2" width="14.85546875" bestFit="1" customWidth="1"/>
    <col min="3" max="3" width="12.85546875" bestFit="1" customWidth="1"/>
    <col min="4" max="4" width="27.42578125" bestFit="1" customWidth="1"/>
    <col min="5" max="5" width="10" bestFit="1" customWidth="1"/>
    <col min="6" max="6" width="16.85546875" bestFit="1" customWidth="1"/>
    <col min="7" max="7" width="10" bestFit="1" customWidth="1"/>
    <col min="8" max="8" width="10.7109375" bestFit="1" customWidth="1"/>
    <col min="9" max="9" width="8" bestFit="1" customWidth="1"/>
    <col min="10" max="10" width="14.42578125" bestFit="1" customWidth="1"/>
    <col min="11" max="11" width="14.5703125" bestFit="1" customWidth="1"/>
    <col min="12" max="12" width="14.85546875" bestFit="1" customWidth="1"/>
    <col min="13" max="13" width="18.140625" bestFit="1" customWidth="1"/>
    <col min="14" max="14" width="18.28515625" bestFit="1" customWidth="1"/>
    <col min="15" max="15" width="10.7109375" bestFit="1" customWidth="1"/>
    <col min="16" max="16" width="13.7109375" bestFit="1" customWidth="1"/>
    <col min="17" max="17" width="13.5703125" bestFit="1" customWidth="1"/>
    <col min="18" max="18" width="13.42578125" bestFit="1" customWidth="1"/>
    <col min="19" max="19" width="18.5703125" bestFit="1" customWidth="1"/>
    <col min="20" max="20" width="13.7109375" bestFit="1" customWidth="1"/>
    <col min="21" max="21" width="21.85546875" bestFit="1" customWidth="1"/>
    <col min="22" max="22" width="11" bestFit="1" customWidth="1"/>
    <col min="23" max="23" width="11.140625" bestFit="1" customWidth="1"/>
    <col min="24" max="24" width="7.7109375" bestFit="1" customWidth="1"/>
    <col min="25" max="25" width="10.42578125" bestFit="1" customWidth="1"/>
    <col min="26" max="26" width="10.28515625" bestFit="1" customWidth="1"/>
    <col min="27" max="27" width="12.42578125" bestFit="1" customWidth="1"/>
    <col min="28" max="28" width="10.5703125" bestFit="1" customWidth="1"/>
    <col min="29" max="29" width="7.140625" bestFit="1" customWidth="1"/>
    <col min="30" max="30" width="15.7109375" bestFit="1" customWidth="1"/>
  </cols>
  <sheetData>
    <row r="1" spans="1:3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</row>
    <row r="2" spans="1:30" x14ac:dyDescent="0.25">
      <c r="A2" s="1">
        <v>44784.00072916667</v>
      </c>
      <c r="B2" s="1">
        <v>44775.701319444444</v>
      </c>
      <c r="C2">
        <v>151708</v>
      </c>
      <c r="D2" t="s">
        <v>30</v>
      </c>
      <c r="E2" t="s">
        <v>31</v>
      </c>
      <c r="F2">
        <v>7</v>
      </c>
      <c r="G2">
        <v>43.192042999999998</v>
      </c>
      <c r="H2">
        <v>-71.541579999999996</v>
      </c>
      <c r="I2">
        <v>291</v>
      </c>
      <c r="J2">
        <v>93</v>
      </c>
      <c r="K2">
        <v>94</v>
      </c>
      <c r="L2" s="1">
        <v>44784.000717592593</v>
      </c>
      <c r="M2">
        <v>7.9</v>
      </c>
      <c r="N2">
        <v>7.6</v>
      </c>
      <c r="O2">
        <v>0.3</v>
      </c>
      <c r="P2">
        <v>4</v>
      </c>
      <c r="Q2">
        <v>0</v>
      </c>
      <c r="R2">
        <v>0</v>
      </c>
      <c r="S2">
        <v>0</v>
      </c>
      <c r="T2" t="s">
        <v>32</v>
      </c>
      <c r="V2">
        <v>42</v>
      </c>
      <c r="W2">
        <v>41</v>
      </c>
      <c r="X2">
        <v>1</v>
      </c>
      <c r="Y2">
        <v>0</v>
      </c>
      <c r="Z2">
        <v>0</v>
      </c>
      <c r="AA2">
        <v>0</v>
      </c>
      <c r="AB2" t="s">
        <v>33</v>
      </c>
      <c r="AC2">
        <v>41.5</v>
      </c>
    </row>
    <row r="3" spans="1:30" x14ac:dyDescent="0.25">
      <c r="A3" s="1">
        <v>44784.00072916667</v>
      </c>
      <c r="B3" s="1">
        <v>44783.99900462963</v>
      </c>
      <c r="C3">
        <v>143456</v>
      </c>
      <c r="D3" t="s">
        <v>34</v>
      </c>
      <c r="E3" t="s">
        <v>35</v>
      </c>
      <c r="F3">
        <v>7</v>
      </c>
      <c r="G3">
        <v>43.08963</v>
      </c>
      <c r="H3">
        <v>-71.502440000000007</v>
      </c>
      <c r="I3">
        <v>619</v>
      </c>
      <c r="J3">
        <v>72</v>
      </c>
      <c r="K3">
        <v>0</v>
      </c>
      <c r="L3" s="1">
        <v>44784.000717592593</v>
      </c>
      <c r="M3">
        <v>4.4000000000000004</v>
      </c>
      <c r="N3">
        <v>4.8</v>
      </c>
      <c r="O3">
        <v>0.4</v>
      </c>
      <c r="P3">
        <v>9</v>
      </c>
      <c r="Q3">
        <v>0</v>
      </c>
      <c r="R3">
        <v>0</v>
      </c>
      <c r="S3">
        <v>0</v>
      </c>
      <c r="T3" t="s">
        <v>33</v>
      </c>
      <c r="U3">
        <v>4.5999999999999996</v>
      </c>
      <c r="V3">
        <v>66</v>
      </c>
      <c r="W3">
        <v>0</v>
      </c>
      <c r="X3">
        <v>66</v>
      </c>
      <c r="Y3">
        <v>0</v>
      </c>
      <c r="Z3">
        <v>0</v>
      </c>
      <c r="AA3">
        <v>0</v>
      </c>
      <c r="AB3" t="s">
        <v>36</v>
      </c>
      <c r="AC3">
        <v>66</v>
      </c>
      <c r="AD3">
        <v>0.35</v>
      </c>
    </row>
    <row r="4" spans="1:30" x14ac:dyDescent="0.25">
      <c r="A4" s="1">
        <v>44784.000740740739</v>
      </c>
      <c r="B4" s="1">
        <v>44783.999201388891</v>
      </c>
      <c r="C4">
        <v>151702</v>
      </c>
      <c r="D4" t="s">
        <v>37</v>
      </c>
      <c r="E4" t="s">
        <v>31</v>
      </c>
      <c r="F4">
        <v>7</v>
      </c>
      <c r="G4">
        <v>43.118609999999997</v>
      </c>
      <c r="H4">
        <v>-71.61618</v>
      </c>
      <c r="I4">
        <v>885</v>
      </c>
      <c r="J4">
        <v>0</v>
      </c>
      <c r="K4">
        <v>0</v>
      </c>
      <c r="L4" s="1">
        <v>44784.000717592593</v>
      </c>
      <c r="M4">
        <v>3.3</v>
      </c>
      <c r="N4">
        <v>3.2</v>
      </c>
      <c r="O4">
        <v>0.1</v>
      </c>
      <c r="P4">
        <v>3</v>
      </c>
      <c r="Q4">
        <v>0</v>
      </c>
      <c r="R4">
        <v>0</v>
      </c>
      <c r="S4">
        <v>0</v>
      </c>
      <c r="T4" t="s">
        <v>33</v>
      </c>
      <c r="U4">
        <v>3.25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 t="s">
        <v>38</v>
      </c>
    </row>
    <row r="5" spans="1:30" x14ac:dyDescent="0.25">
      <c r="A5" s="1">
        <v>44784.000740740739</v>
      </c>
      <c r="B5" s="1">
        <v>44783.999085648145</v>
      </c>
      <c r="C5">
        <v>151700</v>
      </c>
      <c r="D5" t="s">
        <v>30</v>
      </c>
      <c r="E5" t="s">
        <v>31</v>
      </c>
      <c r="F5">
        <v>7</v>
      </c>
      <c r="G5">
        <v>43.19211</v>
      </c>
      <c r="H5">
        <v>-71.541460000000001</v>
      </c>
      <c r="I5">
        <v>286</v>
      </c>
      <c r="J5">
        <v>73</v>
      </c>
      <c r="K5">
        <v>0</v>
      </c>
      <c r="L5" s="1">
        <v>44784.000717592593</v>
      </c>
      <c r="M5">
        <v>3.4</v>
      </c>
      <c r="N5">
        <v>3.9</v>
      </c>
      <c r="O5">
        <v>0.5</v>
      </c>
      <c r="P5">
        <v>14</v>
      </c>
      <c r="Q5">
        <v>0</v>
      </c>
      <c r="R5">
        <v>0</v>
      </c>
      <c r="S5">
        <v>0</v>
      </c>
      <c r="T5" t="s">
        <v>33</v>
      </c>
      <c r="U5">
        <v>3.65</v>
      </c>
      <c r="V5">
        <v>63</v>
      </c>
      <c r="W5">
        <v>0</v>
      </c>
      <c r="X5">
        <v>63</v>
      </c>
      <c r="Y5">
        <v>0</v>
      </c>
      <c r="Z5">
        <v>0</v>
      </c>
      <c r="AA5">
        <v>0</v>
      </c>
      <c r="AB5" t="s">
        <v>36</v>
      </c>
      <c r="AC5">
        <v>63</v>
      </c>
      <c r="AD5">
        <v>-0.02</v>
      </c>
    </row>
    <row r="6" spans="1:30" x14ac:dyDescent="0.25">
      <c r="A6" s="1">
        <v>44784.000740740739</v>
      </c>
      <c r="B6" s="1">
        <v>44783.999490740738</v>
      </c>
      <c r="C6">
        <v>135984</v>
      </c>
      <c r="D6" t="s">
        <v>39</v>
      </c>
      <c r="E6" t="s">
        <v>31</v>
      </c>
      <c r="F6">
        <v>7</v>
      </c>
      <c r="G6">
        <v>43.565852999999997</v>
      </c>
      <c r="H6">
        <v>-71.496129999999994</v>
      </c>
      <c r="I6">
        <v>708</v>
      </c>
      <c r="J6">
        <v>67</v>
      </c>
      <c r="K6">
        <v>0</v>
      </c>
      <c r="L6" s="1">
        <v>44784.000717592593</v>
      </c>
      <c r="M6">
        <v>5.8</v>
      </c>
      <c r="N6">
        <v>4.8</v>
      </c>
      <c r="O6">
        <v>1</v>
      </c>
      <c r="P6">
        <v>19</v>
      </c>
      <c r="Q6">
        <v>0</v>
      </c>
      <c r="R6">
        <v>0</v>
      </c>
      <c r="S6">
        <v>0</v>
      </c>
      <c r="T6" t="s">
        <v>33</v>
      </c>
      <c r="U6">
        <v>5.3</v>
      </c>
      <c r="V6">
        <v>99</v>
      </c>
      <c r="W6">
        <v>0</v>
      </c>
      <c r="X6">
        <v>99</v>
      </c>
      <c r="Y6">
        <v>0</v>
      </c>
      <c r="Z6">
        <v>0</v>
      </c>
      <c r="AA6">
        <v>0</v>
      </c>
      <c r="AB6" t="s">
        <v>36</v>
      </c>
      <c r="AC6">
        <v>99</v>
      </c>
      <c r="AD6">
        <v>-1.54</v>
      </c>
    </row>
    <row r="7" spans="1:30" x14ac:dyDescent="0.25">
      <c r="A7" s="1">
        <v>44784.000740740739</v>
      </c>
      <c r="B7" s="1">
        <v>44780.394780092596</v>
      </c>
      <c r="C7">
        <v>151712</v>
      </c>
      <c r="D7" t="s">
        <v>40</v>
      </c>
      <c r="E7" t="s">
        <v>31</v>
      </c>
      <c r="F7">
        <v>7</v>
      </c>
      <c r="G7">
        <v>43.289763999999998</v>
      </c>
      <c r="H7">
        <v>-71.564260000000004</v>
      </c>
      <c r="I7">
        <v>370</v>
      </c>
      <c r="J7">
        <v>86</v>
      </c>
      <c r="K7">
        <v>0</v>
      </c>
      <c r="L7" s="1">
        <v>44784.000717592593</v>
      </c>
      <c r="M7">
        <v>14</v>
      </c>
      <c r="N7">
        <v>13.2</v>
      </c>
      <c r="O7">
        <v>0.8</v>
      </c>
      <c r="P7">
        <v>6</v>
      </c>
      <c r="Q7">
        <v>0</v>
      </c>
      <c r="R7">
        <v>0</v>
      </c>
      <c r="S7">
        <v>0</v>
      </c>
      <c r="T7" t="s">
        <v>32</v>
      </c>
      <c r="V7">
        <v>59</v>
      </c>
      <c r="W7">
        <v>0</v>
      </c>
      <c r="X7">
        <v>59</v>
      </c>
      <c r="Y7">
        <v>0</v>
      </c>
      <c r="Z7">
        <v>0</v>
      </c>
      <c r="AA7">
        <v>0</v>
      </c>
      <c r="AB7" t="s">
        <v>36</v>
      </c>
      <c r="AC7">
        <v>59</v>
      </c>
    </row>
    <row r="8" spans="1:30" x14ac:dyDescent="0.25">
      <c r="A8" s="1">
        <v>44784.000752314816</v>
      </c>
      <c r="B8" s="1">
        <v>44783.998773148145</v>
      </c>
      <c r="C8">
        <v>151710</v>
      </c>
      <c r="D8" t="s">
        <v>41</v>
      </c>
      <c r="E8" t="s">
        <v>31</v>
      </c>
      <c r="F8">
        <v>7</v>
      </c>
      <c r="G8">
        <v>43.132477000000002</v>
      </c>
      <c r="H8">
        <v>-71.458374000000006</v>
      </c>
      <c r="I8">
        <v>230</v>
      </c>
      <c r="J8">
        <v>72</v>
      </c>
      <c r="K8">
        <v>0</v>
      </c>
      <c r="L8" s="1">
        <v>44784.000717592593</v>
      </c>
      <c r="M8">
        <v>4.8</v>
      </c>
      <c r="N8">
        <v>3.2</v>
      </c>
      <c r="O8">
        <v>1.6</v>
      </c>
      <c r="P8">
        <v>40</v>
      </c>
      <c r="Q8">
        <v>0</v>
      </c>
      <c r="R8">
        <v>0</v>
      </c>
      <c r="S8">
        <v>0</v>
      </c>
      <c r="T8" t="s">
        <v>33</v>
      </c>
      <c r="U8">
        <v>4</v>
      </c>
      <c r="V8">
        <v>61</v>
      </c>
      <c r="W8">
        <v>0</v>
      </c>
      <c r="X8">
        <v>61</v>
      </c>
      <c r="Y8">
        <v>0</v>
      </c>
      <c r="Z8">
        <v>0</v>
      </c>
      <c r="AA8">
        <v>0</v>
      </c>
      <c r="AB8" t="s">
        <v>36</v>
      </c>
      <c r="AC8">
        <v>61</v>
      </c>
      <c r="AD8">
        <v>0.33</v>
      </c>
    </row>
    <row r="9" spans="1:30" x14ac:dyDescent="0.25">
      <c r="A9" s="1">
        <v>44784.000752314816</v>
      </c>
      <c r="B9" s="1">
        <v>44783.999872685185</v>
      </c>
      <c r="C9">
        <v>151706</v>
      </c>
      <c r="D9" t="s">
        <v>42</v>
      </c>
      <c r="E9" t="s">
        <v>31</v>
      </c>
      <c r="F9">
        <v>7</v>
      </c>
      <c r="G9">
        <v>43.004080000000002</v>
      </c>
      <c r="H9">
        <v>-71.177040000000005</v>
      </c>
      <c r="I9">
        <v>194</v>
      </c>
      <c r="J9">
        <v>72</v>
      </c>
      <c r="K9">
        <v>0</v>
      </c>
      <c r="L9" s="1">
        <v>44784.000717592593</v>
      </c>
      <c r="M9">
        <v>1.2</v>
      </c>
      <c r="N9">
        <v>0</v>
      </c>
      <c r="O9">
        <v>1.2</v>
      </c>
      <c r="P9">
        <v>200</v>
      </c>
      <c r="Q9">
        <v>0</v>
      </c>
      <c r="R9">
        <v>0</v>
      </c>
      <c r="S9">
        <v>0</v>
      </c>
      <c r="T9" t="s">
        <v>43</v>
      </c>
      <c r="V9">
        <v>64</v>
      </c>
      <c r="W9">
        <v>0</v>
      </c>
      <c r="X9">
        <v>64</v>
      </c>
      <c r="Y9">
        <v>0</v>
      </c>
      <c r="Z9">
        <v>0</v>
      </c>
      <c r="AA9">
        <v>0</v>
      </c>
      <c r="AB9" t="s">
        <v>36</v>
      </c>
      <c r="AC9">
        <v>64</v>
      </c>
    </row>
    <row r="10" spans="1:30" x14ac:dyDescent="0.25">
      <c r="A10" s="1">
        <v>44784.000752314816</v>
      </c>
      <c r="B10" s="1">
        <v>44783.999537037038</v>
      </c>
      <c r="C10">
        <v>12212</v>
      </c>
      <c r="D10" t="s">
        <v>44</v>
      </c>
      <c r="E10" t="s">
        <v>35</v>
      </c>
      <c r="F10">
        <v>7</v>
      </c>
      <c r="G10">
        <v>42.930529999999997</v>
      </c>
      <c r="H10">
        <v>-72.272350000000003</v>
      </c>
      <c r="I10">
        <v>476</v>
      </c>
      <c r="J10">
        <v>78</v>
      </c>
      <c r="K10">
        <v>0</v>
      </c>
      <c r="L10" s="1">
        <v>44784.000717592593</v>
      </c>
      <c r="M10">
        <v>2.7</v>
      </c>
      <c r="N10">
        <v>2.2999999999999998</v>
      </c>
      <c r="O10">
        <v>0.4</v>
      </c>
      <c r="P10">
        <v>16</v>
      </c>
      <c r="Q10">
        <v>0</v>
      </c>
      <c r="R10">
        <v>0</v>
      </c>
      <c r="S10">
        <v>0</v>
      </c>
      <c r="T10" t="s">
        <v>33</v>
      </c>
      <c r="U10">
        <v>2.5</v>
      </c>
      <c r="V10">
        <v>72</v>
      </c>
      <c r="W10">
        <v>0</v>
      </c>
      <c r="X10">
        <v>72</v>
      </c>
      <c r="Y10">
        <v>0</v>
      </c>
      <c r="Z10">
        <v>0</v>
      </c>
      <c r="AA10">
        <v>0</v>
      </c>
      <c r="AB10" t="s">
        <v>36</v>
      </c>
      <c r="AC10">
        <v>72</v>
      </c>
      <c r="AD10">
        <v>-1.36</v>
      </c>
    </row>
    <row r="11" spans="1:30" x14ac:dyDescent="0.25">
      <c r="A11" s="1">
        <v>44784.000752314816</v>
      </c>
      <c r="B11" s="1">
        <v>44769.376736111109</v>
      </c>
      <c r="C11">
        <v>12178</v>
      </c>
      <c r="D11" t="s">
        <v>45</v>
      </c>
      <c r="E11" t="s">
        <v>35</v>
      </c>
      <c r="F11">
        <v>7</v>
      </c>
      <c r="G11">
        <v>42.899563000000001</v>
      </c>
      <c r="H11">
        <v>-71.464650000000006</v>
      </c>
      <c r="I11">
        <v>301</v>
      </c>
      <c r="J11">
        <v>85</v>
      </c>
      <c r="K11">
        <v>0</v>
      </c>
      <c r="L11" s="1">
        <v>44784.000717592593</v>
      </c>
      <c r="M11">
        <v>3.8</v>
      </c>
      <c r="N11">
        <v>3.1</v>
      </c>
      <c r="O11">
        <v>0.7</v>
      </c>
      <c r="P11">
        <v>20</v>
      </c>
      <c r="Q11">
        <v>0</v>
      </c>
      <c r="R11">
        <v>0</v>
      </c>
      <c r="S11">
        <v>0</v>
      </c>
      <c r="T11" t="s">
        <v>32</v>
      </c>
      <c r="V11">
        <v>35</v>
      </c>
      <c r="W11">
        <v>0</v>
      </c>
      <c r="X11">
        <v>35</v>
      </c>
      <c r="Y11">
        <v>0</v>
      </c>
      <c r="Z11">
        <v>0</v>
      </c>
      <c r="AA11">
        <v>0</v>
      </c>
      <c r="AB11" t="s">
        <v>36</v>
      </c>
      <c r="AC11">
        <v>35</v>
      </c>
    </row>
    <row r="12" spans="1:30" x14ac:dyDescent="0.25">
      <c r="A12" s="1">
        <v>44784.000763888886</v>
      </c>
      <c r="B12" s="1">
        <v>44783.998912037037</v>
      </c>
      <c r="C12">
        <v>75981</v>
      </c>
      <c r="D12" t="s">
        <v>46</v>
      </c>
      <c r="E12" t="s">
        <v>35</v>
      </c>
      <c r="F12">
        <v>7</v>
      </c>
      <c r="G12">
        <v>42.97</v>
      </c>
      <c r="H12">
        <v>-71.06</v>
      </c>
      <c r="I12">
        <v>136</v>
      </c>
      <c r="J12">
        <v>75</v>
      </c>
      <c r="K12">
        <v>0</v>
      </c>
      <c r="L12" s="1">
        <v>44784.000717592593</v>
      </c>
      <c r="M12">
        <v>2.2000000000000002</v>
      </c>
      <c r="N12">
        <v>2.1</v>
      </c>
      <c r="O12">
        <v>0.1</v>
      </c>
      <c r="P12">
        <v>5</v>
      </c>
      <c r="Q12">
        <v>0</v>
      </c>
      <c r="R12">
        <v>0</v>
      </c>
      <c r="S12">
        <v>0</v>
      </c>
      <c r="T12" t="s">
        <v>33</v>
      </c>
      <c r="U12">
        <v>2.15</v>
      </c>
      <c r="V12">
        <v>58</v>
      </c>
      <c r="W12">
        <v>0</v>
      </c>
      <c r="X12">
        <v>58</v>
      </c>
      <c r="Y12">
        <v>0</v>
      </c>
      <c r="Z12">
        <v>0</v>
      </c>
      <c r="AA12">
        <v>0</v>
      </c>
      <c r="AB12" t="s">
        <v>36</v>
      </c>
      <c r="AC12">
        <v>58</v>
      </c>
      <c r="AD12">
        <v>-0.59</v>
      </c>
    </row>
    <row r="13" spans="1:30" x14ac:dyDescent="0.25">
      <c r="A13" s="1">
        <v>44784.000763888886</v>
      </c>
      <c r="B13" s="1">
        <v>44783.999444444446</v>
      </c>
      <c r="C13">
        <v>115703</v>
      </c>
      <c r="D13" t="s">
        <v>47</v>
      </c>
      <c r="E13" t="s">
        <v>35</v>
      </c>
      <c r="F13">
        <v>7</v>
      </c>
      <c r="G13">
        <v>43.953625000000002</v>
      </c>
      <c r="H13">
        <v>-71.508859999999999</v>
      </c>
      <c r="I13">
        <v>1493</v>
      </c>
      <c r="J13">
        <v>64</v>
      </c>
      <c r="K13">
        <v>0</v>
      </c>
      <c r="L13" s="1">
        <v>44784.000717592593</v>
      </c>
      <c r="M13">
        <v>0</v>
      </c>
      <c r="N13">
        <v>300.89999999999998</v>
      </c>
      <c r="O13">
        <v>300.89999999999998</v>
      </c>
      <c r="P13">
        <v>200</v>
      </c>
      <c r="Q13">
        <v>0</v>
      </c>
      <c r="R13">
        <v>0</v>
      </c>
      <c r="S13">
        <v>0</v>
      </c>
      <c r="T13" t="s">
        <v>48</v>
      </c>
      <c r="V13">
        <v>67</v>
      </c>
      <c r="W13">
        <v>0</v>
      </c>
      <c r="X13">
        <v>67</v>
      </c>
      <c r="Y13">
        <v>0</v>
      </c>
      <c r="Z13">
        <v>0</v>
      </c>
      <c r="AA13">
        <v>0</v>
      </c>
      <c r="AB13" t="s">
        <v>36</v>
      </c>
      <c r="AC13">
        <v>67</v>
      </c>
    </row>
    <row r="14" spans="1:30" x14ac:dyDescent="0.25">
      <c r="A14" s="1">
        <v>44784.000763888886</v>
      </c>
      <c r="B14" s="1">
        <v>44783.998854166668</v>
      </c>
      <c r="C14">
        <v>12050</v>
      </c>
      <c r="D14" t="s">
        <v>49</v>
      </c>
      <c r="E14" t="s">
        <v>35</v>
      </c>
      <c r="F14">
        <v>7</v>
      </c>
      <c r="G14">
        <v>44.220573000000002</v>
      </c>
      <c r="H14">
        <v>-71.732315</v>
      </c>
      <c r="I14">
        <v>999</v>
      </c>
      <c r="J14">
        <v>70</v>
      </c>
      <c r="K14">
        <v>0</v>
      </c>
      <c r="L14" s="1">
        <v>44784.000717592593</v>
      </c>
      <c r="M14">
        <v>5.6</v>
      </c>
      <c r="N14">
        <v>5.4</v>
      </c>
      <c r="O14">
        <v>0.2</v>
      </c>
      <c r="P14">
        <v>4</v>
      </c>
      <c r="Q14">
        <v>0</v>
      </c>
      <c r="R14">
        <v>0</v>
      </c>
      <c r="S14">
        <v>0</v>
      </c>
      <c r="T14" t="s">
        <v>33</v>
      </c>
      <c r="U14">
        <v>5.5</v>
      </c>
      <c r="V14">
        <v>57</v>
      </c>
      <c r="W14">
        <v>0</v>
      </c>
      <c r="X14">
        <v>57</v>
      </c>
      <c r="Y14">
        <v>0</v>
      </c>
      <c r="Z14">
        <v>0</v>
      </c>
      <c r="AA14">
        <v>0</v>
      </c>
      <c r="AB14" t="s">
        <v>36</v>
      </c>
      <c r="AC14">
        <v>57</v>
      </c>
      <c r="AD14">
        <v>1.52</v>
      </c>
    </row>
    <row r="15" spans="1:30" x14ac:dyDescent="0.25">
      <c r="A15" s="1">
        <v>44784.000763888886</v>
      </c>
      <c r="B15" s="1">
        <v>44783.99895833333</v>
      </c>
      <c r="C15">
        <v>23443</v>
      </c>
      <c r="D15" t="s">
        <v>50</v>
      </c>
      <c r="E15" t="s">
        <v>35</v>
      </c>
      <c r="F15">
        <v>7</v>
      </c>
      <c r="G15">
        <v>43.556139999999999</v>
      </c>
      <c r="H15">
        <v>-72.370990000000006</v>
      </c>
      <c r="I15">
        <v>523</v>
      </c>
      <c r="J15">
        <v>71</v>
      </c>
      <c r="K15">
        <v>0</v>
      </c>
      <c r="L15" s="1">
        <v>44784.000717592593</v>
      </c>
      <c r="M15">
        <v>2.9</v>
      </c>
      <c r="N15">
        <v>2.5</v>
      </c>
      <c r="O15">
        <v>0.4</v>
      </c>
      <c r="P15">
        <v>15</v>
      </c>
      <c r="Q15">
        <v>0</v>
      </c>
      <c r="R15">
        <v>0</v>
      </c>
      <c r="S15">
        <v>0</v>
      </c>
      <c r="T15" t="s">
        <v>33</v>
      </c>
      <c r="U15">
        <v>2.7</v>
      </c>
      <c r="V15">
        <v>64</v>
      </c>
      <c r="W15">
        <v>0</v>
      </c>
      <c r="X15">
        <v>64</v>
      </c>
      <c r="Y15">
        <v>0</v>
      </c>
      <c r="Z15">
        <v>0</v>
      </c>
      <c r="AA15">
        <v>0</v>
      </c>
      <c r="AB15" t="s">
        <v>36</v>
      </c>
      <c r="AC15">
        <v>64</v>
      </c>
      <c r="AD15">
        <v>-0.67</v>
      </c>
    </row>
    <row r="16" spans="1:30" x14ac:dyDescent="0.25">
      <c r="A16" s="1">
        <v>44784.000775462962</v>
      </c>
      <c r="B16" s="1">
        <v>44783.999050925922</v>
      </c>
      <c r="C16">
        <v>58135</v>
      </c>
      <c r="D16" t="s">
        <v>51</v>
      </c>
      <c r="E16" t="s">
        <v>35</v>
      </c>
      <c r="F16">
        <v>7</v>
      </c>
      <c r="G16">
        <v>42.883873000000001</v>
      </c>
      <c r="H16">
        <v>-71.972915999999998</v>
      </c>
      <c r="I16">
        <v>808</v>
      </c>
      <c r="J16">
        <v>72</v>
      </c>
      <c r="K16">
        <v>0</v>
      </c>
      <c r="L16" s="1">
        <v>44784.000717592593</v>
      </c>
      <c r="M16">
        <v>5.5</v>
      </c>
      <c r="N16">
        <v>10.6</v>
      </c>
      <c r="O16">
        <v>5.0999999999999996</v>
      </c>
      <c r="P16">
        <v>63</v>
      </c>
      <c r="Q16">
        <v>0</v>
      </c>
      <c r="R16">
        <v>0</v>
      </c>
      <c r="S16">
        <v>0</v>
      </c>
      <c r="T16" t="s">
        <v>33</v>
      </c>
      <c r="U16">
        <v>8.0500000000000007</v>
      </c>
      <c r="V16">
        <v>70</v>
      </c>
      <c r="W16">
        <v>0</v>
      </c>
      <c r="X16">
        <v>70</v>
      </c>
      <c r="Y16">
        <v>0</v>
      </c>
      <c r="Z16">
        <v>0</v>
      </c>
      <c r="AA16">
        <v>0</v>
      </c>
      <c r="AB16" t="s">
        <v>36</v>
      </c>
      <c r="AC16">
        <v>70</v>
      </c>
      <c r="AD16">
        <v>2.17</v>
      </c>
    </row>
    <row r="17" spans="1:30" x14ac:dyDescent="0.25">
      <c r="A17" s="1">
        <v>44784.000775462962</v>
      </c>
      <c r="B17" s="1">
        <v>44783.999120370368</v>
      </c>
      <c r="C17">
        <v>148555</v>
      </c>
      <c r="D17" t="s">
        <v>52</v>
      </c>
      <c r="E17" t="s">
        <v>53</v>
      </c>
      <c r="F17">
        <v>7</v>
      </c>
      <c r="G17">
        <v>42.904949999999999</v>
      </c>
      <c r="H17">
        <v>-71.386764999999997</v>
      </c>
      <c r="I17">
        <v>363</v>
      </c>
      <c r="J17">
        <v>0</v>
      </c>
      <c r="K17">
        <v>0</v>
      </c>
      <c r="L17" s="1">
        <v>44784.000717592593</v>
      </c>
      <c r="M17">
        <v>1.9</v>
      </c>
      <c r="N17">
        <v>2.5</v>
      </c>
      <c r="O17">
        <v>0.6</v>
      </c>
      <c r="P17">
        <v>27</v>
      </c>
      <c r="Q17">
        <v>0</v>
      </c>
      <c r="R17">
        <v>0</v>
      </c>
      <c r="S17">
        <v>0</v>
      </c>
      <c r="T17" t="s">
        <v>33</v>
      </c>
      <c r="U17">
        <v>2.2000000000000002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">
        <v>38</v>
      </c>
    </row>
    <row r="18" spans="1:30" x14ac:dyDescent="0.25">
      <c r="A18" s="1">
        <v>44784.000775462962</v>
      </c>
      <c r="B18" s="1">
        <v>44784.0000462963</v>
      </c>
      <c r="C18">
        <v>146644</v>
      </c>
      <c r="D18" t="s">
        <v>54</v>
      </c>
      <c r="E18" t="s">
        <v>53</v>
      </c>
      <c r="F18">
        <v>7</v>
      </c>
      <c r="G18">
        <v>43.06015</v>
      </c>
      <c r="H18">
        <v>-70.758930000000007</v>
      </c>
      <c r="I18">
        <v>35</v>
      </c>
      <c r="J18">
        <v>69</v>
      </c>
      <c r="K18">
        <v>71</v>
      </c>
      <c r="L18" s="1">
        <v>44784.000717592593</v>
      </c>
      <c r="M18">
        <v>3.2</v>
      </c>
      <c r="N18">
        <v>2.4</v>
      </c>
      <c r="O18">
        <v>0.8</v>
      </c>
      <c r="P18">
        <v>29</v>
      </c>
      <c r="Q18">
        <v>0</v>
      </c>
      <c r="R18">
        <v>0</v>
      </c>
      <c r="S18">
        <v>0</v>
      </c>
      <c r="T18" t="s">
        <v>33</v>
      </c>
      <c r="U18">
        <v>2.8</v>
      </c>
      <c r="V18">
        <v>67</v>
      </c>
      <c r="W18">
        <v>72</v>
      </c>
      <c r="X18">
        <v>5</v>
      </c>
      <c r="Y18">
        <v>0</v>
      </c>
      <c r="Z18">
        <v>0</v>
      </c>
      <c r="AA18">
        <v>0</v>
      </c>
      <c r="AB18" t="s">
        <v>33</v>
      </c>
      <c r="AC18">
        <v>69.5</v>
      </c>
      <c r="AD18">
        <v>-1</v>
      </c>
    </row>
    <row r="19" spans="1:30" x14ac:dyDescent="0.25">
      <c r="A19" s="1">
        <v>44784.000775462962</v>
      </c>
      <c r="B19" s="1">
        <v>43755.283437500002</v>
      </c>
      <c r="C19">
        <v>12188</v>
      </c>
      <c r="D19" t="s">
        <v>55</v>
      </c>
      <c r="E19" t="s">
        <v>35</v>
      </c>
      <c r="F19">
        <v>4.1100000000000003</v>
      </c>
      <c r="G19">
        <v>42.927050000000001</v>
      </c>
      <c r="H19">
        <v>-72.279610000000005</v>
      </c>
      <c r="I19">
        <v>475</v>
      </c>
      <c r="J19">
        <v>95</v>
      </c>
      <c r="K19">
        <v>0</v>
      </c>
      <c r="L19" s="1">
        <v>44784.000717592593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 t="s">
        <v>32</v>
      </c>
      <c r="V19">
        <v>77</v>
      </c>
      <c r="W19">
        <v>0</v>
      </c>
      <c r="X19">
        <v>77</v>
      </c>
      <c r="Y19">
        <v>0</v>
      </c>
      <c r="Z19">
        <v>0</v>
      </c>
      <c r="AA19">
        <v>0</v>
      </c>
      <c r="AB19" t="s">
        <v>36</v>
      </c>
      <c r="AC19">
        <v>77</v>
      </c>
    </row>
    <row r="20" spans="1:30" x14ac:dyDescent="0.25">
      <c r="A20" s="1">
        <v>44784.000787037039</v>
      </c>
      <c r="B20" s="1">
        <v>44783.99895833333</v>
      </c>
      <c r="C20">
        <v>1224</v>
      </c>
      <c r="D20" t="s">
        <v>56</v>
      </c>
      <c r="E20" t="s">
        <v>35</v>
      </c>
      <c r="F20" t="s">
        <v>57</v>
      </c>
      <c r="G20">
        <v>42.938034000000002</v>
      </c>
      <c r="H20">
        <v>-72.259299999999996</v>
      </c>
      <c r="I20">
        <v>792</v>
      </c>
      <c r="J20">
        <v>77</v>
      </c>
      <c r="K20">
        <v>0</v>
      </c>
      <c r="L20" s="1">
        <v>44784.000717592593</v>
      </c>
      <c r="M20">
        <v>2.2999999999999998</v>
      </c>
      <c r="N20">
        <v>0.1</v>
      </c>
      <c r="O20">
        <v>2.2000000000000002</v>
      </c>
      <c r="P20">
        <v>183</v>
      </c>
      <c r="Q20">
        <v>0</v>
      </c>
      <c r="R20">
        <v>0</v>
      </c>
      <c r="S20">
        <v>0</v>
      </c>
      <c r="T20" t="s">
        <v>33</v>
      </c>
      <c r="U20">
        <v>1.2</v>
      </c>
      <c r="V20">
        <v>79</v>
      </c>
      <c r="W20">
        <v>0</v>
      </c>
      <c r="X20">
        <v>79</v>
      </c>
      <c r="Y20">
        <v>0</v>
      </c>
      <c r="Z20">
        <v>0</v>
      </c>
      <c r="AA20">
        <v>0</v>
      </c>
      <c r="AB20" t="s">
        <v>36</v>
      </c>
      <c r="AC20">
        <v>79</v>
      </c>
      <c r="AD20">
        <v>-2.64</v>
      </c>
    </row>
    <row r="21" spans="1:30" x14ac:dyDescent="0.25">
      <c r="A21" s="1">
        <v>44784.000787037039</v>
      </c>
      <c r="B21" s="1">
        <v>44783.999780092592</v>
      </c>
      <c r="C21">
        <v>1202</v>
      </c>
      <c r="D21" t="s">
        <v>58</v>
      </c>
      <c r="E21" t="s">
        <v>35</v>
      </c>
      <c r="F21" t="s">
        <v>57</v>
      </c>
      <c r="G21">
        <v>42.936554000000001</v>
      </c>
      <c r="H21">
        <v>-72.271019999999993</v>
      </c>
      <c r="I21">
        <v>488</v>
      </c>
      <c r="J21">
        <v>0</v>
      </c>
      <c r="K21">
        <v>0</v>
      </c>
      <c r="L21" s="1">
        <v>44784.000717592593</v>
      </c>
      <c r="M21">
        <v>2.4</v>
      </c>
      <c r="N21">
        <v>2.2999999999999998</v>
      </c>
      <c r="O21">
        <v>0.1</v>
      </c>
      <c r="P21">
        <v>4</v>
      </c>
      <c r="Q21">
        <v>0</v>
      </c>
      <c r="R21">
        <v>0</v>
      </c>
      <c r="S21">
        <v>0</v>
      </c>
      <c r="T21" t="s">
        <v>33</v>
      </c>
      <c r="U21">
        <v>2.35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">
        <v>38</v>
      </c>
    </row>
    <row r="22" spans="1:30" x14ac:dyDescent="0.25">
      <c r="A22" s="1">
        <v>44784.000787037039</v>
      </c>
      <c r="B22" s="1">
        <v>44612.080023148148</v>
      </c>
      <c r="C22">
        <v>25985</v>
      </c>
      <c r="D22" t="s">
        <v>59</v>
      </c>
      <c r="E22" t="s">
        <v>35</v>
      </c>
      <c r="F22">
        <v>6.01</v>
      </c>
      <c r="G22">
        <v>42.927326000000001</v>
      </c>
      <c r="H22">
        <v>-72.279979999999995</v>
      </c>
      <c r="I22">
        <v>477</v>
      </c>
      <c r="J22">
        <v>78</v>
      </c>
      <c r="K22">
        <v>0</v>
      </c>
      <c r="L22" s="1">
        <v>44784.000717592593</v>
      </c>
      <c r="M22">
        <v>1.1000000000000001</v>
      </c>
      <c r="N22">
        <v>1</v>
      </c>
      <c r="O22">
        <v>0.1</v>
      </c>
      <c r="P22">
        <v>10</v>
      </c>
      <c r="Q22">
        <v>0</v>
      </c>
      <c r="R22">
        <v>0</v>
      </c>
      <c r="S22">
        <v>0</v>
      </c>
      <c r="T22" t="s">
        <v>32</v>
      </c>
      <c r="V22">
        <v>22</v>
      </c>
      <c r="W22">
        <v>0</v>
      </c>
      <c r="X22">
        <v>22</v>
      </c>
      <c r="Y22">
        <v>0</v>
      </c>
      <c r="Z22">
        <v>0</v>
      </c>
      <c r="AA22">
        <v>0</v>
      </c>
      <c r="AB22" t="s">
        <v>36</v>
      </c>
      <c r="AC22">
        <v>22</v>
      </c>
    </row>
    <row r="23" spans="1:30" x14ac:dyDescent="0.25">
      <c r="A23" s="1">
        <v>44784.007685185185</v>
      </c>
      <c r="B23" s="1">
        <v>44775.701319444444</v>
      </c>
      <c r="C23">
        <v>151708</v>
      </c>
      <c r="D23" t="s">
        <v>30</v>
      </c>
      <c r="E23" t="s">
        <v>31</v>
      </c>
      <c r="F23">
        <v>7</v>
      </c>
      <c r="G23">
        <v>43.192042999999998</v>
      </c>
      <c r="H23">
        <v>-71.541579999999996</v>
      </c>
      <c r="I23">
        <v>291</v>
      </c>
      <c r="J23">
        <v>93</v>
      </c>
      <c r="K23">
        <v>94</v>
      </c>
      <c r="L23" s="1">
        <v>44784.007662037038</v>
      </c>
      <c r="M23">
        <v>7.9</v>
      </c>
      <c r="N23">
        <v>7.6</v>
      </c>
      <c r="O23">
        <v>0.3</v>
      </c>
      <c r="P23">
        <v>4</v>
      </c>
      <c r="Q23">
        <v>0</v>
      </c>
      <c r="R23">
        <v>0</v>
      </c>
      <c r="S23">
        <v>0</v>
      </c>
      <c r="T23" t="s">
        <v>32</v>
      </c>
      <c r="V23">
        <v>42</v>
      </c>
      <c r="W23">
        <v>41</v>
      </c>
      <c r="X23">
        <v>1</v>
      </c>
      <c r="Y23">
        <v>0</v>
      </c>
      <c r="Z23">
        <v>0</v>
      </c>
      <c r="AA23">
        <v>0</v>
      </c>
      <c r="AB23" t="s">
        <v>33</v>
      </c>
      <c r="AC23">
        <v>41.5</v>
      </c>
    </row>
    <row r="24" spans="1:30" x14ac:dyDescent="0.25">
      <c r="A24" s="1">
        <v>44784.007685185185</v>
      </c>
      <c r="B24" s="1">
        <v>44784.007337962961</v>
      </c>
      <c r="C24">
        <v>143456</v>
      </c>
      <c r="D24" t="s">
        <v>34</v>
      </c>
      <c r="E24" t="s">
        <v>35</v>
      </c>
      <c r="F24">
        <v>7</v>
      </c>
      <c r="G24">
        <v>43.08963</v>
      </c>
      <c r="H24">
        <v>-71.502440000000007</v>
      </c>
      <c r="I24">
        <v>619</v>
      </c>
      <c r="J24">
        <v>71</v>
      </c>
      <c r="K24">
        <v>0</v>
      </c>
      <c r="L24" s="1">
        <v>44784.007662037038</v>
      </c>
      <c r="M24">
        <v>4</v>
      </c>
      <c r="N24">
        <v>4.3</v>
      </c>
      <c r="O24">
        <v>0.3</v>
      </c>
      <c r="P24">
        <v>7</v>
      </c>
      <c r="Q24">
        <v>0.4</v>
      </c>
      <c r="R24">
        <v>0.5</v>
      </c>
      <c r="S24">
        <v>0.45</v>
      </c>
      <c r="T24" t="s">
        <v>33</v>
      </c>
      <c r="U24">
        <v>4.1500000000000004</v>
      </c>
      <c r="V24">
        <v>67</v>
      </c>
      <c r="W24">
        <v>0</v>
      </c>
      <c r="X24">
        <v>67</v>
      </c>
      <c r="Y24">
        <v>1</v>
      </c>
      <c r="Z24">
        <v>0</v>
      </c>
      <c r="AA24">
        <v>1</v>
      </c>
      <c r="AB24" t="s">
        <v>36</v>
      </c>
      <c r="AC24">
        <v>67</v>
      </c>
      <c r="AD24">
        <v>0</v>
      </c>
    </row>
    <row r="25" spans="1:30" x14ac:dyDescent="0.25">
      <c r="A25" s="1">
        <v>44784.007696759261</v>
      </c>
      <c r="B25" s="1">
        <v>44784.006145833337</v>
      </c>
      <c r="C25">
        <v>151702</v>
      </c>
      <c r="D25" t="s">
        <v>37</v>
      </c>
      <c r="E25" t="s">
        <v>31</v>
      </c>
      <c r="F25">
        <v>7</v>
      </c>
      <c r="G25">
        <v>43.118609999999997</v>
      </c>
      <c r="H25">
        <v>-71.61618</v>
      </c>
      <c r="I25">
        <v>885</v>
      </c>
      <c r="J25">
        <v>0</v>
      </c>
      <c r="K25">
        <v>0</v>
      </c>
      <c r="L25" s="1">
        <v>44784.007662037038</v>
      </c>
      <c r="M25">
        <v>3.4</v>
      </c>
      <c r="N25">
        <v>3.1</v>
      </c>
      <c r="O25">
        <v>0.3</v>
      </c>
      <c r="P25">
        <v>9</v>
      </c>
      <c r="Q25">
        <v>0.1</v>
      </c>
      <c r="R25">
        <v>0.1</v>
      </c>
      <c r="S25">
        <v>0.1</v>
      </c>
      <c r="T25" t="s">
        <v>33</v>
      </c>
      <c r="U25">
        <v>3.25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">
        <v>38</v>
      </c>
    </row>
    <row r="26" spans="1:30" x14ac:dyDescent="0.25">
      <c r="A26" s="1">
        <v>44784.007696759261</v>
      </c>
      <c r="B26" s="1">
        <v>44784.007418981484</v>
      </c>
      <c r="C26">
        <v>151700</v>
      </c>
      <c r="D26" t="s">
        <v>30</v>
      </c>
      <c r="E26" t="s">
        <v>31</v>
      </c>
      <c r="F26">
        <v>7</v>
      </c>
      <c r="G26">
        <v>43.19211</v>
      </c>
      <c r="H26">
        <v>-71.541460000000001</v>
      </c>
      <c r="I26">
        <v>286</v>
      </c>
      <c r="J26">
        <v>73</v>
      </c>
      <c r="K26">
        <v>0</v>
      </c>
      <c r="L26" s="1">
        <v>44784.007662037038</v>
      </c>
      <c r="M26">
        <v>3.1</v>
      </c>
      <c r="N26">
        <v>3.8</v>
      </c>
      <c r="O26">
        <v>0.7</v>
      </c>
      <c r="P26">
        <v>20</v>
      </c>
      <c r="Q26">
        <v>0.3</v>
      </c>
      <c r="R26">
        <v>0.1</v>
      </c>
      <c r="S26">
        <v>0.2</v>
      </c>
      <c r="T26" t="s">
        <v>33</v>
      </c>
      <c r="U26">
        <v>3.45</v>
      </c>
      <c r="V26">
        <v>63</v>
      </c>
      <c r="W26">
        <v>0</v>
      </c>
      <c r="X26">
        <v>63</v>
      </c>
      <c r="Y26">
        <v>0</v>
      </c>
      <c r="Z26">
        <v>0</v>
      </c>
      <c r="AA26">
        <v>0</v>
      </c>
      <c r="AB26" t="s">
        <v>36</v>
      </c>
      <c r="AC26">
        <v>63</v>
      </c>
      <c r="AD26">
        <v>-0.15</v>
      </c>
    </row>
    <row r="27" spans="1:30" x14ac:dyDescent="0.25">
      <c r="A27" s="1">
        <v>44784.007696759261</v>
      </c>
      <c r="B27" s="1">
        <v>44784.006435185183</v>
      </c>
      <c r="C27">
        <v>135984</v>
      </c>
      <c r="D27" t="s">
        <v>39</v>
      </c>
      <c r="E27" t="s">
        <v>31</v>
      </c>
      <c r="F27">
        <v>7</v>
      </c>
      <c r="G27">
        <v>43.565852999999997</v>
      </c>
      <c r="H27">
        <v>-71.496129999999994</v>
      </c>
      <c r="I27">
        <v>708</v>
      </c>
      <c r="J27">
        <v>67</v>
      </c>
      <c r="K27">
        <v>0</v>
      </c>
      <c r="L27" s="1">
        <v>44784.007662037038</v>
      </c>
      <c r="M27">
        <v>5.7</v>
      </c>
      <c r="N27">
        <v>4.7</v>
      </c>
      <c r="O27">
        <v>1</v>
      </c>
      <c r="P27">
        <v>19</v>
      </c>
      <c r="Q27">
        <v>0.1</v>
      </c>
      <c r="R27">
        <v>0.1</v>
      </c>
      <c r="S27">
        <v>0.1</v>
      </c>
      <c r="T27" t="s">
        <v>33</v>
      </c>
      <c r="U27">
        <v>5.2</v>
      </c>
      <c r="V27">
        <v>100</v>
      </c>
      <c r="W27">
        <v>0</v>
      </c>
      <c r="X27">
        <v>100</v>
      </c>
      <c r="Y27">
        <v>1</v>
      </c>
      <c r="Z27">
        <v>0</v>
      </c>
      <c r="AA27">
        <v>1</v>
      </c>
      <c r="AB27" t="s">
        <v>36</v>
      </c>
      <c r="AC27">
        <v>100</v>
      </c>
      <c r="AD27">
        <v>-1.67</v>
      </c>
    </row>
    <row r="28" spans="1:30" x14ac:dyDescent="0.25">
      <c r="A28" s="1">
        <v>44784.007708333331</v>
      </c>
      <c r="B28" s="1">
        <v>44780.394780092596</v>
      </c>
      <c r="C28">
        <v>151712</v>
      </c>
      <c r="D28" t="s">
        <v>40</v>
      </c>
      <c r="E28" t="s">
        <v>31</v>
      </c>
      <c r="F28">
        <v>7</v>
      </c>
      <c r="G28">
        <v>43.289763999999998</v>
      </c>
      <c r="H28">
        <v>-71.564260000000004</v>
      </c>
      <c r="I28">
        <v>370</v>
      </c>
      <c r="J28">
        <v>86</v>
      </c>
      <c r="K28">
        <v>0</v>
      </c>
      <c r="L28" s="1">
        <v>44784.007662037038</v>
      </c>
      <c r="M28">
        <v>14</v>
      </c>
      <c r="N28">
        <v>13.2</v>
      </c>
      <c r="O28">
        <v>0.8</v>
      </c>
      <c r="P28">
        <v>6</v>
      </c>
      <c r="Q28">
        <v>0</v>
      </c>
      <c r="R28">
        <v>0</v>
      </c>
      <c r="S28">
        <v>0</v>
      </c>
      <c r="T28" t="s">
        <v>32</v>
      </c>
      <c r="V28">
        <v>59</v>
      </c>
      <c r="W28">
        <v>0</v>
      </c>
      <c r="X28">
        <v>59</v>
      </c>
      <c r="Y28">
        <v>0</v>
      </c>
      <c r="Z28">
        <v>0</v>
      </c>
      <c r="AA28">
        <v>0</v>
      </c>
      <c r="AB28" t="s">
        <v>36</v>
      </c>
      <c r="AC28">
        <v>59</v>
      </c>
    </row>
    <row r="29" spans="1:30" x14ac:dyDescent="0.25">
      <c r="A29" s="1">
        <v>44784.007708333331</v>
      </c>
      <c r="B29" s="1">
        <v>44784.007106481484</v>
      </c>
      <c r="C29">
        <v>151710</v>
      </c>
      <c r="D29" t="s">
        <v>41</v>
      </c>
      <c r="E29" t="s">
        <v>31</v>
      </c>
      <c r="F29">
        <v>7</v>
      </c>
      <c r="G29">
        <v>43.132477000000002</v>
      </c>
      <c r="H29">
        <v>-71.458374000000006</v>
      </c>
      <c r="I29">
        <v>230</v>
      </c>
      <c r="J29">
        <v>72</v>
      </c>
      <c r="K29">
        <v>0</v>
      </c>
      <c r="L29" s="1">
        <v>44784.007662037038</v>
      </c>
      <c r="M29">
        <v>4.5</v>
      </c>
      <c r="N29">
        <v>3</v>
      </c>
      <c r="O29">
        <v>1.5</v>
      </c>
      <c r="P29">
        <v>40</v>
      </c>
      <c r="Q29">
        <v>0.3</v>
      </c>
      <c r="R29">
        <v>0.2</v>
      </c>
      <c r="S29">
        <v>0.25</v>
      </c>
      <c r="T29" t="s">
        <v>33</v>
      </c>
      <c r="U29">
        <v>3.75</v>
      </c>
      <c r="V29">
        <v>61</v>
      </c>
      <c r="W29">
        <v>0</v>
      </c>
      <c r="X29">
        <v>61</v>
      </c>
      <c r="Y29">
        <v>0</v>
      </c>
      <c r="Z29">
        <v>0</v>
      </c>
      <c r="AA29">
        <v>0</v>
      </c>
      <c r="AB29" t="s">
        <v>36</v>
      </c>
      <c r="AC29">
        <v>61</v>
      </c>
      <c r="AD29">
        <v>0.18</v>
      </c>
    </row>
    <row r="30" spans="1:30" x14ac:dyDescent="0.25">
      <c r="A30" s="1">
        <v>44784.007708333331</v>
      </c>
      <c r="B30" s="1">
        <v>44784.00681712963</v>
      </c>
      <c r="C30">
        <v>151706</v>
      </c>
      <c r="D30" t="s">
        <v>42</v>
      </c>
      <c r="E30" t="s">
        <v>31</v>
      </c>
      <c r="F30">
        <v>7</v>
      </c>
      <c r="G30">
        <v>43.004080000000002</v>
      </c>
      <c r="H30">
        <v>-71.177040000000005</v>
      </c>
      <c r="I30">
        <v>194</v>
      </c>
      <c r="J30">
        <v>71</v>
      </c>
      <c r="K30">
        <v>0</v>
      </c>
      <c r="L30" s="1">
        <v>44784.007662037038</v>
      </c>
      <c r="M30">
        <v>1.2</v>
      </c>
      <c r="N30">
        <v>0</v>
      </c>
      <c r="O30">
        <v>1.2</v>
      </c>
      <c r="P30">
        <v>200</v>
      </c>
      <c r="Q30">
        <v>0</v>
      </c>
      <c r="R30">
        <v>0</v>
      </c>
      <c r="S30">
        <v>0</v>
      </c>
      <c r="T30" t="s">
        <v>43</v>
      </c>
      <c r="V30">
        <v>65</v>
      </c>
      <c r="W30">
        <v>0</v>
      </c>
      <c r="X30">
        <v>65</v>
      </c>
      <c r="Y30">
        <v>1</v>
      </c>
      <c r="Z30">
        <v>0</v>
      </c>
      <c r="AA30">
        <v>1</v>
      </c>
      <c r="AB30" t="s">
        <v>36</v>
      </c>
      <c r="AC30">
        <v>65</v>
      </c>
    </row>
    <row r="31" spans="1:30" x14ac:dyDescent="0.25">
      <c r="A31" s="1">
        <v>44784.007708333331</v>
      </c>
      <c r="B31" s="1">
        <v>44784.006493055553</v>
      </c>
      <c r="C31">
        <v>12212</v>
      </c>
      <c r="D31" t="s">
        <v>44</v>
      </c>
      <c r="E31" t="s">
        <v>35</v>
      </c>
      <c r="F31">
        <v>7</v>
      </c>
      <c r="G31">
        <v>42.930529999999997</v>
      </c>
      <c r="H31">
        <v>-72.272350000000003</v>
      </c>
      <c r="I31">
        <v>476</v>
      </c>
      <c r="J31">
        <v>78</v>
      </c>
      <c r="K31">
        <v>0</v>
      </c>
      <c r="L31" s="1">
        <v>44784.007662037038</v>
      </c>
      <c r="M31">
        <v>2.7</v>
      </c>
      <c r="N31">
        <v>2.2000000000000002</v>
      </c>
      <c r="O31">
        <v>0.5</v>
      </c>
      <c r="P31">
        <v>20</v>
      </c>
      <c r="Q31">
        <v>0</v>
      </c>
      <c r="R31">
        <v>0.1</v>
      </c>
      <c r="S31">
        <v>0.05</v>
      </c>
      <c r="T31" t="s">
        <v>33</v>
      </c>
      <c r="U31">
        <v>2.4500000000000002</v>
      </c>
      <c r="V31">
        <v>73</v>
      </c>
      <c r="W31">
        <v>0</v>
      </c>
      <c r="X31">
        <v>73</v>
      </c>
      <c r="Y31">
        <v>1</v>
      </c>
      <c r="Z31">
        <v>0</v>
      </c>
      <c r="AA31">
        <v>1</v>
      </c>
      <c r="AB31" t="s">
        <v>36</v>
      </c>
      <c r="AC31">
        <v>73</v>
      </c>
      <c r="AD31">
        <v>-1.46</v>
      </c>
    </row>
    <row r="32" spans="1:30" x14ac:dyDescent="0.25">
      <c r="A32" s="1">
        <v>44784.007719907408</v>
      </c>
      <c r="B32" s="1">
        <v>44769.376736111109</v>
      </c>
      <c r="C32">
        <v>12178</v>
      </c>
      <c r="D32" t="s">
        <v>45</v>
      </c>
      <c r="E32" t="s">
        <v>35</v>
      </c>
      <c r="F32">
        <v>7</v>
      </c>
      <c r="G32">
        <v>42.899563000000001</v>
      </c>
      <c r="H32">
        <v>-71.464650000000006</v>
      </c>
      <c r="I32">
        <v>301</v>
      </c>
      <c r="J32">
        <v>85</v>
      </c>
      <c r="K32">
        <v>0</v>
      </c>
      <c r="L32" s="1">
        <v>44784.007662037038</v>
      </c>
      <c r="M32">
        <v>3.8</v>
      </c>
      <c r="N32">
        <v>3.1</v>
      </c>
      <c r="O32">
        <v>0.7</v>
      </c>
      <c r="P32">
        <v>20</v>
      </c>
      <c r="Q32">
        <v>0</v>
      </c>
      <c r="R32">
        <v>0</v>
      </c>
      <c r="S32">
        <v>0</v>
      </c>
      <c r="T32" t="s">
        <v>32</v>
      </c>
      <c r="V32">
        <v>35</v>
      </c>
      <c r="W32">
        <v>0</v>
      </c>
      <c r="X32">
        <v>35</v>
      </c>
      <c r="Y32">
        <v>0</v>
      </c>
      <c r="Z32">
        <v>0</v>
      </c>
      <c r="AA32">
        <v>0</v>
      </c>
      <c r="AB32" t="s">
        <v>36</v>
      </c>
      <c r="AC32">
        <v>35</v>
      </c>
    </row>
    <row r="33" spans="1:30" x14ac:dyDescent="0.25">
      <c r="A33" s="1">
        <v>44784.007719907408</v>
      </c>
      <c r="B33" s="1">
        <v>44784.007245370369</v>
      </c>
      <c r="C33">
        <v>75981</v>
      </c>
      <c r="D33" t="s">
        <v>46</v>
      </c>
      <c r="E33" t="s">
        <v>35</v>
      </c>
      <c r="F33">
        <v>7</v>
      </c>
      <c r="G33">
        <v>42.97</v>
      </c>
      <c r="H33">
        <v>-71.06</v>
      </c>
      <c r="I33">
        <v>136</v>
      </c>
      <c r="J33">
        <v>75</v>
      </c>
      <c r="K33">
        <v>0</v>
      </c>
      <c r="L33" s="1">
        <v>44784.007662037038</v>
      </c>
      <c r="M33">
        <v>2.2999999999999998</v>
      </c>
      <c r="N33">
        <v>2.1</v>
      </c>
      <c r="O33">
        <v>0.2</v>
      </c>
      <c r="P33">
        <v>9</v>
      </c>
      <c r="Q33">
        <v>0.1</v>
      </c>
      <c r="R33">
        <v>0</v>
      </c>
      <c r="S33">
        <v>0.05</v>
      </c>
      <c r="T33" t="s">
        <v>33</v>
      </c>
      <c r="U33">
        <v>2.2000000000000002</v>
      </c>
      <c r="V33">
        <v>58</v>
      </c>
      <c r="W33">
        <v>0</v>
      </c>
      <c r="X33">
        <v>58</v>
      </c>
      <c r="Y33">
        <v>0</v>
      </c>
      <c r="Z33">
        <v>0</v>
      </c>
      <c r="AA33">
        <v>0</v>
      </c>
      <c r="AB33" t="s">
        <v>36</v>
      </c>
      <c r="AC33">
        <v>58</v>
      </c>
      <c r="AD33">
        <v>-0.56000000000000005</v>
      </c>
    </row>
    <row r="34" spans="1:30" x14ac:dyDescent="0.25">
      <c r="A34" s="1">
        <v>44784.007719907408</v>
      </c>
      <c r="B34" s="1">
        <v>44784.006377314814</v>
      </c>
      <c r="C34">
        <v>115703</v>
      </c>
      <c r="D34" t="s">
        <v>47</v>
      </c>
      <c r="E34" t="s">
        <v>35</v>
      </c>
      <c r="F34">
        <v>7</v>
      </c>
      <c r="G34">
        <v>43.953625000000002</v>
      </c>
      <c r="H34">
        <v>-71.508859999999999</v>
      </c>
      <c r="I34">
        <v>1493</v>
      </c>
      <c r="J34">
        <v>64</v>
      </c>
      <c r="K34">
        <v>0</v>
      </c>
      <c r="L34" s="1">
        <v>44784.007662037038</v>
      </c>
      <c r="M34">
        <v>0</v>
      </c>
      <c r="N34">
        <v>300.89999999999998</v>
      </c>
      <c r="O34">
        <v>300.89999999999998</v>
      </c>
      <c r="P34">
        <v>200</v>
      </c>
      <c r="Q34">
        <v>0</v>
      </c>
      <c r="R34">
        <v>0</v>
      </c>
      <c r="S34">
        <v>0</v>
      </c>
      <c r="T34" t="s">
        <v>48</v>
      </c>
      <c r="V34">
        <v>67</v>
      </c>
      <c r="W34">
        <v>0</v>
      </c>
      <c r="X34">
        <v>67</v>
      </c>
      <c r="Y34">
        <v>0</v>
      </c>
      <c r="Z34">
        <v>0</v>
      </c>
      <c r="AA34">
        <v>0</v>
      </c>
      <c r="AB34" t="s">
        <v>36</v>
      </c>
      <c r="AC34">
        <v>67</v>
      </c>
    </row>
    <row r="35" spans="1:30" x14ac:dyDescent="0.25">
      <c r="A35" s="1">
        <v>44784.007719907408</v>
      </c>
      <c r="B35" s="1">
        <v>44784.007187499999</v>
      </c>
      <c r="C35">
        <v>12050</v>
      </c>
      <c r="D35" t="s">
        <v>49</v>
      </c>
      <c r="E35" t="s">
        <v>35</v>
      </c>
      <c r="F35">
        <v>7</v>
      </c>
      <c r="G35">
        <v>44.220573000000002</v>
      </c>
      <c r="H35">
        <v>-71.732315</v>
      </c>
      <c r="I35">
        <v>999</v>
      </c>
      <c r="J35">
        <v>70</v>
      </c>
      <c r="K35">
        <v>0</v>
      </c>
      <c r="L35" s="1">
        <v>44784.007662037038</v>
      </c>
      <c r="M35">
        <v>4.3</v>
      </c>
      <c r="N35">
        <v>4.0999999999999996</v>
      </c>
      <c r="O35">
        <v>0.2</v>
      </c>
      <c r="P35">
        <v>5</v>
      </c>
      <c r="Q35">
        <v>1.3</v>
      </c>
      <c r="R35">
        <v>1.3</v>
      </c>
      <c r="S35">
        <v>1.3</v>
      </c>
      <c r="T35" t="s">
        <v>33</v>
      </c>
      <c r="U35">
        <v>4.2</v>
      </c>
      <c r="V35">
        <v>57</v>
      </c>
      <c r="W35">
        <v>0</v>
      </c>
      <c r="X35">
        <v>57</v>
      </c>
      <c r="Y35">
        <v>0</v>
      </c>
      <c r="Z35">
        <v>0</v>
      </c>
      <c r="AA35">
        <v>0</v>
      </c>
      <c r="AB35" t="s">
        <v>36</v>
      </c>
      <c r="AC35">
        <v>57</v>
      </c>
      <c r="AD35">
        <v>0.73</v>
      </c>
    </row>
    <row r="36" spans="1:30" x14ac:dyDescent="0.25">
      <c r="A36" s="1">
        <v>44784.007731481484</v>
      </c>
      <c r="B36" s="1">
        <v>44784.007291666669</v>
      </c>
      <c r="C36">
        <v>23443</v>
      </c>
      <c r="D36" t="s">
        <v>50</v>
      </c>
      <c r="E36" t="s">
        <v>35</v>
      </c>
      <c r="F36">
        <v>7</v>
      </c>
      <c r="G36">
        <v>43.556139999999999</v>
      </c>
      <c r="H36">
        <v>-72.370990000000006</v>
      </c>
      <c r="I36">
        <v>523</v>
      </c>
      <c r="J36">
        <v>71</v>
      </c>
      <c r="K36">
        <v>0</v>
      </c>
      <c r="L36" s="1">
        <v>44784.007662037038</v>
      </c>
      <c r="M36">
        <v>3</v>
      </c>
      <c r="N36">
        <v>2.5</v>
      </c>
      <c r="O36">
        <v>0.5</v>
      </c>
      <c r="P36">
        <v>18</v>
      </c>
      <c r="Q36">
        <v>0.1</v>
      </c>
      <c r="R36">
        <v>0</v>
      </c>
      <c r="S36">
        <v>0.05</v>
      </c>
      <c r="T36" t="s">
        <v>33</v>
      </c>
      <c r="U36">
        <v>2.75</v>
      </c>
      <c r="V36">
        <v>63</v>
      </c>
      <c r="W36">
        <v>0</v>
      </c>
      <c r="X36">
        <v>63</v>
      </c>
      <c r="Y36">
        <v>1</v>
      </c>
      <c r="Z36">
        <v>0</v>
      </c>
      <c r="AA36">
        <v>1</v>
      </c>
      <c r="AB36" t="s">
        <v>36</v>
      </c>
      <c r="AC36">
        <v>63</v>
      </c>
      <c r="AD36">
        <v>-0.56999999999999995</v>
      </c>
    </row>
    <row r="37" spans="1:30" x14ac:dyDescent="0.25">
      <c r="A37" s="1">
        <v>44784.007731481484</v>
      </c>
      <c r="B37" s="1">
        <v>44784.007384259261</v>
      </c>
      <c r="C37">
        <v>58135</v>
      </c>
      <c r="D37" t="s">
        <v>51</v>
      </c>
      <c r="E37" t="s">
        <v>35</v>
      </c>
      <c r="F37">
        <v>7</v>
      </c>
      <c r="G37">
        <v>42.883873000000001</v>
      </c>
      <c r="H37">
        <v>-71.972915999999998</v>
      </c>
      <c r="I37">
        <v>808</v>
      </c>
      <c r="J37">
        <v>72</v>
      </c>
      <c r="K37">
        <v>0</v>
      </c>
      <c r="L37" s="1">
        <v>44784.007662037038</v>
      </c>
      <c r="M37">
        <v>6</v>
      </c>
      <c r="N37">
        <v>7.8</v>
      </c>
      <c r="O37">
        <v>1.8</v>
      </c>
      <c r="P37">
        <v>26</v>
      </c>
      <c r="Q37">
        <v>0.5</v>
      </c>
      <c r="R37">
        <v>2.8</v>
      </c>
      <c r="S37">
        <v>1.65</v>
      </c>
      <c r="T37" t="s">
        <v>33</v>
      </c>
      <c r="U37">
        <v>6.9</v>
      </c>
      <c r="V37">
        <v>71</v>
      </c>
      <c r="W37">
        <v>0</v>
      </c>
      <c r="X37">
        <v>71</v>
      </c>
      <c r="Y37">
        <v>1</v>
      </c>
      <c r="Z37">
        <v>0</v>
      </c>
      <c r="AA37">
        <v>1</v>
      </c>
      <c r="AB37" t="s">
        <v>36</v>
      </c>
      <c r="AC37">
        <v>71</v>
      </c>
      <c r="AD37">
        <v>1.4</v>
      </c>
    </row>
    <row r="38" spans="1:30" x14ac:dyDescent="0.25">
      <c r="A38" s="1">
        <v>44784.007731481484</v>
      </c>
      <c r="B38" s="1">
        <v>44784.006064814814</v>
      </c>
      <c r="C38">
        <v>148555</v>
      </c>
      <c r="D38" t="s">
        <v>52</v>
      </c>
      <c r="E38" t="s">
        <v>53</v>
      </c>
      <c r="F38">
        <v>7</v>
      </c>
      <c r="G38">
        <v>42.904949999999999</v>
      </c>
      <c r="H38">
        <v>-71.386764999999997</v>
      </c>
      <c r="I38">
        <v>363</v>
      </c>
      <c r="J38">
        <v>0</v>
      </c>
      <c r="K38">
        <v>0</v>
      </c>
      <c r="L38" s="1">
        <v>44784.007662037038</v>
      </c>
      <c r="M38">
        <v>1.7</v>
      </c>
      <c r="N38">
        <v>2.2000000000000002</v>
      </c>
      <c r="O38">
        <v>0.5</v>
      </c>
      <c r="P38">
        <v>26</v>
      </c>
      <c r="Q38">
        <v>0.2</v>
      </c>
      <c r="R38">
        <v>0.3</v>
      </c>
      <c r="S38">
        <v>0.25</v>
      </c>
      <c r="T38" t="s">
        <v>33</v>
      </c>
      <c r="U38">
        <v>1.95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">
        <v>38</v>
      </c>
    </row>
    <row r="39" spans="1:30" x14ac:dyDescent="0.25">
      <c r="A39" s="1">
        <v>44784.007731481484</v>
      </c>
      <c r="B39" s="1">
        <v>44784.006990740738</v>
      </c>
      <c r="C39">
        <v>146644</v>
      </c>
      <c r="D39" t="s">
        <v>54</v>
      </c>
      <c r="E39" t="s">
        <v>53</v>
      </c>
      <c r="F39">
        <v>7</v>
      </c>
      <c r="G39">
        <v>43.06015</v>
      </c>
      <c r="H39">
        <v>-70.758930000000007</v>
      </c>
      <c r="I39">
        <v>35</v>
      </c>
      <c r="J39">
        <v>68</v>
      </c>
      <c r="K39">
        <v>70</v>
      </c>
      <c r="L39" s="1">
        <v>44784.007662037038</v>
      </c>
      <c r="M39">
        <v>3.2</v>
      </c>
      <c r="N39">
        <v>2.2999999999999998</v>
      </c>
      <c r="O39">
        <v>0.9</v>
      </c>
      <c r="P39">
        <v>33</v>
      </c>
      <c r="Q39">
        <v>0</v>
      </c>
      <c r="R39">
        <v>0.1</v>
      </c>
      <c r="S39">
        <v>0.05</v>
      </c>
      <c r="T39" t="s">
        <v>33</v>
      </c>
      <c r="U39">
        <v>2.75</v>
      </c>
      <c r="V39">
        <v>68</v>
      </c>
      <c r="W39">
        <v>72</v>
      </c>
      <c r="X39">
        <v>4</v>
      </c>
      <c r="Y39">
        <v>1</v>
      </c>
      <c r="Z39">
        <v>0</v>
      </c>
      <c r="AA39">
        <v>1</v>
      </c>
      <c r="AB39" t="s">
        <v>33</v>
      </c>
      <c r="AC39">
        <v>70</v>
      </c>
      <c r="AD39">
        <v>-1.06</v>
      </c>
    </row>
    <row r="40" spans="1:30" x14ac:dyDescent="0.25">
      <c r="A40" s="1">
        <v>44784.007731481484</v>
      </c>
      <c r="B40" s="1">
        <v>43755.283437500002</v>
      </c>
      <c r="C40">
        <v>12188</v>
      </c>
      <c r="D40" t="s">
        <v>55</v>
      </c>
      <c r="E40" t="s">
        <v>35</v>
      </c>
      <c r="F40">
        <v>4.1100000000000003</v>
      </c>
      <c r="G40">
        <v>42.927050000000001</v>
      </c>
      <c r="H40">
        <v>-72.279610000000005</v>
      </c>
      <c r="I40">
        <v>475</v>
      </c>
      <c r="J40">
        <v>95</v>
      </c>
      <c r="K40">
        <v>0</v>
      </c>
      <c r="L40" s="1">
        <v>44784.007662037038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 t="s">
        <v>32</v>
      </c>
      <c r="V40">
        <v>77</v>
      </c>
      <c r="W40">
        <v>0</v>
      </c>
      <c r="X40">
        <v>77</v>
      </c>
      <c r="Y40">
        <v>0</v>
      </c>
      <c r="Z40">
        <v>0</v>
      </c>
      <c r="AA40">
        <v>0</v>
      </c>
      <c r="AB40" t="s">
        <v>36</v>
      </c>
      <c r="AC40">
        <v>77</v>
      </c>
    </row>
    <row r="41" spans="1:30" x14ac:dyDescent="0.25">
      <c r="A41" s="1">
        <v>44784.007743055554</v>
      </c>
      <c r="B41" s="1">
        <v>44784.005902777775</v>
      </c>
      <c r="C41">
        <v>1224</v>
      </c>
      <c r="D41" t="s">
        <v>56</v>
      </c>
      <c r="E41" t="s">
        <v>35</v>
      </c>
      <c r="F41" t="s">
        <v>57</v>
      </c>
      <c r="G41">
        <v>42.938034000000002</v>
      </c>
      <c r="H41">
        <v>-72.259299999999996</v>
      </c>
      <c r="I41">
        <v>792</v>
      </c>
      <c r="J41">
        <v>77</v>
      </c>
      <c r="K41">
        <v>0</v>
      </c>
      <c r="L41" s="1">
        <v>44784.007662037038</v>
      </c>
      <c r="M41">
        <v>2.2999999999999998</v>
      </c>
      <c r="N41">
        <v>0.1</v>
      </c>
      <c r="O41">
        <v>2.2000000000000002</v>
      </c>
      <c r="P41">
        <v>183</v>
      </c>
      <c r="Q41">
        <v>0</v>
      </c>
      <c r="R41">
        <v>0</v>
      </c>
      <c r="S41">
        <v>0</v>
      </c>
      <c r="T41" t="s">
        <v>33</v>
      </c>
      <c r="U41">
        <v>1.2</v>
      </c>
      <c r="V41">
        <v>80</v>
      </c>
      <c r="W41">
        <v>0</v>
      </c>
      <c r="X41">
        <v>80</v>
      </c>
      <c r="Y41">
        <v>1</v>
      </c>
      <c r="Z41">
        <v>0</v>
      </c>
      <c r="AA41">
        <v>1</v>
      </c>
      <c r="AB41" t="s">
        <v>36</v>
      </c>
      <c r="AC41">
        <v>80</v>
      </c>
      <c r="AD41">
        <v>-2.71</v>
      </c>
    </row>
    <row r="42" spans="1:30" x14ac:dyDescent="0.25">
      <c r="A42" s="1">
        <v>44784.007743055554</v>
      </c>
      <c r="B42" s="1">
        <v>44784.006736111114</v>
      </c>
      <c r="C42">
        <v>1202</v>
      </c>
      <c r="D42" t="s">
        <v>58</v>
      </c>
      <c r="E42" t="s">
        <v>35</v>
      </c>
      <c r="F42" t="s">
        <v>57</v>
      </c>
      <c r="G42">
        <v>42.936554000000001</v>
      </c>
      <c r="H42">
        <v>-72.271019999999993</v>
      </c>
      <c r="I42">
        <v>488</v>
      </c>
      <c r="J42">
        <v>0</v>
      </c>
      <c r="K42">
        <v>0</v>
      </c>
      <c r="L42" s="1">
        <v>44784.007662037038</v>
      </c>
      <c r="M42">
        <v>2.4</v>
      </c>
      <c r="N42">
        <v>2.2999999999999998</v>
      </c>
      <c r="O42">
        <v>0.1</v>
      </c>
      <c r="P42">
        <v>4</v>
      </c>
      <c r="Q42">
        <v>0</v>
      </c>
      <c r="R42">
        <v>0</v>
      </c>
      <c r="S42">
        <v>0</v>
      </c>
      <c r="T42" t="s">
        <v>33</v>
      </c>
      <c r="U42">
        <v>2.35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">
        <v>38</v>
      </c>
    </row>
    <row r="43" spans="1:30" x14ac:dyDescent="0.25">
      <c r="A43" s="1">
        <v>44784.007743055554</v>
      </c>
      <c r="B43" s="1">
        <v>44612.080023148148</v>
      </c>
      <c r="C43">
        <v>25985</v>
      </c>
      <c r="D43" t="s">
        <v>59</v>
      </c>
      <c r="E43" t="s">
        <v>35</v>
      </c>
      <c r="F43">
        <v>6.01</v>
      </c>
      <c r="G43">
        <v>42.927326000000001</v>
      </c>
      <c r="H43">
        <v>-72.279979999999995</v>
      </c>
      <c r="I43">
        <v>477</v>
      </c>
      <c r="J43">
        <v>78</v>
      </c>
      <c r="K43">
        <v>0</v>
      </c>
      <c r="L43" s="1">
        <v>44784.007662037038</v>
      </c>
      <c r="M43">
        <v>1.1000000000000001</v>
      </c>
      <c r="N43">
        <v>1</v>
      </c>
      <c r="O43">
        <v>0.1</v>
      </c>
      <c r="P43">
        <v>10</v>
      </c>
      <c r="Q43">
        <v>0</v>
      </c>
      <c r="R43">
        <v>0</v>
      </c>
      <c r="S43">
        <v>0</v>
      </c>
      <c r="T43" t="s">
        <v>32</v>
      </c>
      <c r="V43">
        <v>22</v>
      </c>
      <c r="W43">
        <v>0</v>
      </c>
      <c r="X43">
        <v>22</v>
      </c>
      <c r="Y43">
        <v>0</v>
      </c>
      <c r="Z43">
        <v>0</v>
      </c>
      <c r="AA43">
        <v>0</v>
      </c>
      <c r="AB43" t="s">
        <v>36</v>
      </c>
      <c r="AC43">
        <v>22</v>
      </c>
    </row>
    <row r="44" spans="1:30" x14ac:dyDescent="0.25">
      <c r="A44" s="1">
        <v>44784.014618055553</v>
      </c>
      <c r="B44" s="1">
        <v>44775.701319444444</v>
      </c>
      <c r="C44">
        <v>151708</v>
      </c>
      <c r="D44" t="s">
        <v>30</v>
      </c>
      <c r="E44" t="s">
        <v>31</v>
      </c>
      <c r="F44">
        <v>7</v>
      </c>
      <c r="G44">
        <v>43.192042999999998</v>
      </c>
      <c r="H44">
        <v>-71.541579999999996</v>
      </c>
      <c r="I44">
        <v>291</v>
      </c>
      <c r="J44">
        <v>93</v>
      </c>
      <c r="K44">
        <v>94</v>
      </c>
      <c r="L44" s="1">
        <v>44784.014606481483</v>
      </c>
      <c r="M44">
        <v>7.9</v>
      </c>
      <c r="N44">
        <v>7.6</v>
      </c>
      <c r="O44">
        <v>0.3</v>
      </c>
      <c r="P44">
        <v>4</v>
      </c>
      <c r="Q44">
        <v>0</v>
      </c>
      <c r="R44">
        <v>0</v>
      </c>
      <c r="S44">
        <v>0</v>
      </c>
      <c r="T44" t="s">
        <v>32</v>
      </c>
      <c r="V44">
        <v>42</v>
      </c>
      <c r="W44">
        <v>41</v>
      </c>
      <c r="X44">
        <v>1</v>
      </c>
      <c r="Y44">
        <v>0</v>
      </c>
      <c r="Z44">
        <v>0</v>
      </c>
      <c r="AA44">
        <v>0</v>
      </c>
      <c r="AB44" t="s">
        <v>33</v>
      </c>
      <c r="AC44">
        <v>41.5</v>
      </c>
    </row>
    <row r="45" spans="1:30" x14ac:dyDescent="0.25">
      <c r="A45" s="1">
        <v>44784.014618055553</v>
      </c>
      <c r="B45" s="1">
        <v>44784.01289351852</v>
      </c>
      <c r="C45">
        <v>143456</v>
      </c>
      <c r="D45" t="s">
        <v>34</v>
      </c>
      <c r="E45" t="s">
        <v>35</v>
      </c>
      <c r="F45">
        <v>7</v>
      </c>
      <c r="G45">
        <v>43.08963</v>
      </c>
      <c r="H45">
        <v>-71.502440000000007</v>
      </c>
      <c r="I45">
        <v>619</v>
      </c>
      <c r="J45">
        <v>71</v>
      </c>
      <c r="K45">
        <v>0</v>
      </c>
      <c r="L45" s="1">
        <v>44784.014606481483</v>
      </c>
      <c r="M45">
        <v>3.8</v>
      </c>
      <c r="N45">
        <v>4.2</v>
      </c>
      <c r="O45">
        <v>0.4</v>
      </c>
      <c r="P45">
        <v>10</v>
      </c>
      <c r="Q45">
        <v>0.2</v>
      </c>
      <c r="R45">
        <v>0.1</v>
      </c>
      <c r="S45">
        <v>0.15</v>
      </c>
      <c r="T45" t="s">
        <v>33</v>
      </c>
      <c r="U45">
        <v>4</v>
      </c>
      <c r="V45">
        <v>67</v>
      </c>
      <c r="W45">
        <v>0</v>
      </c>
      <c r="X45">
        <v>67</v>
      </c>
      <c r="Y45">
        <v>0</v>
      </c>
      <c r="Z45">
        <v>0</v>
      </c>
      <c r="AA45">
        <v>0</v>
      </c>
      <c r="AB45" t="s">
        <v>36</v>
      </c>
      <c r="AC45">
        <v>67</v>
      </c>
      <c r="AD45">
        <v>-0.09</v>
      </c>
    </row>
    <row r="46" spans="1:30" x14ac:dyDescent="0.25">
      <c r="A46" s="1">
        <v>44784.014618055553</v>
      </c>
      <c r="B46" s="1">
        <v>44784.013090277775</v>
      </c>
      <c r="C46">
        <v>151702</v>
      </c>
      <c r="D46" t="s">
        <v>37</v>
      </c>
      <c r="E46" t="s">
        <v>31</v>
      </c>
      <c r="F46">
        <v>7</v>
      </c>
      <c r="G46">
        <v>43.118609999999997</v>
      </c>
      <c r="H46">
        <v>-71.61618</v>
      </c>
      <c r="I46">
        <v>885</v>
      </c>
      <c r="J46">
        <v>0</v>
      </c>
      <c r="K46">
        <v>0</v>
      </c>
      <c r="L46" s="1">
        <v>44784.014606481483</v>
      </c>
      <c r="M46">
        <v>3.4</v>
      </c>
      <c r="N46">
        <v>3.1</v>
      </c>
      <c r="O46">
        <v>0.3</v>
      </c>
      <c r="P46">
        <v>9</v>
      </c>
      <c r="Q46">
        <v>0</v>
      </c>
      <c r="R46">
        <v>0</v>
      </c>
      <c r="S46">
        <v>0</v>
      </c>
      <c r="T46" t="s">
        <v>33</v>
      </c>
      <c r="U46">
        <v>3.25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">
        <v>38</v>
      </c>
    </row>
    <row r="47" spans="1:30" x14ac:dyDescent="0.25">
      <c r="A47" s="1">
        <v>44784.01462962963</v>
      </c>
      <c r="B47" s="1">
        <v>44784.012986111113</v>
      </c>
      <c r="C47">
        <v>151700</v>
      </c>
      <c r="D47" t="s">
        <v>30</v>
      </c>
      <c r="E47" t="s">
        <v>31</v>
      </c>
      <c r="F47">
        <v>7</v>
      </c>
      <c r="G47">
        <v>43.19211</v>
      </c>
      <c r="H47">
        <v>-71.541460000000001</v>
      </c>
      <c r="I47">
        <v>286</v>
      </c>
      <c r="J47">
        <v>73</v>
      </c>
      <c r="K47">
        <v>0</v>
      </c>
      <c r="L47" s="1">
        <v>44784.014606481483</v>
      </c>
      <c r="M47">
        <v>3</v>
      </c>
      <c r="N47">
        <v>3.6</v>
      </c>
      <c r="O47">
        <v>0.6</v>
      </c>
      <c r="P47">
        <v>18</v>
      </c>
      <c r="Q47">
        <v>0.1</v>
      </c>
      <c r="R47">
        <v>0.2</v>
      </c>
      <c r="S47">
        <v>0.15</v>
      </c>
      <c r="T47" t="s">
        <v>33</v>
      </c>
      <c r="U47">
        <v>3.3</v>
      </c>
      <c r="V47">
        <v>63</v>
      </c>
      <c r="W47">
        <v>0</v>
      </c>
      <c r="X47">
        <v>63</v>
      </c>
      <c r="Y47">
        <v>0</v>
      </c>
      <c r="Z47">
        <v>0</v>
      </c>
      <c r="AA47">
        <v>0</v>
      </c>
      <c r="AB47" t="s">
        <v>36</v>
      </c>
      <c r="AC47">
        <v>63</v>
      </c>
      <c r="AD47">
        <v>-0.24</v>
      </c>
    </row>
    <row r="48" spans="1:30" x14ac:dyDescent="0.25">
      <c r="A48" s="1">
        <v>44784.01462962963</v>
      </c>
      <c r="B48" s="1">
        <v>44784.013379629629</v>
      </c>
      <c r="C48">
        <v>135984</v>
      </c>
      <c r="D48" t="s">
        <v>39</v>
      </c>
      <c r="E48" t="s">
        <v>31</v>
      </c>
      <c r="F48">
        <v>7</v>
      </c>
      <c r="G48">
        <v>43.565852999999997</v>
      </c>
      <c r="H48">
        <v>-71.496129999999994</v>
      </c>
      <c r="I48">
        <v>708</v>
      </c>
      <c r="J48">
        <v>67</v>
      </c>
      <c r="K48">
        <v>0</v>
      </c>
      <c r="L48" s="1">
        <v>44784.014606481483</v>
      </c>
      <c r="M48">
        <v>5.8</v>
      </c>
      <c r="N48">
        <v>4.9000000000000004</v>
      </c>
      <c r="O48">
        <v>0.9</v>
      </c>
      <c r="P48">
        <v>17</v>
      </c>
      <c r="Q48">
        <v>0.1</v>
      </c>
      <c r="R48">
        <v>0.2</v>
      </c>
      <c r="S48">
        <v>0.15</v>
      </c>
      <c r="T48" t="s">
        <v>33</v>
      </c>
      <c r="U48">
        <v>5.35</v>
      </c>
      <c r="V48">
        <v>100</v>
      </c>
      <c r="W48">
        <v>0</v>
      </c>
      <c r="X48">
        <v>100</v>
      </c>
      <c r="Y48">
        <v>0</v>
      </c>
      <c r="Z48">
        <v>0</v>
      </c>
      <c r="AA48">
        <v>0</v>
      </c>
      <c r="AB48" t="s">
        <v>36</v>
      </c>
      <c r="AC48">
        <v>100</v>
      </c>
      <c r="AD48">
        <v>-1.58</v>
      </c>
    </row>
    <row r="49" spans="1:30" x14ac:dyDescent="0.25">
      <c r="A49" s="1">
        <v>44784.01462962963</v>
      </c>
      <c r="B49" s="1">
        <v>44780.394780092596</v>
      </c>
      <c r="C49">
        <v>151712</v>
      </c>
      <c r="D49" t="s">
        <v>40</v>
      </c>
      <c r="E49" t="s">
        <v>31</v>
      </c>
      <c r="F49">
        <v>7</v>
      </c>
      <c r="G49">
        <v>43.289763999999998</v>
      </c>
      <c r="H49">
        <v>-71.564260000000004</v>
      </c>
      <c r="I49">
        <v>370</v>
      </c>
      <c r="J49">
        <v>86</v>
      </c>
      <c r="K49">
        <v>0</v>
      </c>
      <c r="L49" s="1">
        <v>44784.014606481483</v>
      </c>
      <c r="M49">
        <v>14</v>
      </c>
      <c r="N49">
        <v>13.2</v>
      </c>
      <c r="O49">
        <v>0.8</v>
      </c>
      <c r="P49">
        <v>6</v>
      </c>
      <c r="Q49">
        <v>0</v>
      </c>
      <c r="R49">
        <v>0</v>
      </c>
      <c r="S49">
        <v>0</v>
      </c>
      <c r="T49" t="s">
        <v>32</v>
      </c>
      <c r="V49">
        <v>59</v>
      </c>
      <c r="W49">
        <v>0</v>
      </c>
      <c r="X49">
        <v>59</v>
      </c>
      <c r="Y49">
        <v>0</v>
      </c>
      <c r="Z49">
        <v>0</v>
      </c>
      <c r="AA49">
        <v>0</v>
      </c>
      <c r="AB49" t="s">
        <v>36</v>
      </c>
      <c r="AC49">
        <v>59</v>
      </c>
    </row>
    <row r="50" spans="1:30" x14ac:dyDescent="0.25">
      <c r="A50" s="1">
        <v>44784.01462962963</v>
      </c>
      <c r="B50" s="1">
        <v>44784.014050925929</v>
      </c>
      <c r="C50">
        <v>151710</v>
      </c>
      <c r="D50" t="s">
        <v>41</v>
      </c>
      <c r="E50" t="s">
        <v>31</v>
      </c>
      <c r="F50">
        <v>7</v>
      </c>
      <c r="G50">
        <v>43.132477000000002</v>
      </c>
      <c r="H50">
        <v>-71.458374000000006</v>
      </c>
      <c r="I50">
        <v>230</v>
      </c>
      <c r="J50">
        <v>72</v>
      </c>
      <c r="K50">
        <v>0</v>
      </c>
      <c r="L50" s="1">
        <v>44784.014606481483</v>
      </c>
      <c r="M50">
        <v>4.5</v>
      </c>
      <c r="N50">
        <v>3</v>
      </c>
      <c r="O50">
        <v>1.5</v>
      </c>
      <c r="P50">
        <v>40</v>
      </c>
      <c r="Q50">
        <v>0</v>
      </c>
      <c r="R50">
        <v>0</v>
      </c>
      <c r="S50">
        <v>0</v>
      </c>
      <c r="T50" t="s">
        <v>33</v>
      </c>
      <c r="U50">
        <v>3.75</v>
      </c>
      <c r="V50">
        <v>61</v>
      </c>
      <c r="W50">
        <v>0</v>
      </c>
      <c r="X50">
        <v>61</v>
      </c>
      <c r="Y50">
        <v>0</v>
      </c>
      <c r="Z50">
        <v>0</v>
      </c>
      <c r="AA50">
        <v>0</v>
      </c>
      <c r="AB50" t="s">
        <v>36</v>
      </c>
      <c r="AC50">
        <v>61</v>
      </c>
      <c r="AD50">
        <v>0.18</v>
      </c>
    </row>
    <row r="51" spans="1:30" x14ac:dyDescent="0.25">
      <c r="A51" s="1">
        <v>44784.01462962963</v>
      </c>
      <c r="B51" s="1">
        <v>44784.013761574075</v>
      </c>
      <c r="C51">
        <v>151706</v>
      </c>
      <c r="D51" t="s">
        <v>42</v>
      </c>
      <c r="E51" t="s">
        <v>31</v>
      </c>
      <c r="F51">
        <v>7</v>
      </c>
      <c r="G51">
        <v>43.004080000000002</v>
      </c>
      <c r="H51">
        <v>-71.177040000000005</v>
      </c>
      <c r="I51">
        <v>194</v>
      </c>
      <c r="J51">
        <v>71</v>
      </c>
      <c r="K51">
        <v>0</v>
      </c>
      <c r="L51" s="1">
        <v>44784.014606481483</v>
      </c>
      <c r="M51">
        <v>1.4</v>
      </c>
      <c r="N51">
        <v>0</v>
      </c>
      <c r="O51">
        <v>1.4</v>
      </c>
      <c r="P51">
        <v>200</v>
      </c>
      <c r="Q51">
        <v>0.2</v>
      </c>
      <c r="R51">
        <v>0</v>
      </c>
      <c r="S51">
        <v>0.1</v>
      </c>
      <c r="T51" t="s">
        <v>43</v>
      </c>
      <c r="V51">
        <v>65</v>
      </c>
      <c r="W51">
        <v>0</v>
      </c>
      <c r="X51">
        <v>65</v>
      </c>
      <c r="Y51">
        <v>0</v>
      </c>
      <c r="Z51">
        <v>0</v>
      </c>
      <c r="AA51">
        <v>0</v>
      </c>
      <c r="AB51" t="s">
        <v>36</v>
      </c>
      <c r="AC51">
        <v>65</v>
      </c>
    </row>
    <row r="52" spans="1:30" x14ac:dyDescent="0.25">
      <c r="A52" s="1">
        <v>44784.014641203707</v>
      </c>
      <c r="B52" s="1">
        <v>44784.013425925928</v>
      </c>
      <c r="C52">
        <v>12212</v>
      </c>
      <c r="D52" t="s">
        <v>44</v>
      </c>
      <c r="E52" t="s">
        <v>35</v>
      </c>
      <c r="F52">
        <v>7</v>
      </c>
      <c r="G52">
        <v>42.930529999999997</v>
      </c>
      <c r="H52">
        <v>-72.272350000000003</v>
      </c>
      <c r="I52">
        <v>476</v>
      </c>
      <c r="J52">
        <v>78</v>
      </c>
      <c r="K52">
        <v>0</v>
      </c>
      <c r="L52" s="1">
        <v>44784.014606481483</v>
      </c>
      <c r="M52">
        <v>2.9</v>
      </c>
      <c r="N52">
        <v>2.4</v>
      </c>
      <c r="O52">
        <v>0.5</v>
      </c>
      <c r="P52">
        <v>19</v>
      </c>
      <c r="Q52">
        <v>0.2</v>
      </c>
      <c r="R52">
        <v>0.2</v>
      </c>
      <c r="S52">
        <v>0.2</v>
      </c>
      <c r="T52" t="s">
        <v>33</v>
      </c>
      <c r="U52">
        <v>2.65</v>
      </c>
      <c r="V52">
        <v>73</v>
      </c>
      <c r="W52">
        <v>0</v>
      </c>
      <c r="X52">
        <v>73</v>
      </c>
      <c r="Y52">
        <v>0</v>
      </c>
      <c r="Z52">
        <v>0</v>
      </c>
      <c r="AA52">
        <v>0</v>
      </c>
      <c r="AB52" t="s">
        <v>36</v>
      </c>
      <c r="AC52">
        <v>73</v>
      </c>
      <c r="AD52">
        <v>-1.33</v>
      </c>
    </row>
    <row r="53" spans="1:30" x14ac:dyDescent="0.25">
      <c r="A53" s="1">
        <v>44784.014641203707</v>
      </c>
      <c r="B53" s="1">
        <v>44769.376736111109</v>
      </c>
      <c r="C53">
        <v>12178</v>
      </c>
      <c r="D53" t="s">
        <v>45</v>
      </c>
      <c r="E53" t="s">
        <v>35</v>
      </c>
      <c r="F53">
        <v>7</v>
      </c>
      <c r="G53">
        <v>42.899563000000001</v>
      </c>
      <c r="H53">
        <v>-71.464650000000006</v>
      </c>
      <c r="I53">
        <v>301</v>
      </c>
      <c r="J53">
        <v>85</v>
      </c>
      <c r="K53">
        <v>0</v>
      </c>
      <c r="L53" s="1">
        <v>44784.014606481483</v>
      </c>
      <c r="M53">
        <v>3.8</v>
      </c>
      <c r="N53">
        <v>3.1</v>
      </c>
      <c r="O53">
        <v>0.7</v>
      </c>
      <c r="P53">
        <v>20</v>
      </c>
      <c r="Q53">
        <v>0</v>
      </c>
      <c r="R53">
        <v>0</v>
      </c>
      <c r="S53">
        <v>0</v>
      </c>
      <c r="T53" t="s">
        <v>32</v>
      </c>
      <c r="V53">
        <v>35</v>
      </c>
      <c r="W53">
        <v>0</v>
      </c>
      <c r="X53">
        <v>35</v>
      </c>
      <c r="Y53">
        <v>0</v>
      </c>
      <c r="Z53">
        <v>0</v>
      </c>
      <c r="AA53">
        <v>0</v>
      </c>
      <c r="AB53" t="s">
        <v>36</v>
      </c>
      <c r="AC53">
        <v>35</v>
      </c>
    </row>
    <row r="54" spans="1:30" x14ac:dyDescent="0.25">
      <c r="A54" s="1">
        <v>44784.014641203707</v>
      </c>
      <c r="B54" s="1">
        <v>44784.012800925928</v>
      </c>
      <c r="C54">
        <v>75981</v>
      </c>
      <c r="D54" t="s">
        <v>46</v>
      </c>
      <c r="E54" t="s">
        <v>35</v>
      </c>
      <c r="F54">
        <v>7</v>
      </c>
      <c r="G54">
        <v>42.97</v>
      </c>
      <c r="H54">
        <v>-71.06</v>
      </c>
      <c r="I54">
        <v>136</v>
      </c>
      <c r="J54">
        <v>75</v>
      </c>
      <c r="K54">
        <v>0</v>
      </c>
      <c r="L54" s="1">
        <v>44784.014606481483</v>
      </c>
      <c r="M54">
        <v>2.5</v>
      </c>
      <c r="N54">
        <v>2.1</v>
      </c>
      <c r="O54">
        <v>0.4</v>
      </c>
      <c r="P54">
        <v>17</v>
      </c>
      <c r="Q54">
        <v>0.2</v>
      </c>
      <c r="R54">
        <v>0</v>
      </c>
      <c r="S54">
        <v>0.1</v>
      </c>
      <c r="T54" t="s">
        <v>33</v>
      </c>
      <c r="U54">
        <v>2.2999999999999998</v>
      </c>
      <c r="V54">
        <v>59</v>
      </c>
      <c r="W54">
        <v>0</v>
      </c>
      <c r="X54">
        <v>59</v>
      </c>
      <c r="Y54">
        <v>1</v>
      </c>
      <c r="Z54">
        <v>0</v>
      </c>
      <c r="AA54">
        <v>1</v>
      </c>
      <c r="AB54" t="s">
        <v>36</v>
      </c>
      <c r="AC54">
        <v>59</v>
      </c>
      <c r="AD54">
        <v>-0.56999999999999995</v>
      </c>
    </row>
    <row r="55" spans="1:30" x14ac:dyDescent="0.25">
      <c r="A55" s="1">
        <v>44784.014641203707</v>
      </c>
      <c r="B55" s="1">
        <v>44784.013321759259</v>
      </c>
      <c r="C55">
        <v>115703</v>
      </c>
      <c r="D55" t="s">
        <v>47</v>
      </c>
      <c r="E55" t="s">
        <v>35</v>
      </c>
      <c r="F55">
        <v>7</v>
      </c>
      <c r="G55">
        <v>43.953625000000002</v>
      </c>
      <c r="H55">
        <v>-71.508859999999999</v>
      </c>
      <c r="I55">
        <v>1493</v>
      </c>
      <c r="J55">
        <v>63</v>
      </c>
      <c r="K55">
        <v>0</v>
      </c>
      <c r="L55" s="1">
        <v>44784.014606481483</v>
      </c>
      <c r="M55">
        <v>0</v>
      </c>
      <c r="N55">
        <v>300.89999999999998</v>
      </c>
      <c r="O55">
        <v>300.89999999999998</v>
      </c>
      <c r="P55">
        <v>200</v>
      </c>
      <c r="Q55">
        <v>0</v>
      </c>
      <c r="R55">
        <v>0</v>
      </c>
      <c r="S55">
        <v>0</v>
      </c>
      <c r="T55" t="s">
        <v>48</v>
      </c>
      <c r="V55">
        <v>67</v>
      </c>
      <c r="W55">
        <v>0</v>
      </c>
      <c r="X55">
        <v>67</v>
      </c>
      <c r="Y55">
        <v>0</v>
      </c>
      <c r="Z55">
        <v>0</v>
      </c>
      <c r="AA55">
        <v>0</v>
      </c>
      <c r="AB55" t="s">
        <v>36</v>
      </c>
      <c r="AC55">
        <v>67</v>
      </c>
    </row>
    <row r="56" spans="1:30" x14ac:dyDescent="0.25">
      <c r="A56" s="1">
        <v>44784.014641203707</v>
      </c>
      <c r="B56" s="1">
        <v>44784.014131944445</v>
      </c>
      <c r="C56">
        <v>12050</v>
      </c>
      <c r="D56" t="s">
        <v>49</v>
      </c>
      <c r="E56" t="s">
        <v>35</v>
      </c>
      <c r="F56">
        <v>7</v>
      </c>
      <c r="G56">
        <v>44.220573000000002</v>
      </c>
      <c r="H56">
        <v>-71.732315</v>
      </c>
      <c r="I56">
        <v>999</v>
      </c>
      <c r="J56">
        <v>70</v>
      </c>
      <c r="K56">
        <v>0</v>
      </c>
      <c r="L56" s="1">
        <v>44784.014606481483</v>
      </c>
      <c r="M56">
        <v>3.5</v>
      </c>
      <c r="N56">
        <v>3.4</v>
      </c>
      <c r="O56">
        <v>0.1</v>
      </c>
      <c r="P56">
        <v>3</v>
      </c>
      <c r="Q56">
        <v>0.8</v>
      </c>
      <c r="R56">
        <v>0.7</v>
      </c>
      <c r="S56">
        <v>0.75</v>
      </c>
      <c r="T56" t="s">
        <v>33</v>
      </c>
      <c r="U56">
        <v>3.45</v>
      </c>
      <c r="V56">
        <v>57</v>
      </c>
      <c r="W56">
        <v>0</v>
      </c>
      <c r="X56">
        <v>57</v>
      </c>
      <c r="Y56">
        <v>0</v>
      </c>
      <c r="Z56">
        <v>0</v>
      </c>
      <c r="AA56">
        <v>0</v>
      </c>
      <c r="AB56" t="s">
        <v>36</v>
      </c>
      <c r="AC56">
        <v>57</v>
      </c>
      <c r="AD56">
        <v>0.27</v>
      </c>
    </row>
    <row r="57" spans="1:30" x14ac:dyDescent="0.25">
      <c r="A57" s="1">
        <v>44784.014652777776</v>
      </c>
      <c r="B57" s="1">
        <v>44784.01284722222</v>
      </c>
      <c r="C57">
        <v>23443</v>
      </c>
      <c r="D57" t="s">
        <v>50</v>
      </c>
      <c r="E57" t="s">
        <v>35</v>
      </c>
      <c r="F57">
        <v>7</v>
      </c>
      <c r="G57">
        <v>43.556139999999999</v>
      </c>
      <c r="H57">
        <v>-72.370990000000006</v>
      </c>
      <c r="I57">
        <v>523</v>
      </c>
      <c r="J57">
        <v>71</v>
      </c>
      <c r="K57">
        <v>0</v>
      </c>
      <c r="L57" s="1">
        <v>44784.014606481483</v>
      </c>
      <c r="M57">
        <v>3</v>
      </c>
      <c r="N57">
        <v>2.5</v>
      </c>
      <c r="O57">
        <v>0.5</v>
      </c>
      <c r="P57">
        <v>18</v>
      </c>
      <c r="Q57">
        <v>0</v>
      </c>
      <c r="R57">
        <v>0</v>
      </c>
      <c r="S57">
        <v>0</v>
      </c>
      <c r="T57" t="s">
        <v>33</v>
      </c>
      <c r="U57">
        <v>2.75</v>
      </c>
      <c r="V57">
        <v>64</v>
      </c>
      <c r="W57">
        <v>0</v>
      </c>
      <c r="X57">
        <v>64</v>
      </c>
      <c r="Y57">
        <v>1</v>
      </c>
      <c r="Z57">
        <v>0</v>
      </c>
      <c r="AA57">
        <v>1</v>
      </c>
      <c r="AB57" t="s">
        <v>36</v>
      </c>
      <c r="AC57">
        <v>64</v>
      </c>
      <c r="AD57">
        <v>-0.64</v>
      </c>
    </row>
    <row r="58" spans="1:30" x14ac:dyDescent="0.25">
      <c r="A58" s="1">
        <v>44784.014652777776</v>
      </c>
      <c r="B58" s="1">
        <v>44784.012939814813</v>
      </c>
      <c r="C58">
        <v>58135</v>
      </c>
      <c r="D58" t="s">
        <v>51</v>
      </c>
      <c r="E58" t="s">
        <v>35</v>
      </c>
      <c r="F58">
        <v>7</v>
      </c>
      <c r="G58">
        <v>42.883873000000001</v>
      </c>
      <c r="H58">
        <v>-71.972915999999998</v>
      </c>
      <c r="I58">
        <v>808</v>
      </c>
      <c r="J58">
        <v>72</v>
      </c>
      <c r="K58">
        <v>0</v>
      </c>
      <c r="L58" s="1">
        <v>44784.014606481483</v>
      </c>
      <c r="M58">
        <v>6.3</v>
      </c>
      <c r="N58">
        <v>6.8</v>
      </c>
      <c r="O58">
        <v>0.5</v>
      </c>
      <c r="P58">
        <v>8</v>
      </c>
      <c r="Q58">
        <v>0.3</v>
      </c>
      <c r="R58">
        <v>1</v>
      </c>
      <c r="S58">
        <v>0.65</v>
      </c>
      <c r="T58" t="s">
        <v>33</v>
      </c>
      <c r="U58">
        <v>6.55</v>
      </c>
      <c r="V58">
        <v>70</v>
      </c>
      <c r="W58">
        <v>0</v>
      </c>
      <c r="X58">
        <v>70</v>
      </c>
      <c r="Y58">
        <v>1</v>
      </c>
      <c r="Z58">
        <v>0</v>
      </c>
      <c r="AA58">
        <v>1</v>
      </c>
      <c r="AB58" t="s">
        <v>36</v>
      </c>
      <c r="AC58">
        <v>70</v>
      </c>
      <c r="AD58">
        <v>1.26</v>
      </c>
    </row>
    <row r="59" spans="1:30" x14ac:dyDescent="0.25">
      <c r="A59" s="1">
        <v>44784.014652777776</v>
      </c>
      <c r="B59" s="1">
        <v>44784.013009259259</v>
      </c>
      <c r="C59">
        <v>148555</v>
      </c>
      <c r="D59" t="s">
        <v>52</v>
      </c>
      <c r="E59" t="s">
        <v>53</v>
      </c>
      <c r="F59">
        <v>7</v>
      </c>
      <c r="G59">
        <v>42.904949999999999</v>
      </c>
      <c r="H59">
        <v>-71.386764999999997</v>
      </c>
      <c r="I59">
        <v>363</v>
      </c>
      <c r="J59">
        <v>0</v>
      </c>
      <c r="K59">
        <v>0</v>
      </c>
      <c r="L59" s="1">
        <v>44784.014606481483</v>
      </c>
      <c r="M59">
        <v>1.5</v>
      </c>
      <c r="N59">
        <v>2.1</v>
      </c>
      <c r="O59">
        <v>0.6</v>
      </c>
      <c r="P59">
        <v>33</v>
      </c>
      <c r="Q59">
        <v>0.2</v>
      </c>
      <c r="R59">
        <v>0.1</v>
      </c>
      <c r="S59">
        <v>0.15</v>
      </c>
      <c r="T59" t="s">
        <v>33</v>
      </c>
      <c r="U59">
        <v>1.8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">
        <v>38</v>
      </c>
    </row>
    <row r="60" spans="1:30" x14ac:dyDescent="0.25">
      <c r="A60" s="1">
        <v>44784.014652777776</v>
      </c>
      <c r="B60" s="1">
        <v>44784.013935185183</v>
      </c>
      <c r="C60">
        <v>146644</v>
      </c>
      <c r="D60" t="s">
        <v>54</v>
      </c>
      <c r="E60" t="s">
        <v>53</v>
      </c>
      <c r="F60">
        <v>7</v>
      </c>
      <c r="G60">
        <v>43.06015</v>
      </c>
      <c r="H60">
        <v>-70.758930000000007</v>
      </c>
      <c r="I60">
        <v>35</v>
      </c>
      <c r="J60">
        <v>69</v>
      </c>
      <c r="K60">
        <v>70</v>
      </c>
      <c r="L60" s="1">
        <v>44784.014606481483</v>
      </c>
      <c r="M60">
        <v>3.2</v>
      </c>
      <c r="N60">
        <v>2.2999999999999998</v>
      </c>
      <c r="O60">
        <v>0.9</v>
      </c>
      <c r="P60">
        <v>33</v>
      </c>
      <c r="Q60">
        <v>0</v>
      </c>
      <c r="R60">
        <v>0</v>
      </c>
      <c r="S60">
        <v>0</v>
      </c>
      <c r="T60" t="s">
        <v>33</v>
      </c>
      <c r="U60">
        <v>2.75</v>
      </c>
      <c r="V60">
        <v>67</v>
      </c>
      <c r="W60">
        <v>71</v>
      </c>
      <c r="X60">
        <v>4</v>
      </c>
      <c r="Y60">
        <v>1</v>
      </c>
      <c r="Z60">
        <v>1</v>
      </c>
      <c r="AA60">
        <v>0</v>
      </c>
      <c r="AB60" t="s">
        <v>33</v>
      </c>
      <c r="AC60">
        <v>69</v>
      </c>
      <c r="AD60">
        <v>-0.99</v>
      </c>
    </row>
    <row r="61" spans="1:30" x14ac:dyDescent="0.25">
      <c r="A61" s="1">
        <v>44784.014652777776</v>
      </c>
      <c r="B61" s="1">
        <v>43755.283437500002</v>
      </c>
      <c r="C61">
        <v>12188</v>
      </c>
      <c r="D61" t="s">
        <v>55</v>
      </c>
      <c r="E61" t="s">
        <v>35</v>
      </c>
      <c r="F61">
        <v>4.1100000000000003</v>
      </c>
      <c r="G61">
        <v>42.927050000000001</v>
      </c>
      <c r="H61">
        <v>-72.279610000000005</v>
      </c>
      <c r="I61">
        <v>475</v>
      </c>
      <c r="J61">
        <v>95</v>
      </c>
      <c r="K61">
        <v>0</v>
      </c>
      <c r="L61" s="1">
        <v>44784.014606481483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 t="s">
        <v>32</v>
      </c>
      <c r="V61">
        <v>77</v>
      </c>
      <c r="W61">
        <v>0</v>
      </c>
      <c r="X61">
        <v>77</v>
      </c>
      <c r="Y61">
        <v>0</v>
      </c>
      <c r="Z61">
        <v>0</v>
      </c>
      <c r="AA61">
        <v>0</v>
      </c>
      <c r="AB61" t="s">
        <v>36</v>
      </c>
      <c r="AC61">
        <v>77</v>
      </c>
    </row>
    <row r="62" spans="1:30" x14ac:dyDescent="0.25">
      <c r="A62" s="1">
        <v>44784.014664351853</v>
      </c>
      <c r="B62" s="1">
        <v>44784.01284722222</v>
      </c>
      <c r="C62">
        <v>1224</v>
      </c>
      <c r="D62" t="s">
        <v>56</v>
      </c>
      <c r="E62" t="s">
        <v>35</v>
      </c>
      <c r="F62" t="s">
        <v>57</v>
      </c>
      <c r="G62">
        <v>42.938034000000002</v>
      </c>
      <c r="H62">
        <v>-72.259299999999996</v>
      </c>
      <c r="I62">
        <v>792</v>
      </c>
      <c r="J62">
        <v>77</v>
      </c>
      <c r="K62">
        <v>0</v>
      </c>
      <c r="L62" s="1">
        <v>44784.014606481483</v>
      </c>
      <c r="M62">
        <v>2.2999999999999998</v>
      </c>
      <c r="N62">
        <v>0.1</v>
      </c>
      <c r="O62">
        <v>2.2000000000000002</v>
      </c>
      <c r="P62">
        <v>183</v>
      </c>
      <c r="Q62">
        <v>0</v>
      </c>
      <c r="R62">
        <v>0</v>
      </c>
      <c r="S62">
        <v>0</v>
      </c>
      <c r="T62" t="s">
        <v>33</v>
      </c>
      <c r="U62">
        <v>1.2</v>
      </c>
      <c r="V62">
        <v>81</v>
      </c>
      <c r="W62">
        <v>0</v>
      </c>
      <c r="X62">
        <v>81</v>
      </c>
      <c r="Y62">
        <v>1</v>
      </c>
      <c r="Z62">
        <v>0</v>
      </c>
      <c r="AA62">
        <v>1</v>
      </c>
      <c r="AB62" t="s">
        <v>36</v>
      </c>
      <c r="AC62">
        <v>81</v>
      </c>
      <c r="AD62">
        <v>-2.78</v>
      </c>
    </row>
    <row r="63" spans="1:30" x14ac:dyDescent="0.25">
      <c r="A63" s="1">
        <v>44784.014664351853</v>
      </c>
      <c r="B63" s="1">
        <v>44784.013680555552</v>
      </c>
      <c r="C63">
        <v>1202</v>
      </c>
      <c r="D63" t="s">
        <v>58</v>
      </c>
      <c r="E63" t="s">
        <v>35</v>
      </c>
      <c r="F63" t="s">
        <v>57</v>
      </c>
      <c r="G63">
        <v>42.936554000000001</v>
      </c>
      <c r="H63">
        <v>-72.271019999999993</v>
      </c>
      <c r="I63">
        <v>488</v>
      </c>
      <c r="J63">
        <v>0</v>
      </c>
      <c r="K63">
        <v>0</v>
      </c>
      <c r="L63" s="1">
        <v>44784.014606481483</v>
      </c>
      <c r="M63">
        <v>2.2999999999999998</v>
      </c>
      <c r="N63">
        <v>2.2999999999999998</v>
      </c>
      <c r="O63">
        <v>0</v>
      </c>
      <c r="P63">
        <v>0</v>
      </c>
      <c r="Q63">
        <v>0.1</v>
      </c>
      <c r="R63">
        <v>0</v>
      </c>
      <c r="S63">
        <v>0.05</v>
      </c>
      <c r="T63" t="s">
        <v>33</v>
      </c>
      <c r="U63">
        <v>2.2999999999999998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">
        <v>38</v>
      </c>
    </row>
    <row r="64" spans="1:30" x14ac:dyDescent="0.25">
      <c r="A64" s="1">
        <v>44784.014664351853</v>
      </c>
      <c r="B64" s="1">
        <v>44612.080023148148</v>
      </c>
      <c r="C64">
        <v>25985</v>
      </c>
      <c r="D64" t="s">
        <v>59</v>
      </c>
      <c r="E64" t="s">
        <v>35</v>
      </c>
      <c r="F64">
        <v>6.01</v>
      </c>
      <c r="G64">
        <v>42.927326000000001</v>
      </c>
      <c r="H64">
        <v>-72.279979999999995</v>
      </c>
      <c r="I64">
        <v>477</v>
      </c>
      <c r="J64">
        <v>78</v>
      </c>
      <c r="K64">
        <v>0</v>
      </c>
      <c r="L64" s="1">
        <v>44784.014606481483</v>
      </c>
      <c r="M64">
        <v>1.1000000000000001</v>
      </c>
      <c r="N64">
        <v>1</v>
      </c>
      <c r="O64">
        <v>0.1</v>
      </c>
      <c r="P64">
        <v>10</v>
      </c>
      <c r="Q64">
        <v>0</v>
      </c>
      <c r="R64">
        <v>0</v>
      </c>
      <c r="S64">
        <v>0</v>
      </c>
      <c r="T64" t="s">
        <v>32</v>
      </c>
      <c r="V64">
        <v>22</v>
      </c>
      <c r="W64">
        <v>0</v>
      </c>
      <c r="X64">
        <v>22</v>
      </c>
      <c r="Y64">
        <v>0</v>
      </c>
      <c r="Z64">
        <v>0</v>
      </c>
      <c r="AA64">
        <v>0</v>
      </c>
      <c r="AB64" t="s">
        <v>36</v>
      </c>
      <c r="AC64">
        <v>22</v>
      </c>
    </row>
    <row r="65" spans="1:30" x14ac:dyDescent="0.25">
      <c r="A65" s="1">
        <v>44784.021562499998</v>
      </c>
      <c r="B65" s="1">
        <v>44775.701319444444</v>
      </c>
      <c r="C65">
        <v>151708</v>
      </c>
      <c r="D65" t="s">
        <v>30</v>
      </c>
      <c r="E65" t="s">
        <v>31</v>
      </c>
      <c r="F65">
        <v>7</v>
      </c>
      <c r="G65">
        <v>43.192042999999998</v>
      </c>
      <c r="H65">
        <v>-71.541579999999996</v>
      </c>
      <c r="I65">
        <v>291</v>
      </c>
      <c r="J65">
        <v>93</v>
      </c>
      <c r="K65">
        <v>94</v>
      </c>
      <c r="L65" s="1">
        <v>44784.021550925929</v>
      </c>
      <c r="M65">
        <v>7.9</v>
      </c>
      <c r="N65">
        <v>7.6</v>
      </c>
      <c r="O65">
        <v>0.3</v>
      </c>
      <c r="P65">
        <v>4</v>
      </c>
      <c r="Q65">
        <v>0</v>
      </c>
      <c r="R65">
        <v>0</v>
      </c>
      <c r="S65">
        <v>0</v>
      </c>
      <c r="T65" t="s">
        <v>32</v>
      </c>
      <c r="V65">
        <v>42</v>
      </c>
      <c r="W65">
        <v>41</v>
      </c>
      <c r="X65">
        <v>1</v>
      </c>
      <c r="Y65">
        <v>0</v>
      </c>
      <c r="Z65">
        <v>0</v>
      </c>
      <c r="AA65">
        <v>0</v>
      </c>
      <c r="AB65" t="s">
        <v>33</v>
      </c>
      <c r="AC65">
        <v>41.5</v>
      </c>
    </row>
    <row r="66" spans="1:30" x14ac:dyDescent="0.25">
      <c r="A66" s="1">
        <v>44784.021562499998</v>
      </c>
      <c r="B66" s="1">
        <v>44784.019837962966</v>
      </c>
      <c r="C66">
        <v>143456</v>
      </c>
      <c r="D66" t="s">
        <v>34</v>
      </c>
      <c r="E66" t="s">
        <v>35</v>
      </c>
      <c r="F66">
        <v>7</v>
      </c>
      <c r="G66">
        <v>43.08963</v>
      </c>
      <c r="H66">
        <v>-71.502440000000007</v>
      </c>
      <c r="I66">
        <v>619</v>
      </c>
      <c r="J66">
        <v>71</v>
      </c>
      <c r="K66">
        <v>0</v>
      </c>
      <c r="L66" s="1">
        <v>44784.021550925929</v>
      </c>
      <c r="M66">
        <v>3.7</v>
      </c>
      <c r="N66">
        <v>4</v>
      </c>
      <c r="O66">
        <v>0.3</v>
      </c>
      <c r="P66">
        <v>8</v>
      </c>
      <c r="Q66">
        <v>0.1</v>
      </c>
      <c r="R66">
        <v>0.2</v>
      </c>
      <c r="S66">
        <v>0.15</v>
      </c>
      <c r="T66" t="s">
        <v>33</v>
      </c>
      <c r="U66">
        <v>3.85</v>
      </c>
      <c r="V66">
        <v>68</v>
      </c>
      <c r="W66">
        <v>0</v>
      </c>
      <c r="X66">
        <v>68</v>
      </c>
      <c r="Y66">
        <v>1</v>
      </c>
      <c r="Z66">
        <v>0</v>
      </c>
      <c r="AA66">
        <v>1</v>
      </c>
      <c r="AB66" t="s">
        <v>36</v>
      </c>
      <c r="AC66">
        <v>68</v>
      </c>
      <c r="AD66">
        <v>-0.25</v>
      </c>
    </row>
    <row r="67" spans="1:30" x14ac:dyDescent="0.25">
      <c r="A67" s="1">
        <v>44784.021574074075</v>
      </c>
      <c r="B67" s="1">
        <v>44784.021423611113</v>
      </c>
      <c r="C67">
        <v>151702</v>
      </c>
      <c r="D67" t="s">
        <v>37</v>
      </c>
      <c r="E67" t="s">
        <v>31</v>
      </c>
      <c r="F67">
        <v>7</v>
      </c>
      <c r="G67">
        <v>43.118609999999997</v>
      </c>
      <c r="H67">
        <v>-71.61618</v>
      </c>
      <c r="I67">
        <v>885</v>
      </c>
      <c r="J67">
        <v>0</v>
      </c>
      <c r="K67">
        <v>0</v>
      </c>
      <c r="L67" s="1">
        <v>44784.021550925929</v>
      </c>
      <c r="M67">
        <v>3.3</v>
      </c>
      <c r="N67">
        <v>3.1</v>
      </c>
      <c r="O67">
        <v>0.2</v>
      </c>
      <c r="P67">
        <v>6</v>
      </c>
      <c r="Q67">
        <v>0.1</v>
      </c>
      <c r="R67">
        <v>0</v>
      </c>
      <c r="S67">
        <v>0.05</v>
      </c>
      <c r="T67" t="s">
        <v>33</v>
      </c>
      <c r="U67">
        <v>3.2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">
        <v>38</v>
      </c>
    </row>
    <row r="68" spans="1:30" x14ac:dyDescent="0.25">
      <c r="A68" s="1">
        <v>44784.021574074075</v>
      </c>
      <c r="B68" s="1">
        <v>44784.019930555558</v>
      </c>
      <c r="C68">
        <v>151700</v>
      </c>
      <c r="D68" t="s">
        <v>30</v>
      </c>
      <c r="E68" t="s">
        <v>31</v>
      </c>
      <c r="F68">
        <v>7</v>
      </c>
      <c r="G68">
        <v>43.19211</v>
      </c>
      <c r="H68">
        <v>-71.541460000000001</v>
      </c>
      <c r="I68">
        <v>286</v>
      </c>
      <c r="J68">
        <v>72</v>
      </c>
      <c r="K68">
        <v>0</v>
      </c>
      <c r="L68" s="1">
        <v>44784.021550925929</v>
      </c>
      <c r="M68">
        <v>2.8</v>
      </c>
      <c r="N68">
        <v>3.4</v>
      </c>
      <c r="O68">
        <v>0.6</v>
      </c>
      <c r="P68">
        <v>19</v>
      </c>
      <c r="Q68">
        <v>0.2</v>
      </c>
      <c r="R68">
        <v>0.2</v>
      </c>
      <c r="S68">
        <v>0.2</v>
      </c>
      <c r="T68" t="s">
        <v>33</v>
      </c>
      <c r="U68">
        <v>3.1</v>
      </c>
      <c r="V68">
        <v>63</v>
      </c>
      <c r="W68">
        <v>0</v>
      </c>
      <c r="X68">
        <v>63</v>
      </c>
      <c r="Y68">
        <v>0</v>
      </c>
      <c r="Z68">
        <v>0</v>
      </c>
      <c r="AA68">
        <v>0</v>
      </c>
      <c r="AB68" t="s">
        <v>36</v>
      </c>
      <c r="AC68">
        <v>63</v>
      </c>
      <c r="AD68">
        <v>-0.36</v>
      </c>
    </row>
    <row r="69" spans="1:30" x14ac:dyDescent="0.25">
      <c r="A69" s="1">
        <v>44784.021574074075</v>
      </c>
      <c r="B69" s="1">
        <v>44784.020324074074</v>
      </c>
      <c r="C69">
        <v>135984</v>
      </c>
      <c r="D69" t="s">
        <v>39</v>
      </c>
      <c r="E69" t="s">
        <v>31</v>
      </c>
      <c r="F69">
        <v>7</v>
      </c>
      <c r="G69">
        <v>43.565852999999997</v>
      </c>
      <c r="H69">
        <v>-71.496129999999994</v>
      </c>
      <c r="I69">
        <v>708</v>
      </c>
      <c r="J69">
        <v>67</v>
      </c>
      <c r="K69">
        <v>0</v>
      </c>
      <c r="L69" s="1">
        <v>44784.021550925929</v>
      </c>
      <c r="M69">
        <v>5.8</v>
      </c>
      <c r="N69">
        <v>4.9000000000000004</v>
      </c>
      <c r="O69">
        <v>0.9</v>
      </c>
      <c r="P69">
        <v>17</v>
      </c>
      <c r="Q69">
        <v>0</v>
      </c>
      <c r="R69">
        <v>0</v>
      </c>
      <c r="S69">
        <v>0</v>
      </c>
      <c r="T69" t="s">
        <v>33</v>
      </c>
      <c r="U69">
        <v>5.35</v>
      </c>
      <c r="V69">
        <v>100</v>
      </c>
      <c r="W69">
        <v>0</v>
      </c>
      <c r="X69">
        <v>100</v>
      </c>
      <c r="Y69">
        <v>0</v>
      </c>
      <c r="Z69">
        <v>0</v>
      </c>
      <c r="AA69">
        <v>0</v>
      </c>
      <c r="AB69" t="s">
        <v>36</v>
      </c>
      <c r="AC69">
        <v>100</v>
      </c>
      <c r="AD69">
        <v>-1.58</v>
      </c>
    </row>
    <row r="70" spans="1:30" x14ac:dyDescent="0.25">
      <c r="A70" s="1">
        <v>44784.021574074075</v>
      </c>
      <c r="B70" s="1">
        <v>44780.394780092596</v>
      </c>
      <c r="C70">
        <v>151712</v>
      </c>
      <c r="D70" t="s">
        <v>40</v>
      </c>
      <c r="E70" t="s">
        <v>31</v>
      </c>
      <c r="F70">
        <v>7</v>
      </c>
      <c r="G70">
        <v>43.289763999999998</v>
      </c>
      <c r="H70">
        <v>-71.564260000000004</v>
      </c>
      <c r="I70">
        <v>370</v>
      </c>
      <c r="J70">
        <v>86</v>
      </c>
      <c r="K70">
        <v>0</v>
      </c>
      <c r="L70" s="1">
        <v>44784.021550925929</v>
      </c>
      <c r="M70">
        <v>14</v>
      </c>
      <c r="N70">
        <v>13.2</v>
      </c>
      <c r="O70">
        <v>0.8</v>
      </c>
      <c r="P70">
        <v>6</v>
      </c>
      <c r="Q70">
        <v>0</v>
      </c>
      <c r="R70">
        <v>0</v>
      </c>
      <c r="S70">
        <v>0</v>
      </c>
      <c r="T70" t="s">
        <v>32</v>
      </c>
      <c r="V70">
        <v>59</v>
      </c>
      <c r="W70">
        <v>0</v>
      </c>
      <c r="X70">
        <v>59</v>
      </c>
      <c r="Y70">
        <v>0</v>
      </c>
      <c r="Z70">
        <v>0</v>
      </c>
      <c r="AA70">
        <v>0</v>
      </c>
      <c r="AB70" t="s">
        <v>36</v>
      </c>
      <c r="AC70">
        <v>59</v>
      </c>
    </row>
    <row r="71" spans="1:30" x14ac:dyDescent="0.25">
      <c r="A71" s="1">
        <v>44784.021574074075</v>
      </c>
      <c r="B71" s="1">
        <v>44784.019606481481</v>
      </c>
      <c r="C71">
        <v>151710</v>
      </c>
      <c r="D71" t="s">
        <v>41</v>
      </c>
      <c r="E71" t="s">
        <v>31</v>
      </c>
      <c r="F71">
        <v>7</v>
      </c>
      <c r="G71">
        <v>43.132477000000002</v>
      </c>
      <c r="H71">
        <v>-71.458374000000006</v>
      </c>
      <c r="I71">
        <v>230</v>
      </c>
      <c r="J71">
        <v>72</v>
      </c>
      <c r="K71">
        <v>0</v>
      </c>
      <c r="L71" s="1">
        <v>44784.021550925929</v>
      </c>
      <c r="M71">
        <v>4.7</v>
      </c>
      <c r="N71">
        <v>2.9</v>
      </c>
      <c r="O71">
        <v>1.8</v>
      </c>
      <c r="P71">
        <v>47</v>
      </c>
      <c r="Q71">
        <v>0.2</v>
      </c>
      <c r="R71">
        <v>0.1</v>
      </c>
      <c r="S71">
        <v>0.15</v>
      </c>
      <c r="T71" t="s">
        <v>33</v>
      </c>
      <c r="U71">
        <v>3.8</v>
      </c>
      <c r="V71">
        <v>61</v>
      </c>
      <c r="W71">
        <v>0</v>
      </c>
      <c r="X71">
        <v>61</v>
      </c>
      <c r="Y71">
        <v>0</v>
      </c>
      <c r="Z71">
        <v>0</v>
      </c>
      <c r="AA71">
        <v>0</v>
      </c>
      <c r="AB71" t="s">
        <v>36</v>
      </c>
      <c r="AC71">
        <v>61</v>
      </c>
      <c r="AD71">
        <v>0.21</v>
      </c>
    </row>
    <row r="72" spans="1:30" x14ac:dyDescent="0.25">
      <c r="A72" s="1">
        <v>44784.021585648145</v>
      </c>
      <c r="B72" s="1">
        <v>44784.02071759259</v>
      </c>
      <c r="C72">
        <v>151706</v>
      </c>
      <c r="D72" t="s">
        <v>42</v>
      </c>
      <c r="E72" t="s">
        <v>31</v>
      </c>
      <c r="F72">
        <v>7</v>
      </c>
      <c r="G72">
        <v>43.004080000000002</v>
      </c>
      <c r="H72">
        <v>-71.177040000000005</v>
      </c>
      <c r="I72">
        <v>194</v>
      </c>
      <c r="J72">
        <v>71</v>
      </c>
      <c r="K72">
        <v>0</v>
      </c>
      <c r="L72" s="1">
        <v>44784.021550925929</v>
      </c>
      <c r="M72">
        <v>1.5</v>
      </c>
      <c r="N72">
        <v>0</v>
      </c>
      <c r="O72">
        <v>1.5</v>
      </c>
      <c r="P72">
        <v>200</v>
      </c>
      <c r="Q72">
        <v>0.1</v>
      </c>
      <c r="R72">
        <v>0</v>
      </c>
      <c r="S72">
        <v>0.05</v>
      </c>
      <c r="T72" t="s">
        <v>43</v>
      </c>
      <c r="V72">
        <v>65</v>
      </c>
      <c r="W72">
        <v>0</v>
      </c>
      <c r="X72">
        <v>65</v>
      </c>
      <c r="Y72">
        <v>0</v>
      </c>
      <c r="Z72">
        <v>0</v>
      </c>
      <c r="AA72">
        <v>0</v>
      </c>
      <c r="AB72" t="s">
        <v>36</v>
      </c>
      <c r="AC72">
        <v>65</v>
      </c>
    </row>
    <row r="73" spans="1:30" x14ac:dyDescent="0.25">
      <c r="A73" s="1">
        <v>44784.021585648145</v>
      </c>
      <c r="B73" s="1">
        <v>44784.020381944443</v>
      </c>
      <c r="C73">
        <v>12212</v>
      </c>
      <c r="D73" t="s">
        <v>44</v>
      </c>
      <c r="E73" t="s">
        <v>35</v>
      </c>
      <c r="F73">
        <v>7</v>
      </c>
      <c r="G73">
        <v>42.930529999999997</v>
      </c>
      <c r="H73">
        <v>-72.272350000000003</v>
      </c>
      <c r="I73">
        <v>476</v>
      </c>
      <c r="J73">
        <v>78</v>
      </c>
      <c r="K73">
        <v>0</v>
      </c>
      <c r="L73" s="1">
        <v>44784.021550925929</v>
      </c>
      <c r="M73">
        <v>2.8</v>
      </c>
      <c r="N73">
        <v>2.2999999999999998</v>
      </c>
      <c r="O73">
        <v>0.5</v>
      </c>
      <c r="P73">
        <v>20</v>
      </c>
      <c r="Q73">
        <v>0.1</v>
      </c>
      <c r="R73">
        <v>0.1</v>
      </c>
      <c r="S73">
        <v>0.1</v>
      </c>
      <c r="T73" t="s">
        <v>33</v>
      </c>
      <c r="U73">
        <v>2.5499999999999998</v>
      </c>
      <c r="V73">
        <v>74</v>
      </c>
      <c r="W73">
        <v>0</v>
      </c>
      <c r="X73">
        <v>74</v>
      </c>
      <c r="Y73">
        <v>1</v>
      </c>
      <c r="Z73">
        <v>0</v>
      </c>
      <c r="AA73">
        <v>1</v>
      </c>
      <c r="AB73" t="s">
        <v>36</v>
      </c>
      <c r="AC73">
        <v>74</v>
      </c>
      <c r="AD73">
        <v>-1.46</v>
      </c>
    </row>
    <row r="74" spans="1:30" x14ac:dyDescent="0.25">
      <c r="A74" s="1">
        <v>44784.021585648145</v>
      </c>
      <c r="B74" s="1">
        <v>44769.376736111109</v>
      </c>
      <c r="C74">
        <v>12178</v>
      </c>
      <c r="D74" t="s">
        <v>45</v>
      </c>
      <c r="E74" t="s">
        <v>35</v>
      </c>
      <c r="F74">
        <v>7</v>
      </c>
      <c r="G74">
        <v>42.899563000000001</v>
      </c>
      <c r="H74">
        <v>-71.464650000000006</v>
      </c>
      <c r="I74">
        <v>301</v>
      </c>
      <c r="J74">
        <v>85</v>
      </c>
      <c r="K74">
        <v>0</v>
      </c>
      <c r="L74" s="1">
        <v>44784.021550925929</v>
      </c>
      <c r="M74">
        <v>3.8</v>
      </c>
      <c r="N74">
        <v>3.1</v>
      </c>
      <c r="O74">
        <v>0.7</v>
      </c>
      <c r="P74">
        <v>20</v>
      </c>
      <c r="Q74">
        <v>0</v>
      </c>
      <c r="R74">
        <v>0</v>
      </c>
      <c r="S74">
        <v>0</v>
      </c>
      <c r="T74" t="s">
        <v>32</v>
      </c>
      <c r="V74">
        <v>35</v>
      </c>
      <c r="W74">
        <v>0</v>
      </c>
      <c r="X74">
        <v>35</v>
      </c>
      <c r="Y74">
        <v>0</v>
      </c>
      <c r="Z74">
        <v>0</v>
      </c>
      <c r="AA74">
        <v>0</v>
      </c>
      <c r="AB74" t="s">
        <v>36</v>
      </c>
      <c r="AC74">
        <v>35</v>
      </c>
    </row>
    <row r="75" spans="1:30" x14ac:dyDescent="0.25">
      <c r="A75" s="1">
        <v>44784.021585648145</v>
      </c>
      <c r="B75" s="1">
        <v>44784.019745370373</v>
      </c>
      <c r="C75">
        <v>75981</v>
      </c>
      <c r="D75" t="s">
        <v>46</v>
      </c>
      <c r="E75" t="s">
        <v>35</v>
      </c>
      <c r="F75">
        <v>7</v>
      </c>
      <c r="G75">
        <v>42.97</v>
      </c>
      <c r="H75">
        <v>-71.06</v>
      </c>
      <c r="I75">
        <v>136</v>
      </c>
      <c r="J75">
        <v>72</v>
      </c>
      <c r="K75">
        <v>0</v>
      </c>
      <c r="L75" s="1">
        <v>44784.021550925929</v>
      </c>
      <c r="M75">
        <v>2.5</v>
      </c>
      <c r="N75">
        <v>2.2999999999999998</v>
      </c>
      <c r="O75">
        <v>0.2</v>
      </c>
      <c r="P75">
        <v>8</v>
      </c>
      <c r="Q75">
        <v>0</v>
      </c>
      <c r="R75">
        <v>0.2</v>
      </c>
      <c r="S75">
        <v>0.1</v>
      </c>
      <c r="T75" t="s">
        <v>33</v>
      </c>
      <c r="U75">
        <v>2.4</v>
      </c>
      <c r="V75">
        <v>59</v>
      </c>
      <c r="W75">
        <v>0</v>
      </c>
      <c r="X75">
        <v>59</v>
      </c>
      <c r="Y75">
        <v>0</v>
      </c>
      <c r="Z75">
        <v>0</v>
      </c>
      <c r="AA75">
        <v>0</v>
      </c>
      <c r="AB75" t="s">
        <v>36</v>
      </c>
      <c r="AC75">
        <v>59</v>
      </c>
      <c r="AD75">
        <v>-0.51</v>
      </c>
    </row>
    <row r="76" spans="1:30" x14ac:dyDescent="0.25">
      <c r="A76" s="1">
        <v>44784.021585648145</v>
      </c>
      <c r="B76" s="1">
        <v>44784.020277777781</v>
      </c>
      <c r="C76">
        <v>115703</v>
      </c>
      <c r="D76" t="s">
        <v>47</v>
      </c>
      <c r="E76" t="s">
        <v>35</v>
      </c>
      <c r="F76">
        <v>7</v>
      </c>
      <c r="G76">
        <v>43.953625000000002</v>
      </c>
      <c r="H76">
        <v>-71.508859999999999</v>
      </c>
      <c r="I76">
        <v>1493</v>
      </c>
      <c r="J76">
        <v>63</v>
      </c>
      <c r="K76">
        <v>0</v>
      </c>
      <c r="L76" s="1">
        <v>44784.021550925929</v>
      </c>
      <c r="M76">
        <v>0</v>
      </c>
      <c r="N76">
        <v>300.89999999999998</v>
      </c>
      <c r="O76">
        <v>300.89999999999998</v>
      </c>
      <c r="P76">
        <v>200</v>
      </c>
      <c r="Q76">
        <v>0</v>
      </c>
      <c r="R76">
        <v>0</v>
      </c>
      <c r="S76">
        <v>0</v>
      </c>
      <c r="T76" t="s">
        <v>48</v>
      </c>
      <c r="V76">
        <v>67</v>
      </c>
      <c r="W76">
        <v>0</v>
      </c>
      <c r="X76">
        <v>67</v>
      </c>
      <c r="Y76">
        <v>0</v>
      </c>
      <c r="Z76">
        <v>0</v>
      </c>
      <c r="AA76">
        <v>0</v>
      </c>
      <c r="AB76" t="s">
        <v>36</v>
      </c>
      <c r="AC76">
        <v>67</v>
      </c>
    </row>
    <row r="77" spans="1:30" x14ac:dyDescent="0.25">
      <c r="A77" s="1">
        <v>44784.021597222221</v>
      </c>
      <c r="B77" s="1">
        <v>44784.02107638889</v>
      </c>
      <c r="C77">
        <v>12050</v>
      </c>
      <c r="D77" t="s">
        <v>49</v>
      </c>
      <c r="E77" t="s">
        <v>35</v>
      </c>
      <c r="F77">
        <v>7</v>
      </c>
      <c r="G77">
        <v>44.220573000000002</v>
      </c>
      <c r="H77">
        <v>-71.732315</v>
      </c>
      <c r="I77">
        <v>999</v>
      </c>
      <c r="J77">
        <v>70</v>
      </c>
      <c r="K77">
        <v>0</v>
      </c>
      <c r="L77" s="1">
        <v>44784.021550925929</v>
      </c>
      <c r="M77">
        <v>3</v>
      </c>
      <c r="N77">
        <v>2.9</v>
      </c>
      <c r="O77">
        <v>0.1</v>
      </c>
      <c r="P77">
        <v>3</v>
      </c>
      <c r="Q77">
        <v>0.5</v>
      </c>
      <c r="R77">
        <v>0.5</v>
      </c>
      <c r="S77">
        <v>0.5</v>
      </c>
      <c r="T77" t="s">
        <v>33</v>
      </c>
      <c r="U77">
        <v>2.95</v>
      </c>
      <c r="V77">
        <v>57</v>
      </c>
      <c r="W77">
        <v>0</v>
      </c>
      <c r="X77">
        <v>57</v>
      </c>
      <c r="Y77">
        <v>0</v>
      </c>
      <c r="Z77">
        <v>0</v>
      </c>
      <c r="AA77">
        <v>0</v>
      </c>
      <c r="AB77" t="s">
        <v>36</v>
      </c>
      <c r="AC77">
        <v>57</v>
      </c>
      <c r="AD77">
        <v>-0.03</v>
      </c>
    </row>
    <row r="78" spans="1:30" x14ac:dyDescent="0.25">
      <c r="A78" s="1">
        <v>44784.021597222221</v>
      </c>
      <c r="B78" s="1">
        <v>44784.019791666666</v>
      </c>
      <c r="C78">
        <v>23443</v>
      </c>
      <c r="D78" t="s">
        <v>50</v>
      </c>
      <c r="E78" t="s">
        <v>35</v>
      </c>
      <c r="F78">
        <v>7</v>
      </c>
      <c r="G78">
        <v>43.556139999999999</v>
      </c>
      <c r="H78">
        <v>-72.370990000000006</v>
      </c>
      <c r="I78">
        <v>523</v>
      </c>
      <c r="J78">
        <v>71</v>
      </c>
      <c r="K78">
        <v>0</v>
      </c>
      <c r="L78" s="1">
        <v>44784.021550925929</v>
      </c>
      <c r="M78">
        <v>3.1</v>
      </c>
      <c r="N78">
        <v>2.5</v>
      </c>
      <c r="O78">
        <v>0.6</v>
      </c>
      <c r="P78">
        <v>21</v>
      </c>
      <c r="Q78">
        <v>0.1</v>
      </c>
      <c r="R78">
        <v>0</v>
      </c>
      <c r="S78">
        <v>0.05</v>
      </c>
      <c r="T78" t="s">
        <v>33</v>
      </c>
      <c r="U78">
        <v>2.8</v>
      </c>
      <c r="V78">
        <v>63</v>
      </c>
      <c r="W78">
        <v>0</v>
      </c>
      <c r="X78">
        <v>63</v>
      </c>
      <c r="Y78">
        <v>1</v>
      </c>
      <c r="Z78">
        <v>0</v>
      </c>
      <c r="AA78">
        <v>1</v>
      </c>
      <c r="AB78" t="s">
        <v>36</v>
      </c>
      <c r="AC78">
        <v>63</v>
      </c>
      <c r="AD78">
        <v>-0.54</v>
      </c>
    </row>
    <row r="79" spans="1:30" x14ac:dyDescent="0.25">
      <c r="A79" s="1">
        <v>44784.021597222221</v>
      </c>
      <c r="B79" s="1">
        <v>44784.019884259258</v>
      </c>
      <c r="C79">
        <v>58135</v>
      </c>
      <c r="D79" t="s">
        <v>51</v>
      </c>
      <c r="E79" t="s">
        <v>35</v>
      </c>
      <c r="F79">
        <v>7</v>
      </c>
      <c r="G79">
        <v>42.883873000000001</v>
      </c>
      <c r="H79">
        <v>-71.972915999999998</v>
      </c>
      <c r="I79">
        <v>808</v>
      </c>
      <c r="J79">
        <v>72</v>
      </c>
      <c r="K79">
        <v>0</v>
      </c>
      <c r="L79" s="1">
        <v>44784.021550925929</v>
      </c>
      <c r="M79">
        <v>6.5</v>
      </c>
      <c r="N79">
        <v>5.9</v>
      </c>
      <c r="O79">
        <v>0.6</v>
      </c>
      <c r="P79">
        <v>10</v>
      </c>
      <c r="Q79">
        <v>0.2</v>
      </c>
      <c r="R79">
        <v>0.9</v>
      </c>
      <c r="S79">
        <v>0.55000000000000004</v>
      </c>
      <c r="T79" t="s">
        <v>33</v>
      </c>
      <c r="U79">
        <v>6.2</v>
      </c>
      <c r="V79">
        <v>71</v>
      </c>
      <c r="W79">
        <v>0</v>
      </c>
      <c r="X79">
        <v>71</v>
      </c>
      <c r="Y79">
        <v>1</v>
      </c>
      <c r="Z79">
        <v>0</v>
      </c>
      <c r="AA79">
        <v>1</v>
      </c>
      <c r="AB79" t="s">
        <v>36</v>
      </c>
      <c r="AC79">
        <v>71</v>
      </c>
      <c r="AD79">
        <v>0.97</v>
      </c>
    </row>
    <row r="80" spans="1:30" x14ac:dyDescent="0.25">
      <c r="A80" s="1">
        <v>44784.021597222221</v>
      </c>
      <c r="B80" s="1">
        <v>44784.02134259259</v>
      </c>
      <c r="C80">
        <v>148555</v>
      </c>
      <c r="D80" t="s">
        <v>52</v>
      </c>
      <c r="E80" t="s">
        <v>53</v>
      </c>
      <c r="F80">
        <v>7</v>
      </c>
      <c r="G80">
        <v>42.904949999999999</v>
      </c>
      <c r="H80">
        <v>-71.386764999999997</v>
      </c>
      <c r="I80">
        <v>363</v>
      </c>
      <c r="J80">
        <v>0</v>
      </c>
      <c r="K80">
        <v>0</v>
      </c>
      <c r="L80" s="1">
        <v>44784.021550925929</v>
      </c>
      <c r="M80">
        <v>1.5</v>
      </c>
      <c r="N80">
        <v>2.1</v>
      </c>
      <c r="O80">
        <v>0.6</v>
      </c>
      <c r="P80">
        <v>33</v>
      </c>
      <c r="Q80">
        <v>0</v>
      </c>
      <c r="R80">
        <v>0</v>
      </c>
      <c r="S80">
        <v>0</v>
      </c>
      <c r="T80" t="s">
        <v>33</v>
      </c>
      <c r="U80">
        <v>1.8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38</v>
      </c>
    </row>
    <row r="81" spans="1:30" x14ac:dyDescent="0.25">
      <c r="A81" s="1">
        <v>44784.021597222221</v>
      </c>
      <c r="B81" s="1">
        <v>44784.020879629628</v>
      </c>
      <c r="C81">
        <v>146644</v>
      </c>
      <c r="D81" t="s">
        <v>54</v>
      </c>
      <c r="E81" t="s">
        <v>53</v>
      </c>
      <c r="F81">
        <v>7</v>
      </c>
      <c r="G81">
        <v>43.06015</v>
      </c>
      <c r="H81">
        <v>-70.758930000000007</v>
      </c>
      <c r="I81">
        <v>35</v>
      </c>
      <c r="J81">
        <v>68</v>
      </c>
      <c r="K81">
        <v>70</v>
      </c>
      <c r="L81" s="1">
        <v>44784.021550925929</v>
      </c>
      <c r="M81">
        <v>3.2</v>
      </c>
      <c r="N81">
        <v>2.2999999999999998</v>
      </c>
      <c r="O81">
        <v>0.9</v>
      </c>
      <c r="P81">
        <v>33</v>
      </c>
      <c r="Q81">
        <v>0</v>
      </c>
      <c r="R81">
        <v>0</v>
      </c>
      <c r="S81">
        <v>0</v>
      </c>
      <c r="T81" t="s">
        <v>33</v>
      </c>
      <c r="U81">
        <v>2.75</v>
      </c>
      <c r="V81">
        <v>69</v>
      </c>
      <c r="W81">
        <v>73</v>
      </c>
      <c r="X81">
        <v>4</v>
      </c>
      <c r="Y81">
        <v>2</v>
      </c>
      <c r="Z81">
        <v>2</v>
      </c>
      <c r="AA81">
        <v>0</v>
      </c>
      <c r="AB81" t="s">
        <v>33</v>
      </c>
      <c r="AC81">
        <v>71</v>
      </c>
      <c r="AD81">
        <v>-1.1299999999999999</v>
      </c>
    </row>
    <row r="82" spans="1:30" x14ac:dyDescent="0.25">
      <c r="A82" s="1">
        <v>44784.021608796298</v>
      </c>
      <c r="B82" s="1">
        <v>43755.283437500002</v>
      </c>
      <c r="C82">
        <v>12188</v>
      </c>
      <c r="D82" t="s">
        <v>55</v>
      </c>
      <c r="E82" t="s">
        <v>35</v>
      </c>
      <c r="F82">
        <v>4.1100000000000003</v>
      </c>
      <c r="G82">
        <v>42.927050000000001</v>
      </c>
      <c r="H82">
        <v>-72.279610000000005</v>
      </c>
      <c r="I82">
        <v>475</v>
      </c>
      <c r="J82">
        <v>95</v>
      </c>
      <c r="K82">
        <v>0</v>
      </c>
      <c r="L82" s="1">
        <v>44784.021550925929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 t="s">
        <v>32</v>
      </c>
      <c r="V82">
        <v>77</v>
      </c>
      <c r="W82">
        <v>0</v>
      </c>
      <c r="X82">
        <v>77</v>
      </c>
      <c r="Y82">
        <v>0</v>
      </c>
      <c r="Z82">
        <v>0</v>
      </c>
      <c r="AA82">
        <v>0</v>
      </c>
      <c r="AB82" t="s">
        <v>36</v>
      </c>
      <c r="AC82">
        <v>77</v>
      </c>
    </row>
    <row r="83" spans="1:30" x14ac:dyDescent="0.25">
      <c r="A83" s="1">
        <v>44784.021608796298</v>
      </c>
      <c r="B83" s="1">
        <v>44784.021180555559</v>
      </c>
      <c r="C83">
        <v>1224</v>
      </c>
      <c r="D83" t="s">
        <v>56</v>
      </c>
      <c r="E83" t="s">
        <v>35</v>
      </c>
      <c r="F83" t="s">
        <v>57</v>
      </c>
      <c r="G83">
        <v>42.938034000000002</v>
      </c>
      <c r="H83">
        <v>-72.259299999999996</v>
      </c>
      <c r="I83">
        <v>792</v>
      </c>
      <c r="J83">
        <v>77</v>
      </c>
      <c r="K83">
        <v>0</v>
      </c>
      <c r="L83" s="1">
        <v>44784.021550925929</v>
      </c>
      <c r="M83">
        <v>2.4</v>
      </c>
      <c r="N83">
        <v>0</v>
      </c>
      <c r="O83">
        <v>2.4</v>
      </c>
      <c r="P83">
        <v>200</v>
      </c>
      <c r="Q83">
        <v>0.1</v>
      </c>
      <c r="R83">
        <v>0.1</v>
      </c>
      <c r="S83">
        <v>0.1</v>
      </c>
      <c r="T83" t="s">
        <v>43</v>
      </c>
      <c r="V83">
        <v>81</v>
      </c>
      <c r="W83">
        <v>0</v>
      </c>
      <c r="X83">
        <v>81</v>
      </c>
      <c r="Y83">
        <v>0</v>
      </c>
      <c r="Z83">
        <v>0</v>
      </c>
      <c r="AA83">
        <v>0</v>
      </c>
      <c r="AB83" t="s">
        <v>36</v>
      </c>
      <c r="AC83">
        <v>81</v>
      </c>
    </row>
    <row r="84" spans="1:30" x14ac:dyDescent="0.25">
      <c r="A84" s="1">
        <v>44784.021608796298</v>
      </c>
      <c r="B84" s="1">
        <v>44784.020624999997</v>
      </c>
      <c r="C84">
        <v>1202</v>
      </c>
      <c r="D84" t="s">
        <v>58</v>
      </c>
      <c r="E84" t="s">
        <v>35</v>
      </c>
      <c r="F84" t="s">
        <v>57</v>
      </c>
      <c r="G84">
        <v>42.936554000000001</v>
      </c>
      <c r="H84">
        <v>-72.271019999999993</v>
      </c>
      <c r="I84">
        <v>488</v>
      </c>
      <c r="J84">
        <v>0</v>
      </c>
      <c r="K84">
        <v>0</v>
      </c>
      <c r="L84" s="1">
        <v>44784.021550925929</v>
      </c>
      <c r="M84">
        <v>2.2000000000000002</v>
      </c>
      <c r="N84">
        <v>2.2000000000000002</v>
      </c>
      <c r="O84">
        <v>0</v>
      </c>
      <c r="P84">
        <v>0</v>
      </c>
      <c r="Q84">
        <v>0.1</v>
      </c>
      <c r="R84">
        <v>0.1</v>
      </c>
      <c r="S84">
        <v>0.1</v>
      </c>
      <c r="T84" t="s">
        <v>33</v>
      </c>
      <c r="U84">
        <v>2.2000000000000002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38</v>
      </c>
    </row>
    <row r="85" spans="1:30" x14ac:dyDescent="0.25">
      <c r="A85" s="1">
        <v>44784.021608796298</v>
      </c>
      <c r="B85" s="1">
        <v>44612.080023148148</v>
      </c>
      <c r="C85">
        <v>25985</v>
      </c>
      <c r="D85" t="s">
        <v>59</v>
      </c>
      <c r="E85" t="s">
        <v>35</v>
      </c>
      <c r="F85">
        <v>6.01</v>
      </c>
      <c r="G85">
        <v>42.927326000000001</v>
      </c>
      <c r="H85">
        <v>-72.279979999999995</v>
      </c>
      <c r="I85">
        <v>477</v>
      </c>
      <c r="J85">
        <v>78</v>
      </c>
      <c r="K85">
        <v>0</v>
      </c>
      <c r="L85" s="1">
        <v>44784.021550925929</v>
      </c>
      <c r="M85">
        <v>1.1000000000000001</v>
      </c>
      <c r="N85">
        <v>1</v>
      </c>
      <c r="O85">
        <v>0.1</v>
      </c>
      <c r="P85">
        <v>10</v>
      </c>
      <c r="Q85">
        <v>0</v>
      </c>
      <c r="R85">
        <v>0</v>
      </c>
      <c r="S85">
        <v>0</v>
      </c>
      <c r="T85" t="s">
        <v>32</v>
      </c>
      <c r="V85">
        <v>22</v>
      </c>
      <c r="W85">
        <v>0</v>
      </c>
      <c r="X85">
        <v>22</v>
      </c>
      <c r="Y85">
        <v>0</v>
      </c>
      <c r="Z85">
        <v>0</v>
      </c>
      <c r="AA85">
        <v>0</v>
      </c>
      <c r="AB85" t="s">
        <v>36</v>
      </c>
      <c r="AC85">
        <v>22</v>
      </c>
    </row>
    <row r="86" spans="1:30" x14ac:dyDescent="0.25">
      <c r="A86" s="1">
        <v>44784.028506944444</v>
      </c>
      <c r="B86" s="1">
        <v>44775.701319444444</v>
      </c>
      <c r="C86">
        <v>151708</v>
      </c>
      <c r="D86" t="s">
        <v>30</v>
      </c>
      <c r="E86" t="s">
        <v>31</v>
      </c>
      <c r="F86">
        <v>7</v>
      </c>
      <c r="G86">
        <v>43.192042999999998</v>
      </c>
      <c r="H86">
        <v>-71.541579999999996</v>
      </c>
      <c r="I86">
        <v>291</v>
      </c>
      <c r="J86">
        <v>93</v>
      </c>
      <c r="K86">
        <v>94</v>
      </c>
      <c r="L86" s="1">
        <v>44784.028495370374</v>
      </c>
      <c r="M86">
        <v>7.9</v>
      </c>
      <c r="N86">
        <v>7.6</v>
      </c>
      <c r="O86">
        <v>0.3</v>
      </c>
      <c r="P86">
        <v>4</v>
      </c>
      <c r="Q86">
        <v>0</v>
      </c>
      <c r="R86">
        <v>0</v>
      </c>
      <c r="S86">
        <v>0</v>
      </c>
      <c r="T86" t="s">
        <v>32</v>
      </c>
      <c r="V86">
        <v>42</v>
      </c>
      <c r="W86">
        <v>41</v>
      </c>
      <c r="X86">
        <v>1</v>
      </c>
      <c r="Y86">
        <v>0</v>
      </c>
      <c r="Z86">
        <v>0</v>
      </c>
      <c r="AA86">
        <v>0</v>
      </c>
      <c r="AB86" t="s">
        <v>33</v>
      </c>
      <c r="AC86">
        <v>41.5</v>
      </c>
    </row>
    <row r="87" spans="1:30" x14ac:dyDescent="0.25">
      <c r="A87" s="1">
        <v>44784.028506944444</v>
      </c>
      <c r="B87" s="1">
        <v>44784.026782407411</v>
      </c>
      <c r="C87">
        <v>143456</v>
      </c>
      <c r="D87" t="s">
        <v>34</v>
      </c>
      <c r="E87" t="s">
        <v>35</v>
      </c>
      <c r="F87">
        <v>7</v>
      </c>
      <c r="G87">
        <v>43.08963</v>
      </c>
      <c r="H87">
        <v>-71.502440000000007</v>
      </c>
      <c r="I87">
        <v>619</v>
      </c>
      <c r="J87">
        <v>71</v>
      </c>
      <c r="K87">
        <v>0</v>
      </c>
      <c r="L87" s="1">
        <v>44784.028495370374</v>
      </c>
      <c r="M87">
        <v>3.5</v>
      </c>
      <c r="N87">
        <v>3.8</v>
      </c>
      <c r="O87">
        <v>0.3</v>
      </c>
      <c r="P87">
        <v>8</v>
      </c>
      <c r="Q87">
        <v>0.2</v>
      </c>
      <c r="R87">
        <v>0.2</v>
      </c>
      <c r="S87">
        <v>0.2</v>
      </c>
      <c r="T87" t="s">
        <v>33</v>
      </c>
      <c r="U87">
        <v>3.65</v>
      </c>
      <c r="V87">
        <v>67</v>
      </c>
      <c r="W87">
        <v>0</v>
      </c>
      <c r="X87">
        <v>67</v>
      </c>
      <c r="Y87">
        <v>1</v>
      </c>
      <c r="Z87">
        <v>0</v>
      </c>
      <c r="AA87">
        <v>1</v>
      </c>
      <c r="AB87" t="s">
        <v>36</v>
      </c>
      <c r="AC87">
        <v>67</v>
      </c>
      <c r="AD87">
        <v>-0.3</v>
      </c>
    </row>
    <row r="88" spans="1:30" x14ac:dyDescent="0.25">
      <c r="A88" s="1">
        <v>44784.02851851852</v>
      </c>
      <c r="B88" s="1">
        <v>44784.026990740742</v>
      </c>
      <c r="C88">
        <v>151702</v>
      </c>
      <c r="D88" t="s">
        <v>37</v>
      </c>
      <c r="E88" t="s">
        <v>31</v>
      </c>
      <c r="F88">
        <v>7</v>
      </c>
      <c r="G88">
        <v>43.118609999999997</v>
      </c>
      <c r="H88">
        <v>-71.61618</v>
      </c>
      <c r="I88">
        <v>885</v>
      </c>
      <c r="J88">
        <v>0</v>
      </c>
      <c r="K88">
        <v>0</v>
      </c>
      <c r="L88" s="1">
        <v>44784.028495370374</v>
      </c>
      <c r="M88">
        <v>3.3</v>
      </c>
      <c r="N88">
        <v>3</v>
      </c>
      <c r="O88">
        <v>0.3</v>
      </c>
      <c r="P88">
        <v>10</v>
      </c>
      <c r="Q88">
        <v>0</v>
      </c>
      <c r="R88">
        <v>0.1</v>
      </c>
      <c r="S88">
        <v>0.05</v>
      </c>
      <c r="T88" t="s">
        <v>33</v>
      </c>
      <c r="U88">
        <v>3.15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38</v>
      </c>
    </row>
    <row r="89" spans="1:30" x14ac:dyDescent="0.25">
      <c r="A89" s="1">
        <v>44784.02851851852</v>
      </c>
      <c r="B89" s="1">
        <v>44784.026875000003</v>
      </c>
      <c r="C89">
        <v>151700</v>
      </c>
      <c r="D89" t="s">
        <v>30</v>
      </c>
      <c r="E89" t="s">
        <v>31</v>
      </c>
      <c r="F89">
        <v>7</v>
      </c>
      <c r="G89">
        <v>43.19211</v>
      </c>
      <c r="H89">
        <v>-71.541460000000001</v>
      </c>
      <c r="I89">
        <v>286</v>
      </c>
      <c r="J89">
        <v>72</v>
      </c>
      <c r="K89">
        <v>0</v>
      </c>
      <c r="L89" s="1">
        <v>44784.028495370374</v>
      </c>
      <c r="M89">
        <v>2.8</v>
      </c>
      <c r="N89">
        <v>3.1</v>
      </c>
      <c r="O89">
        <v>0.3</v>
      </c>
      <c r="P89">
        <v>10</v>
      </c>
      <c r="Q89">
        <v>0</v>
      </c>
      <c r="R89">
        <v>0.3</v>
      </c>
      <c r="S89">
        <v>0.15</v>
      </c>
      <c r="T89" t="s">
        <v>33</v>
      </c>
      <c r="U89">
        <v>2.95</v>
      </c>
      <c r="V89">
        <v>63</v>
      </c>
      <c r="W89">
        <v>0</v>
      </c>
      <c r="X89">
        <v>63</v>
      </c>
      <c r="Y89">
        <v>0</v>
      </c>
      <c r="Z89">
        <v>0</v>
      </c>
      <c r="AA89">
        <v>0</v>
      </c>
      <c r="AB89" t="s">
        <v>36</v>
      </c>
      <c r="AC89">
        <v>63</v>
      </c>
      <c r="AD89">
        <v>-0.45</v>
      </c>
    </row>
    <row r="90" spans="1:30" x14ac:dyDescent="0.25">
      <c r="A90" s="1">
        <v>44784.02851851852</v>
      </c>
      <c r="B90" s="1">
        <v>44784.027268518519</v>
      </c>
      <c r="C90">
        <v>135984</v>
      </c>
      <c r="D90" t="s">
        <v>39</v>
      </c>
      <c r="E90" t="s">
        <v>31</v>
      </c>
      <c r="F90">
        <v>7</v>
      </c>
      <c r="G90">
        <v>43.565852999999997</v>
      </c>
      <c r="H90">
        <v>-71.496129999999994</v>
      </c>
      <c r="I90">
        <v>708</v>
      </c>
      <c r="J90">
        <v>67</v>
      </c>
      <c r="K90">
        <v>0</v>
      </c>
      <c r="L90" s="1">
        <v>44784.028495370374</v>
      </c>
      <c r="M90">
        <v>5.6</v>
      </c>
      <c r="N90">
        <v>4.7</v>
      </c>
      <c r="O90">
        <v>0.9</v>
      </c>
      <c r="P90">
        <v>17</v>
      </c>
      <c r="Q90">
        <v>0.2</v>
      </c>
      <c r="R90">
        <v>0.2</v>
      </c>
      <c r="S90">
        <v>0.2</v>
      </c>
      <c r="T90" t="s">
        <v>33</v>
      </c>
      <c r="U90">
        <v>5.15</v>
      </c>
      <c r="V90">
        <v>100</v>
      </c>
      <c r="W90">
        <v>0</v>
      </c>
      <c r="X90">
        <v>100</v>
      </c>
      <c r="Y90">
        <v>0</v>
      </c>
      <c r="Z90">
        <v>0</v>
      </c>
      <c r="AA90">
        <v>0</v>
      </c>
      <c r="AB90" t="s">
        <v>36</v>
      </c>
      <c r="AC90">
        <v>100</v>
      </c>
      <c r="AD90">
        <v>-1.7</v>
      </c>
    </row>
    <row r="91" spans="1:30" x14ac:dyDescent="0.25">
      <c r="A91" s="1">
        <v>44784.02853009259</v>
      </c>
      <c r="B91" s="1">
        <v>44780.394780092596</v>
      </c>
      <c r="C91">
        <v>151712</v>
      </c>
      <c r="D91" t="s">
        <v>40</v>
      </c>
      <c r="E91" t="s">
        <v>31</v>
      </c>
      <c r="F91">
        <v>7</v>
      </c>
      <c r="G91">
        <v>43.289763999999998</v>
      </c>
      <c r="H91">
        <v>-71.564260000000004</v>
      </c>
      <c r="I91">
        <v>370</v>
      </c>
      <c r="J91">
        <v>86</v>
      </c>
      <c r="K91">
        <v>0</v>
      </c>
      <c r="L91" s="1">
        <v>44784.028495370374</v>
      </c>
      <c r="M91">
        <v>14</v>
      </c>
      <c r="N91">
        <v>13.2</v>
      </c>
      <c r="O91">
        <v>0.8</v>
      </c>
      <c r="P91">
        <v>6</v>
      </c>
      <c r="Q91">
        <v>0</v>
      </c>
      <c r="R91">
        <v>0</v>
      </c>
      <c r="S91">
        <v>0</v>
      </c>
      <c r="T91" t="s">
        <v>32</v>
      </c>
      <c r="V91">
        <v>59</v>
      </c>
      <c r="W91">
        <v>0</v>
      </c>
      <c r="X91">
        <v>59</v>
      </c>
      <c r="Y91">
        <v>0</v>
      </c>
      <c r="Z91">
        <v>0</v>
      </c>
      <c r="AA91">
        <v>0</v>
      </c>
      <c r="AB91" t="s">
        <v>36</v>
      </c>
      <c r="AC91">
        <v>59</v>
      </c>
    </row>
    <row r="92" spans="1:30" x14ac:dyDescent="0.25">
      <c r="A92" s="1">
        <v>44784.02853009259</v>
      </c>
      <c r="B92" s="1">
        <v>44784.027939814812</v>
      </c>
      <c r="C92">
        <v>151710</v>
      </c>
      <c r="D92" t="s">
        <v>41</v>
      </c>
      <c r="E92" t="s">
        <v>31</v>
      </c>
      <c r="F92">
        <v>7</v>
      </c>
      <c r="G92">
        <v>43.132477000000002</v>
      </c>
      <c r="H92">
        <v>-71.458374000000006</v>
      </c>
      <c r="I92">
        <v>230</v>
      </c>
      <c r="J92">
        <v>72</v>
      </c>
      <c r="K92">
        <v>0</v>
      </c>
      <c r="L92" s="1">
        <v>44784.028495370374</v>
      </c>
      <c r="M92">
        <v>4.0999999999999996</v>
      </c>
      <c r="N92">
        <v>2.9</v>
      </c>
      <c r="O92">
        <v>1.2</v>
      </c>
      <c r="P92">
        <v>34</v>
      </c>
      <c r="Q92">
        <v>0.6</v>
      </c>
      <c r="R92">
        <v>0</v>
      </c>
      <c r="S92">
        <v>0.3</v>
      </c>
      <c r="T92" t="s">
        <v>33</v>
      </c>
      <c r="U92">
        <v>3.5</v>
      </c>
      <c r="V92">
        <v>61</v>
      </c>
      <c r="W92">
        <v>0</v>
      </c>
      <c r="X92">
        <v>61</v>
      </c>
      <c r="Y92">
        <v>0</v>
      </c>
      <c r="Z92">
        <v>0</v>
      </c>
      <c r="AA92">
        <v>0</v>
      </c>
      <c r="AB92" t="s">
        <v>36</v>
      </c>
      <c r="AC92">
        <v>61</v>
      </c>
      <c r="AD92">
        <v>0.02</v>
      </c>
    </row>
    <row r="93" spans="1:30" x14ac:dyDescent="0.25">
      <c r="A93" s="1">
        <v>44784.02853009259</v>
      </c>
      <c r="B93" s="1">
        <v>44784.027662037035</v>
      </c>
      <c r="C93">
        <v>151706</v>
      </c>
      <c r="D93" t="s">
        <v>42</v>
      </c>
      <c r="E93" t="s">
        <v>31</v>
      </c>
      <c r="F93">
        <v>7</v>
      </c>
      <c r="G93">
        <v>43.004080000000002</v>
      </c>
      <c r="H93">
        <v>-71.177040000000005</v>
      </c>
      <c r="I93">
        <v>194</v>
      </c>
      <c r="J93">
        <v>71</v>
      </c>
      <c r="K93">
        <v>0</v>
      </c>
      <c r="L93" s="1">
        <v>44784.028495370374</v>
      </c>
      <c r="M93">
        <v>1.4</v>
      </c>
      <c r="N93">
        <v>0</v>
      </c>
      <c r="O93">
        <v>1.4</v>
      </c>
      <c r="P93">
        <v>200</v>
      </c>
      <c r="Q93">
        <v>0.1</v>
      </c>
      <c r="R93">
        <v>0</v>
      </c>
      <c r="S93">
        <v>0.05</v>
      </c>
      <c r="T93" t="s">
        <v>43</v>
      </c>
      <c r="V93">
        <v>66</v>
      </c>
      <c r="W93">
        <v>0</v>
      </c>
      <c r="X93">
        <v>66</v>
      </c>
      <c r="Y93">
        <v>1</v>
      </c>
      <c r="Z93">
        <v>0</v>
      </c>
      <c r="AA93">
        <v>1</v>
      </c>
      <c r="AB93" t="s">
        <v>36</v>
      </c>
      <c r="AC93">
        <v>66</v>
      </c>
    </row>
    <row r="94" spans="1:30" x14ac:dyDescent="0.25">
      <c r="A94" s="1">
        <v>44784.02853009259</v>
      </c>
      <c r="B94" s="1">
        <v>44784.027337962965</v>
      </c>
      <c r="C94">
        <v>12212</v>
      </c>
      <c r="D94" t="s">
        <v>44</v>
      </c>
      <c r="E94" t="s">
        <v>35</v>
      </c>
      <c r="F94">
        <v>7</v>
      </c>
      <c r="G94">
        <v>42.930529999999997</v>
      </c>
      <c r="H94">
        <v>-72.272350000000003</v>
      </c>
      <c r="I94">
        <v>476</v>
      </c>
      <c r="J94">
        <v>78</v>
      </c>
      <c r="K94">
        <v>0</v>
      </c>
      <c r="L94" s="1">
        <v>44784.028495370374</v>
      </c>
      <c r="M94">
        <v>2.6</v>
      </c>
      <c r="N94">
        <v>2.2000000000000002</v>
      </c>
      <c r="O94">
        <v>0.4</v>
      </c>
      <c r="P94">
        <v>17</v>
      </c>
      <c r="Q94">
        <v>0.2</v>
      </c>
      <c r="R94">
        <v>0.1</v>
      </c>
      <c r="S94">
        <v>0.15</v>
      </c>
      <c r="T94" t="s">
        <v>33</v>
      </c>
      <c r="U94">
        <v>2.4</v>
      </c>
      <c r="V94">
        <v>72</v>
      </c>
      <c r="W94">
        <v>0</v>
      </c>
      <c r="X94">
        <v>72</v>
      </c>
      <c r="Y94">
        <v>2</v>
      </c>
      <c r="Z94">
        <v>0</v>
      </c>
      <c r="AA94">
        <v>2</v>
      </c>
      <c r="AB94" t="s">
        <v>36</v>
      </c>
      <c r="AC94">
        <v>72</v>
      </c>
      <c r="AD94">
        <v>-1.42</v>
      </c>
    </row>
    <row r="95" spans="1:30" x14ac:dyDescent="0.25">
      <c r="A95" s="1">
        <v>44784.02853009259</v>
      </c>
      <c r="B95" s="1">
        <v>44769.376736111109</v>
      </c>
      <c r="C95">
        <v>12178</v>
      </c>
      <c r="D95" t="s">
        <v>45</v>
      </c>
      <c r="E95" t="s">
        <v>35</v>
      </c>
      <c r="F95">
        <v>7</v>
      </c>
      <c r="G95">
        <v>42.899563000000001</v>
      </c>
      <c r="H95">
        <v>-71.464650000000006</v>
      </c>
      <c r="I95">
        <v>301</v>
      </c>
      <c r="J95">
        <v>85</v>
      </c>
      <c r="K95">
        <v>0</v>
      </c>
      <c r="L95" s="1">
        <v>44784.028495370374</v>
      </c>
      <c r="M95">
        <v>3.8</v>
      </c>
      <c r="N95">
        <v>3.1</v>
      </c>
      <c r="O95">
        <v>0.7</v>
      </c>
      <c r="P95">
        <v>20</v>
      </c>
      <c r="Q95">
        <v>0</v>
      </c>
      <c r="R95">
        <v>0</v>
      </c>
      <c r="S95">
        <v>0</v>
      </c>
      <c r="T95" t="s">
        <v>32</v>
      </c>
      <c r="V95">
        <v>35</v>
      </c>
      <c r="W95">
        <v>0</v>
      </c>
      <c r="X95">
        <v>35</v>
      </c>
      <c r="Y95">
        <v>0</v>
      </c>
      <c r="Z95">
        <v>0</v>
      </c>
      <c r="AA95">
        <v>0</v>
      </c>
      <c r="AB95" t="s">
        <v>36</v>
      </c>
      <c r="AC95">
        <v>35</v>
      </c>
    </row>
    <row r="96" spans="1:30" x14ac:dyDescent="0.25">
      <c r="A96" s="1">
        <v>44784.028541666667</v>
      </c>
      <c r="B96" s="1">
        <v>44784.026689814818</v>
      </c>
      <c r="C96">
        <v>75981</v>
      </c>
      <c r="D96" t="s">
        <v>46</v>
      </c>
      <c r="E96" t="s">
        <v>35</v>
      </c>
      <c r="F96">
        <v>7</v>
      </c>
      <c r="G96">
        <v>42.97</v>
      </c>
      <c r="H96">
        <v>-71.06</v>
      </c>
      <c r="I96">
        <v>136</v>
      </c>
      <c r="J96">
        <v>75</v>
      </c>
      <c r="K96">
        <v>0</v>
      </c>
      <c r="L96" s="1">
        <v>44784.028495370374</v>
      </c>
      <c r="M96">
        <v>2.7</v>
      </c>
      <c r="N96">
        <v>2.5</v>
      </c>
      <c r="O96">
        <v>0.2</v>
      </c>
      <c r="P96">
        <v>8</v>
      </c>
      <c r="Q96">
        <v>0.2</v>
      </c>
      <c r="R96">
        <v>0.2</v>
      </c>
      <c r="S96">
        <v>0.2</v>
      </c>
      <c r="T96" t="s">
        <v>33</v>
      </c>
      <c r="U96">
        <v>2.6</v>
      </c>
      <c r="V96">
        <v>59</v>
      </c>
      <c r="W96">
        <v>0</v>
      </c>
      <c r="X96">
        <v>59</v>
      </c>
      <c r="Y96">
        <v>0</v>
      </c>
      <c r="Z96">
        <v>0</v>
      </c>
      <c r="AA96">
        <v>0</v>
      </c>
      <c r="AB96" t="s">
        <v>36</v>
      </c>
      <c r="AC96">
        <v>59</v>
      </c>
      <c r="AD96">
        <v>-0.38</v>
      </c>
    </row>
    <row r="97" spans="1:30" x14ac:dyDescent="0.25">
      <c r="A97" s="1">
        <v>44784.028541666667</v>
      </c>
      <c r="B97" s="1">
        <v>44784.027222222219</v>
      </c>
      <c r="C97">
        <v>115703</v>
      </c>
      <c r="D97" t="s">
        <v>47</v>
      </c>
      <c r="E97" t="s">
        <v>35</v>
      </c>
      <c r="F97">
        <v>7</v>
      </c>
      <c r="G97">
        <v>43.953625000000002</v>
      </c>
      <c r="H97">
        <v>-71.508859999999999</v>
      </c>
      <c r="I97">
        <v>1493</v>
      </c>
      <c r="J97">
        <v>63</v>
      </c>
      <c r="K97">
        <v>0</v>
      </c>
      <c r="L97" s="1">
        <v>44784.028495370374</v>
      </c>
      <c r="M97">
        <v>0</v>
      </c>
      <c r="N97">
        <v>300.89999999999998</v>
      </c>
      <c r="O97">
        <v>300.89999999999998</v>
      </c>
      <c r="P97">
        <v>200</v>
      </c>
      <c r="Q97">
        <v>0</v>
      </c>
      <c r="R97">
        <v>0</v>
      </c>
      <c r="S97">
        <v>0</v>
      </c>
      <c r="T97" t="s">
        <v>48</v>
      </c>
      <c r="V97">
        <v>66</v>
      </c>
      <c r="W97">
        <v>0</v>
      </c>
      <c r="X97">
        <v>66</v>
      </c>
      <c r="Y97">
        <v>1</v>
      </c>
      <c r="Z97">
        <v>0</v>
      </c>
      <c r="AA97">
        <v>1</v>
      </c>
      <c r="AB97" t="s">
        <v>36</v>
      </c>
      <c r="AC97">
        <v>66</v>
      </c>
    </row>
    <row r="98" spans="1:30" x14ac:dyDescent="0.25">
      <c r="A98" s="1">
        <v>44784.028541666667</v>
      </c>
      <c r="B98" s="1">
        <v>44784.026631944442</v>
      </c>
      <c r="C98">
        <v>12050</v>
      </c>
      <c r="D98" t="s">
        <v>49</v>
      </c>
      <c r="E98" t="s">
        <v>35</v>
      </c>
      <c r="F98">
        <v>7</v>
      </c>
      <c r="G98">
        <v>44.220573000000002</v>
      </c>
      <c r="H98">
        <v>-71.732315</v>
      </c>
      <c r="I98">
        <v>999</v>
      </c>
      <c r="J98">
        <v>70</v>
      </c>
      <c r="K98">
        <v>0</v>
      </c>
      <c r="L98" s="1">
        <v>44784.028495370374</v>
      </c>
      <c r="M98">
        <v>2.7</v>
      </c>
      <c r="N98">
        <v>2.7</v>
      </c>
      <c r="O98">
        <v>0</v>
      </c>
      <c r="P98">
        <v>0</v>
      </c>
      <c r="Q98">
        <v>0.3</v>
      </c>
      <c r="R98">
        <v>0.2</v>
      </c>
      <c r="S98">
        <v>0.25</v>
      </c>
      <c r="T98" t="s">
        <v>33</v>
      </c>
      <c r="U98">
        <v>2.7</v>
      </c>
      <c r="V98">
        <v>57</v>
      </c>
      <c r="W98">
        <v>0</v>
      </c>
      <c r="X98">
        <v>57</v>
      </c>
      <c r="Y98">
        <v>0</v>
      </c>
      <c r="Z98">
        <v>0</v>
      </c>
      <c r="AA98">
        <v>0</v>
      </c>
      <c r="AB98" t="s">
        <v>36</v>
      </c>
      <c r="AC98">
        <v>57</v>
      </c>
      <c r="AD98">
        <v>-0.18</v>
      </c>
    </row>
    <row r="99" spans="1:30" x14ac:dyDescent="0.25">
      <c r="A99" s="1">
        <v>44784.028541666667</v>
      </c>
      <c r="B99" s="1">
        <v>44784.026736111111</v>
      </c>
      <c r="C99">
        <v>23443</v>
      </c>
      <c r="D99" t="s">
        <v>50</v>
      </c>
      <c r="E99" t="s">
        <v>35</v>
      </c>
      <c r="F99">
        <v>7</v>
      </c>
      <c r="G99">
        <v>43.556139999999999</v>
      </c>
      <c r="H99">
        <v>-72.370990000000006</v>
      </c>
      <c r="I99">
        <v>523</v>
      </c>
      <c r="J99">
        <v>71</v>
      </c>
      <c r="K99">
        <v>0</v>
      </c>
      <c r="L99" s="1">
        <v>44784.028495370374</v>
      </c>
      <c r="M99">
        <v>3.1</v>
      </c>
      <c r="N99">
        <v>2.6</v>
      </c>
      <c r="O99">
        <v>0.5</v>
      </c>
      <c r="P99">
        <v>18</v>
      </c>
      <c r="Q99">
        <v>0</v>
      </c>
      <c r="R99">
        <v>0.1</v>
      </c>
      <c r="S99">
        <v>0.05</v>
      </c>
      <c r="T99" t="s">
        <v>33</v>
      </c>
      <c r="U99">
        <v>2.85</v>
      </c>
      <c r="V99">
        <v>64</v>
      </c>
      <c r="W99">
        <v>0</v>
      </c>
      <c r="X99">
        <v>64</v>
      </c>
      <c r="Y99">
        <v>1</v>
      </c>
      <c r="Z99">
        <v>0</v>
      </c>
      <c r="AA99">
        <v>1</v>
      </c>
      <c r="AB99" t="s">
        <v>36</v>
      </c>
      <c r="AC99">
        <v>64</v>
      </c>
      <c r="AD99">
        <v>-0.57999999999999996</v>
      </c>
    </row>
    <row r="100" spans="1:30" x14ac:dyDescent="0.25">
      <c r="A100" s="1">
        <v>44784.028541666667</v>
      </c>
      <c r="B100" s="1">
        <v>44784.02684027778</v>
      </c>
      <c r="C100">
        <v>58135</v>
      </c>
      <c r="D100" t="s">
        <v>51</v>
      </c>
      <c r="E100" t="s">
        <v>35</v>
      </c>
      <c r="F100">
        <v>7</v>
      </c>
      <c r="G100">
        <v>42.883873000000001</v>
      </c>
      <c r="H100">
        <v>-71.972915999999998</v>
      </c>
      <c r="I100">
        <v>808</v>
      </c>
      <c r="J100">
        <v>72</v>
      </c>
      <c r="K100">
        <v>0</v>
      </c>
      <c r="L100" s="1">
        <v>44784.028495370374</v>
      </c>
      <c r="M100">
        <v>6.8</v>
      </c>
      <c r="N100">
        <v>5.5</v>
      </c>
      <c r="O100">
        <v>1.3</v>
      </c>
      <c r="P100">
        <v>21</v>
      </c>
      <c r="Q100">
        <v>0.3</v>
      </c>
      <c r="R100">
        <v>0.4</v>
      </c>
      <c r="S100">
        <v>0.35</v>
      </c>
      <c r="T100" t="s">
        <v>33</v>
      </c>
      <c r="U100">
        <v>6.15</v>
      </c>
      <c r="V100">
        <v>71</v>
      </c>
      <c r="W100">
        <v>0</v>
      </c>
      <c r="X100">
        <v>71</v>
      </c>
      <c r="Y100">
        <v>0</v>
      </c>
      <c r="Z100">
        <v>0</v>
      </c>
      <c r="AA100">
        <v>0</v>
      </c>
      <c r="AB100" t="s">
        <v>36</v>
      </c>
      <c r="AC100">
        <v>71</v>
      </c>
      <c r="AD100">
        <v>0.94</v>
      </c>
    </row>
    <row r="101" spans="1:30" x14ac:dyDescent="0.25">
      <c r="A101" s="1">
        <v>44784.028553240743</v>
      </c>
      <c r="B101" s="1">
        <v>44784.026898148149</v>
      </c>
      <c r="C101">
        <v>148555</v>
      </c>
      <c r="D101" t="s">
        <v>52</v>
      </c>
      <c r="E101" t="s">
        <v>53</v>
      </c>
      <c r="F101">
        <v>7</v>
      </c>
      <c r="G101">
        <v>42.904949999999999</v>
      </c>
      <c r="H101">
        <v>-71.386764999999997</v>
      </c>
      <c r="I101">
        <v>363</v>
      </c>
      <c r="J101">
        <v>0</v>
      </c>
      <c r="K101">
        <v>0</v>
      </c>
      <c r="L101" s="1">
        <v>44784.028495370374</v>
      </c>
      <c r="M101">
        <v>1.4</v>
      </c>
      <c r="N101">
        <v>2</v>
      </c>
      <c r="O101">
        <v>0.6</v>
      </c>
      <c r="P101">
        <v>35</v>
      </c>
      <c r="Q101">
        <v>0.1</v>
      </c>
      <c r="R101">
        <v>0.1</v>
      </c>
      <c r="S101">
        <v>0.1</v>
      </c>
      <c r="T101" t="s">
        <v>33</v>
      </c>
      <c r="U101">
        <v>1.7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">
        <v>38</v>
      </c>
    </row>
    <row r="102" spans="1:30" x14ac:dyDescent="0.25">
      <c r="A102" s="1">
        <v>44784.028553240743</v>
      </c>
      <c r="B102" s="1">
        <v>44784.027824074074</v>
      </c>
      <c r="C102">
        <v>146644</v>
      </c>
      <c r="D102" t="s">
        <v>54</v>
      </c>
      <c r="E102" t="s">
        <v>53</v>
      </c>
      <c r="F102">
        <v>7</v>
      </c>
      <c r="G102">
        <v>43.06015</v>
      </c>
      <c r="H102">
        <v>-70.758930000000007</v>
      </c>
      <c r="I102">
        <v>35</v>
      </c>
      <c r="J102">
        <v>68</v>
      </c>
      <c r="K102">
        <v>70</v>
      </c>
      <c r="L102" s="1">
        <v>44784.028495370374</v>
      </c>
      <c r="M102">
        <v>3.2</v>
      </c>
      <c r="N102">
        <v>2.4</v>
      </c>
      <c r="O102">
        <v>0.8</v>
      </c>
      <c r="P102">
        <v>29</v>
      </c>
      <c r="Q102">
        <v>0</v>
      </c>
      <c r="R102">
        <v>0.1</v>
      </c>
      <c r="S102">
        <v>0.05</v>
      </c>
      <c r="T102" t="s">
        <v>33</v>
      </c>
      <c r="U102">
        <v>2.8</v>
      </c>
      <c r="V102">
        <v>69</v>
      </c>
      <c r="W102">
        <v>73</v>
      </c>
      <c r="X102">
        <v>4</v>
      </c>
      <c r="Y102">
        <v>0</v>
      </c>
      <c r="Z102">
        <v>0</v>
      </c>
      <c r="AA102">
        <v>0</v>
      </c>
      <c r="AB102" t="s">
        <v>33</v>
      </c>
      <c r="AC102">
        <v>71</v>
      </c>
      <c r="AD102">
        <v>-1.1000000000000001</v>
      </c>
    </row>
    <row r="103" spans="1:30" x14ac:dyDescent="0.25">
      <c r="A103" s="1">
        <v>44784.028553240743</v>
      </c>
      <c r="B103" s="1">
        <v>43755.283437500002</v>
      </c>
      <c r="C103">
        <v>12188</v>
      </c>
      <c r="D103" t="s">
        <v>55</v>
      </c>
      <c r="E103" t="s">
        <v>35</v>
      </c>
      <c r="F103">
        <v>4.1100000000000003</v>
      </c>
      <c r="G103">
        <v>42.927050000000001</v>
      </c>
      <c r="H103">
        <v>-72.279610000000005</v>
      </c>
      <c r="I103">
        <v>475</v>
      </c>
      <c r="J103">
        <v>95</v>
      </c>
      <c r="K103">
        <v>0</v>
      </c>
      <c r="L103" s="1">
        <v>44784.028495370374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 t="s">
        <v>32</v>
      </c>
      <c r="V103">
        <v>77</v>
      </c>
      <c r="W103">
        <v>0</v>
      </c>
      <c r="X103">
        <v>77</v>
      </c>
      <c r="Y103">
        <v>0</v>
      </c>
      <c r="Z103">
        <v>0</v>
      </c>
      <c r="AA103">
        <v>0</v>
      </c>
      <c r="AB103" t="s">
        <v>36</v>
      </c>
      <c r="AC103">
        <v>77</v>
      </c>
    </row>
    <row r="104" spans="1:30" x14ac:dyDescent="0.25">
      <c r="A104" s="1">
        <v>44784.028553240743</v>
      </c>
      <c r="B104" s="1">
        <v>44784.028124999997</v>
      </c>
      <c r="C104">
        <v>1224</v>
      </c>
      <c r="D104" t="s">
        <v>56</v>
      </c>
      <c r="E104" t="s">
        <v>35</v>
      </c>
      <c r="F104" t="s">
        <v>57</v>
      </c>
      <c r="G104">
        <v>42.938034000000002</v>
      </c>
      <c r="H104">
        <v>-72.259299999999996</v>
      </c>
      <c r="I104">
        <v>792</v>
      </c>
      <c r="J104">
        <v>77</v>
      </c>
      <c r="K104">
        <v>0</v>
      </c>
      <c r="L104" s="1">
        <v>44784.028495370374</v>
      </c>
      <c r="M104">
        <v>2.4</v>
      </c>
      <c r="N104">
        <v>0</v>
      </c>
      <c r="O104">
        <v>2.4</v>
      </c>
      <c r="P104">
        <v>200</v>
      </c>
      <c r="Q104">
        <v>0</v>
      </c>
      <c r="R104">
        <v>0</v>
      </c>
      <c r="S104">
        <v>0</v>
      </c>
      <c r="T104" t="s">
        <v>43</v>
      </c>
      <c r="V104">
        <v>80</v>
      </c>
      <c r="W104">
        <v>0</v>
      </c>
      <c r="X104">
        <v>80</v>
      </c>
      <c r="Y104">
        <v>1</v>
      </c>
      <c r="Z104">
        <v>0</v>
      </c>
      <c r="AA104">
        <v>1</v>
      </c>
      <c r="AB104" t="s">
        <v>36</v>
      </c>
      <c r="AC104">
        <v>80</v>
      </c>
    </row>
    <row r="105" spans="1:30" x14ac:dyDescent="0.25">
      <c r="A105" s="1">
        <v>44784.028564814813</v>
      </c>
      <c r="B105" s="1">
        <v>44784.027569444443</v>
      </c>
      <c r="C105">
        <v>1202</v>
      </c>
      <c r="D105" t="s">
        <v>58</v>
      </c>
      <c r="E105" t="s">
        <v>35</v>
      </c>
      <c r="F105" t="s">
        <v>57</v>
      </c>
      <c r="G105">
        <v>42.936554000000001</v>
      </c>
      <c r="H105">
        <v>-72.271019999999993</v>
      </c>
      <c r="I105">
        <v>488</v>
      </c>
      <c r="J105">
        <v>0</v>
      </c>
      <c r="K105">
        <v>0</v>
      </c>
      <c r="L105" s="1">
        <v>44784.028495370374</v>
      </c>
      <c r="M105">
        <v>2.4</v>
      </c>
      <c r="N105">
        <v>2.2000000000000002</v>
      </c>
      <c r="O105">
        <v>0.2</v>
      </c>
      <c r="P105">
        <v>9</v>
      </c>
      <c r="Q105">
        <v>0.2</v>
      </c>
      <c r="R105">
        <v>0</v>
      </c>
      <c r="S105">
        <v>0.1</v>
      </c>
      <c r="T105" t="s">
        <v>33</v>
      </c>
      <c r="U105">
        <v>2.2999999999999998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38</v>
      </c>
    </row>
    <row r="106" spans="1:30" x14ac:dyDescent="0.25">
      <c r="A106" s="1">
        <v>44784.028564814813</v>
      </c>
      <c r="B106" s="1">
        <v>44612.080023148148</v>
      </c>
      <c r="C106">
        <v>25985</v>
      </c>
      <c r="D106" t="s">
        <v>59</v>
      </c>
      <c r="E106" t="s">
        <v>35</v>
      </c>
      <c r="F106">
        <v>6.01</v>
      </c>
      <c r="G106">
        <v>42.927326000000001</v>
      </c>
      <c r="H106">
        <v>-72.279979999999995</v>
      </c>
      <c r="I106">
        <v>477</v>
      </c>
      <c r="J106">
        <v>78</v>
      </c>
      <c r="K106">
        <v>0</v>
      </c>
      <c r="L106" s="1">
        <v>44784.028495370374</v>
      </c>
      <c r="M106">
        <v>1.1000000000000001</v>
      </c>
      <c r="N106">
        <v>1</v>
      </c>
      <c r="O106">
        <v>0.1</v>
      </c>
      <c r="P106">
        <v>10</v>
      </c>
      <c r="Q106">
        <v>0</v>
      </c>
      <c r="R106">
        <v>0</v>
      </c>
      <c r="S106">
        <v>0</v>
      </c>
      <c r="T106" t="s">
        <v>32</v>
      </c>
      <c r="V106">
        <v>22</v>
      </c>
      <c r="W106">
        <v>0</v>
      </c>
      <c r="X106">
        <v>22</v>
      </c>
      <c r="Y106">
        <v>0</v>
      </c>
      <c r="Z106">
        <v>0</v>
      </c>
      <c r="AA106">
        <v>0</v>
      </c>
      <c r="AB106" t="s">
        <v>36</v>
      </c>
      <c r="AC106">
        <v>22</v>
      </c>
    </row>
    <row r="107" spans="1:30" x14ac:dyDescent="0.25">
      <c r="A107" s="1">
        <v>44784.035451388889</v>
      </c>
      <c r="B107" s="1">
        <v>44775.701319444444</v>
      </c>
      <c r="C107">
        <v>151708</v>
      </c>
      <c r="D107" t="s">
        <v>30</v>
      </c>
      <c r="E107" t="s">
        <v>31</v>
      </c>
      <c r="F107">
        <v>7</v>
      </c>
      <c r="G107">
        <v>43.192042999999998</v>
      </c>
      <c r="H107">
        <v>-71.541579999999996</v>
      </c>
      <c r="I107">
        <v>291</v>
      </c>
      <c r="J107">
        <v>93</v>
      </c>
      <c r="K107">
        <v>94</v>
      </c>
      <c r="L107" s="1">
        <v>44784.035439814812</v>
      </c>
      <c r="M107">
        <v>7.9</v>
      </c>
      <c r="N107">
        <v>7.6</v>
      </c>
      <c r="O107">
        <v>0.3</v>
      </c>
      <c r="P107">
        <v>4</v>
      </c>
      <c r="Q107">
        <v>0</v>
      </c>
      <c r="R107">
        <v>0</v>
      </c>
      <c r="S107">
        <v>0</v>
      </c>
      <c r="T107" t="s">
        <v>32</v>
      </c>
      <c r="V107">
        <v>42</v>
      </c>
      <c r="W107">
        <v>41</v>
      </c>
      <c r="X107">
        <v>1</v>
      </c>
      <c r="Y107">
        <v>0</v>
      </c>
      <c r="Z107">
        <v>0</v>
      </c>
      <c r="AA107">
        <v>0</v>
      </c>
      <c r="AB107" t="s">
        <v>33</v>
      </c>
      <c r="AC107">
        <v>41.5</v>
      </c>
    </row>
    <row r="108" spans="1:30" x14ac:dyDescent="0.25">
      <c r="A108" s="1">
        <v>44784.035451388889</v>
      </c>
      <c r="B108" s="1">
        <v>44784.033726851849</v>
      </c>
      <c r="C108">
        <v>143456</v>
      </c>
      <c r="D108" t="s">
        <v>34</v>
      </c>
      <c r="E108" t="s">
        <v>35</v>
      </c>
      <c r="F108">
        <v>7</v>
      </c>
      <c r="G108">
        <v>43.08963</v>
      </c>
      <c r="H108">
        <v>-71.502440000000007</v>
      </c>
      <c r="I108">
        <v>619</v>
      </c>
      <c r="J108">
        <v>71</v>
      </c>
      <c r="K108">
        <v>0</v>
      </c>
      <c r="L108" s="1">
        <v>44784.035439814812</v>
      </c>
      <c r="M108">
        <v>3.4</v>
      </c>
      <c r="N108">
        <v>3.6</v>
      </c>
      <c r="O108">
        <v>0.2</v>
      </c>
      <c r="P108">
        <v>6</v>
      </c>
      <c r="Q108">
        <v>0.1</v>
      </c>
      <c r="R108">
        <v>0.2</v>
      </c>
      <c r="S108">
        <v>0.15</v>
      </c>
      <c r="T108" t="s">
        <v>33</v>
      </c>
      <c r="U108">
        <v>3.5</v>
      </c>
      <c r="V108">
        <v>68</v>
      </c>
      <c r="W108">
        <v>0</v>
      </c>
      <c r="X108">
        <v>68</v>
      </c>
      <c r="Y108">
        <v>1</v>
      </c>
      <c r="Z108">
        <v>0</v>
      </c>
      <c r="AA108">
        <v>1</v>
      </c>
      <c r="AB108" t="s">
        <v>36</v>
      </c>
      <c r="AC108">
        <v>68</v>
      </c>
      <c r="AD108">
        <v>-0.47</v>
      </c>
    </row>
    <row r="109" spans="1:30" x14ac:dyDescent="0.25">
      <c r="A109" s="1">
        <v>44784.035462962966</v>
      </c>
      <c r="B109" s="1">
        <v>44784.033935185187</v>
      </c>
      <c r="C109">
        <v>151702</v>
      </c>
      <c r="D109" t="s">
        <v>37</v>
      </c>
      <c r="E109" t="s">
        <v>31</v>
      </c>
      <c r="F109">
        <v>7</v>
      </c>
      <c r="G109">
        <v>43.118609999999997</v>
      </c>
      <c r="H109">
        <v>-71.61618</v>
      </c>
      <c r="I109">
        <v>885</v>
      </c>
      <c r="J109">
        <v>0</v>
      </c>
      <c r="K109">
        <v>0</v>
      </c>
      <c r="L109" s="1">
        <v>44784.035439814812</v>
      </c>
      <c r="M109">
        <v>3.3</v>
      </c>
      <c r="N109">
        <v>3.1</v>
      </c>
      <c r="O109">
        <v>0.2</v>
      </c>
      <c r="P109">
        <v>6</v>
      </c>
      <c r="Q109">
        <v>0</v>
      </c>
      <c r="R109">
        <v>0.1</v>
      </c>
      <c r="S109">
        <v>0.05</v>
      </c>
      <c r="T109" t="s">
        <v>33</v>
      </c>
      <c r="U109">
        <v>3.2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">
        <v>38</v>
      </c>
    </row>
    <row r="110" spans="1:30" x14ac:dyDescent="0.25">
      <c r="A110" s="1">
        <v>44784.035462962966</v>
      </c>
      <c r="B110" s="1">
        <v>44784.033819444441</v>
      </c>
      <c r="C110">
        <v>151700</v>
      </c>
      <c r="D110" t="s">
        <v>30</v>
      </c>
      <c r="E110" t="s">
        <v>31</v>
      </c>
      <c r="F110">
        <v>7</v>
      </c>
      <c r="G110">
        <v>43.19211</v>
      </c>
      <c r="H110">
        <v>-71.541460000000001</v>
      </c>
      <c r="I110">
        <v>286</v>
      </c>
      <c r="J110">
        <v>73</v>
      </c>
      <c r="K110">
        <v>0</v>
      </c>
      <c r="L110" s="1">
        <v>44784.035439814812</v>
      </c>
      <c r="M110">
        <v>2.6</v>
      </c>
      <c r="N110">
        <v>3</v>
      </c>
      <c r="O110">
        <v>0.4</v>
      </c>
      <c r="P110">
        <v>14</v>
      </c>
      <c r="Q110">
        <v>0.2</v>
      </c>
      <c r="R110">
        <v>0.1</v>
      </c>
      <c r="S110">
        <v>0.15</v>
      </c>
      <c r="T110" t="s">
        <v>33</v>
      </c>
      <c r="U110">
        <v>2.8</v>
      </c>
      <c r="V110">
        <v>63</v>
      </c>
      <c r="W110">
        <v>0</v>
      </c>
      <c r="X110">
        <v>63</v>
      </c>
      <c r="Y110">
        <v>0</v>
      </c>
      <c r="Z110">
        <v>0</v>
      </c>
      <c r="AA110">
        <v>0</v>
      </c>
      <c r="AB110" t="s">
        <v>36</v>
      </c>
      <c r="AC110">
        <v>63</v>
      </c>
      <c r="AD110">
        <v>-0.54</v>
      </c>
    </row>
    <row r="111" spans="1:30" x14ac:dyDescent="0.25">
      <c r="A111" s="1">
        <v>44784.035462962966</v>
      </c>
      <c r="B111" s="1">
        <v>44784.034224537034</v>
      </c>
      <c r="C111">
        <v>135984</v>
      </c>
      <c r="D111" t="s">
        <v>39</v>
      </c>
      <c r="E111" t="s">
        <v>31</v>
      </c>
      <c r="F111">
        <v>7</v>
      </c>
      <c r="G111">
        <v>43.565852999999997</v>
      </c>
      <c r="H111">
        <v>-71.496129999999994</v>
      </c>
      <c r="I111">
        <v>708</v>
      </c>
      <c r="J111">
        <v>67</v>
      </c>
      <c r="K111">
        <v>0</v>
      </c>
      <c r="L111" s="1">
        <v>44784.035439814812</v>
      </c>
      <c r="M111">
        <v>5.5</v>
      </c>
      <c r="N111">
        <v>4.5999999999999996</v>
      </c>
      <c r="O111">
        <v>0.9</v>
      </c>
      <c r="P111">
        <v>18</v>
      </c>
      <c r="Q111">
        <v>0.1</v>
      </c>
      <c r="R111">
        <v>0.1</v>
      </c>
      <c r="S111">
        <v>0.1</v>
      </c>
      <c r="T111" t="s">
        <v>33</v>
      </c>
      <c r="U111">
        <v>5.05</v>
      </c>
      <c r="V111">
        <v>100</v>
      </c>
      <c r="W111">
        <v>0</v>
      </c>
      <c r="X111">
        <v>100</v>
      </c>
      <c r="Y111">
        <v>0</v>
      </c>
      <c r="Z111">
        <v>0</v>
      </c>
      <c r="AA111">
        <v>0</v>
      </c>
      <c r="AB111" t="s">
        <v>36</v>
      </c>
      <c r="AC111">
        <v>100</v>
      </c>
      <c r="AD111">
        <v>-1.76</v>
      </c>
    </row>
    <row r="112" spans="1:30" x14ac:dyDescent="0.25">
      <c r="A112" s="1">
        <v>44784.035462962966</v>
      </c>
      <c r="B112" s="1">
        <v>44780.394780092596</v>
      </c>
      <c r="C112">
        <v>151712</v>
      </c>
      <c r="D112" t="s">
        <v>40</v>
      </c>
      <c r="E112" t="s">
        <v>31</v>
      </c>
      <c r="F112">
        <v>7</v>
      </c>
      <c r="G112">
        <v>43.289763999999998</v>
      </c>
      <c r="H112">
        <v>-71.564260000000004</v>
      </c>
      <c r="I112">
        <v>370</v>
      </c>
      <c r="J112">
        <v>86</v>
      </c>
      <c r="K112">
        <v>0</v>
      </c>
      <c r="L112" s="1">
        <v>44784.035439814812</v>
      </c>
      <c r="M112">
        <v>14</v>
      </c>
      <c r="N112">
        <v>13.2</v>
      </c>
      <c r="O112">
        <v>0.8</v>
      </c>
      <c r="P112">
        <v>6</v>
      </c>
      <c r="Q112">
        <v>0</v>
      </c>
      <c r="R112">
        <v>0</v>
      </c>
      <c r="S112">
        <v>0</v>
      </c>
      <c r="T112" t="s">
        <v>32</v>
      </c>
      <c r="V112">
        <v>59</v>
      </c>
      <c r="W112">
        <v>0</v>
      </c>
      <c r="X112">
        <v>59</v>
      </c>
      <c r="Y112">
        <v>0</v>
      </c>
      <c r="Z112">
        <v>0</v>
      </c>
      <c r="AA112">
        <v>0</v>
      </c>
      <c r="AB112" t="s">
        <v>36</v>
      </c>
      <c r="AC112">
        <v>59</v>
      </c>
    </row>
    <row r="113" spans="1:30" x14ac:dyDescent="0.25">
      <c r="A113" s="1">
        <v>44784.035474537035</v>
      </c>
      <c r="B113" s="1">
        <v>44784.033506944441</v>
      </c>
      <c r="C113">
        <v>151710</v>
      </c>
      <c r="D113" t="s">
        <v>41</v>
      </c>
      <c r="E113" t="s">
        <v>31</v>
      </c>
      <c r="F113">
        <v>7</v>
      </c>
      <c r="G113">
        <v>43.132477000000002</v>
      </c>
      <c r="H113">
        <v>-71.458374000000006</v>
      </c>
      <c r="I113">
        <v>230</v>
      </c>
      <c r="J113">
        <v>72</v>
      </c>
      <c r="K113">
        <v>0</v>
      </c>
      <c r="L113" s="1">
        <v>44784.035439814812</v>
      </c>
      <c r="M113">
        <v>4.0999999999999996</v>
      </c>
      <c r="N113">
        <v>2.8</v>
      </c>
      <c r="O113">
        <v>1.3</v>
      </c>
      <c r="P113">
        <v>38</v>
      </c>
      <c r="Q113">
        <v>0</v>
      </c>
      <c r="R113">
        <v>0.1</v>
      </c>
      <c r="S113">
        <v>0.05</v>
      </c>
      <c r="T113" t="s">
        <v>33</v>
      </c>
      <c r="U113">
        <v>3.45</v>
      </c>
      <c r="V113">
        <v>61</v>
      </c>
      <c r="W113">
        <v>0</v>
      </c>
      <c r="X113">
        <v>61</v>
      </c>
      <c r="Y113">
        <v>0</v>
      </c>
      <c r="Z113">
        <v>0</v>
      </c>
      <c r="AA113">
        <v>0</v>
      </c>
      <c r="AB113" t="s">
        <v>36</v>
      </c>
      <c r="AC113">
        <v>61</v>
      </c>
      <c r="AD113">
        <v>-0.01</v>
      </c>
    </row>
    <row r="114" spans="1:30" x14ac:dyDescent="0.25">
      <c r="A114" s="1">
        <v>44784.035474537035</v>
      </c>
      <c r="B114" s="1">
        <v>44784.03460648148</v>
      </c>
      <c r="C114">
        <v>151706</v>
      </c>
      <c r="D114" t="s">
        <v>42</v>
      </c>
      <c r="E114" t="s">
        <v>31</v>
      </c>
      <c r="F114">
        <v>7</v>
      </c>
      <c r="G114">
        <v>43.004080000000002</v>
      </c>
      <c r="H114">
        <v>-71.177040000000005</v>
      </c>
      <c r="I114">
        <v>194</v>
      </c>
      <c r="J114">
        <v>71</v>
      </c>
      <c r="K114">
        <v>0</v>
      </c>
      <c r="L114" s="1">
        <v>44784.035439814812</v>
      </c>
      <c r="M114">
        <v>1.5</v>
      </c>
      <c r="N114">
        <v>0</v>
      </c>
      <c r="O114">
        <v>1.5</v>
      </c>
      <c r="P114">
        <v>200</v>
      </c>
      <c r="Q114">
        <v>0.1</v>
      </c>
      <c r="R114">
        <v>0</v>
      </c>
      <c r="S114">
        <v>0.05</v>
      </c>
      <c r="T114" t="s">
        <v>43</v>
      </c>
      <c r="V114">
        <v>66</v>
      </c>
      <c r="W114">
        <v>0</v>
      </c>
      <c r="X114">
        <v>66</v>
      </c>
      <c r="Y114">
        <v>0</v>
      </c>
      <c r="Z114">
        <v>0</v>
      </c>
      <c r="AA114">
        <v>0</v>
      </c>
      <c r="AB114" t="s">
        <v>36</v>
      </c>
      <c r="AC114">
        <v>66</v>
      </c>
    </row>
    <row r="115" spans="1:30" x14ac:dyDescent="0.25">
      <c r="A115" s="1">
        <v>44784.035474537035</v>
      </c>
      <c r="B115" s="1">
        <v>44784.034282407411</v>
      </c>
      <c r="C115">
        <v>12212</v>
      </c>
      <c r="D115" t="s">
        <v>44</v>
      </c>
      <c r="E115" t="s">
        <v>35</v>
      </c>
      <c r="F115">
        <v>7</v>
      </c>
      <c r="G115">
        <v>42.930529999999997</v>
      </c>
      <c r="H115">
        <v>-72.272350000000003</v>
      </c>
      <c r="I115">
        <v>476</v>
      </c>
      <c r="J115">
        <v>77</v>
      </c>
      <c r="K115">
        <v>0</v>
      </c>
      <c r="L115" s="1">
        <v>44784.035439814812</v>
      </c>
      <c r="M115">
        <v>2.7</v>
      </c>
      <c r="N115">
        <v>2.1</v>
      </c>
      <c r="O115">
        <v>0.6</v>
      </c>
      <c r="P115">
        <v>25</v>
      </c>
      <c r="Q115">
        <v>0.1</v>
      </c>
      <c r="R115">
        <v>0.1</v>
      </c>
      <c r="S115">
        <v>0.1</v>
      </c>
      <c r="T115" t="s">
        <v>33</v>
      </c>
      <c r="U115">
        <v>2.4</v>
      </c>
      <c r="V115">
        <v>77</v>
      </c>
      <c r="W115">
        <v>0</v>
      </c>
      <c r="X115">
        <v>77</v>
      </c>
      <c r="Y115">
        <v>5</v>
      </c>
      <c r="Z115">
        <v>0</v>
      </c>
      <c r="AA115">
        <v>5</v>
      </c>
      <c r="AB115" t="s">
        <v>36</v>
      </c>
      <c r="AC115">
        <v>77</v>
      </c>
      <c r="AD115">
        <v>-1.77</v>
      </c>
    </row>
    <row r="116" spans="1:30" x14ac:dyDescent="0.25">
      <c r="A116" s="1">
        <v>44784.035474537035</v>
      </c>
      <c r="B116" s="1">
        <v>44769.376736111109</v>
      </c>
      <c r="C116">
        <v>12178</v>
      </c>
      <c r="D116" t="s">
        <v>45</v>
      </c>
      <c r="E116" t="s">
        <v>35</v>
      </c>
      <c r="F116">
        <v>7</v>
      </c>
      <c r="G116">
        <v>42.899563000000001</v>
      </c>
      <c r="H116">
        <v>-71.464650000000006</v>
      </c>
      <c r="I116">
        <v>301</v>
      </c>
      <c r="J116">
        <v>85</v>
      </c>
      <c r="K116">
        <v>0</v>
      </c>
      <c r="L116" s="1">
        <v>44784.035439814812</v>
      </c>
      <c r="M116">
        <v>3.8</v>
      </c>
      <c r="N116">
        <v>3.1</v>
      </c>
      <c r="O116">
        <v>0.7</v>
      </c>
      <c r="P116">
        <v>20</v>
      </c>
      <c r="Q116">
        <v>0</v>
      </c>
      <c r="R116">
        <v>0</v>
      </c>
      <c r="S116">
        <v>0</v>
      </c>
      <c r="T116" t="s">
        <v>32</v>
      </c>
      <c r="V116">
        <v>35</v>
      </c>
      <c r="W116">
        <v>0</v>
      </c>
      <c r="X116">
        <v>35</v>
      </c>
      <c r="Y116">
        <v>0</v>
      </c>
      <c r="Z116">
        <v>0</v>
      </c>
      <c r="AA116">
        <v>0</v>
      </c>
      <c r="AB116" t="s">
        <v>36</v>
      </c>
      <c r="AC116">
        <v>35</v>
      </c>
    </row>
    <row r="117" spans="1:30" x14ac:dyDescent="0.25">
      <c r="A117" s="1">
        <v>44784.035474537035</v>
      </c>
      <c r="B117" s="1">
        <v>44784.033634259256</v>
      </c>
      <c r="C117">
        <v>75981</v>
      </c>
      <c r="D117" t="s">
        <v>46</v>
      </c>
      <c r="E117" t="s">
        <v>35</v>
      </c>
      <c r="F117">
        <v>7</v>
      </c>
      <c r="G117">
        <v>42.97</v>
      </c>
      <c r="H117">
        <v>-71.06</v>
      </c>
      <c r="I117">
        <v>136</v>
      </c>
      <c r="J117">
        <v>75</v>
      </c>
      <c r="K117">
        <v>0</v>
      </c>
      <c r="L117" s="1">
        <v>44784.035439814812</v>
      </c>
      <c r="M117">
        <v>2.7</v>
      </c>
      <c r="N117">
        <v>2.7</v>
      </c>
      <c r="O117">
        <v>0</v>
      </c>
      <c r="P117">
        <v>0</v>
      </c>
      <c r="Q117">
        <v>0</v>
      </c>
      <c r="R117">
        <v>0.2</v>
      </c>
      <c r="S117">
        <v>0.1</v>
      </c>
      <c r="T117" t="s">
        <v>33</v>
      </c>
      <c r="U117">
        <v>2.7</v>
      </c>
      <c r="V117">
        <v>59</v>
      </c>
      <c r="W117">
        <v>0</v>
      </c>
      <c r="X117">
        <v>59</v>
      </c>
      <c r="Y117">
        <v>0</v>
      </c>
      <c r="Z117">
        <v>0</v>
      </c>
      <c r="AA117">
        <v>0</v>
      </c>
      <c r="AB117" t="s">
        <v>36</v>
      </c>
      <c r="AC117">
        <v>59</v>
      </c>
      <c r="AD117">
        <v>-0.32</v>
      </c>
    </row>
    <row r="118" spans="1:30" x14ac:dyDescent="0.25">
      <c r="A118" s="1">
        <v>44784.035486111112</v>
      </c>
      <c r="B118" s="1">
        <v>44784.034166666665</v>
      </c>
      <c r="C118">
        <v>115703</v>
      </c>
      <c r="D118" t="s">
        <v>47</v>
      </c>
      <c r="E118" t="s">
        <v>35</v>
      </c>
      <c r="F118">
        <v>7</v>
      </c>
      <c r="G118">
        <v>43.953625000000002</v>
      </c>
      <c r="H118">
        <v>-71.508859999999999</v>
      </c>
      <c r="I118">
        <v>1493</v>
      </c>
      <c r="J118">
        <v>63</v>
      </c>
      <c r="K118">
        <v>0</v>
      </c>
      <c r="L118" s="1">
        <v>44784.035439814812</v>
      </c>
      <c r="M118">
        <v>0</v>
      </c>
      <c r="N118">
        <v>300.89999999999998</v>
      </c>
      <c r="O118">
        <v>300.89999999999998</v>
      </c>
      <c r="P118">
        <v>200</v>
      </c>
      <c r="Q118">
        <v>0</v>
      </c>
      <c r="R118">
        <v>0</v>
      </c>
      <c r="S118">
        <v>0</v>
      </c>
      <c r="T118" t="s">
        <v>48</v>
      </c>
      <c r="V118">
        <v>67</v>
      </c>
      <c r="W118">
        <v>0</v>
      </c>
      <c r="X118">
        <v>67</v>
      </c>
      <c r="Y118">
        <v>1</v>
      </c>
      <c r="Z118">
        <v>0</v>
      </c>
      <c r="AA118">
        <v>1</v>
      </c>
      <c r="AB118" t="s">
        <v>36</v>
      </c>
      <c r="AC118">
        <v>67</v>
      </c>
    </row>
    <row r="119" spans="1:30" x14ac:dyDescent="0.25">
      <c r="A119" s="1">
        <v>44784.035486111112</v>
      </c>
      <c r="B119" s="1">
        <v>44784.033576388887</v>
      </c>
      <c r="C119">
        <v>12050</v>
      </c>
      <c r="D119" t="s">
        <v>49</v>
      </c>
      <c r="E119" t="s">
        <v>35</v>
      </c>
      <c r="F119">
        <v>7</v>
      </c>
      <c r="G119">
        <v>44.220573000000002</v>
      </c>
      <c r="H119">
        <v>-71.732315</v>
      </c>
      <c r="I119">
        <v>999</v>
      </c>
      <c r="J119">
        <v>70</v>
      </c>
      <c r="K119">
        <v>0</v>
      </c>
      <c r="L119" s="1">
        <v>44784.035439814812</v>
      </c>
      <c r="M119">
        <v>2.5</v>
      </c>
      <c r="N119">
        <v>2.4</v>
      </c>
      <c r="O119">
        <v>0.1</v>
      </c>
      <c r="P119">
        <v>4</v>
      </c>
      <c r="Q119">
        <v>0.2</v>
      </c>
      <c r="R119">
        <v>0.3</v>
      </c>
      <c r="S119">
        <v>0.25</v>
      </c>
      <c r="T119" t="s">
        <v>33</v>
      </c>
      <c r="U119">
        <v>2.4500000000000002</v>
      </c>
      <c r="V119">
        <v>57</v>
      </c>
      <c r="W119">
        <v>0</v>
      </c>
      <c r="X119">
        <v>57</v>
      </c>
      <c r="Y119">
        <v>0</v>
      </c>
      <c r="Z119">
        <v>0</v>
      </c>
      <c r="AA119">
        <v>0</v>
      </c>
      <c r="AB119" t="s">
        <v>36</v>
      </c>
      <c r="AC119">
        <v>57</v>
      </c>
      <c r="AD119">
        <v>-0.34</v>
      </c>
    </row>
    <row r="120" spans="1:30" x14ac:dyDescent="0.25">
      <c r="A120" s="1">
        <v>44784.035486111112</v>
      </c>
      <c r="B120" s="1">
        <v>44784.033680555556</v>
      </c>
      <c r="C120">
        <v>23443</v>
      </c>
      <c r="D120" t="s">
        <v>50</v>
      </c>
      <c r="E120" t="s">
        <v>35</v>
      </c>
      <c r="F120">
        <v>7</v>
      </c>
      <c r="G120">
        <v>43.556139999999999</v>
      </c>
      <c r="H120">
        <v>-72.370990000000006</v>
      </c>
      <c r="I120">
        <v>523</v>
      </c>
      <c r="J120">
        <v>71</v>
      </c>
      <c r="K120">
        <v>0</v>
      </c>
      <c r="L120" s="1">
        <v>44784.035439814812</v>
      </c>
      <c r="M120">
        <v>3.2</v>
      </c>
      <c r="N120">
        <v>2.6</v>
      </c>
      <c r="O120">
        <v>0.6</v>
      </c>
      <c r="P120">
        <v>21</v>
      </c>
      <c r="Q120">
        <v>0.1</v>
      </c>
      <c r="R120">
        <v>0</v>
      </c>
      <c r="S120">
        <v>0.05</v>
      </c>
      <c r="T120" t="s">
        <v>33</v>
      </c>
      <c r="U120">
        <v>2.9</v>
      </c>
      <c r="V120">
        <v>64</v>
      </c>
      <c r="W120">
        <v>0</v>
      </c>
      <c r="X120">
        <v>64</v>
      </c>
      <c r="Y120">
        <v>0</v>
      </c>
      <c r="Z120">
        <v>0</v>
      </c>
      <c r="AA120">
        <v>0</v>
      </c>
      <c r="AB120" t="s">
        <v>36</v>
      </c>
      <c r="AC120">
        <v>64</v>
      </c>
      <c r="AD120">
        <v>-0.55000000000000004</v>
      </c>
    </row>
    <row r="121" spans="1:30" x14ac:dyDescent="0.25">
      <c r="A121" s="1">
        <v>44784.035486111112</v>
      </c>
      <c r="B121" s="1">
        <v>44784.033784722225</v>
      </c>
      <c r="C121">
        <v>58135</v>
      </c>
      <c r="D121" t="s">
        <v>51</v>
      </c>
      <c r="E121" t="s">
        <v>35</v>
      </c>
      <c r="F121">
        <v>7</v>
      </c>
      <c r="G121">
        <v>42.883873000000001</v>
      </c>
      <c r="H121">
        <v>-71.972915999999998</v>
      </c>
      <c r="I121">
        <v>808</v>
      </c>
      <c r="J121">
        <v>72</v>
      </c>
      <c r="K121">
        <v>0</v>
      </c>
      <c r="L121" s="1">
        <v>44784.035439814812</v>
      </c>
      <c r="M121">
        <v>6.9</v>
      </c>
      <c r="N121">
        <v>5.2</v>
      </c>
      <c r="O121">
        <v>1.7</v>
      </c>
      <c r="P121">
        <v>28</v>
      </c>
      <c r="Q121">
        <v>0.1</v>
      </c>
      <c r="R121">
        <v>0.3</v>
      </c>
      <c r="S121">
        <v>0.2</v>
      </c>
      <c r="T121" t="s">
        <v>33</v>
      </c>
      <c r="U121">
        <v>6.05</v>
      </c>
      <c r="V121">
        <v>71</v>
      </c>
      <c r="W121">
        <v>0</v>
      </c>
      <c r="X121">
        <v>71</v>
      </c>
      <c r="Y121">
        <v>0</v>
      </c>
      <c r="Z121">
        <v>0</v>
      </c>
      <c r="AA121">
        <v>0</v>
      </c>
      <c r="AB121" t="s">
        <v>36</v>
      </c>
      <c r="AC121">
        <v>71</v>
      </c>
      <c r="AD121">
        <v>0.88</v>
      </c>
    </row>
    <row r="122" spans="1:30" x14ac:dyDescent="0.25">
      <c r="A122" s="1">
        <v>44784.035497685189</v>
      </c>
      <c r="B122" s="1">
        <v>44784.033842592595</v>
      </c>
      <c r="C122">
        <v>148555</v>
      </c>
      <c r="D122" t="s">
        <v>52</v>
      </c>
      <c r="E122" t="s">
        <v>53</v>
      </c>
      <c r="F122">
        <v>7</v>
      </c>
      <c r="G122">
        <v>42.904949999999999</v>
      </c>
      <c r="H122">
        <v>-71.386764999999997</v>
      </c>
      <c r="I122">
        <v>363</v>
      </c>
      <c r="J122">
        <v>0</v>
      </c>
      <c r="K122">
        <v>0</v>
      </c>
      <c r="L122" s="1">
        <v>44784.035439814812</v>
      </c>
      <c r="M122">
        <v>1.4</v>
      </c>
      <c r="N122">
        <v>2</v>
      </c>
      <c r="O122">
        <v>0.6</v>
      </c>
      <c r="P122">
        <v>35</v>
      </c>
      <c r="Q122">
        <v>0</v>
      </c>
      <c r="R122">
        <v>0</v>
      </c>
      <c r="S122">
        <v>0</v>
      </c>
      <c r="T122" t="s">
        <v>33</v>
      </c>
      <c r="U122">
        <v>1.7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">
        <v>38</v>
      </c>
    </row>
    <row r="123" spans="1:30" x14ac:dyDescent="0.25">
      <c r="A123" s="1">
        <v>44784.035497685189</v>
      </c>
      <c r="B123" s="1">
        <v>44784.034768518519</v>
      </c>
      <c r="C123">
        <v>146644</v>
      </c>
      <c r="D123" t="s">
        <v>54</v>
      </c>
      <c r="E123" t="s">
        <v>53</v>
      </c>
      <c r="F123">
        <v>7</v>
      </c>
      <c r="G123">
        <v>43.06015</v>
      </c>
      <c r="H123">
        <v>-70.758930000000007</v>
      </c>
      <c r="I123">
        <v>35</v>
      </c>
      <c r="J123">
        <v>69</v>
      </c>
      <c r="K123">
        <v>70</v>
      </c>
      <c r="L123" s="1">
        <v>44784.035439814812</v>
      </c>
      <c r="M123">
        <v>3.3</v>
      </c>
      <c r="N123">
        <v>2.4</v>
      </c>
      <c r="O123">
        <v>0.9</v>
      </c>
      <c r="P123">
        <v>32</v>
      </c>
      <c r="Q123">
        <v>0.1</v>
      </c>
      <c r="R123">
        <v>0</v>
      </c>
      <c r="S123">
        <v>0.05</v>
      </c>
      <c r="T123" t="s">
        <v>33</v>
      </c>
      <c r="U123">
        <v>2.85</v>
      </c>
      <c r="V123">
        <v>68</v>
      </c>
      <c r="W123">
        <v>73</v>
      </c>
      <c r="X123">
        <v>5</v>
      </c>
      <c r="Y123">
        <v>1</v>
      </c>
      <c r="Z123">
        <v>0</v>
      </c>
      <c r="AA123">
        <v>1</v>
      </c>
      <c r="AB123" t="s">
        <v>33</v>
      </c>
      <c r="AC123">
        <v>70.5</v>
      </c>
      <c r="AD123">
        <v>-1.04</v>
      </c>
    </row>
    <row r="124" spans="1:30" x14ac:dyDescent="0.25">
      <c r="A124" s="1">
        <v>44784.035497685189</v>
      </c>
      <c r="B124" s="1">
        <v>43755.283437500002</v>
      </c>
      <c r="C124">
        <v>12188</v>
      </c>
      <c r="D124" t="s">
        <v>55</v>
      </c>
      <c r="E124" t="s">
        <v>35</v>
      </c>
      <c r="F124">
        <v>4.1100000000000003</v>
      </c>
      <c r="G124">
        <v>42.927050000000001</v>
      </c>
      <c r="H124">
        <v>-72.279610000000005</v>
      </c>
      <c r="I124">
        <v>475</v>
      </c>
      <c r="J124">
        <v>95</v>
      </c>
      <c r="K124">
        <v>0</v>
      </c>
      <c r="L124" s="1">
        <v>44784.035439814812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 t="s">
        <v>32</v>
      </c>
      <c r="V124">
        <v>77</v>
      </c>
      <c r="W124">
        <v>0</v>
      </c>
      <c r="X124">
        <v>77</v>
      </c>
      <c r="Y124">
        <v>0</v>
      </c>
      <c r="Z124">
        <v>0</v>
      </c>
      <c r="AA124">
        <v>0</v>
      </c>
      <c r="AB124" t="s">
        <v>36</v>
      </c>
      <c r="AC124">
        <v>77</v>
      </c>
    </row>
    <row r="125" spans="1:30" x14ac:dyDescent="0.25">
      <c r="A125" s="1">
        <v>44784.035497685189</v>
      </c>
      <c r="B125" s="1">
        <v>44784.033680555556</v>
      </c>
      <c r="C125">
        <v>1224</v>
      </c>
      <c r="D125" t="s">
        <v>56</v>
      </c>
      <c r="E125" t="s">
        <v>35</v>
      </c>
      <c r="F125" t="s">
        <v>57</v>
      </c>
      <c r="G125">
        <v>42.938034000000002</v>
      </c>
      <c r="H125">
        <v>-72.259299999999996</v>
      </c>
      <c r="I125">
        <v>792</v>
      </c>
      <c r="J125">
        <v>77</v>
      </c>
      <c r="K125">
        <v>0</v>
      </c>
      <c r="L125" s="1">
        <v>44784.035439814812</v>
      </c>
      <c r="M125">
        <v>2.4</v>
      </c>
      <c r="N125">
        <v>0</v>
      </c>
      <c r="O125">
        <v>2.4</v>
      </c>
      <c r="P125">
        <v>200</v>
      </c>
      <c r="Q125">
        <v>0</v>
      </c>
      <c r="R125">
        <v>0</v>
      </c>
      <c r="S125">
        <v>0</v>
      </c>
      <c r="T125" t="s">
        <v>43</v>
      </c>
      <c r="V125">
        <v>80</v>
      </c>
      <c r="W125">
        <v>0</v>
      </c>
      <c r="X125">
        <v>80</v>
      </c>
      <c r="Y125">
        <v>0</v>
      </c>
      <c r="Z125">
        <v>0</v>
      </c>
      <c r="AA125">
        <v>0</v>
      </c>
      <c r="AB125" t="s">
        <v>36</v>
      </c>
      <c r="AC125">
        <v>80</v>
      </c>
    </row>
    <row r="126" spans="1:30" x14ac:dyDescent="0.25">
      <c r="A126" s="1">
        <v>44784.035497685189</v>
      </c>
      <c r="B126" s="1">
        <v>44784.034513888888</v>
      </c>
      <c r="C126">
        <v>1202</v>
      </c>
      <c r="D126" t="s">
        <v>58</v>
      </c>
      <c r="E126" t="s">
        <v>35</v>
      </c>
      <c r="F126" t="s">
        <v>57</v>
      </c>
      <c r="G126">
        <v>42.936554000000001</v>
      </c>
      <c r="H126">
        <v>-72.271019999999993</v>
      </c>
      <c r="I126">
        <v>488</v>
      </c>
      <c r="J126">
        <v>0</v>
      </c>
      <c r="K126">
        <v>0</v>
      </c>
      <c r="L126" s="1">
        <v>44784.035439814812</v>
      </c>
      <c r="M126">
        <v>2.4</v>
      </c>
      <c r="N126">
        <v>2.2000000000000002</v>
      </c>
      <c r="O126">
        <v>0.2</v>
      </c>
      <c r="P126">
        <v>9</v>
      </c>
      <c r="Q126">
        <v>0</v>
      </c>
      <c r="R126">
        <v>0</v>
      </c>
      <c r="S126">
        <v>0</v>
      </c>
      <c r="T126" t="s">
        <v>33</v>
      </c>
      <c r="U126">
        <v>2.2999999999999998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38</v>
      </c>
    </row>
    <row r="127" spans="1:30" x14ac:dyDescent="0.25">
      <c r="A127" s="1">
        <v>44784.035509259258</v>
      </c>
      <c r="B127" s="1">
        <v>44612.080023148148</v>
      </c>
      <c r="C127">
        <v>25985</v>
      </c>
      <c r="D127" t="s">
        <v>59</v>
      </c>
      <c r="E127" t="s">
        <v>35</v>
      </c>
      <c r="F127">
        <v>6.01</v>
      </c>
      <c r="G127">
        <v>42.927326000000001</v>
      </c>
      <c r="H127">
        <v>-72.279979999999995</v>
      </c>
      <c r="I127">
        <v>477</v>
      </c>
      <c r="J127">
        <v>78</v>
      </c>
      <c r="K127">
        <v>0</v>
      </c>
      <c r="L127" s="1">
        <v>44784.035439814812</v>
      </c>
      <c r="M127">
        <v>1.1000000000000001</v>
      </c>
      <c r="N127">
        <v>1</v>
      </c>
      <c r="O127">
        <v>0.1</v>
      </c>
      <c r="P127">
        <v>10</v>
      </c>
      <c r="Q127">
        <v>0</v>
      </c>
      <c r="R127">
        <v>0</v>
      </c>
      <c r="S127">
        <v>0</v>
      </c>
      <c r="T127" t="s">
        <v>32</v>
      </c>
      <c r="V127">
        <v>22</v>
      </c>
      <c r="W127">
        <v>0</v>
      </c>
      <c r="X127">
        <v>22</v>
      </c>
      <c r="Y127">
        <v>0</v>
      </c>
      <c r="Z127">
        <v>0</v>
      </c>
      <c r="AA127">
        <v>0</v>
      </c>
      <c r="AB127" t="s">
        <v>36</v>
      </c>
      <c r="AC127">
        <v>22</v>
      </c>
    </row>
    <row r="128" spans="1:30" x14ac:dyDescent="0.25">
      <c r="A128" s="1">
        <v>44784.042395833334</v>
      </c>
      <c r="B128" s="1">
        <v>44775.701319444444</v>
      </c>
      <c r="C128">
        <v>151708</v>
      </c>
      <c r="D128" t="s">
        <v>30</v>
      </c>
      <c r="E128" t="s">
        <v>31</v>
      </c>
      <c r="F128">
        <v>7</v>
      </c>
      <c r="G128">
        <v>43.192042999999998</v>
      </c>
      <c r="H128">
        <v>-71.541579999999996</v>
      </c>
      <c r="I128">
        <v>291</v>
      </c>
      <c r="J128">
        <v>93</v>
      </c>
      <c r="K128">
        <v>94</v>
      </c>
      <c r="L128" s="1">
        <v>44784.042384259257</v>
      </c>
      <c r="M128">
        <v>7.9</v>
      </c>
      <c r="N128">
        <v>7.6</v>
      </c>
      <c r="O128">
        <v>0.3</v>
      </c>
      <c r="P128">
        <v>4</v>
      </c>
      <c r="Q128">
        <v>0</v>
      </c>
      <c r="R128">
        <v>0</v>
      </c>
      <c r="S128">
        <v>0</v>
      </c>
      <c r="T128" t="s">
        <v>32</v>
      </c>
      <c r="V128">
        <v>42</v>
      </c>
      <c r="W128">
        <v>41</v>
      </c>
      <c r="X128">
        <v>1</v>
      </c>
      <c r="Y128">
        <v>0</v>
      </c>
      <c r="Z128">
        <v>0</v>
      </c>
      <c r="AA128">
        <v>0</v>
      </c>
      <c r="AB128" t="s">
        <v>33</v>
      </c>
      <c r="AC128">
        <v>41.5</v>
      </c>
    </row>
    <row r="129" spans="1:30" x14ac:dyDescent="0.25">
      <c r="A129" s="1">
        <v>44784.042395833334</v>
      </c>
      <c r="B129" s="1">
        <v>44784.040682870371</v>
      </c>
      <c r="C129">
        <v>143456</v>
      </c>
      <c r="D129" t="s">
        <v>34</v>
      </c>
      <c r="E129" t="s">
        <v>35</v>
      </c>
      <c r="F129">
        <v>7</v>
      </c>
      <c r="G129">
        <v>43.08963</v>
      </c>
      <c r="H129">
        <v>-71.502440000000007</v>
      </c>
      <c r="I129">
        <v>619</v>
      </c>
      <c r="J129">
        <v>70</v>
      </c>
      <c r="K129">
        <v>0</v>
      </c>
      <c r="L129" s="1">
        <v>44784.042384259257</v>
      </c>
      <c r="M129">
        <v>3.5</v>
      </c>
      <c r="N129">
        <v>3.5</v>
      </c>
      <c r="O129">
        <v>0</v>
      </c>
      <c r="P129">
        <v>0</v>
      </c>
      <c r="Q129">
        <v>0.1</v>
      </c>
      <c r="R129">
        <v>0.1</v>
      </c>
      <c r="S129">
        <v>0.1</v>
      </c>
      <c r="T129" t="s">
        <v>33</v>
      </c>
      <c r="U129">
        <v>3.5</v>
      </c>
      <c r="V129">
        <v>69</v>
      </c>
      <c r="W129">
        <v>0</v>
      </c>
      <c r="X129">
        <v>69</v>
      </c>
      <c r="Y129">
        <v>1</v>
      </c>
      <c r="Z129">
        <v>0</v>
      </c>
      <c r="AA129">
        <v>1</v>
      </c>
      <c r="AB129" t="s">
        <v>36</v>
      </c>
      <c r="AC129">
        <v>69</v>
      </c>
      <c r="AD129">
        <v>-0.54</v>
      </c>
    </row>
    <row r="130" spans="1:30" x14ac:dyDescent="0.25">
      <c r="A130" s="1">
        <v>44784.042407407411</v>
      </c>
      <c r="B130" s="1">
        <v>44784.040879629632</v>
      </c>
      <c r="C130">
        <v>151702</v>
      </c>
      <c r="D130" t="s">
        <v>37</v>
      </c>
      <c r="E130" t="s">
        <v>31</v>
      </c>
      <c r="F130">
        <v>7</v>
      </c>
      <c r="G130">
        <v>43.118609999999997</v>
      </c>
      <c r="H130">
        <v>-71.61618</v>
      </c>
      <c r="I130">
        <v>885</v>
      </c>
      <c r="J130">
        <v>0</v>
      </c>
      <c r="K130">
        <v>0</v>
      </c>
      <c r="L130" s="1">
        <v>44784.042384259257</v>
      </c>
      <c r="M130">
        <v>3.4</v>
      </c>
      <c r="N130">
        <v>3.1</v>
      </c>
      <c r="O130">
        <v>0.3</v>
      </c>
      <c r="P130">
        <v>9</v>
      </c>
      <c r="Q130">
        <v>0.1</v>
      </c>
      <c r="R130">
        <v>0</v>
      </c>
      <c r="S130">
        <v>0.05</v>
      </c>
      <c r="T130" t="s">
        <v>33</v>
      </c>
      <c r="U130">
        <v>3.25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">
        <v>38</v>
      </c>
    </row>
    <row r="131" spans="1:30" x14ac:dyDescent="0.25">
      <c r="A131" s="1">
        <v>44784.042407407411</v>
      </c>
      <c r="B131" s="1">
        <v>44784.040763888886</v>
      </c>
      <c r="C131">
        <v>151700</v>
      </c>
      <c r="D131" t="s">
        <v>30</v>
      </c>
      <c r="E131" t="s">
        <v>31</v>
      </c>
      <c r="F131">
        <v>7</v>
      </c>
      <c r="G131">
        <v>43.19211</v>
      </c>
      <c r="H131">
        <v>-71.541460000000001</v>
      </c>
      <c r="I131">
        <v>286</v>
      </c>
      <c r="J131">
        <v>72</v>
      </c>
      <c r="K131">
        <v>0</v>
      </c>
      <c r="L131" s="1">
        <v>44784.042384259257</v>
      </c>
      <c r="M131">
        <v>2.6</v>
      </c>
      <c r="N131">
        <v>2.9</v>
      </c>
      <c r="O131">
        <v>0.3</v>
      </c>
      <c r="P131">
        <v>11</v>
      </c>
      <c r="Q131">
        <v>0</v>
      </c>
      <c r="R131">
        <v>0.1</v>
      </c>
      <c r="S131">
        <v>0.05</v>
      </c>
      <c r="T131" t="s">
        <v>33</v>
      </c>
      <c r="U131">
        <v>2.75</v>
      </c>
      <c r="V131">
        <v>63</v>
      </c>
      <c r="W131">
        <v>0</v>
      </c>
      <c r="X131">
        <v>63</v>
      </c>
      <c r="Y131">
        <v>0</v>
      </c>
      <c r="Z131">
        <v>0</v>
      </c>
      <c r="AA131">
        <v>0</v>
      </c>
      <c r="AB131" t="s">
        <v>36</v>
      </c>
      <c r="AC131">
        <v>63</v>
      </c>
      <c r="AD131">
        <v>-0.56999999999999995</v>
      </c>
    </row>
    <row r="132" spans="1:30" x14ac:dyDescent="0.25">
      <c r="A132" s="1">
        <v>44784.042407407411</v>
      </c>
      <c r="B132" s="1">
        <v>44784.04115740741</v>
      </c>
      <c r="C132">
        <v>135984</v>
      </c>
      <c r="D132" t="s">
        <v>39</v>
      </c>
      <c r="E132" t="s">
        <v>31</v>
      </c>
      <c r="F132">
        <v>7</v>
      </c>
      <c r="G132">
        <v>43.565852999999997</v>
      </c>
      <c r="H132">
        <v>-71.496129999999994</v>
      </c>
      <c r="I132">
        <v>708</v>
      </c>
      <c r="J132">
        <v>67</v>
      </c>
      <c r="K132">
        <v>0</v>
      </c>
      <c r="L132" s="1">
        <v>44784.042384259257</v>
      </c>
      <c r="M132">
        <v>5.3</v>
      </c>
      <c r="N132">
        <v>4.5</v>
      </c>
      <c r="O132">
        <v>0.8</v>
      </c>
      <c r="P132">
        <v>16</v>
      </c>
      <c r="Q132">
        <v>0.2</v>
      </c>
      <c r="R132">
        <v>0.1</v>
      </c>
      <c r="S132">
        <v>0.15</v>
      </c>
      <c r="T132" t="s">
        <v>33</v>
      </c>
      <c r="U132">
        <v>4.9000000000000004</v>
      </c>
      <c r="V132">
        <v>100</v>
      </c>
      <c r="W132">
        <v>0</v>
      </c>
      <c r="X132">
        <v>100</v>
      </c>
      <c r="Y132">
        <v>0</v>
      </c>
      <c r="Z132">
        <v>0</v>
      </c>
      <c r="AA132">
        <v>0</v>
      </c>
      <c r="AB132" t="s">
        <v>36</v>
      </c>
      <c r="AC132">
        <v>100</v>
      </c>
      <c r="AD132">
        <v>-1.85</v>
      </c>
    </row>
    <row r="133" spans="1:30" x14ac:dyDescent="0.25">
      <c r="A133" s="1">
        <v>44784.042407407411</v>
      </c>
      <c r="B133" s="1">
        <v>44780.394780092596</v>
      </c>
      <c r="C133">
        <v>151712</v>
      </c>
      <c r="D133" t="s">
        <v>40</v>
      </c>
      <c r="E133" t="s">
        <v>31</v>
      </c>
      <c r="F133">
        <v>7</v>
      </c>
      <c r="G133">
        <v>43.289763999999998</v>
      </c>
      <c r="H133">
        <v>-71.564260000000004</v>
      </c>
      <c r="I133">
        <v>370</v>
      </c>
      <c r="J133">
        <v>86</v>
      </c>
      <c r="K133">
        <v>0</v>
      </c>
      <c r="L133" s="1">
        <v>44784.042384259257</v>
      </c>
      <c r="M133">
        <v>14</v>
      </c>
      <c r="N133">
        <v>13.2</v>
      </c>
      <c r="O133">
        <v>0.8</v>
      </c>
      <c r="P133">
        <v>6</v>
      </c>
      <c r="Q133">
        <v>0</v>
      </c>
      <c r="R133">
        <v>0</v>
      </c>
      <c r="S133">
        <v>0</v>
      </c>
      <c r="T133" t="s">
        <v>32</v>
      </c>
      <c r="V133">
        <v>59</v>
      </c>
      <c r="W133">
        <v>0</v>
      </c>
      <c r="X133">
        <v>59</v>
      </c>
      <c r="Y133">
        <v>0</v>
      </c>
      <c r="Z133">
        <v>0</v>
      </c>
      <c r="AA133">
        <v>0</v>
      </c>
      <c r="AB133" t="s">
        <v>36</v>
      </c>
      <c r="AC133">
        <v>59</v>
      </c>
    </row>
    <row r="134" spans="1:30" x14ac:dyDescent="0.25">
      <c r="A134" s="1">
        <v>44784.04241898148</v>
      </c>
      <c r="B134" s="1">
        <v>44784.040451388886</v>
      </c>
      <c r="C134">
        <v>151710</v>
      </c>
      <c r="D134" t="s">
        <v>41</v>
      </c>
      <c r="E134" t="s">
        <v>31</v>
      </c>
      <c r="F134">
        <v>7</v>
      </c>
      <c r="G134">
        <v>43.132477000000002</v>
      </c>
      <c r="H134">
        <v>-71.458374000000006</v>
      </c>
      <c r="I134">
        <v>230</v>
      </c>
      <c r="J134">
        <v>71</v>
      </c>
      <c r="K134">
        <v>0</v>
      </c>
      <c r="L134" s="1">
        <v>44784.042384259257</v>
      </c>
      <c r="M134">
        <v>3.8</v>
      </c>
      <c r="N134">
        <v>2.9</v>
      </c>
      <c r="O134">
        <v>0.9</v>
      </c>
      <c r="P134">
        <v>27</v>
      </c>
      <c r="Q134">
        <v>0.3</v>
      </c>
      <c r="R134">
        <v>0.1</v>
      </c>
      <c r="S134">
        <v>0.2</v>
      </c>
      <c r="T134" t="s">
        <v>33</v>
      </c>
      <c r="U134">
        <v>3.35</v>
      </c>
      <c r="V134">
        <v>63</v>
      </c>
      <c r="W134">
        <v>0</v>
      </c>
      <c r="X134">
        <v>63</v>
      </c>
      <c r="Y134">
        <v>2</v>
      </c>
      <c r="Z134">
        <v>0</v>
      </c>
      <c r="AA134">
        <v>2</v>
      </c>
      <c r="AB134" t="s">
        <v>36</v>
      </c>
      <c r="AC134">
        <v>63</v>
      </c>
      <c r="AD134">
        <v>-0.21</v>
      </c>
    </row>
    <row r="135" spans="1:30" x14ac:dyDescent="0.25">
      <c r="A135" s="1">
        <v>44784.04241898148</v>
      </c>
      <c r="B135" s="1">
        <v>44784.041550925926</v>
      </c>
      <c r="C135">
        <v>151706</v>
      </c>
      <c r="D135" t="s">
        <v>42</v>
      </c>
      <c r="E135" t="s">
        <v>31</v>
      </c>
      <c r="F135">
        <v>7</v>
      </c>
      <c r="G135">
        <v>43.004080000000002</v>
      </c>
      <c r="H135">
        <v>-71.177040000000005</v>
      </c>
      <c r="I135">
        <v>194</v>
      </c>
      <c r="J135">
        <v>71</v>
      </c>
      <c r="K135">
        <v>0</v>
      </c>
      <c r="L135" s="1">
        <v>44784.042384259257</v>
      </c>
      <c r="M135">
        <v>1.6</v>
      </c>
      <c r="N135">
        <v>0</v>
      </c>
      <c r="O135">
        <v>1.6</v>
      </c>
      <c r="P135">
        <v>200</v>
      </c>
      <c r="Q135">
        <v>0.1</v>
      </c>
      <c r="R135">
        <v>0</v>
      </c>
      <c r="S135">
        <v>0.05</v>
      </c>
      <c r="T135" t="s">
        <v>43</v>
      </c>
      <c r="V135">
        <v>66</v>
      </c>
      <c r="W135">
        <v>0</v>
      </c>
      <c r="X135">
        <v>66</v>
      </c>
      <c r="Y135">
        <v>0</v>
      </c>
      <c r="Z135">
        <v>0</v>
      </c>
      <c r="AA135">
        <v>0</v>
      </c>
      <c r="AB135" t="s">
        <v>36</v>
      </c>
      <c r="AC135">
        <v>66</v>
      </c>
    </row>
    <row r="136" spans="1:30" x14ac:dyDescent="0.25">
      <c r="A136" s="1">
        <v>44784.04241898148</v>
      </c>
      <c r="B136" s="1">
        <v>44784.041226851848</v>
      </c>
      <c r="C136">
        <v>12212</v>
      </c>
      <c r="D136" t="s">
        <v>44</v>
      </c>
      <c r="E136" t="s">
        <v>35</v>
      </c>
      <c r="F136">
        <v>7</v>
      </c>
      <c r="G136">
        <v>42.930529999999997</v>
      </c>
      <c r="H136">
        <v>-72.272350000000003</v>
      </c>
      <c r="I136">
        <v>476</v>
      </c>
      <c r="J136">
        <v>77</v>
      </c>
      <c r="K136">
        <v>0</v>
      </c>
      <c r="L136" s="1">
        <v>44784.042384259257</v>
      </c>
      <c r="M136">
        <v>2.8</v>
      </c>
      <c r="N136">
        <v>2.2000000000000002</v>
      </c>
      <c r="O136">
        <v>0.6</v>
      </c>
      <c r="P136">
        <v>24</v>
      </c>
      <c r="Q136">
        <v>0.1</v>
      </c>
      <c r="R136">
        <v>0.1</v>
      </c>
      <c r="S136">
        <v>0.1</v>
      </c>
      <c r="T136" t="s">
        <v>33</v>
      </c>
      <c r="U136">
        <v>2.5</v>
      </c>
      <c r="V136">
        <v>79</v>
      </c>
      <c r="W136">
        <v>0</v>
      </c>
      <c r="X136">
        <v>79</v>
      </c>
      <c r="Y136">
        <v>2</v>
      </c>
      <c r="Z136">
        <v>0</v>
      </c>
      <c r="AA136">
        <v>2</v>
      </c>
      <c r="AB136" t="s">
        <v>36</v>
      </c>
      <c r="AC136">
        <v>79</v>
      </c>
      <c r="AD136">
        <v>-1.85</v>
      </c>
    </row>
    <row r="137" spans="1:30" x14ac:dyDescent="0.25">
      <c r="A137" s="1">
        <v>44784.04241898148</v>
      </c>
      <c r="B137" s="1">
        <v>44769.376736111109</v>
      </c>
      <c r="C137">
        <v>12178</v>
      </c>
      <c r="D137" t="s">
        <v>45</v>
      </c>
      <c r="E137" t="s">
        <v>35</v>
      </c>
      <c r="F137">
        <v>7</v>
      </c>
      <c r="G137">
        <v>42.899563000000001</v>
      </c>
      <c r="H137">
        <v>-71.464650000000006</v>
      </c>
      <c r="I137">
        <v>301</v>
      </c>
      <c r="J137">
        <v>85</v>
      </c>
      <c r="K137">
        <v>0</v>
      </c>
      <c r="L137" s="1">
        <v>44784.042384259257</v>
      </c>
      <c r="M137">
        <v>3.8</v>
      </c>
      <c r="N137">
        <v>3.1</v>
      </c>
      <c r="O137">
        <v>0.7</v>
      </c>
      <c r="P137">
        <v>20</v>
      </c>
      <c r="Q137">
        <v>0</v>
      </c>
      <c r="R137">
        <v>0</v>
      </c>
      <c r="S137">
        <v>0</v>
      </c>
      <c r="T137" t="s">
        <v>32</v>
      </c>
      <c r="V137">
        <v>35</v>
      </c>
      <c r="W137">
        <v>0</v>
      </c>
      <c r="X137">
        <v>35</v>
      </c>
      <c r="Y137">
        <v>0</v>
      </c>
      <c r="Z137">
        <v>0</v>
      </c>
      <c r="AA137">
        <v>0</v>
      </c>
      <c r="AB137" t="s">
        <v>36</v>
      </c>
      <c r="AC137">
        <v>35</v>
      </c>
    </row>
    <row r="138" spans="1:30" x14ac:dyDescent="0.25">
      <c r="A138" s="1">
        <v>44784.04241898148</v>
      </c>
      <c r="B138" s="1">
        <v>44784.040590277778</v>
      </c>
      <c r="C138">
        <v>75981</v>
      </c>
      <c r="D138" t="s">
        <v>46</v>
      </c>
      <c r="E138" t="s">
        <v>35</v>
      </c>
      <c r="F138">
        <v>7</v>
      </c>
      <c r="G138">
        <v>42.97</v>
      </c>
      <c r="H138">
        <v>-71.06</v>
      </c>
      <c r="I138">
        <v>136</v>
      </c>
      <c r="J138">
        <v>75</v>
      </c>
      <c r="K138">
        <v>0</v>
      </c>
      <c r="L138" s="1">
        <v>44784.042384259257</v>
      </c>
      <c r="M138">
        <v>2.8</v>
      </c>
      <c r="N138">
        <v>2.8</v>
      </c>
      <c r="O138">
        <v>0</v>
      </c>
      <c r="P138">
        <v>0</v>
      </c>
      <c r="Q138">
        <v>0.1</v>
      </c>
      <c r="R138">
        <v>0.1</v>
      </c>
      <c r="S138">
        <v>0.1</v>
      </c>
      <c r="T138" t="s">
        <v>33</v>
      </c>
      <c r="U138">
        <v>2.8</v>
      </c>
      <c r="V138">
        <v>59</v>
      </c>
      <c r="W138">
        <v>0</v>
      </c>
      <c r="X138">
        <v>59</v>
      </c>
      <c r="Y138">
        <v>0</v>
      </c>
      <c r="Z138">
        <v>0</v>
      </c>
      <c r="AA138">
        <v>0</v>
      </c>
      <c r="AB138" t="s">
        <v>36</v>
      </c>
      <c r="AC138">
        <v>59</v>
      </c>
      <c r="AD138">
        <v>-0.26</v>
      </c>
    </row>
    <row r="139" spans="1:30" x14ac:dyDescent="0.25">
      <c r="A139" s="1">
        <v>44784.042430555557</v>
      </c>
      <c r="B139" s="1">
        <v>44784.04111111111</v>
      </c>
      <c r="C139">
        <v>115703</v>
      </c>
      <c r="D139" t="s">
        <v>47</v>
      </c>
      <c r="E139" t="s">
        <v>35</v>
      </c>
      <c r="F139">
        <v>7</v>
      </c>
      <c r="G139">
        <v>43.953625000000002</v>
      </c>
      <c r="H139">
        <v>-71.508859999999999</v>
      </c>
      <c r="I139">
        <v>1493</v>
      </c>
      <c r="J139">
        <v>63</v>
      </c>
      <c r="K139">
        <v>0</v>
      </c>
      <c r="L139" s="1">
        <v>44784.042384259257</v>
      </c>
      <c r="M139">
        <v>0</v>
      </c>
      <c r="N139">
        <v>300.89999999999998</v>
      </c>
      <c r="O139">
        <v>300.89999999999998</v>
      </c>
      <c r="P139">
        <v>200</v>
      </c>
      <c r="Q139">
        <v>0</v>
      </c>
      <c r="R139">
        <v>0</v>
      </c>
      <c r="S139">
        <v>0</v>
      </c>
      <c r="T139" t="s">
        <v>48</v>
      </c>
      <c r="V139">
        <v>67</v>
      </c>
      <c r="W139">
        <v>0</v>
      </c>
      <c r="X139">
        <v>67</v>
      </c>
      <c r="Y139">
        <v>0</v>
      </c>
      <c r="Z139">
        <v>0</v>
      </c>
      <c r="AA139">
        <v>0</v>
      </c>
      <c r="AB139" t="s">
        <v>36</v>
      </c>
      <c r="AC139">
        <v>67</v>
      </c>
    </row>
    <row r="140" spans="1:30" x14ac:dyDescent="0.25">
      <c r="A140" s="1">
        <v>44784.042430555557</v>
      </c>
      <c r="B140" s="1">
        <v>44784.040532407409</v>
      </c>
      <c r="C140">
        <v>12050</v>
      </c>
      <c r="D140" t="s">
        <v>49</v>
      </c>
      <c r="E140" t="s">
        <v>35</v>
      </c>
      <c r="F140">
        <v>7</v>
      </c>
      <c r="G140">
        <v>44.220573000000002</v>
      </c>
      <c r="H140">
        <v>-71.732315</v>
      </c>
      <c r="I140">
        <v>999</v>
      </c>
      <c r="J140">
        <v>70</v>
      </c>
      <c r="K140">
        <v>0</v>
      </c>
      <c r="L140" s="1">
        <v>44784.042384259257</v>
      </c>
      <c r="M140">
        <v>2.6</v>
      </c>
      <c r="N140">
        <v>2.4</v>
      </c>
      <c r="O140">
        <v>0.2</v>
      </c>
      <c r="P140">
        <v>8</v>
      </c>
      <c r="Q140">
        <v>0.1</v>
      </c>
      <c r="R140">
        <v>0</v>
      </c>
      <c r="S140">
        <v>0.05</v>
      </c>
      <c r="T140" t="s">
        <v>33</v>
      </c>
      <c r="U140">
        <v>2.5</v>
      </c>
      <c r="V140">
        <v>57</v>
      </c>
      <c r="W140">
        <v>0</v>
      </c>
      <c r="X140">
        <v>57</v>
      </c>
      <c r="Y140">
        <v>0</v>
      </c>
      <c r="Z140">
        <v>0</v>
      </c>
      <c r="AA140">
        <v>0</v>
      </c>
      <c r="AB140" t="s">
        <v>36</v>
      </c>
      <c r="AC140">
        <v>57</v>
      </c>
      <c r="AD140">
        <v>-0.31</v>
      </c>
    </row>
    <row r="141" spans="1:30" x14ac:dyDescent="0.25">
      <c r="A141" s="1">
        <v>44784.042430555557</v>
      </c>
      <c r="B141" s="1">
        <v>44784.040636574071</v>
      </c>
      <c r="C141">
        <v>23443</v>
      </c>
      <c r="D141" t="s">
        <v>50</v>
      </c>
      <c r="E141" t="s">
        <v>35</v>
      </c>
      <c r="F141">
        <v>7</v>
      </c>
      <c r="G141">
        <v>43.556139999999999</v>
      </c>
      <c r="H141">
        <v>-72.370990000000006</v>
      </c>
      <c r="I141">
        <v>523</v>
      </c>
      <c r="J141">
        <v>71</v>
      </c>
      <c r="K141">
        <v>0</v>
      </c>
      <c r="L141" s="1">
        <v>44784.042384259257</v>
      </c>
      <c r="M141">
        <v>3.2</v>
      </c>
      <c r="N141">
        <v>2.6</v>
      </c>
      <c r="O141">
        <v>0.6</v>
      </c>
      <c r="P141">
        <v>21</v>
      </c>
      <c r="Q141">
        <v>0</v>
      </c>
      <c r="R141">
        <v>0</v>
      </c>
      <c r="S141">
        <v>0</v>
      </c>
      <c r="T141" t="s">
        <v>33</v>
      </c>
      <c r="U141">
        <v>2.9</v>
      </c>
      <c r="V141">
        <v>64</v>
      </c>
      <c r="W141">
        <v>0</v>
      </c>
      <c r="X141">
        <v>64</v>
      </c>
      <c r="Y141">
        <v>0</v>
      </c>
      <c r="Z141">
        <v>0</v>
      </c>
      <c r="AA141">
        <v>0</v>
      </c>
      <c r="AB141" t="s">
        <v>36</v>
      </c>
      <c r="AC141">
        <v>64</v>
      </c>
      <c r="AD141">
        <v>-0.55000000000000004</v>
      </c>
    </row>
    <row r="142" spans="1:30" x14ac:dyDescent="0.25">
      <c r="A142" s="1">
        <v>44784.042442129627</v>
      </c>
      <c r="B142" s="1">
        <v>44784.040729166663</v>
      </c>
      <c r="C142">
        <v>58135</v>
      </c>
      <c r="D142" t="s">
        <v>51</v>
      </c>
      <c r="E142" t="s">
        <v>35</v>
      </c>
      <c r="F142">
        <v>7</v>
      </c>
      <c r="G142">
        <v>42.883873000000001</v>
      </c>
      <c r="H142">
        <v>-71.972915999999998</v>
      </c>
      <c r="I142">
        <v>808</v>
      </c>
      <c r="J142">
        <v>71</v>
      </c>
      <c r="K142">
        <v>0</v>
      </c>
      <c r="L142" s="1">
        <v>44784.042384259257</v>
      </c>
      <c r="M142">
        <v>7</v>
      </c>
      <c r="N142">
        <v>5.2</v>
      </c>
      <c r="O142">
        <v>1.8</v>
      </c>
      <c r="P142">
        <v>30</v>
      </c>
      <c r="Q142">
        <v>0.1</v>
      </c>
      <c r="R142">
        <v>0</v>
      </c>
      <c r="S142">
        <v>0.05</v>
      </c>
      <c r="T142" t="s">
        <v>33</v>
      </c>
      <c r="U142">
        <v>6.1</v>
      </c>
      <c r="V142">
        <v>71</v>
      </c>
      <c r="W142">
        <v>0</v>
      </c>
      <c r="X142">
        <v>71</v>
      </c>
      <c r="Y142">
        <v>0</v>
      </c>
      <c r="Z142">
        <v>0</v>
      </c>
      <c r="AA142">
        <v>0</v>
      </c>
      <c r="AB142" t="s">
        <v>36</v>
      </c>
      <c r="AC142">
        <v>71</v>
      </c>
      <c r="AD142">
        <v>0.91</v>
      </c>
    </row>
    <row r="143" spans="1:30" x14ac:dyDescent="0.25">
      <c r="A143" s="1">
        <v>44784.042442129627</v>
      </c>
      <c r="B143" s="1">
        <v>44784.04078703704</v>
      </c>
      <c r="C143">
        <v>148555</v>
      </c>
      <c r="D143" t="s">
        <v>52</v>
      </c>
      <c r="E143" t="s">
        <v>53</v>
      </c>
      <c r="F143">
        <v>7</v>
      </c>
      <c r="G143">
        <v>42.904949999999999</v>
      </c>
      <c r="H143">
        <v>-71.386764999999997</v>
      </c>
      <c r="I143">
        <v>363</v>
      </c>
      <c r="J143">
        <v>0</v>
      </c>
      <c r="K143">
        <v>0</v>
      </c>
      <c r="L143" s="1">
        <v>44784.042384259257</v>
      </c>
      <c r="M143">
        <v>1.3</v>
      </c>
      <c r="N143">
        <v>1.9</v>
      </c>
      <c r="O143">
        <v>0.6</v>
      </c>
      <c r="P143">
        <v>37</v>
      </c>
      <c r="Q143">
        <v>0.1</v>
      </c>
      <c r="R143">
        <v>0.1</v>
      </c>
      <c r="S143">
        <v>0.1</v>
      </c>
      <c r="T143" t="s">
        <v>33</v>
      </c>
      <c r="U143">
        <v>1.6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">
        <v>38</v>
      </c>
    </row>
    <row r="144" spans="1:30" x14ac:dyDescent="0.25">
      <c r="A144" s="1">
        <v>44784.042442129627</v>
      </c>
      <c r="B144" s="1">
        <v>44784.041712962964</v>
      </c>
      <c r="C144">
        <v>146644</v>
      </c>
      <c r="D144" t="s">
        <v>54</v>
      </c>
      <c r="E144" t="s">
        <v>53</v>
      </c>
      <c r="F144">
        <v>7</v>
      </c>
      <c r="G144">
        <v>43.06015</v>
      </c>
      <c r="H144">
        <v>-70.758930000000007</v>
      </c>
      <c r="I144">
        <v>35</v>
      </c>
      <c r="J144">
        <v>69</v>
      </c>
      <c r="K144">
        <v>70</v>
      </c>
      <c r="L144" s="1">
        <v>44784.042384259257</v>
      </c>
      <c r="M144">
        <v>3.5</v>
      </c>
      <c r="N144">
        <v>2.5</v>
      </c>
      <c r="O144">
        <v>1</v>
      </c>
      <c r="P144">
        <v>33</v>
      </c>
      <c r="Q144">
        <v>0.2</v>
      </c>
      <c r="R144">
        <v>0.1</v>
      </c>
      <c r="S144">
        <v>0.15</v>
      </c>
      <c r="T144" t="s">
        <v>33</v>
      </c>
      <c r="U144">
        <v>3</v>
      </c>
      <c r="V144">
        <v>69</v>
      </c>
      <c r="W144">
        <v>73</v>
      </c>
      <c r="X144">
        <v>4</v>
      </c>
      <c r="Y144">
        <v>1</v>
      </c>
      <c r="Z144">
        <v>0</v>
      </c>
      <c r="AA144">
        <v>1</v>
      </c>
      <c r="AB144" t="s">
        <v>33</v>
      </c>
      <c r="AC144">
        <v>71</v>
      </c>
      <c r="AD144">
        <v>-0.98</v>
      </c>
    </row>
    <row r="145" spans="1:30" x14ac:dyDescent="0.25">
      <c r="A145" s="1">
        <v>44784.042442129627</v>
      </c>
      <c r="B145" s="1">
        <v>43755.283437500002</v>
      </c>
      <c r="C145">
        <v>12188</v>
      </c>
      <c r="D145" t="s">
        <v>55</v>
      </c>
      <c r="E145" t="s">
        <v>35</v>
      </c>
      <c r="F145">
        <v>4.1100000000000003</v>
      </c>
      <c r="G145">
        <v>42.927050000000001</v>
      </c>
      <c r="H145">
        <v>-72.279610000000005</v>
      </c>
      <c r="I145">
        <v>475</v>
      </c>
      <c r="J145">
        <v>95</v>
      </c>
      <c r="K145">
        <v>0</v>
      </c>
      <c r="L145" s="1">
        <v>44784.042384259257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 t="s">
        <v>32</v>
      </c>
      <c r="V145">
        <v>77</v>
      </c>
      <c r="W145">
        <v>0</v>
      </c>
      <c r="X145">
        <v>77</v>
      </c>
      <c r="Y145">
        <v>0</v>
      </c>
      <c r="Z145">
        <v>0</v>
      </c>
      <c r="AA145">
        <v>0</v>
      </c>
      <c r="AB145" t="s">
        <v>36</v>
      </c>
      <c r="AC145">
        <v>77</v>
      </c>
    </row>
    <row r="146" spans="1:30" x14ac:dyDescent="0.25">
      <c r="A146" s="1">
        <v>44784.042442129627</v>
      </c>
      <c r="B146" s="1">
        <v>44784.040625000001</v>
      </c>
      <c r="C146">
        <v>1224</v>
      </c>
      <c r="D146" t="s">
        <v>56</v>
      </c>
      <c r="E146" t="s">
        <v>35</v>
      </c>
      <c r="F146" t="s">
        <v>57</v>
      </c>
      <c r="G146">
        <v>42.938034000000002</v>
      </c>
      <c r="H146">
        <v>-72.259299999999996</v>
      </c>
      <c r="I146">
        <v>792</v>
      </c>
      <c r="J146">
        <v>77</v>
      </c>
      <c r="K146">
        <v>0</v>
      </c>
      <c r="L146" s="1">
        <v>44784.042384259257</v>
      </c>
      <c r="M146">
        <v>2.2999999999999998</v>
      </c>
      <c r="N146">
        <v>0</v>
      </c>
      <c r="O146">
        <v>2.2999999999999998</v>
      </c>
      <c r="P146">
        <v>200</v>
      </c>
      <c r="Q146">
        <v>0.1</v>
      </c>
      <c r="R146">
        <v>0</v>
      </c>
      <c r="S146">
        <v>0.05</v>
      </c>
      <c r="T146" t="s">
        <v>43</v>
      </c>
      <c r="V146">
        <v>81</v>
      </c>
      <c r="W146">
        <v>0</v>
      </c>
      <c r="X146">
        <v>81</v>
      </c>
      <c r="Y146">
        <v>1</v>
      </c>
      <c r="Z146">
        <v>0</v>
      </c>
      <c r="AA146">
        <v>1</v>
      </c>
      <c r="AB146" t="s">
        <v>36</v>
      </c>
      <c r="AC146">
        <v>81</v>
      </c>
    </row>
    <row r="147" spans="1:30" x14ac:dyDescent="0.25">
      <c r="A147" s="1">
        <v>44784.042453703703</v>
      </c>
      <c r="B147" s="1">
        <v>44784.041458333333</v>
      </c>
      <c r="C147">
        <v>1202</v>
      </c>
      <c r="D147" t="s">
        <v>58</v>
      </c>
      <c r="E147" t="s">
        <v>35</v>
      </c>
      <c r="F147" t="s">
        <v>57</v>
      </c>
      <c r="G147">
        <v>42.936554000000001</v>
      </c>
      <c r="H147">
        <v>-72.271019999999993</v>
      </c>
      <c r="I147">
        <v>488</v>
      </c>
      <c r="J147">
        <v>0</v>
      </c>
      <c r="K147">
        <v>0</v>
      </c>
      <c r="L147" s="1">
        <v>44784.042384259257</v>
      </c>
      <c r="M147">
        <v>2.4</v>
      </c>
      <c r="N147">
        <v>2.2000000000000002</v>
      </c>
      <c r="O147">
        <v>0.2</v>
      </c>
      <c r="P147">
        <v>9</v>
      </c>
      <c r="Q147">
        <v>0</v>
      </c>
      <c r="R147">
        <v>0</v>
      </c>
      <c r="S147">
        <v>0</v>
      </c>
      <c r="T147" t="s">
        <v>33</v>
      </c>
      <c r="U147">
        <v>2.2999999999999998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38</v>
      </c>
    </row>
    <row r="148" spans="1:30" x14ac:dyDescent="0.25">
      <c r="A148" s="1">
        <v>44784.042453703703</v>
      </c>
      <c r="B148" s="1">
        <v>44612.080023148148</v>
      </c>
      <c r="C148">
        <v>25985</v>
      </c>
      <c r="D148" t="s">
        <v>59</v>
      </c>
      <c r="E148" t="s">
        <v>35</v>
      </c>
      <c r="F148">
        <v>6.01</v>
      </c>
      <c r="G148">
        <v>42.927326000000001</v>
      </c>
      <c r="H148">
        <v>-72.279979999999995</v>
      </c>
      <c r="I148">
        <v>477</v>
      </c>
      <c r="J148">
        <v>78</v>
      </c>
      <c r="K148">
        <v>0</v>
      </c>
      <c r="L148" s="1">
        <v>44784.042384259257</v>
      </c>
      <c r="M148">
        <v>1.1000000000000001</v>
      </c>
      <c r="N148">
        <v>1</v>
      </c>
      <c r="O148">
        <v>0.1</v>
      </c>
      <c r="P148">
        <v>10</v>
      </c>
      <c r="Q148">
        <v>0</v>
      </c>
      <c r="R148">
        <v>0</v>
      </c>
      <c r="S148">
        <v>0</v>
      </c>
      <c r="T148" t="s">
        <v>32</v>
      </c>
      <c r="V148">
        <v>22</v>
      </c>
      <c r="W148">
        <v>0</v>
      </c>
      <c r="X148">
        <v>22</v>
      </c>
      <c r="Y148">
        <v>0</v>
      </c>
      <c r="Z148">
        <v>0</v>
      </c>
      <c r="AA148">
        <v>0</v>
      </c>
      <c r="AB148" t="s">
        <v>36</v>
      </c>
      <c r="AC148">
        <v>22</v>
      </c>
    </row>
    <row r="149" spans="1:30" x14ac:dyDescent="0.25">
      <c r="A149" s="1">
        <v>44784.049340277779</v>
      </c>
      <c r="B149" s="1">
        <v>44775.701319444444</v>
      </c>
      <c r="C149">
        <v>151708</v>
      </c>
      <c r="D149" t="s">
        <v>30</v>
      </c>
      <c r="E149" t="s">
        <v>31</v>
      </c>
      <c r="F149">
        <v>7</v>
      </c>
      <c r="G149">
        <v>43.192042999999998</v>
      </c>
      <c r="H149">
        <v>-71.541579999999996</v>
      </c>
      <c r="I149">
        <v>291</v>
      </c>
      <c r="J149">
        <v>93</v>
      </c>
      <c r="K149">
        <v>94</v>
      </c>
      <c r="L149" s="1">
        <v>44784.049328703702</v>
      </c>
      <c r="M149">
        <v>7.9</v>
      </c>
      <c r="N149">
        <v>7.6</v>
      </c>
      <c r="O149">
        <v>0.3</v>
      </c>
      <c r="P149">
        <v>4</v>
      </c>
      <c r="Q149">
        <v>0</v>
      </c>
      <c r="R149">
        <v>0</v>
      </c>
      <c r="S149">
        <v>0</v>
      </c>
      <c r="T149" t="s">
        <v>32</v>
      </c>
      <c r="V149">
        <v>42</v>
      </c>
      <c r="W149">
        <v>41</v>
      </c>
      <c r="X149">
        <v>1</v>
      </c>
      <c r="Y149">
        <v>0</v>
      </c>
      <c r="Z149">
        <v>0</v>
      </c>
      <c r="AA149">
        <v>0</v>
      </c>
      <c r="AB149" t="s">
        <v>33</v>
      </c>
      <c r="AC149">
        <v>41.5</v>
      </c>
    </row>
    <row r="150" spans="1:30" x14ac:dyDescent="0.25">
      <c r="A150" s="1">
        <v>44784.049340277779</v>
      </c>
      <c r="B150" s="1">
        <v>44784.047627314816</v>
      </c>
      <c r="C150">
        <v>143456</v>
      </c>
      <c r="D150" t="s">
        <v>34</v>
      </c>
      <c r="E150" t="s">
        <v>35</v>
      </c>
      <c r="F150">
        <v>7</v>
      </c>
      <c r="G150">
        <v>43.08963</v>
      </c>
      <c r="H150">
        <v>-71.502440000000007</v>
      </c>
      <c r="I150">
        <v>619</v>
      </c>
      <c r="J150">
        <v>70</v>
      </c>
      <c r="K150">
        <v>0</v>
      </c>
      <c r="L150" s="1">
        <v>44784.049328703702</v>
      </c>
      <c r="M150">
        <v>3.5</v>
      </c>
      <c r="N150">
        <v>3.5</v>
      </c>
      <c r="O150">
        <v>0</v>
      </c>
      <c r="P150">
        <v>0</v>
      </c>
      <c r="Q150">
        <v>0</v>
      </c>
      <c r="R150">
        <v>0</v>
      </c>
      <c r="S150">
        <v>0</v>
      </c>
      <c r="T150" t="s">
        <v>33</v>
      </c>
      <c r="U150">
        <v>3.5</v>
      </c>
      <c r="V150">
        <v>69</v>
      </c>
      <c r="W150">
        <v>0</v>
      </c>
      <c r="X150">
        <v>69</v>
      </c>
      <c r="Y150">
        <v>0</v>
      </c>
      <c r="Z150">
        <v>0</v>
      </c>
      <c r="AA150">
        <v>0</v>
      </c>
      <c r="AB150" t="s">
        <v>36</v>
      </c>
      <c r="AC150">
        <v>69</v>
      </c>
      <c r="AD150">
        <v>-0.54</v>
      </c>
    </row>
    <row r="151" spans="1:30" x14ac:dyDescent="0.25">
      <c r="A151" s="1">
        <v>44784.049351851849</v>
      </c>
      <c r="B151" s="1">
        <v>44784.047824074078</v>
      </c>
      <c r="C151">
        <v>151702</v>
      </c>
      <c r="D151" t="s">
        <v>37</v>
      </c>
      <c r="E151" t="s">
        <v>31</v>
      </c>
      <c r="F151">
        <v>7</v>
      </c>
      <c r="G151">
        <v>43.118609999999997</v>
      </c>
      <c r="H151">
        <v>-71.61618</v>
      </c>
      <c r="I151">
        <v>885</v>
      </c>
      <c r="J151">
        <v>0</v>
      </c>
      <c r="K151">
        <v>0</v>
      </c>
      <c r="L151" s="1">
        <v>44784.049328703702</v>
      </c>
      <c r="M151">
        <v>3.3</v>
      </c>
      <c r="N151">
        <v>2.9</v>
      </c>
      <c r="O151">
        <v>0.4</v>
      </c>
      <c r="P151">
        <v>13</v>
      </c>
      <c r="Q151">
        <v>0.1</v>
      </c>
      <c r="R151">
        <v>0.2</v>
      </c>
      <c r="S151">
        <v>0.15</v>
      </c>
      <c r="T151" t="s">
        <v>33</v>
      </c>
      <c r="U151">
        <v>3.1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">
        <v>38</v>
      </c>
    </row>
    <row r="152" spans="1:30" x14ac:dyDescent="0.25">
      <c r="A152" s="1">
        <v>44784.049351851849</v>
      </c>
      <c r="B152" s="1">
        <v>44784.047708333332</v>
      </c>
      <c r="C152">
        <v>151700</v>
      </c>
      <c r="D152" t="s">
        <v>30</v>
      </c>
      <c r="E152" t="s">
        <v>31</v>
      </c>
      <c r="F152">
        <v>7</v>
      </c>
      <c r="G152">
        <v>43.19211</v>
      </c>
      <c r="H152">
        <v>-71.541460000000001</v>
      </c>
      <c r="I152">
        <v>286</v>
      </c>
      <c r="J152">
        <v>72</v>
      </c>
      <c r="K152">
        <v>0</v>
      </c>
      <c r="L152" s="1">
        <v>44784.049328703702</v>
      </c>
      <c r="M152">
        <v>2.4</v>
      </c>
      <c r="N152">
        <v>2.8</v>
      </c>
      <c r="O152">
        <v>0.4</v>
      </c>
      <c r="P152">
        <v>15</v>
      </c>
      <c r="Q152">
        <v>0.2</v>
      </c>
      <c r="R152">
        <v>0.1</v>
      </c>
      <c r="S152">
        <v>0.15</v>
      </c>
      <c r="T152" t="s">
        <v>33</v>
      </c>
      <c r="U152">
        <v>2.6</v>
      </c>
      <c r="V152">
        <v>63</v>
      </c>
      <c r="W152">
        <v>0</v>
      </c>
      <c r="X152">
        <v>63</v>
      </c>
      <c r="Y152">
        <v>0</v>
      </c>
      <c r="Z152">
        <v>0</v>
      </c>
      <c r="AA152">
        <v>0</v>
      </c>
      <c r="AB152" t="s">
        <v>36</v>
      </c>
      <c r="AC152">
        <v>63</v>
      </c>
      <c r="AD152">
        <v>-0.66</v>
      </c>
    </row>
    <row r="153" spans="1:30" x14ac:dyDescent="0.25">
      <c r="A153" s="1">
        <v>44784.049351851849</v>
      </c>
      <c r="B153" s="1">
        <v>44784.048113425924</v>
      </c>
      <c r="C153">
        <v>135984</v>
      </c>
      <c r="D153" t="s">
        <v>39</v>
      </c>
      <c r="E153" t="s">
        <v>31</v>
      </c>
      <c r="F153">
        <v>7</v>
      </c>
      <c r="G153">
        <v>43.565852999999997</v>
      </c>
      <c r="H153">
        <v>-71.496129999999994</v>
      </c>
      <c r="I153">
        <v>708</v>
      </c>
      <c r="J153">
        <v>67</v>
      </c>
      <c r="K153">
        <v>0</v>
      </c>
      <c r="L153" s="1">
        <v>44784.049328703702</v>
      </c>
      <c r="M153">
        <v>5.3</v>
      </c>
      <c r="N153">
        <v>4.4000000000000004</v>
      </c>
      <c r="O153">
        <v>0.9</v>
      </c>
      <c r="P153">
        <v>19</v>
      </c>
      <c r="Q153">
        <v>0</v>
      </c>
      <c r="R153">
        <v>0.1</v>
      </c>
      <c r="S153">
        <v>0.05</v>
      </c>
      <c r="T153" t="s">
        <v>33</v>
      </c>
      <c r="U153">
        <v>4.8499999999999996</v>
      </c>
      <c r="V153">
        <v>98</v>
      </c>
      <c r="W153">
        <v>0</v>
      </c>
      <c r="X153">
        <v>98</v>
      </c>
      <c r="Y153">
        <v>2</v>
      </c>
      <c r="Z153">
        <v>0</v>
      </c>
      <c r="AA153">
        <v>2</v>
      </c>
      <c r="AB153" t="s">
        <v>36</v>
      </c>
      <c r="AC153">
        <v>98</v>
      </c>
      <c r="AD153">
        <v>-1.74</v>
      </c>
    </row>
    <row r="154" spans="1:30" x14ac:dyDescent="0.25">
      <c r="A154" s="1">
        <v>44784.049351851849</v>
      </c>
      <c r="B154" s="1">
        <v>44780.394780092596</v>
      </c>
      <c r="C154">
        <v>151712</v>
      </c>
      <c r="D154" t="s">
        <v>40</v>
      </c>
      <c r="E154" t="s">
        <v>31</v>
      </c>
      <c r="F154">
        <v>7</v>
      </c>
      <c r="G154">
        <v>43.289763999999998</v>
      </c>
      <c r="H154">
        <v>-71.564260000000004</v>
      </c>
      <c r="I154">
        <v>370</v>
      </c>
      <c r="J154">
        <v>86</v>
      </c>
      <c r="K154">
        <v>0</v>
      </c>
      <c r="L154" s="1">
        <v>44784.049328703702</v>
      </c>
      <c r="M154">
        <v>14</v>
      </c>
      <c r="N154">
        <v>13.2</v>
      </c>
      <c r="O154">
        <v>0.8</v>
      </c>
      <c r="P154">
        <v>6</v>
      </c>
      <c r="Q154">
        <v>0</v>
      </c>
      <c r="R154">
        <v>0</v>
      </c>
      <c r="S154">
        <v>0</v>
      </c>
      <c r="T154" t="s">
        <v>32</v>
      </c>
      <c r="V154">
        <v>59</v>
      </c>
      <c r="W154">
        <v>0</v>
      </c>
      <c r="X154">
        <v>59</v>
      </c>
      <c r="Y154">
        <v>0</v>
      </c>
      <c r="Z154">
        <v>0</v>
      </c>
      <c r="AA154">
        <v>0</v>
      </c>
      <c r="AB154" t="s">
        <v>36</v>
      </c>
      <c r="AC154">
        <v>59</v>
      </c>
    </row>
    <row r="155" spans="1:30" x14ac:dyDescent="0.25">
      <c r="A155" s="1">
        <v>44784.049363425926</v>
      </c>
      <c r="B155" s="1">
        <v>44784.048784722225</v>
      </c>
      <c r="C155">
        <v>151710</v>
      </c>
      <c r="D155" t="s">
        <v>41</v>
      </c>
      <c r="E155" t="s">
        <v>31</v>
      </c>
      <c r="F155">
        <v>7</v>
      </c>
      <c r="G155">
        <v>43.132477000000002</v>
      </c>
      <c r="H155">
        <v>-71.458374000000006</v>
      </c>
      <c r="I155">
        <v>230</v>
      </c>
      <c r="J155">
        <v>71</v>
      </c>
      <c r="K155">
        <v>0</v>
      </c>
      <c r="L155" s="1">
        <v>44784.049328703702</v>
      </c>
      <c r="M155">
        <v>3.9</v>
      </c>
      <c r="N155">
        <v>2.9</v>
      </c>
      <c r="O155">
        <v>1</v>
      </c>
      <c r="P155">
        <v>29</v>
      </c>
      <c r="Q155">
        <v>0.1</v>
      </c>
      <c r="R155">
        <v>0</v>
      </c>
      <c r="S155">
        <v>0.05</v>
      </c>
      <c r="T155" t="s">
        <v>33</v>
      </c>
      <c r="U155">
        <v>3.4</v>
      </c>
      <c r="V155">
        <v>64</v>
      </c>
      <c r="W155">
        <v>0</v>
      </c>
      <c r="X155">
        <v>64</v>
      </c>
      <c r="Y155">
        <v>1</v>
      </c>
      <c r="Z155">
        <v>0</v>
      </c>
      <c r="AA155">
        <v>1</v>
      </c>
      <c r="AB155" t="s">
        <v>36</v>
      </c>
      <c r="AC155">
        <v>64</v>
      </c>
      <c r="AD155">
        <v>-0.25</v>
      </c>
    </row>
    <row r="156" spans="1:30" x14ac:dyDescent="0.25">
      <c r="A156" s="1">
        <v>44784.049363425926</v>
      </c>
      <c r="B156" s="1">
        <v>44784.048495370371</v>
      </c>
      <c r="C156">
        <v>151706</v>
      </c>
      <c r="D156" t="s">
        <v>42</v>
      </c>
      <c r="E156" t="s">
        <v>31</v>
      </c>
      <c r="F156">
        <v>7</v>
      </c>
      <c r="G156">
        <v>43.004080000000002</v>
      </c>
      <c r="H156">
        <v>-71.177040000000005</v>
      </c>
      <c r="I156">
        <v>194</v>
      </c>
      <c r="J156">
        <v>71</v>
      </c>
      <c r="K156">
        <v>0</v>
      </c>
      <c r="L156" s="1">
        <v>44784.049328703702</v>
      </c>
      <c r="M156">
        <v>1.5</v>
      </c>
      <c r="N156">
        <v>0</v>
      </c>
      <c r="O156">
        <v>1.5</v>
      </c>
      <c r="P156">
        <v>200</v>
      </c>
      <c r="Q156">
        <v>0.1</v>
      </c>
      <c r="R156">
        <v>0</v>
      </c>
      <c r="S156">
        <v>0.05</v>
      </c>
      <c r="T156" t="s">
        <v>43</v>
      </c>
      <c r="V156">
        <v>66</v>
      </c>
      <c r="W156">
        <v>0</v>
      </c>
      <c r="X156">
        <v>66</v>
      </c>
      <c r="Y156">
        <v>0</v>
      </c>
      <c r="Z156">
        <v>0</v>
      </c>
      <c r="AA156">
        <v>0</v>
      </c>
      <c r="AB156" t="s">
        <v>36</v>
      </c>
      <c r="AC156">
        <v>66</v>
      </c>
    </row>
    <row r="157" spans="1:30" x14ac:dyDescent="0.25">
      <c r="A157" s="1">
        <v>44784.049363425926</v>
      </c>
      <c r="B157" s="1">
        <v>44784.048171296294</v>
      </c>
      <c r="C157">
        <v>12212</v>
      </c>
      <c r="D157" t="s">
        <v>44</v>
      </c>
      <c r="E157" t="s">
        <v>35</v>
      </c>
      <c r="F157">
        <v>7</v>
      </c>
      <c r="G157">
        <v>42.930529999999997</v>
      </c>
      <c r="H157">
        <v>-72.272350000000003</v>
      </c>
      <c r="I157">
        <v>476</v>
      </c>
      <c r="J157">
        <v>76</v>
      </c>
      <c r="K157">
        <v>0</v>
      </c>
      <c r="L157" s="1">
        <v>44784.049328703702</v>
      </c>
      <c r="M157">
        <v>2.8</v>
      </c>
      <c r="N157">
        <v>2.2000000000000002</v>
      </c>
      <c r="O157">
        <v>0.6</v>
      </c>
      <c r="P157">
        <v>24</v>
      </c>
      <c r="Q157">
        <v>0</v>
      </c>
      <c r="R157">
        <v>0</v>
      </c>
      <c r="S157">
        <v>0</v>
      </c>
      <c r="T157" t="s">
        <v>33</v>
      </c>
      <c r="U157">
        <v>2.5</v>
      </c>
      <c r="V157">
        <v>83</v>
      </c>
      <c r="W157">
        <v>0</v>
      </c>
      <c r="X157">
        <v>83</v>
      </c>
      <c r="Y157">
        <v>4</v>
      </c>
      <c r="Z157">
        <v>0</v>
      </c>
      <c r="AA157">
        <v>4</v>
      </c>
      <c r="AB157" t="s">
        <v>36</v>
      </c>
      <c r="AC157">
        <v>83</v>
      </c>
      <c r="AD157">
        <v>-2.12</v>
      </c>
    </row>
    <row r="158" spans="1:30" x14ac:dyDescent="0.25">
      <c r="A158" s="1">
        <v>44784.049363425926</v>
      </c>
      <c r="B158" s="1">
        <v>44769.376736111109</v>
      </c>
      <c r="C158">
        <v>12178</v>
      </c>
      <c r="D158" t="s">
        <v>45</v>
      </c>
      <c r="E158" t="s">
        <v>35</v>
      </c>
      <c r="F158">
        <v>7</v>
      </c>
      <c r="G158">
        <v>42.899563000000001</v>
      </c>
      <c r="H158">
        <v>-71.464650000000006</v>
      </c>
      <c r="I158">
        <v>301</v>
      </c>
      <c r="J158">
        <v>85</v>
      </c>
      <c r="K158">
        <v>0</v>
      </c>
      <c r="L158" s="1">
        <v>44784.049328703702</v>
      </c>
      <c r="M158">
        <v>3.8</v>
      </c>
      <c r="N158">
        <v>3.1</v>
      </c>
      <c r="O158">
        <v>0.7</v>
      </c>
      <c r="P158">
        <v>20</v>
      </c>
      <c r="Q158">
        <v>0</v>
      </c>
      <c r="R158">
        <v>0</v>
      </c>
      <c r="S158">
        <v>0</v>
      </c>
      <c r="T158" t="s">
        <v>32</v>
      </c>
      <c r="V158">
        <v>35</v>
      </c>
      <c r="W158">
        <v>0</v>
      </c>
      <c r="X158">
        <v>35</v>
      </c>
      <c r="Y158">
        <v>0</v>
      </c>
      <c r="Z158">
        <v>0</v>
      </c>
      <c r="AA158">
        <v>0</v>
      </c>
      <c r="AB158" t="s">
        <v>36</v>
      </c>
      <c r="AC158">
        <v>35</v>
      </c>
    </row>
    <row r="159" spans="1:30" x14ac:dyDescent="0.25">
      <c r="A159" s="1">
        <v>44784.049375000002</v>
      </c>
      <c r="B159" s="1">
        <v>44784.047534722224</v>
      </c>
      <c r="C159">
        <v>75981</v>
      </c>
      <c r="D159" t="s">
        <v>46</v>
      </c>
      <c r="E159" t="s">
        <v>35</v>
      </c>
      <c r="F159">
        <v>7</v>
      </c>
      <c r="G159">
        <v>42.97</v>
      </c>
      <c r="H159">
        <v>-71.06</v>
      </c>
      <c r="I159">
        <v>136</v>
      </c>
      <c r="J159">
        <v>75</v>
      </c>
      <c r="K159">
        <v>0</v>
      </c>
      <c r="L159" s="1">
        <v>44784.049328703702</v>
      </c>
      <c r="M159">
        <v>2.8</v>
      </c>
      <c r="N159">
        <v>2.7</v>
      </c>
      <c r="O159">
        <v>0.1</v>
      </c>
      <c r="P159">
        <v>4</v>
      </c>
      <c r="Q159">
        <v>0</v>
      </c>
      <c r="R159">
        <v>0.1</v>
      </c>
      <c r="S159">
        <v>0.05</v>
      </c>
      <c r="T159" t="s">
        <v>33</v>
      </c>
      <c r="U159">
        <v>2.75</v>
      </c>
      <c r="V159">
        <v>59</v>
      </c>
      <c r="W159">
        <v>0</v>
      </c>
      <c r="X159">
        <v>59</v>
      </c>
      <c r="Y159">
        <v>0</v>
      </c>
      <c r="Z159">
        <v>0</v>
      </c>
      <c r="AA159">
        <v>0</v>
      </c>
      <c r="AB159" t="s">
        <v>36</v>
      </c>
      <c r="AC159">
        <v>59</v>
      </c>
      <c r="AD159">
        <v>-0.28999999999999998</v>
      </c>
    </row>
    <row r="160" spans="1:30" x14ac:dyDescent="0.25">
      <c r="A160" s="1">
        <v>44784.049375000002</v>
      </c>
      <c r="B160" s="1">
        <v>44784.048055555555</v>
      </c>
      <c r="C160">
        <v>115703</v>
      </c>
      <c r="D160" t="s">
        <v>47</v>
      </c>
      <c r="E160" t="s">
        <v>35</v>
      </c>
      <c r="F160">
        <v>7</v>
      </c>
      <c r="G160">
        <v>43.953625000000002</v>
      </c>
      <c r="H160">
        <v>-71.508859999999999</v>
      </c>
      <c r="I160">
        <v>1493</v>
      </c>
      <c r="J160">
        <v>63</v>
      </c>
      <c r="K160">
        <v>0</v>
      </c>
      <c r="L160" s="1">
        <v>44784.049328703702</v>
      </c>
      <c r="M160">
        <v>0</v>
      </c>
      <c r="N160">
        <v>300.89999999999998</v>
      </c>
      <c r="O160">
        <v>300.89999999999998</v>
      </c>
      <c r="P160">
        <v>200</v>
      </c>
      <c r="Q160">
        <v>0</v>
      </c>
      <c r="R160">
        <v>0</v>
      </c>
      <c r="S160">
        <v>0</v>
      </c>
      <c r="T160" t="s">
        <v>48</v>
      </c>
      <c r="V160">
        <v>67</v>
      </c>
      <c r="W160">
        <v>0</v>
      </c>
      <c r="X160">
        <v>67</v>
      </c>
      <c r="Y160">
        <v>0</v>
      </c>
      <c r="Z160">
        <v>0</v>
      </c>
      <c r="AA160">
        <v>0</v>
      </c>
      <c r="AB160" t="s">
        <v>36</v>
      </c>
      <c r="AC160">
        <v>67</v>
      </c>
    </row>
    <row r="161" spans="1:30" x14ac:dyDescent="0.25">
      <c r="A161" s="1">
        <v>44784.049375000002</v>
      </c>
      <c r="B161" s="1">
        <v>44784.04886574074</v>
      </c>
      <c r="C161">
        <v>12050</v>
      </c>
      <c r="D161" t="s">
        <v>49</v>
      </c>
      <c r="E161" t="s">
        <v>35</v>
      </c>
      <c r="F161">
        <v>7</v>
      </c>
      <c r="G161">
        <v>44.220573000000002</v>
      </c>
      <c r="H161">
        <v>-71.732315</v>
      </c>
      <c r="I161">
        <v>999</v>
      </c>
      <c r="J161">
        <v>70</v>
      </c>
      <c r="K161">
        <v>0</v>
      </c>
      <c r="L161" s="1">
        <v>44784.049328703702</v>
      </c>
      <c r="M161">
        <v>2.7</v>
      </c>
      <c r="N161">
        <v>2.6</v>
      </c>
      <c r="O161">
        <v>0.1</v>
      </c>
      <c r="P161">
        <v>4</v>
      </c>
      <c r="Q161">
        <v>0.1</v>
      </c>
      <c r="R161">
        <v>0.2</v>
      </c>
      <c r="S161">
        <v>0.15</v>
      </c>
      <c r="T161" t="s">
        <v>33</v>
      </c>
      <c r="U161">
        <v>2.65</v>
      </c>
      <c r="V161">
        <v>58</v>
      </c>
      <c r="W161">
        <v>0</v>
      </c>
      <c r="X161">
        <v>58</v>
      </c>
      <c r="Y161">
        <v>1</v>
      </c>
      <c r="Z161">
        <v>0</v>
      </c>
      <c r="AA161">
        <v>1</v>
      </c>
      <c r="AB161" t="s">
        <v>36</v>
      </c>
      <c r="AC161">
        <v>58</v>
      </c>
      <c r="AD161">
        <v>-0.28000000000000003</v>
      </c>
    </row>
    <row r="162" spans="1:30" x14ac:dyDescent="0.25">
      <c r="A162" s="1">
        <v>44784.049375000002</v>
      </c>
      <c r="B162" s="1">
        <v>44784.047581018516</v>
      </c>
      <c r="C162">
        <v>23443</v>
      </c>
      <c r="D162" t="s">
        <v>50</v>
      </c>
      <c r="E162" t="s">
        <v>35</v>
      </c>
      <c r="F162">
        <v>7</v>
      </c>
      <c r="G162">
        <v>43.556139999999999</v>
      </c>
      <c r="H162">
        <v>-72.370990000000006</v>
      </c>
      <c r="I162">
        <v>523</v>
      </c>
      <c r="J162">
        <v>71</v>
      </c>
      <c r="K162">
        <v>0</v>
      </c>
      <c r="L162" s="1">
        <v>44784.049328703702</v>
      </c>
      <c r="M162">
        <v>3.2</v>
      </c>
      <c r="N162">
        <v>2.8</v>
      </c>
      <c r="O162">
        <v>0.4</v>
      </c>
      <c r="P162">
        <v>13</v>
      </c>
      <c r="Q162">
        <v>0</v>
      </c>
      <c r="R162">
        <v>0.2</v>
      </c>
      <c r="S162">
        <v>0.1</v>
      </c>
      <c r="T162" t="s">
        <v>33</v>
      </c>
      <c r="U162">
        <v>3</v>
      </c>
      <c r="V162">
        <v>65</v>
      </c>
      <c r="W162">
        <v>0</v>
      </c>
      <c r="X162">
        <v>65</v>
      </c>
      <c r="Y162">
        <v>1</v>
      </c>
      <c r="Z162">
        <v>0</v>
      </c>
      <c r="AA162">
        <v>1</v>
      </c>
      <c r="AB162" t="s">
        <v>36</v>
      </c>
      <c r="AC162">
        <v>65</v>
      </c>
      <c r="AD162">
        <v>-0.56000000000000005</v>
      </c>
    </row>
    <row r="163" spans="1:30" x14ac:dyDescent="0.25">
      <c r="A163" s="1">
        <v>44784.049386574072</v>
      </c>
      <c r="B163" s="1">
        <v>44784.047673611109</v>
      </c>
      <c r="C163">
        <v>58135</v>
      </c>
      <c r="D163" t="s">
        <v>51</v>
      </c>
      <c r="E163" t="s">
        <v>35</v>
      </c>
      <c r="F163">
        <v>7</v>
      </c>
      <c r="G163">
        <v>42.883873000000001</v>
      </c>
      <c r="H163">
        <v>-71.972915999999998</v>
      </c>
      <c r="I163">
        <v>808</v>
      </c>
      <c r="J163">
        <v>71</v>
      </c>
      <c r="K163">
        <v>0</v>
      </c>
      <c r="L163" s="1">
        <v>44784.049328703702</v>
      </c>
      <c r="M163">
        <v>7.1</v>
      </c>
      <c r="N163">
        <v>5.0999999999999996</v>
      </c>
      <c r="O163">
        <v>2</v>
      </c>
      <c r="P163">
        <v>33</v>
      </c>
      <c r="Q163">
        <v>0.1</v>
      </c>
      <c r="R163">
        <v>0.1</v>
      </c>
      <c r="S163">
        <v>0.1</v>
      </c>
      <c r="T163" t="s">
        <v>33</v>
      </c>
      <c r="U163">
        <v>6.1</v>
      </c>
      <c r="V163">
        <v>70</v>
      </c>
      <c r="W163">
        <v>0</v>
      </c>
      <c r="X163">
        <v>70</v>
      </c>
      <c r="Y163">
        <v>1</v>
      </c>
      <c r="Z163">
        <v>0</v>
      </c>
      <c r="AA163">
        <v>1</v>
      </c>
      <c r="AB163" t="s">
        <v>36</v>
      </c>
      <c r="AC163">
        <v>70</v>
      </c>
      <c r="AD163">
        <v>0.98</v>
      </c>
    </row>
    <row r="164" spans="1:30" x14ac:dyDescent="0.25">
      <c r="A164" s="1">
        <v>44784.049386574072</v>
      </c>
      <c r="B164" s="1">
        <v>44784.047731481478</v>
      </c>
      <c r="C164">
        <v>148555</v>
      </c>
      <c r="D164" t="s">
        <v>52</v>
      </c>
      <c r="E164" t="s">
        <v>53</v>
      </c>
      <c r="F164">
        <v>7</v>
      </c>
      <c r="G164">
        <v>42.904949999999999</v>
      </c>
      <c r="H164">
        <v>-71.386764999999997</v>
      </c>
      <c r="I164">
        <v>363</v>
      </c>
      <c r="J164">
        <v>0</v>
      </c>
      <c r="K164">
        <v>0</v>
      </c>
      <c r="L164" s="1">
        <v>44784.049328703702</v>
      </c>
      <c r="M164">
        <v>1.3</v>
      </c>
      <c r="N164">
        <v>1.9</v>
      </c>
      <c r="O164">
        <v>0.6</v>
      </c>
      <c r="P164">
        <v>37</v>
      </c>
      <c r="Q164">
        <v>0</v>
      </c>
      <c r="R164">
        <v>0</v>
      </c>
      <c r="S164">
        <v>0</v>
      </c>
      <c r="T164" t="s">
        <v>33</v>
      </c>
      <c r="U164">
        <v>1.6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38</v>
      </c>
    </row>
    <row r="165" spans="1:30" x14ac:dyDescent="0.25">
      <c r="A165" s="1">
        <v>44784.049386574072</v>
      </c>
      <c r="B165" s="1">
        <v>44784.048657407409</v>
      </c>
      <c r="C165">
        <v>146644</v>
      </c>
      <c r="D165" t="s">
        <v>54</v>
      </c>
      <c r="E165" t="s">
        <v>53</v>
      </c>
      <c r="F165">
        <v>7</v>
      </c>
      <c r="G165">
        <v>43.06015</v>
      </c>
      <c r="H165">
        <v>-70.758930000000007</v>
      </c>
      <c r="I165">
        <v>35</v>
      </c>
      <c r="J165">
        <v>69</v>
      </c>
      <c r="K165">
        <v>70</v>
      </c>
      <c r="L165" s="1">
        <v>44784.049328703702</v>
      </c>
      <c r="M165">
        <v>3.4</v>
      </c>
      <c r="N165">
        <v>2.6</v>
      </c>
      <c r="O165">
        <v>0.8</v>
      </c>
      <c r="P165">
        <v>27</v>
      </c>
      <c r="Q165">
        <v>0.1</v>
      </c>
      <c r="R165">
        <v>0.1</v>
      </c>
      <c r="S165">
        <v>0.1</v>
      </c>
      <c r="T165" t="s">
        <v>33</v>
      </c>
      <c r="U165">
        <v>3</v>
      </c>
      <c r="V165">
        <v>68</v>
      </c>
      <c r="W165">
        <v>72</v>
      </c>
      <c r="X165">
        <v>4</v>
      </c>
      <c r="Y165">
        <v>1</v>
      </c>
      <c r="Z165">
        <v>1</v>
      </c>
      <c r="AA165">
        <v>0</v>
      </c>
      <c r="AB165" t="s">
        <v>33</v>
      </c>
      <c r="AC165">
        <v>70</v>
      </c>
      <c r="AD165">
        <v>-0.91</v>
      </c>
    </row>
    <row r="166" spans="1:30" x14ac:dyDescent="0.25">
      <c r="A166" s="1">
        <v>44784.049386574072</v>
      </c>
      <c r="B166" s="1">
        <v>43755.283437500002</v>
      </c>
      <c r="C166">
        <v>12188</v>
      </c>
      <c r="D166" t="s">
        <v>55</v>
      </c>
      <c r="E166" t="s">
        <v>35</v>
      </c>
      <c r="F166">
        <v>4.1100000000000003</v>
      </c>
      <c r="G166">
        <v>42.927050000000001</v>
      </c>
      <c r="H166">
        <v>-72.279610000000005</v>
      </c>
      <c r="I166">
        <v>475</v>
      </c>
      <c r="J166">
        <v>95</v>
      </c>
      <c r="K166">
        <v>0</v>
      </c>
      <c r="L166" s="1">
        <v>44784.049328703702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t="s">
        <v>32</v>
      </c>
      <c r="V166">
        <v>77</v>
      </c>
      <c r="W166">
        <v>0</v>
      </c>
      <c r="X166">
        <v>77</v>
      </c>
      <c r="Y166">
        <v>0</v>
      </c>
      <c r="Z166">
        <v>0</v>
      </c>
      <c r="AA166">
        <v>0</v>
      </c>
      <c r="AB166" t="s">
        <v>36</v>
      </c>
      <c r="AC166">
        <v>77</v>
      </c>
    </row>
    <row r="167" spans="1:30" x14ac:dyDescent="0.25">
      <c r="A167" s="1">
        <v>44784.049386574072</v>
      </c>
      <c r="B167" s="1">
        <v>44784.047569444447</v>
      </c>
      <c r="C167">
        <v>1224</v>
      </c>
      <c r="D167" t="s">
        <v>56</v>
      </c>
      <c r="E167" t="s">
        <v>35</v>
      </c>
      <c r="F167" t="s">
        <v>57</v>
      </c>
      <c r="G167">
        <v>42.938034000000002</v>
      </c>
      <c r="H167">
        <v>-72.259299999999996</v>
      </c>
      <c r="I167">
        <v>792</v>
      </c>
      <c r="J167">
        <v>77</v>
      </c>
      <c r="K167">
        <v>0</v>
      </c>
      <c r="L167" s="1">
        <v>44784.049328703702</v>
      </c>
      <c r="M167">
        <v>2.2999999999999998</v>
      </c>
      <c r="N167">
        <v>0</v>
      </c>
      <c r="O167">
        <v>2.2999999999999998</v>
      </c>
      <c r="P167">
        <v>200</v>
      </c>
      <c r="Q167">
        <v>0</v>
      </c>
      <c r="R167">
        <v>0</v>
      </c>
      <c r="S167">
        <v>0</v>
      </c>
      <c r="T167" t="s">
        <v>43</v>
      </c>
      <c r="V167">
        <v>81</v>
      </c>
      <c r="W167">
        <v>0</v>
      </c>
      <c r="X167">
        <v>81</v>
      </c>
      <c r="Y167">
        <v>0</v>
      </c>
      <c r="Z167">
        <v>0</v>
      </c>
      <c r="AA167">
        <v>0</v>
      </c>
      <c r="AB167" t="s">
        <v>36</v>
      </c>
      <c r="AC167">
        <v>81</v>
      </c>
    </row>
    <row r="168" spans="1:30" x14ac:dyDescent="0.25">
      <c r="A168" s="1">
        <v>44784.049398148149</v>
      </c>
      <c r="B168" s="1">
        <v>44784.048402777778</v>
      </c>
      <c r="C168">
        <v>1202</v>
      </c>
      <c r="D168" t="s">
        <v>58</v>
      </c>
      <c r="E168" t="s">
        <v>35</v>
      </c>
      <c r="F168" t="s">
        <v>57</v>
      </c>
      <c r="G168">
        <v>42.936554000000001</v>
      </c>
      <c r="H168">
        <v>-72.271019999999993</v>
      </c>
      <c r="I168">
        <v>488</v>
      </c>
      <c r="J168">
        <v>0</v>
      </c>
      <c r="K168">
        <v>0</v>
      </c>
      <c r="L168" s="1">
        <v>44784.049328703702</v>
      </c>
      <c r="M168">
        <v>2.2999999999999998</v>
      </c>
      <c r="N168">
        <v>2.1</v>
      </c>
      <c r="O168">
        <v>0.2</v>
      </c>
      <c r="P168">
        <v>9</v>
      </c>
      <c r="Q168">
        <v>0.1</v>
      </c>
      <c r="R168">
        <v>0.1</v>
      </c>
      <c r="S168">
        <v>0.1</v>
      </c>
      <c r="T168" t="s">
        <v>33</v>
      </c>
      <c r="U168">
        <v>2.2000000000000002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38</v>
      </c>
    </row>
    <row r="169" spans="1:30" x14ac:dyDescent="0.25">
      <c r="A169" s="1">
        <v>44784.049398148149</v>
      </c>
      <c r="B169" s="1">
        <v>44612.080023148148</v>
      </c>
      <c r="C169">
        <v>25985</v>
      </c>
      <c r="D169" t="s">
        <v>59</v>
      </c>
      <c r="E169" t="s">
        <v>35</v>
      </c>
      <c r="F169">
        <v>6.01</v>
      </c>
      <c r="G169">
        <v>42.927326000000001</v>
      </c>
      <c r="H169">
        <v>-72.279979999999995</v>
      </c>
      <c r="I169">
        <v>477</v>
      </c>
      <c r="J169">
        <v>78</v>
      </c>
      <c r="K169">
        <v>0</v>
      </c>
      <c r="L169" s="1">
        <v>44784.049328703702</v>
      </c>
      <c r="M169">
        <v>1.1000000000000001</v>
      </c>
      <c r="N169">
        <v>1</v>
      </c>
      <c r="O169">
        <v>0.1</v>
      </c>
      <c r="P169">
        <v>10</v>
      </c>
      <c r="Q169">
        <v>0</v>
      </c>
      <c r="R169">
        <v>0</v>
      </c>
      <c r="S169">
        <v>0</v>
      </c>
      <c r="T169" t="s">
        <v>32</v>
      </c>
      <c r="V169">
        <v>22</v>
      </c>
      <c r="W169">
        <v>0</v>
      </c>
      <c r="X169">
        <v>22</v>
      </c>
      <c r="Y169">
        <v>0</v>
      </c>
      <c r="Z169">
        <v>0</v>
      </c>
      <c r="AA169">
        <v>0</v>
      </c>
      <c r="AB169" t="s">
        <v>36</v>
      </c>
      <c r="AC169">
        <v>22</v>
      </c>
    </row>
    <row r="170" spans="1:30" x14ac:dyDescent="0.25">
      <c r="A170" s="1">
        <v>44784.056296296294</v>
      </c>
      <c r="B170" s="1">
        <v>44775.701319444444</v>
      </c>
      <c r="C170">
        <v>151708</v>
      </c>
      <c r="D170" t="s">
        <v>30</v>
      </c>
      <c r="E170" t="s">
        <v>31</v>
      </c>
      <c r="F170">
        <v>7</v>
      </c>
      <c r="G170">
        <v>43.192042999999998</v>
      </c>
      <c r="H170">
        <v>-71.541579999999996</v>
      </c>
      <c r="I170">
        <v>291</v>
      </c>
      <c r="J170">
        <v>93</v>
      </c>
      <c r="K170">
        <v>94</v>
      </c>
      <c r="L170" s="1">
        <v>44784.056273148148</v>
      </c>
      <c r="M170">
        <v>7.9</v>
      </c>
      <c r="N170">
        <v>7.6</v>
      </c>
      <c r="O170">
        <v>0.3</v>
      </c>
      <c r="P170">
        <v>4</v>
      </c>
      <c r="Q170">
        <v>0</v>
      </c>
      <c r="R170">
        <v>0</v>
      </c>
      <c r="S170">
        <v>0</v>
      </c>
      <c r="T170" t="s">
        <v>32</v>
      </c>
      <c r="V170">
        <v>42</v>
      </c>
      <c r="W170">
        <v>41</v>
      </c>
      <c r="X170">
        <v>1</v>
      </c>
      <c r="Y170">
        <v>0</v>
      </c>
      <c r="Z170">
        <v>0</v>
      </c>
      <c r="AA170">
        <v>0</v>
      </c>
      <c r="AB170" t="s">
        <v>33</v>
      </c>
      <c r="AC170">
        <v>41.5</v>
      </c>
    </row>
    <row r="171" spans="1:30" x14ac:dyDescent="0.25">
      <c r="A171" s="1">
        <v>44784.056296296294</v>
      </c>
      <c r="B171" s="1">
        <v>44784.054571759261</v>
      </c>
      <c r="C171">
        <v>143456</v>
      </c>
      <c r="D171" t="s">
        <v>34</v>
      </c>
      <c r="E171" t="s">
        <v>35</v>
      </c>
      <c r="F171">
        <v>7</v>
      </c>
      <c r="G171">
        <v>43.08963</v>
      </c>
      <c r="H171">
        <v>-71.502440000000007</v>
      </c>
      <c r="I171">
        <v>619</v>
      </c>
      <c r="J171">
        <v>70</v>
      </c>
      <c r="K171">
        <v>0</v>
      </c>
      <c r="L171" s="1">
        <v>44784.056273148148</v>
      </c>
      <c r="M171">
        <v>3.4</v>
      </c>
      <c r="N171">
        <v>3.5</v>
      </c>
      <c r="O171">
        <v>0.1</v>
      </c>
      <c r="P171">
        <v>3</v>
      </c>
      <c r="Q171">
        <v>0.1</v>
      </c>
      <c r="R171">
        <v>0</v>
      </c>
      <c r="S171">
        <v>0.05</v>
      </c>
      <c r="T171" t="s">
        <v>33</v>
      </c>
      <c r="U171">
        <v>3.45</v>
      </c>
      <c r="V171">
        <v>68</v>
      </c>
      <c r="W171">
        <v>0</v>
      </c>
      <c r="X171">
        <v>68</v>
      </c>
      <c r="Y171">
        <v>1</v>
      </c>
      <c r="Z171">
        <v>0</v>
      </c>
      <c r="AA171">
        <v>1</v>
      </c>
      <c r="AB171" t="s">
        <v>36</v>
      </c>
      <c r="AC171">
        <v>68</v>
      </c>
      <c r="AD171">
        <v>-0.5</v>
      </c>
    </row>
    <row r="172" spans="1:30" x14ac:dyDescent="0.25">
      <c r="A172" s="1">
        <v>44784.056296296294</v>
      </c>
      <c r="B172" s="1">
        <v>44784.054768518516</v>
      </c>
      <c r="C172">
        <v>151702</v>
      </c>
      <c r="D172" t="s">
        <v>37</v>
      </c>
      <c r="E172" t="s">
        <v>31</v>
      </c>
      <c r="F172">
        <v>7</v>
      </c>
      <c r="G172">
        <v>43.118609999999997</v>
      </c>
      <c r="H172">
        <v>-71.61618</v>
      </c>
      <c r="I172">
        <v>885</v>
      </c>
      <c r="J172">
        <v>0</v>
      </c>
      <c r="K172">
        <v>0</v>
      </c>
      <c r="L172" s="1">
        <v>44784.056273148148</v>
      </c>
      <c r="M172">
        <v>3.2</v>
      </c>
      <c r="N172">
        <v>2.9</v>
      </c>
      <c r="O172">
        <v>0.3</v>
      </c>
      <c r="P172">
        <v>10</v>
      </c>
      <c r="Q172">
        <v>0.1</v>
      </c>
      <c r="R172">
        <v>0</v>
      </c>
      <c r="S172">
        <v>0.05</v>
      </c>
      <c r="T172" t="s">
        <v>33</v>
      </c>
      <c r="U172">
        <v>3.05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">
        <v>38</v>
      </c>
    </row>
    <row r="173" spans="1:30" x14ac:dyDescent="0.25">
      <c r="A173" s="1">
        <v>44784.056296296294</v>
      </c>
      <c r="B173" s="1">
        <v>44784.054652777777</v>
      </c>
      <c r="C173">
        <v>151700</v>
      </c>
      <c r="D173" t="s">
        <v>30</v>
      </c>
      <c r="E173" t="s">
        <v>31</v>
      </c>
      <c r="F173">
        <v>7</v>
      </c>
      <c r="G173">
        <v>43.19211</v>
      </c>
      <c r="H173">
        <v>-71.541460000000001</v>
      </c>
      <c r="I173">
        <v>286</v>
      </c>
      <c r="J173">
        <v>72</v>
      </c>
      <c r="K173">
        <v>0</v>
      </c>
      <c r="L173" s="1">
        <v>44784.056273148148</v>
      </c>
      <c r="M173">
        <v>2.4</v>
      </c>
      <c r="N173">
        <v>2.7</v>
      </c>
      <c r="O173">
        <v>0.3</v>
      </c>
      <c r="P173">
        <v>12</v>
      </c>
      <c r="Q173">
        <v>0</v>
      </c>
      <c r="R173">
        <v>0.1</v>
      </c>
      <c r="S173">
        <v>0.05</v>
      </c>
      <c r="T173" t="s">
        <v>33</v>
      </c>
      <c r="U173">
        <v>2.5499999999999998</v>
      </c>
      <c r="V173">
        <v>64</v>
      </c>
      <c r="W173">
        <v>0</v>
      </c>
      <c r="X173">
        <v>64</v>
      </c>
      <c r="Y173">
        <v>1</v>
      </c>
      <c r="Z173">
        <v>0</v>
      </c>
      <c r="AA173">
        <v>1</v>
      </c>
      <c r="AB173" t="s">
        <v>36</v>
      </c>
      <c r="AC173">
        <v>64</v>
      </c>
      <c r="AD173">
        <v>-0.76</v>
      </c>
    </row>
    <row r="174" spans="1:30" x14ac:dyDescent="0.25">
      <c r="A174" s="1">
        <v>44784.056296296294</v>
      </c>
      <c r="B174" s="1">
        <v>44784.05505787037</v>
      </c>
      <c r="C174">
        <v>135984</v>
      </c>
      <c r="D174" t="s">
        <v>39</v>
      </c>
      <c r="E174" t="s">
        <v>31</v>
      </c>
      <c r="F174">
        <v>7</v>
      </c>
      <c r="G174">
        <v>43.565852999999997</v>
      </c>
      <c r="H174">
        <v>-71.496129999999994</v>
      </c>
      <c r="I174">
        <v>708</v>
      </c>
      <c r="J174">
        <v>67</v>
      </c>
      <c r="K174">
        <v>0</v>
      </c>
      <c r="L174" s="1">
        <v>44784.056273148148</v>
      </c>
      <c r="M174">
        <v>5.2</v>
      </c>
      <c r="N174">
        <v>4.5</v>
      </c>
      <c r="O174">
        <v>0.7</v>
      </c>
      <c r="P174">
        <v>14</v>
      </c>
      <c r="Q174">
        <v>0.1</v>
      </c>
      <c r="R174">
        <v>0.1</v>
      </c>
      <c r="S174">
        <v>0.1</v>
      </c>
      <c r="T174" t="s">
        <v>33</v>
      </c>
      <c r="U174">
        <v>4.8499999999999996</v>
      </c>
      <c r="V174">
        <v>99</v>
      </c>
      <c r="W174">
        <v>0</v>
      </c>
      <c r="X174">
        <v>99</v>
      </c>
      <c r="Y174">
        <v>1</v>
      </c>
      <c r="Z174">
        <v>0</v>
      </c>
      <c r="AA174">
        <v>1</v>
      </c>
      <c r="AB174" t="s">
        <v>36</v>
      </c>
      <c r="AC174">
        <v>99</v>
      </c>
      <c r="AD174">
        <v>-1.81</v>
      </c>
    </row>
    <row r="175" spans="1:30" x14ac:dyDescent="0.25">
      <c r="A175" s="1">
        <v>44784.056307870371</v>
      </c>
      <c r="B175" s="1">
        <v>44780.394780092596</v>
      </c>
      <c r="C175">
        <v>151712</v>
      </c>
      <c r="D175" t="s">
        <v>40</v>
      </c>
      <c r="E175" t="s">
        <v>31</v>
      </c>
      <c r="F175">
        <v>7</v>
      </c>
      <c r="G175">
        <v>43.289763999999998</v>
      </c>
      <c r="H175">
        <v>-71.564260000000004</v>
      </c>
      <c r="I175">
        <v>370</v>
      </c>
      <c r="J175">
        <v>86</v>
      </c>
      <c r="K175">
        <v>0</v>
      </c>
      <c r="L175" s="1">
        <v>44784.056273148148</v>
      </c>
      <c r="M175">
        <v>14</v>
      </c>
      <c r="N175">
        <v>13.2</v>
      </c>
      <c r="O175">
        <v>0.8</v>
      </c>
      <c r="P175">
        <v>6</v>
      </c>
      <c r="Q175">
        <v>0</v>
      </c>
      <c r="R175">
        <v>0</v>
      </c>
      <c r="S175">
        <v>0</v>
      </c>
      <c r="T175" t="s">
        <v>32</v>
      </c>
      <c r="V175">
        <v>59</v>
      </c>
      <c r="W175">
        <v>0</v>
      </c>
      <c r="X175">
        <v>59</v>
      </c>
      <c r="Y175">
        <v>0</v>
      </c>
      <c r="Z175">
        <v>0</v>
      </c>
      <c r="AA175">
        <v>0</v>
      </c>
      <c r="AB175" t="s">
        <v>36</v>
      </c>
      <c r="AC175">
        <v>59</v>
      </c>
    </row>
    <row r="176" spans="1:30" x14ac:dyDescent="0.25">
      <c r="A176" s="1">
        <v>44784.056307870371</v>
      </c>
      <c r="B176" s="1">
        <v>44784.054340277777</v>
      </c>
      <c r="C176">
        <v>151710</v>
      </c>
      <c r="D176" t="s">
        <v>41</v>
      </c>
      <c r="E176" t="s">
        <v>31</v>
      </c>
      <c r="F176">
        <v>7</v>
      </c>
      <c r="G176">
        <v>43.132477000000002</v>
      </c>
      <c r="H176">
        <v>-71.458374000000006</v>
      </c>
      <c r="I176">
        <v>230</v>
      </c>
      <c r="J176">
        <v>71</v>
      </c>
      <c r="K176">
        <v>0</v>
      </c>
      <c r="L176" s="1">
        <v>44784.056273148148</v>
      </c>
      <c r="M176">
        <v>4.5</v>
      </c>
      <c r="N176">
        <v>3</v>
      </c>
      <c r="O176">
        <v>1.5</v>
      </c>
      <c r="P176">
        <v>40</v>
      </c>
      <c r="Q176">
        <v>0.6</v>
      </c>
      <c r="R176">
        <v>0.1</v>
      </c>
      <c r="S176">
        <v>0.35</v>
      </c>
      <c r="T176" t="s">
        <v>33</v>
      </c>
      <c r="U176">
        <v>3.75</v>
      </c>
      <c r="V176">
        <v>64</v>
      </c>
      <c r="W176">
        <v>0</v>
      </c>
      <c r="X176">
        <v>64</v>
      </c>
      <c r="Y176">
        <v>0</v>
      </c>
      <c r="Z176">
        <v>0</v>
      </c>
      <c r="AA176">
        <v>0</v>
      </c>
      <c r="AB176" t="s">
        <v>36</v>
      </c>
      <c r="AC176">
        <v>64</v>
      </c>
      <c r="AD176">
        <v>-0.03</v>
      </c>
    </row>
    <row r="177" spans="1:30" x14ac:dyDescent="0.25">
      <c r="A177" s="1">
        <v>44784.056307870371</v>
      </c>
      <c r="B177" s="1">
        <v>44784.055439814816</v>
      </c>
      <c r="C177">
        <v>151706</v>
      </c>
      <c r="D177" t="s">
        <v>42</v>
      </c>
      <c r="E177" t="s">
        <v>31</v>
      </c>
      <c r="F177">
        <v>7</v>
      </c>
      <c r="G177">
        <v>43.004080000000002</v>
      </c>
      <c r="H177">
        <v>-71.177040000000005</v>
      </c>
      <c r="I177">
        <v>194</v>
      </c>
      <c r="J177">
        <v>71</v>
      </c>
      <c r="K177">
        <v>0</v>
      </c>
      <c r="L177" s="1">
        <v>44784.056273148148</v>
      </c>
      <c r="M177">
        <v>1.6</v>
      </c>
      <c r="N177">
        <v>0</v>
      </c>
      <c r="O177">
        <v>1.6</v>
      </c>
      <c r="P177">
        <v>200</v>
      </c>
      <c r="Q177">
        <v>0.1</v>
      </c>
      <c r="R177">
        <v>0</v>
      </c>
      <c r="S177">
        <v>0.05</v>
      </c>
      <c r="T177" t="s">
        <v>43</v>
      </c>
      <c r="V177">
        <v>66</v>
      </c>
      <c r="W177">
        <v>0</v>
      </c>
      <c r="X177">
        <v>66</v>
      </c>
      <c r="Y177">
        <v>0</v>
      </c>
      <c r="Z177">
        <v>0</v>
      </c>
      <c r="AA177">
        <v>0</v>
      </c>
      <c r="AB177" t="s">
        <v>36</v>
      </c>
      <c r="AC177">
        <v>66</v>
      </c>
    </row>
    <row r="178" spans="1:30" x14ac:dyDescent="0.25">
      <c r="A178" s="1">
        <v>44784.056307870371</v>
      </c>
      <c r="B178" s="1">
        <v>44784.055115740739</v>
      </c>
      <c r="C178">
        <v>12212</v>
      </c>
      <c r="D178" t="s">
        <v>44</v>
      </c>
      <c r="E178" t="s">
        <v>35</v>
      </c>
      <c r="F178">
        <v>7</v>
      </c>
      <c r="G178">
        <v>42.930529999999997</v>
      </c>
      <c r="H178">
        <v>-72.272350000000003</v>
      </c>
      <c r="I178">
        <v>476</v>
      </c>
      <c r="J178">
        <v>76</v>
      </c>
      <c r="K178">
        <v>0</v>
      </c>
      <c r="L178" s="1">
        <v>44784.056273148148</v>
      </c>
      <c r="M178">
        <v>2.7</v>
      </c>
      <c r="N178">
        <v>2.2000000000000002</v>
      </c>
      <c r="O178">
        <v>0.5</v>
      </c>
      <c r="P178">
        <v>20</v>
      </c>
      <c r="Q178">
        <v>0.1</v>
      </c>
      <c r="R178">
        <v>0</v>
      </c>
      <c r="S178">
        <v>0.05</v>
      </c>
      <c r="T178" t="s">
        <v>33</v>
      </c>
      <c r="U178">
        <v>2.4500000000000002</v>
      </c>
      <c r="V178">
        <v>80</v>
      </c>
      <c r="W178">
        <v>0</v>
      </c>
      <c r="X178">
        <v>80</v>
      </c>
      <c r="Y178">
        <v>3</v>
      </c>
      <c r="Z178">
        <v>0</v>
      </c>
      <c r="AA178">
        <v>3</v>
      </c>
      <c r="AB178" t="s">
        <v>36</v>
      </c>
      <c r="AC178">
        <v>80</v>
      </c>
      <c r="AD178">
        <v>-1.95</v>
      </c>
    </row>
    <row r="179" spans="1:30" x14ac:dyDescent="0.25">
      <c r="A179" s="1">
        <v>44784.056319444448</v>
      </c>
      <c r="B179" s="1">
        <v>44769.376736111109</v>
      </c>
      <c r="C179">
        <v>12178</v>
      </c>
      <c r="D179" t="s">
        <v>45</v>
      </c>
      <c r="E179" t="s">
        <v>35</v>
      </c>
      <c r="F179">
        <v>7</v>
      </c>
      <c r="G179">
        <v>42.899563000000001</v>
      </c>
      <c r="H179">
        <v>-71.464650000000006</v>
      </c>
      <c r="I179">
        <v>301</v>
      </c>
      <c r="J179">
        <v>85</v>
      </c>
      <c r="K179">
        <v>0</v>
      </c>
      <c r="L179" s="1">
        <v>44784.056273148148</v>
      </c>
      <c r="M179">
        <v>3.8</v>
      </c>
      <c r="N179">
        <v>3.1</v>
      </c>
      <c r="O179">
        <v>0.7</v>
      </c>
      <c r="P179">
        <v>20</v>
      </c>
      <c r="Q179">
        <v>0</v>
      </c>
      <c r="R179">
        <v>0</v>
      </c>
      <c r="S179">
        <v>0</v>
      </c>
      <c r="T179" t="s">
        <v>32</v>
      </c>
      <c r="V179">
        <v>35</v>
      </c>
      <c r="W179">
        <v>0</v>
      </c>
      <c r="X179">
        <v>35</v>
      </c>
      <c r="Y179">
        <v>0</v>
      </c>
      <c r="Z179">
        <v>0</v>
      </c>
      <c r="AA179">
        <v>0</v>
      </c>
      <c r="AB179" t="s">
        <v>36</v>
      </c>
      <c r="AC179">
        <v>35</v>
      </c>
    </row>
    <row r="180" spans="1:30" x14ac:dyDescent="0.25">
      <c r="A180" s="1">
        <v>44784.056319444448</v>
      </c>
      <c r="B180" s="1">
        <v>44784.054479166669</v>
      </c>
      <c r="C180">
        <v>75981</v>
      </c>
      <c r="D180" t="s">
        <v>46</v>
      </c>
      <c r="E180" t="s">
        <v>35</v>
      </c>
      <c r="F180">
        <v>7</v>
      </c>
      <c r="G180">
        <v>42.97</v>
      </c>
      <c r="H180">
        <v>-71.06</v>
      </c>
      <c r="I180">
        <v>136</v>
      </c>
      <c r="J180">
        <v>75</v>
      </c>
      <c r="K180">
        <v>0</v>
      </c>
      <c r="L180" s="1">
        <v>44784.056273148148</v>
      </c>
      <c r="M180">
        <v>2.9</v>
      </c>
      <c r="N180">
        <v>2.7</v>
      </c>
      <c r="O180">
        <v>0.2</v>
      </c>
      <c r="P180">
        <v>7</v>
      </c>
      <c r="Q180">
        <v>0.1</v>
      </c>
      <c r="R180">
        <v>0</v>
      </c>
      <c r="S180">
        <v>0.05</v>
      </c>
      <c r="T180" t="s">
        <v>33</v>
      </c>
      <c r="U180">
        <v>2.8</v>
      </c>
      <c r="V180">
        <v>59</v>
      </c>
      <c r="W180">
        <v>0</v>
      </c>
      <c r="X180">
        <v>59</v>
      </c>
      <c r="Y180">
        <v>0</v>
      </c>
      <c r="Z180">
        <v>0</v>
      </c>
      <c r="AA180">
        <v>0</v>
      </c>
      <c r="AB180" t="s">
        <v>36</v>
      </c>
      <c r="AC180">
        <v>59</v>
      </c>
      <c r="AD180">
        <v>-0.26</v>
      </c>
    </row>
    <row r="181" spans="1:30" x14ac:dyDescent="0.25">
      <c r="A181" s="1">
        <v>44784.056319444448</v>
      </c>
      <c r="B181" s="1">
        <v>44784.055</v>
      </c>
      <c r="C181">
        <v>115703</v>
      </c>
      <c r="D181" t="s">
        <v>47</v>
      </c>
      <c r="E181" t="s">
        <v>35</v>
      </c>
      <c r="F181">
        <v>7</v>
      </c>
      <c r="G181">
        <v>43.953625000000002</v>
      </c>
      <c r="H181">
        <v>-71.508859999999999</v>
      </c>
      <c r="I181">
        <v>1493</v>
      </c>
      <c r="J181">
        <v>63</v>
      </c>
      <c r="K181">
        <v>0</v>
      </c>
      <c r="L181" s="1">
        <v>44784.056273148148</v>
      </c>
      <c r="M181">
        <v>0</v>
      </c>
      <c r="N181">
        <v>300.89999999999998</v>
      </c>
      <c r="O181">
        <v>300.89999999999998</v>
      </c>
      <c r="P181">
        <v>200</v>
      </c>
      <c r="Q181">
        <v>0</v>
      </c>
      <c r="R181">
        <v>0</v>
      </c>
      <c r="S181">
        <v>0</v>
      </c>
      <c r="T181" t="s">
        <v>48</v>
      </c>
      <c r="V181">
        <v>67</v>
      </c>
      <c r="W181">
        <v>0</v>
      </c>
      <c r="X181">
        <v>67</v>
      </c>
      <c r="Y181">
        <v>0</v>
      </c>
      <c r="Z181">
        <v>0</v>
      </c>
      <c r="AA181">
        <v>0</v>
      </c>
      <c r="AB181" t="s">
        <v>36</v>
      </c>
      <c r="AC181">
        <v>67</v>
      </c>
    </row>
    <row r="182" spans="1:30" x14ac:dyDescent="0.25">
      <c r="A182" s="1">
        <v>44784.056319444448</v>
      </c>
      <c r="B182" s="1">
        <v>44784.0544212963</v>
      </c>
      <c r="C182">
        <v>12050</v>
      </c>
      <c r="D182" t="s">
        <v>49</v>
      </c>
      <c r="E182" t="s">
        <v>35</v>
      </c>
      <c r="F182">
        <v>7</v>
      </c>
      <c r="G182">
        <v>44.220573000000002</v>
      </c>
      <c r="H182">
        <v>-71.732315</v>
      </c>
      <c r="I182">
        <v>999</v>
      </c>
      <c r="J182">
        <v>70</v>
      </c>
      <c r="K182">
        <v>0</v>
      </c>
      <c r="L182" s="1">
        <v>44784.056273148148</v>
      </c>
      <c r="M182">
        <v>3</v>
      </c>
      <c r="N182">
        <v>2.8</v>
      </c>
      <c r="O182">
        <v>0.2</v>
      </c>
      <c r="P182">
        <v>7</v>
      </c>
      <c r="Q182">
        <v>0.3</v>
      </c>
      <c r="R182">
        <v>0.2</v>
      </c>
      <c r="S182">
        <v>0.25</v>
      </c>
      <c r="T182" t="s">
        <v>33</v>
      </c>
      <c r="U182">
        <v>2.9</v>
      </c>
      <c r="V182">
        <v>57</v>
      </c>
      <c r="W182">
        <v>0</v>
      </c>
      <c r="X182">
        <v>57</v>
      </c>
      <c r="Y182">
        <v>1</v>
      </c>
      <c r="Z182">
        <v>0</v>
      </c>
      <c r="AA182">
        <v>1</v>
      </c>
      <c r="AB182" t="s">
        <v>36</v>
      </c>
      <c r="AC182">
        <v>57</v>
      </c>
      <c r="AD182">
        <v>-0.06</v>
      </c>
    </row>
    <row r="183" spans="1:30" x14ac:dyDescent="0.25">
      <c r="A183" s="1">
        <v>44784.056331018517</v>
      </c>
      <c r="B183" s="1">
        <v>44784.054525462961</v>
      </c>
      <c r="C183">
        <v>23443</v>
      </c>
      <c r="D183" t="s">
        <v>50</v>
      </c>
      <c r="E183" t="s">
        <v>35</v>
      </c>
      <c r="F183">
        <v>7</v>
      </c>
      <c r="G183">
        <v>43.556139999999999</v>
      </c>
      <c r="H183">
        <v>-72.370990000000006</v>
      </c>
      <c r="I183">
        <v>523</v>
      </c>
      <c r="J183">
        <v>70</v>
      </c>
      <c r="K183">
        <v>0</v>
      </c>
      <c r="L183" s="1">
        <v>44784.056273148148</v>
      </c>
      <c r="M183">
        <v>3.3</v>
      </c>
      <c r="N183">
        <v>2.7</v>
      </c>
      <c r="O183">
        <v>0.6</v>
      </c>
      <c r="P183">
        <v>20</v>
      </c>
      <c r="Q183">
        <v>0.1</v>
      </c>
      <c r="R183">
        <v>0.1</v>
      </c>
      <c r="S183">
        <v>0.1</v>
      </c>
      <c r="T183" t="s">
        <v>33</v>
      </c>
      <c r="U183">
        <v>3</v>
      </c>
      <c r="V183">
        <v>65</v>
      </c>
      <c r="W183">
        <v>0</v>
      </c>
      <c r="X183">
        <v>65</v>
      </c>
      <c r="Y183">
        <v>0</v>
      </c>
      <c r="Z183">
        <v>0</v>
      </c>
      <c r="AA183">
        <v>0</v>
      </c>
      <c r="AB183" t="s">
        <v>36</v>
      </c>
      <c r="AC183">
        <v>65</v>
      </c>
      <c r="AD183">
        <v>-0.56000000000000005</v>
      </c>
    </row>
    <row r="184" spans="1:30" x14ac:dyDescent="0.25">
      <c r="A184" s="1">
        <v>44784.056331018517</v>
      </c>
      <c r="B184" s="1">
        <v>44784.054618055554</v>
      </c>
      <c r="C184">
        <v>58135</v>
      </c>
      <c r="D184" t="s">
        <v>51</v>
      </c>
      <c r="E184" t="s">
        <v>35</v>
      </c>
      <c r="F184">
        <v>7</v>
      </c>
      <c r="G184">
        <v>42.883873000000001</v>
      </c>
      <c r="H184">
        <v>-71.972915999999998</v>
      </c>
      <c r="I184">
        <v>808</v>
      </c>
      <c r="J184">
        <v>71</v>
      </c>
      <c r="K184">
        <v>0</v>
      </c>
      <c r="L184" s="1">
        <v>44784.056273148148</v>
      </c>
      <c r="M184">
        <v>7</v>
      </c>
      <c r="N184">
        <v>4.8</v>
      </c>
      <c r="O184">
        <v>2.2000000000000002</v>
      </c>
      <c r="P184">
        <v>37</v>
      </c>
      <c r="Q184">
        <v>0.1</v>
      </c>
      <c r="R184">
        <v>0.3</v>
      </c>
      <c r="S184">
        <v>0.2</v>
      </c>
      <c r="T184" t="s">
        <v>33</v>
      </c>
      <c r="U184">
        <v>5.9</v>
      </c>
      <c r="V184">
        <v>70</v>
      </c>
      <c r="W184">
        <v>0</v>
      </c>
      <c r="X184">
        <v>70</v>
      </c>
      <c r="Y184">
        <v>0</v>
      </c>
      <c r="Z184">
        <v>0</v>
      </c>
      <c r="AA184">
        <v>0</v>
      </c>
      <c r="AB184" t="s">
        <v>36</v>
      </c>
      <c r="AC184">
        <v>70</v>
      </c>
      <c r="AD184">
        <v>0.86</v>
      </c>
    </row>
    <row r="185" spans="1:30" x14ac:dyDescent="0.25">
      <c r="A185" s="1">
        <v>44784.056331018517</v>
      </c>
      <c r="B185" s="1">
        <v>44784.054675925923</v>
      </c>
      <c r="C185">
        <v>148555</v>
      </c>
      <c r="D185" t="s">
        <v>52</v>
      </c>
      <c r="E185" t="s">
        <v>53</v>
      </c>
      <c r="F185">
        <v>7</v>
      </c>
      <c r="G185">
        <v>42.904949999999999</v>
      </c>
      <c r="H185">
        <v>-71.386764999999997</v>
      </c>
      <c r="I185">
        <v>363</v>
      </c>
      <c r="J185">
        <v>0</v>
      </c>
      <c r="K185">
        <v>0</v>
      </c>
      <c r="L185" s="1">
        <v>44784.056273148148</v>
      </c>
      <c r="M185">
        <v>1.3</v>
      </c>
      <c r="N185">
        <v>2</v>
      </c>
      <c r="O185">
        <v>0.7</v>
      </c>
      <c r="P185">
        <v>42</v>
      </c>
      <c r="Q185">
        <v>0</v>
      </c>
      <c r="R185">
        <v>0.1</v>
      </c>
      <c r="S185">
        <v>0.05</v>
      </c>
      <c r="T185" t="s">
        <v>33</v>
      </c>
      <c r="U185">
        <v>1.65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">
        <v>38</v>
      </c>
    </row>
    <row r="186" spans="1:30" x14ac:dyDescent="0.25">
      <c r="A186" s="1">
        <v>44784.056331018517</v>
      </c>
      <c r="B186" s="1">
        <v>44784.055601851855</v>
      </c>
      <c r="C186">
        <v>146644</v>
      </c>
      <c r="D186" t="s">
        <v>54</v>
      </c>
      <c r="E186" t="s">
        <v>53</v>
      </c>
      <c r="F186">
        <v>7</v>
      </c>
      <c r="G186">
        <v>43.06015</v>
      </c>
      <c r="H186">
        <v>-70.758930000000007</v>
      </c>
      <c r="I186">
        <v>35</v>
      </c>
      <c r="J186">
        <v>69</v>
      </c>
      <c r="K186">
        <v>70</v>
      </c>
      <c r="L186" s="1">
        <v>44784.056273148148</v>
      </c>
      <c r="M186">
        <v>3.5</v>
      </c>
      <c r="N186">
        <v>2.5</v>
      </c>
      <c r="O186">
        <v>1</v>
      </c>
      <c r="P186">
        <v>33</v>
      </c>
      <c r="Q186">
        <v>0.1</v>
      </c>
      <c r="R186">
        <v>0.1</v>
      </c>
      <c r="S186">
        <v>0.1</v>
      </c>
      <c r="T186" t="s">
        <v>33</v>
      </c>
      <c r="U186">
        <v>3</v>
      </c>
      <c r="V186">
        <v>68</v>
      </c>
      <c r="W186">
        <v>72</v>
      </c>
      <c r="X186">
        <v>4</v>
      </c>
      <c r="Y186">
        <v>0</v>
      </c>
      <c r="Z186">
        <v>0</v>
      </c>
      <c r="AA186">
        <v>0</v>
      </c>
      <c r="AB186" t="s">
        <v>33</v>
      </c>
      <c r="AC186">
        <v>70</v>
      </c>
      <c r="AD186">
        <v>-0.91</v>
      </c>
    </row>
    <row r="187" spans="1:30" x14ac:dyDescent="0.25">
      <c r="A187" s="1">
        <v>44784.056331018517</v>
      </c>
      <c r="B187" s="1">
        <v>43755.283437500002</v>
      </c>
      <c r="C187">
        <v>12188</v>
      </c>
      <c r="D187" t="s">
        <v>55</v>
      </c>
      <c r="E187" t="s">
        <v>35</v>
      </c>
      <c r="F187">
        <v>4.1100000000000003</v>
      </c>
      <c r="G187">
        <v>42.927050000000001</v>
      </c>
      <c r="H187">
        <v>-72.279610000000005</v>
      </c>
      <c r="I187">
        <v>475</v>
      </c>
      <c r="J187">
        <v>95</v>
      </c>
      <c r="K187">
        <v>0</v>
      </c>
      <c r="L187" s="1">
        <v>44784.056273148148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 t="s">
        <v>32</v>
      </c>
      <c r="V187">
        <v>77</v>
      </c>
      <c r="W187">
        <v>0</v>
      </c>
      <c r="X187">
        <v>77</v>
      </c>
      <c r="Y187">
        <v>0</v>
      </c>
      <c r="Z187">
        <v>0</v>
      </c>
      <c r="AA187">
        <v>0</v>
      </c>
      <c r="AB187" t="s">
        <v>36</v>
      </c>
      <c r="AC187">
        <v>77</v>
      </c>
    </row>
    <row r="188" spans="1:30" x14ac:dyDescent="0.25">
      <c r="A188" s="1">
        <v>44784.056342592594</v>
      </c>
      <c r="B188" s="1">
        <v>44784.054513888892</v>
      </c>
      <c r="C188">
        <v>1224</v>
      </c>
      <c r="D188" t="s">
        <v>56</v>
      </c>
      <c r="E188" t="s">
        <v>35</v>
      </c>
      <c r="F188" t="s">
        <v>57</v>
      </c>
      <c r="G188">
        <v>42.938034000000002</v>
      </c>
      <c r="H188">
        <v>-72.259299999999996</v>
      </c>
      <c r="I188">
        <v>792</v>
      </c>
      <c r="J188">
        <v>77</v>
      </c>
      <c r="K188">
        <v>0</v>
      </c>
      <c r="L188" s="1">
        <v>44784.056273148148</v>
      </c>
      <c r="M188">
        <v>2.2999999999999998</v>
      </c>
      <c r="N188">
        <v>0</v>
      </c>
      <c r="O188">
        <v>2.2999999999999998</v>
      </c>
      <c r="P188">
        <v>200</v>
      </c>
      <c r="Q188">
        <v>0</v>
      </c>
      <c r="R188">
        <v>0</v>
      </c>
      <c r="S188">
        <v>0</v>
      </c>
      <c r="T188" t="s">
        <v>43</v>
      </c>
      <c r="V188">
        <v>81</v>
      </c>
      <c r="W188">
        <v>0</v>
      </c>
      <c r="X188">
        <v>81</v>
      </c>
      <c r="Y188">
        <v>0</v>
      </c>
      <c r="Z188">
        <v>0</v>
      </c>
      <c r="AA188">
        <v>0</v>
      </c>
      <c r="AB188" t="s">
        <v>36</v>
      </c>
      <c r="AC188">
        <v>81</v>
      </c>
    </row>
    <row r="189" spans="1:30" x14ac:dyDescent="0.25">
      <c r="A189" s="1">
        <v>44784.056400462963</v>
      </c>
      <c r="B189" s="1">
        <v>44784.055347222224</v>
      </c>
      <c r="C189">
        <v>1202</v>
      </c>
      <c r="D189" t="s">
        <v>58</v>
      </c>
      <c r="E189" t="s">
        <v>35</v>
      </c>
      <c r="F189" t="s">
        <v>57</v>
      </c>
      <c r="G189">
        <v>42.936554000000001</v>
      </c>
      <c r="H189">
        <v>-72.271019999999993</v>
      </c>
      <c r="I189">
        <v>488</v>
      </c>
      <c r="J189">
        <v>0</v>
      </c>
      <c r="K189">
        <v>0</v>
      </c>
      <c r="L189" s="1">
        <v>44784.056273148148</v>
      </c>
      <c r="M189">
        <v>2.2999999999999998</v>
      </c>
      <c r="N189">
        <v>2.2000000000000002</v>
      </c>
      <c r="O189">
        <v>0.1</v>
      </c>
      <c r="P189">
        <v>4</v>
      </c>
      <c r="Q189">
        <v>0</v>
      </c>
      <c r="R189">
        <v>0.1</v>
      </c>
      <c r="S189">
        <v>0.05</v>
      </c>
      <c r="T189" t="s">
        <v>33</v>
      </c>
      <c r="U189">
        <v>2.25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">
        <v>38</v>
      </c>
    </row>
    <row r="190" spans="1:30" x14ac:dyDescent="0.25">
      <c r="A190" s="1">
        <v>44784.056400462963</v>
      </c>
      <c r="B190" s="1">
        <v>44612.080023148148</v>
      </c>
      <c r="C190">
        <v>25985</v>
      </c>
      <c r="D190" t="s">
        <v>59</v>
      </c>
      <c r="E190" t="s">
        <v>35</v>
      </c>
      <c r="F190">
        <v>6.01</v>
      </c>
      <c r="G190">
        <v>42.927326000000001</v>
      </c>
      <c r="H190">
        <v>-72.279979999999995</v>
      </c>
      <c r="I190">
        <v>477</v>
      </c>
      <c r="J190">
        <v>78</v>
      </c>
      <c r="K190">
        <v>0</v>
      </c>
      <c r="L190" s="1">
        <v>44784.056273148148</v>
      </c>
      <c r="M190">
        <v>1.1000000000000001</v>
      </c>
      <c r="N190">
        <v>1</v>
      </c>
      <c r="O190">
        <v>0.1</v>
      </c>
      <c r="P190">
        <v>10</v>
      </c>
      <c r="Q190">
        <v>0</v>
      </c>
      <c r="R190">
        <v>0</v>
      </c>
      <c r="S190">
        <v>0</v>
      </c>
      <c r="T190" t="s">
        <v>32</v>
      </c>
      <c r="V190">
        <v>22</v>
      </c>
      <c r="W190">
        <v>0</v>
      </c>
      <c r="X190">
        <v>22</v>
      </c>
      <c r="Y190">
        <v>0</v>
      </c>
      <c r="Z190">
        <v>0</v>
      </c>
      <c r="AA190">
        <v>0</v>
      </c>
      <c r="AB190" t="s">
        <v>36</v>
      </c>
      <c r="AC190">
        <v>22</v>
      </c>
    </row>
    <row r="191" spans="1:30" x14ac:dyDescent="0.25">
      <c r="A191" s="1">
        <v>44784.06322916667</v>
      </c>
      <c r="B191" s="1">
        <v>44775.701319444444</v>
      </c>
      <c r="C191">
        <v>151708</v>
      </c>
      <c r="D191" t="s">
        <v>30</v>
      </c>
      <c r="E191" t="s">
        <v>31</v>
      </c>
      <c r="F191">
        <v>7</v>
      </c>
      <c r="G191">
        <v>43.192042999999998</v>
      </c>
      <c r="H191">
        <v>-71.541579999999996</v>
      </c>
      <c r="I191">
        <v>291</v>
      </c>
      <c r="J191">
        <v>93</v>
      </c>
      <c r="K191">
        <v>94</v>
      </c>
      <c r="L191" s="1">
        <v>44784.063217592593</v>
      </c>
      <c r="M191">
        <v>7.9</v>
      </c>
      <c r="N191">
        <v>7.6</v>
      </c>
      <c r="O191">
        <v>0.3</v>
      </c>
      <c r="P191">
        <v>4</v>
      </c>
      <c r="Q191">
        <v>0</v>
      </c>
      <c r="R191">
        <v>0</v>
      </c>
      <c r="S191">
        <v>0</v>
      </c>
      <c r="T191" t="s">
        <v>32</v>
      </c>
      <c r="V191">
        <v>42</v>
      </c>
      <c r="W191">
        <v>41</v>
      </c>
      <c r="X191">
        <v>1</v>
      </c>
      <c r="Y191">
        <v>0</v>
      </c>
      <c r="Z191">
        <v>0</v>
      </c>
      <c r="AA191">
        <v>0</v>
      </c>
      <c r="AB191" t="s">
        <v>33</v>
      </c>
      <c r="AC191">
        <v>41.5</v>
      </c>
    </row>
    <row r="192" spans="1:30" x14ac:dyDescent="0.25">
      <c r="A192" s="1">
        <v>44784.063240740739</v>
      </c>
      <c r="B192" s="1">
        <v>44784.061516203707</v>
      </c>
      <c r="C192">
        <v>143456</v>
      </c>
      <c r="D192" t="s">
        <v>34</v>
      </c>
      <c r="E192" t="s">
        <v>35</v>
      </c>
      <c r="F192">
        <v>7</v>
      </c>
      <c r="G192">
        <v>43.08963</v>
      </c>
      <c r="H192">
        <v>-71.502440000000007</v>
      </c>
      <c r="I192">
        <v>619</v>
      </c>
      <c r="J192">
        <v>70</v>
      </c>
      <c r="K192">
        <v>0</v>
      </c>
      <c r="L192" s="1">
        <v>44784.063217592593</v>
      </c>
      <c r="M192">
        <v>3.3</v>
      </c>
      <c r="N192">
        <v>3.5</v>
      </c>
      <c r="O192">
        <v>0.2</v>
      </c>
      <c r="P192">
        <v>6</v>
      </c>
      <c r="Q192">
        <v>0.1</v>
      </c>
      <c r="R192">
        <v>0</v>
      </c>
      <c r="S192">
        <v>0.05</v>
      </c>
      <c r="T192" t="s">
        <v>33</v>
      </c>
      <c r="U192">
        <v>3.4</v>
      </c>
      <c r="V192">
        <v>69</v>
      </c>
      <c r="W192">
        <v>0</v>
      </c>
      <c r="X192">
        <v>69</v>
      </c>
      <c r="Y192">
        <v>1</v>
      </c>
      <c r="Z192">
        <v>0</v>
      </c>
      <c r="AA192">
        <v>1</v>
      </c>
      <c r="AB192" t="s">
        <v>36</v>
      </c>
      <c r="AC192">
        <v>69</v>
      </c>
      <c r="AD192">
        <v>-0.6</v>
      </c>
    </row>
    <row r="193" spans="1:30" x14ac:dyDescent="0.25">
      <c r="A193" s="1">
        <v>44784.063240740739</v>
      </c>
      <c r="B193" s="1">
        <v>44784.061712962961</v>
      </c>
      <c r="C193">
        <v>151702</v>
      </c>
      <c r="D193" t="s">
        <v>37</v>
      </c>
      <c r="E193" t="s">
        <v>31</v>
      </c>
      <c r="F193">
        <v>7</v>
      </c>
      <c r="G193">
        <v>43.118609999999997</v>
      </c>
      <c r="H193">
        <v>-71.61618</v>
      </c>
      <c r="I193">
        <v>885</v>
      </c>
      <c r="J193">
        <v>0</v>
      </c>
      <c r="K193">
        <v>0</v>
      </c>
      <c r="L193" s="1">
        <v>44784.063217592593</v>
      </c>
      <c r="M193">
        <v>3.2</v>
      </c>
      <c r="N193">
        <v>2.8</v>
      </c>
      <c r="O193">
        <v>0.4</v>
      </c>
      <c r="P193">
        <v>13</v>
      </c>
      <c r="Q193">
        <v>0</v>
      </c>
      <c r="R193">
        <v>0.1</v>
      </c>
      <c r="S193">
        <v>0.05</v>
      </c>
      <c r="T193" t="s">
        <v>33</v>
      </c>
      <c r="U193">
        <v>3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">
        <v>38</v>
      </c>
    </row>
    <row r="194" spans="1:30" x14ac:dyDescent="0.25">
      <c r="A194" s="1">
        <v>44784.063240740739</v>
      </c>
      <c r="B194" s="1">
        <v>44784.061597222222</v>
      </c>
      <c r="C194">
        <v>151700</v>
      </c>
      <c r="D194" t="s">
        <v>30</v>
      </c>
      <c r="E194" t="s">
        <v>31</v>
      </c>
      <c r="F194">
        <v>7</v>
      </c>
      <c r="G194">
        <v>43.19211</v>
      </c>
      <c r="H194">
        <v>-71.541460000000001</v>
      </c>
      <c r="I194">
        <v>286</v>
      </c>
      <c r="J194">
        <v>72</v>
      </c>
      <c r="K194">
        <v>0</v>
      </c>
      <c r="L194" s="1">
        <v>44784.063217592593</v>
      </c>
      <c r="M194">
        <v>2.4</v>
      </c>
      <c r="N194">
        <v>2.8</v>
      </c>
      <c r="O194">
        <v>0.4</v>
      </c>
      <c r="P194">
        <v>15</v>
      </c>
      <c r="Q194">
        <v>0</v>
      </c>
      <c r="R194">
        <v>0.1</v>
      </c>
      <c r="S194">
        <v>0.05</v>
      </c>
      <c r="T194" t="s">
        <v>33</v>
      </c>
      <c r="U194">
        <v>2.6</v>
      </c>
      <c r="V194">
        <v>63</v>
      </c>
      <c r="W194">
        <v>0</v>
      </c>
      <c r="X194">
        <v>63</v>
      </c>
      <c r="Y194">
        <v>1</v>
      </c>
      <c r="Z194">
        <v>0</v>
      </c>
      <c r="AA194">
        <v>1</v>
      </c>
      <c r="AB194" t="s">
        <v>36</v>
      </c>
      <c r="AC194">
        <v>63</v>
      </c>
      <c r="AD194">
        <v>-0.66</v>
      </c>
    </row>
    <row r="195" spans="1:30" x14ac:dyDescent="0.25">
      <c r="A195" s="1">
        <v>44784.063240740739</v>
      </c>
      <c r="B195" s="1">
        <v>44784.062002314815</v>
      </c>
      <c r="C195">
        <v>135984</v>
      </c>
      <c r="D195" t="s">
        <v>39</v>
      </c>
      <c r="E195" t="s">
        <v>31</v>
      </c>
      <c r="F195">
        <v>7</v>
      </c>
      <c r="G195">
        <v>43.565852999999997</v>
      </c>
      <c r="H195">
        <v>-71.496129999999994</v>
      </c>
      <c r="I195">
        <v>708</v>
      </c>
      <c r="J195">
        <v>67</v>
      </c>
      <c r="K195">
        <v>0</v>
      </c>
      <c r="L195" s="1">
        <v>44784.063217592593</v>
      </c>
      <c r="M195">
        <v>5.4</v>
      </c>
      <c r="N195">
        <v>4.4000000000000004</v>
      </c>
      <c r="O195">
        <v>1</v>
      </c>
      <c r="P195">
        <v>20</v>
      </c>
      <c r="Q195">
        <v>0.2</v>
      </c>
      <c r="R195">
        <v>0.1</v>
      </c>
      <c r="S195">
        <v>0.15</v>
      </c>
      <c r="T195" t="s">
        <v>33</v>
      </c>
      <c r="U195">
        <v>4.9000000000000004</v>
      </c>
      <c r="V195">
        <v>98</v>
      </c>
      <c r="W195">
        <v>0</v>
      </c>
      <c r="X195">
        <v>98</v>
      </c>
      <c r="Y195">
        <v>1</v>
      </c>
      <c r="Z195">
        <v>0</v>
      </c>
      <c r="AA195">
        <v>1</v>
      </c>
      <c r="AB195" t="s">
        <v>36</v>
      </c>
      <c r="AC195">
        <v>98</v>
      </c>
      <c r="AD195">
        <v>-1.71</v>
      </c>
    </row>
    <row r="196" spans="1:30" x14ac:dyDescent="0.25">
      <c r="A196" s="1">
        <v>44784.063240740739</v>
      </c>
      <c r="B196" s="1">
        <v>44780.394780092596</v>
      </c>
      <c r="C196">
        <v>151712</v>
      </c>
      <c r="D196" t="s">
        <v>40</v>
      </c>
      <c r="E196" t="s">
        <v>31</v>
      </c>
      <c r="F196">
        <v>7</v>
      </c>
      <c r="G196">
        <v>43.289763999999998</v>
      </c>
      <c r="H196">
        <v>-71.564260000000004</v>
      </c>
      <c r="I196">
        <v>370</v>
      </c>
      <c r="J196">
        <v>86</v>
      </c>
      <c r="K196">
        <v>0</v>
      </c>
      <c r="L196" s="1">
        <v>44784.063217592593</v>
      </c>
      <c r="M196">
        <v>14</v>
      </c>
      <c r="N196">
        <v>13.2</v>
      </c>
      <c r="O196">
        <v>0.8</v>
      </c>
      <c r="P196">
        <v>6</v>
      </c>
      <c r="Q196">
        <v>0</v>
      </c>
      <c r="R196">
        <v>0</v>
      </c>
      <c r="S196">
        <v>0</v>
      </c>
      <c r="T196" t="s">
        <v>32</v>
      </c>
      <c r="V196">
        <v>59</v>
      </c>
      <c r="W196">
        <v>0</v>
      </c>
      <c r="X196">
        <v>59</v>
      </c>
      <c r="Y196">
        <v>0</v>
      </c>
      <c r="Z196">
        <v>0</v>
      </c>
      <c r="AA196">
        <v>0</v>
      </c>
      <c r="AB196" t="s">
        <v>36</v>
      </c>
      <c r="AC196">
        <v>59</v>
      </c>
    </row>
    <row r="197" spans="1:30" x14ac:dyDescent="0.25">
      <c r="A197" s="1">
        <v>44784.063252314816</v>
      </c>
      <c r="B197" s="1">
        <v>44784.061284722222</v>
      </c>
      <c r="C197">
        <v>151710</v>
      </c>
      <c r="D197" t="s">
        <v>41</v>
      </c>
      <c r="E197" t="s">
        <v>31</v>
      </c>
      <c r="F197">
        <v>7</v>
      </c>
      <c r="G197">
        <v>43.132477000000002</v>
      </c>
      <c r="H197">
        <v>-71.458374000000006</v>
      </c>
      <c r="I197">
        <v>230</v>
      </c>
      <c r="J197">
        <v>71</v>
      </c>
      <c r="K197">
        <v>0</v>
      </c>
      <c r="L197" s="1">
        <v>44784.063217592593</v>
      </c>
      <c r="M197">
        <v>4.8</v>
      </c>
      <c r="N197">
        <v>3</v>
      </c>
      <c r="O197">
        <v>1.8</v>
      </c>
      <c r="P197">
        <v>46</v>
      </c>
      <c r="Q197">
        <v>0.3</v>
      </c>
      <c r="R197">
        <v>0</v>
      </c>
      <c r="S197">
        <v>0.15</v>
      </c>
      <c r="T197" t="s">
        <v>33</v>
      </c>
      <c r="U197">
        <v>3.9</v>
      </c>
      <c r="V197">
        <v>65</v>
      </c>
      <c r="W197">
        <v>0</v>
      </c>
      <c r="X197">
        <v>65</v>
      </c>
      <c r="Y197">
        <v>1</v>
      </c>
      <c r="Z197">
        <v>0</v>
      </c>
      <c r="AA197">
        <v>1</v>
      </c>
      <c r="AB197" t="s">
        <v>36</v>
      </c>
      <c r="AC197">
        <v>65</v>
      </c>
      <c r="AD197">
        <v>-0.01</v>
      </c>
    </row>
    <row r="198" spans="1:30" x14ac:dyDescent="0.25">
      <c r="A198" s="1">
        <v>44784.063252314816</v>
      </c>
      <c r="B198" s="1">
        <v>44784.062384259261</v>
      </c>
      <c r="C198">
        <v>151706</v>
      </c>
      <c r="D198" t="s">
        <v>42</v>
      </c>
      <c r="E198" t="s">
        <v>31</v>
      </c>
      <c r="F198">
        <v>7</v>
      </c>
      <c r="G198">
        <v>43.004080000000002</v>
      </c>
      <c r="H198">
        <v>-71.177040000000005</v>
      </c>
      <c r="I198">
        <v>194</v>
      </c>
      <c r="J198">
        <v>71</v>
      </c>
      <c r="K198">
        <v>0</v>
      </c>
      <c r="L198" s="1">
        <v>44784.063217592593</v>
      </c>
      <c r="M198">
        <v>1.6</v>
      </c>
      <c r="N198">
        <v>0</v>
      </c>
      <c r="O198">
        <v>1.6</v>
      </c>
      <c r="P198">
        <v>200</v>
      </c>
      <c r="Q198">
        <v>0</v>
      </c>
      <c r="R198">
        <v>0</v>
      </c>
      <c r="S198">
        <v>0</v>
      </c>
      <c r="T198" t="s">
        <v>43</v>
      </c>
      <c r="V198">
        <v>66</v>
      </c>
      <c r="W198">
        <v>0</v>
      </c>
      <c r="X198">
        <v>66</v>
      </c>
      <c r="Y198">
        <v>0</v>
      </c>
      <c r="Z198">
        <v>0</v>
      </c>
      <c r="AA198">
        <v>0</v>
      </c>
      <c r="AB198" t="s">
        <v>36</v>
      </c>
      <c r="AC198">
        <v>66</v>
      </c>
    </row>
    <row r="199" spans="1:30" x14ac:dyDescent="0.25">
      <c r="A199" s="1">
        <v>44784.063252314816</v>
      </c>
      <c r="B199" s="1">
        <v>44784.062048611115</v>
      </c>
      <c r="C199">
        <v>12212</v>
      </c>
      <c r="D199" t="s">
        <v>44</v>
      </c>
      <c r="E199" t="s">
        <v>35</v>
      </c>
      <c r="F199">
        <v>7</v>
      </c>
      <c r="G199">
        <v>42.930529999999997</v>
      </c>
      <c r="H199">
        <v>-72.272350000000003</v>
      </c>
      <c r="I199">
        <v>476</v>
      </c>
      <c r="J199">
        <v>77</v>
      </c>
      <c r="K199">
        <v>0</v>
      </c>
      <c r="L199" s="1">
        <v>44784.063217592593</v>
      </c>
      <c r="M199">
        <v>2.6</v>
      </c>
      <c r="N199">
        <v>2.2000000000000002</v>
      </c>
      <c r="O199">
        <v>0.4</v>
      </c>
      <c r="P199">
        <v>17</v>
      </c>
      <c r="Q199">
        <v>0.1</v>
      </c>
      <c r="R199">
        <v>0</v>
      </c>
      <c r="S199">
        <v>0.05</v>
      </c>
      <c r="T199" t="s">
        <v>33</v>
      </c>
      <c r="U199">
        <v>2.4</v>
      </c>
      <c r="V199">
        <v>79</v>
      </c>
      <c r="W199">
        <v>0</v>
      </c>
      <c r="X199">
        <v>79</v>
      </c>
      <c r="Y199">
        <v>1</v>
      </c>
      <c r="Z199">
        <v>0</v>
      </c>
      <c r="AA199">
        <v>1</v>
      </c>
      <c r="AB199" t="s">
        <v>36</v>
      </c>
      <c r="AC199">
        <v>79</v>
      </c>
      <c r="AD199">
        <v>-1.91</v>
      </c>
    </row>
    <row r="200" spans="1:30" x14ac:dyDescent="0.25">
      <c r="A200" s="1">
        <v>44784.063252314816</v>
      </c>
      <c r="B200" s="1">
        <v>44769.376736111109</v>
      </c>
      <c r="C200">
        <v>12178</v>
      </c>
      <c r="D200" t="s">
        <v>45</v>
      </c>
      <c r="E200" t="s">
        <v>35</v>
      </c>
      <c r="F200">
        <v>7</v>
      </c>
      <c r="G200">
        <v>42.899563000000001</v>
      </c>
      <c r="H200">
        <v>-71.464650000000006</v>
      </c>
      <c r="I200">
        <v>301</v>
      </c>
      <c r="J200">
        <v>85</v>
      </c>
      <c r="K200">
        <v>0</v>
      </c>
      <c r="L200" s="1">
        <v>44784.063217592593</v>
      </c>
      <c r="M200">
        <v>3.8</v>
      </c>
      <c r="N200">
        <v>3.1</v>
      </c>
      <c r="O200">
        <v>0.7</v>
      </c>
      <c r="P200">
        <v>20</v>
      </c>
      <c r="Q200">
        <v>0</v>
      </c>
      <c r="R200">
        <v>0</v>
      </c>
      <c r="S200">
        <v>0</v>
      </c>
      <c r="T200" t="s">
        <v>32</v>
      </c>
      <c r="V200">
        <v>35</v>
      </c>
      <c r="W200">
        <v>0</v>
      </c>
      <c r="X200">
        <v>35</v>
      </c>
      <c r="Y200">
        <v>0</v>
      </c>
      <c r="Z200">
        <v>0</v>
      </c>
      <c r="AA200">
        <v>0</v>
      </c>
      <c r="AB200" t="s">
        <v>36</v>
      </c>
      <c r="AC200">
        <v>35</v>
      </c>
    </row>
    <row r="201" spans="1:30" x14ac:dyDescent="0.25">
      <c r="A201" s="1">
        <v>44784.063252314816</v>
      </c>
      <c r="B201" s="1">
        <v>44784.0628125</v>
      </c>
      <c r="C201">
        <v>75981</v>
      </c>
      <c r="D201" t="s">
        <v>46</v>
      </c>
      <c r="E201" t="s">
        <v>35</v>
      </c>
      <c r="F201">
        <v>7</v>
      </c>
      <c r="G201">
        <v>42.97</v>
      </c>
      <c r="H201">
        <v>-71.06</v>
      </c>
      <c r="I201">
        <v>136</v>
      </c>
      <c r="J201">
        <v>75</v>
      </c>
      <c r="K201">
        <v>0</v>
      </c>
      <c r="L201" s="1">
        <v>44784.063217592593</v>
      </c>
      <c r="M201">
        <v>3</v>
      </c>
      <c r="N201">
        <v>2.8</v>
      </c>
      <c r="O201">
        <v>0.2</v>
      </c>
      <c r="P201">
        <v>7</v>
      </c>
      <c r="Q201">
        <v>0.1</v>
      </c>
      <c r="R201">
        <v>0.1</v>
      </c>
      <c r="S201">
        <v>0.1</v>
      </c>
      <c r="T201" t="s">
        <v>33</v>
      </c>
      <c r="U201">
        <v>2.9</v>
      </c>
      <c r="V201">
        <v>60</v>
      </c>
      <c r="W201">
        <v>0</v>
      </c>
      <c r="X201">
        <v>60</v>
      </c>
      <c r="Y201">
        <v>1</v>
      </c>
      <c r="Z201">
        <v>0</v>
      </c>
      <c r="AA201">
        <v>1</v>
      </c>
      <c r="AB201" t="s">
        <v>36</v>
      </c>
      <c r="AC201">
        <v>60</v>
      </c>
      <c r="AD201">
        <v>-0.27</v>
      </c>
    </row>
    <row r="202" spans="1:30" x14ac:dyDescent="0.25">
      <c r="A202" s="1">
        <v>44784.063263888886</v>
      </c>
      <c r="B202" s="1">
        <v>44784.061944444446</v>
      </c>
      <c r="C202">
        <v>115703</v>
      </c>
      <c r="D202" t="s">
        <v>47</v>
      </c>
      <c r="E202" t="s">
        <v>35</v>
      </c>
      <c r="F202">
        <v>7</v>
      </c>
      <c r="G202">
        <v>43.953625000000002</v>
      </c>
      <c r="H202">
        <v>-71.508859999999999</v>
      </c>
      <c r="I202">
        <v>1493</v>
      </c>
      <c r="J202">
        <v>63</v>
      </c>
      <c r="K202">
        <v>0</v>
      </c>
      <c r="L202" s="1">
        <v>44784.063217592593</v>
      </c>
      <c r="M202">
        <v>0</v>
      </c>
      <c r="N202">
        <v>300.89999999999998</v>
      </c>
      <c r="O202">
        <v>300.89999999999998</v>
      </c>
      <c r="P202">
        <v>200</v>
      </c>
      <c r="Q202">
        <v>0</v>
      </c>
      <c r="R202">
        <v>0</v>
      </c>
      <c r="S202">
        <v>0</v>
      </c>
      <c r="T202" t="s">
        <v>48</v>
      </c>
      <c r="V202">
        <v>68</v>
      </c>
      <c r="W202">
        <v>0</v>
      </c>
      <c r="X202">
        <v>68</v>
      </c>
      <c r="Y202">
        <v>1</v>
      </c>
      <c r="Z202">
        <v>0</v>
      </c>
      <c r="AA202">
        <v>1</v>
      </c>
      <c r="AB202" t="s">
        <v>36</v>
      </c>
      <c r="AC202">
        <v>68</v>
      </c>
    </row>
    <row r="203" spans="1:30" x14ac:dyDescent="0.25">
      <c r="A203" s="1">
        <v>44784.063263888886</v>
      </c>
      <c r="B203" s="1">
        <v>44784.061365740738</v>
      </c>
      <c r="C203">
        <v>12050</v>
      </c>
      <c r="D203" t="s">
        <v>49</v>
      </c>
      <c r="E203" t="s">
        <v>35</v>
      </c>
      <c r="F203">
        <v>7</v>
      </c>
      <c r="G203">
        <v>44.220573000000002</v>
      </c>
      <c r="H203">
        <v>-71.732315</v>
      </c>
      <c r="I203">
        <v>999</v>
      </c>
      <c r="J203">
        <v>70</v>
      </c>
      <c r="K203">
        <v>0</v>
      </c>
      <c r="L203" s="1">
        <v>44784.063217592593</v>
      </c>
      <c r="M203">
        <v>3</v>
      </c>
      <c r="N203">
        <v>2.9</v>
      </c>
      <c r="O203">
        <v>0.1</v>
      </c>
      <c r="P203">
        <v>3</v>
      </c>
      <c r="Q203">
        <v>0</v>
      </c>
      <c r="R203">
        <v>0.1</v>
      </c>
      <c r="S203">
        <v>0.05</v>
      </c>
      <c r="T203" t="s">
        <v>33</v>
      </c>
      <c r="U203">
        <v>2.95</v>
      </c>
      <c r="V203">
        <v>57</v>
      </c>
      <c r="W203">
        <v>0</v>
      </c>
      <c r="X203">
        <v>57</v>
      </c>
      <c r="Y203">
        <v>0</v>
      </c>
      <c r="Z203">
        <v>0</v>
      </c>
      <c r="AA203">
        <v>0</v>
      </c>
      <c r="AB203" t="s">
        <v>36</v>
      </c>
      <c r="AC203">
        <v>57</v>
      </c>
      <c r="AD203">
        <v>-0.03</v>
      </c>
    </row>
    <row r="204" spans="1:30" x14ac:dyDescent="0.25">
      <c r="A204" s="1">
        <v>44784.063263888886</v>
      </c>
      <c r="B204" s="1">
        <v>44784.061469907407</v>
      </c>
      <c r="C204">
        <v>23443</v>
      </c>
      <c r="D204" t="s">
        <v>50</v>
      </c>
      <c r="E204" t="s">
        <v>35</v>
      </c>
      <c r="F204">
        <v>7</v>
      </c>
      <c r="G204">
        <v>43.556139999999999</v>
      </c>
      <c r="H204">
        <v>-72.370990000000006</v>
      </c>
      <c r="I204">
        <v>523</v>
      </c>
      <c r="J204">
        <v>70</v>
      </c>
      <c r="K204">
        <v>0</v>
      </c>
      <c r="L204" s="1">
        <v>44784.063217592593</v>
      </c>
      <c r="M204">
        <v>3.3</v>
      </c>
      <c r="N204">
        <v>2.8</v>
      </c>
      <c r="O204">
        <v>0.5</v>
      </c>
      <c r="P204">
        <v>16</v>
      </c>
      <c r="Q204">
        <v>0</v>
      </c>
      <c r="R204">
        <v>0.1</v>
      </c>
      <c r="S204">
        <v>0.05</v>
      </c>
      <c r="T204" t="s">
        <v>33</v>
      </c>
      <c r="U204">
        <v>3.05</v>
      </c>
      <c r="V204">
        <v>65</v>
      </c>
      <c r="W204">
        <v>0</v>
      </c>
      <c r="X204">
        <v>65</v>
      </c>
      <c r="Y204">
        <v>0</v>
      </c>
      <c r="Z204">
        <v>0</v>
      </c>
      <c r="AA204">
        <v>0</v>
      </c>
      <c r="AB204" t="s">
        <v>36</v>
      </c>
      <c r="AC204">
        <v>65</v>
      </c>
      <c r="AD204">
        <v>-0.53</v>
      </c>
    </row>
    <row r="205" spans="1:30" x14ac:dyDescent="0.25">
      <c r="A205" s="1">
        <v>44784.063263888886</v>
      </c>
      <c r="B205" s="1">
        <v>44784.061550925922</v>
      </c>
      <c r="C205">
        <v>58135</v>
      </c>
      <c r="D205" t="s">
        <v>51</v>
      </c>
      <c r="E205" t="s">
        <v>35</v>
      </c>
      <c r="F205">
        <v>7</v>
      </c>
      <c r="G205">
        <v>42.883873000000001</v>
      </c>
      <c r="H205">
        <v>-71.972915999999998</v>
      </c>
      <c r="I205">
        <v>808</v>
      </c>
      <c r="J205">
        <v>71</v>
      </c>
      <c r="K205">
        <v>0</v>
      </c>
      <c r="L205" s="1">
        <v>44784.063217592593</v>
      </c>
      <c r="M205">
        <v>7.2</v>
      </c>
      <c r="N205">
        <v>4.8</v>
      </c>
      <c r="O205">
        <v>2.4</v>
      </c>
      <c r="P205">
        <v>40</v>
      </c>
      <c r="Q205">
        <v>0.2</v>
      </c>
      <c r="R205">
        <v>0</v>
      </c>
      <c r="S205">
        <v>0.1</v>
      </c>
      <c r="T205" t="s">
        <v>33</v>
      </c>
      <c r="U205">
        <v>6</v>
      </c>
      <c r="V205">
        <v>71</v>
      </c>
      <c r="W205">
        <v>0</v>
      </c>
      <c r="X205">
        <v>71</v>
      </c>
      <c r="Y205">
        <v>1</v>
      </c>
      <c r="Z205">
        <v>0</v>
      </c>
      <c r="AA205">
        <v>1</v>
      </c>
      <c r="AB205" t="s">
        <v>36</v>
      </c>
      <c r="AC205">
        <v>71</v>
      </c>
      <c r="AD205">
        <v>0.85</v>
      </c>
    </row>
    <row r="206" spans="1:30" x14ac:dyDescent="0.25">
      <c r="A206" s="1">
        <v>44784.063263888886</v>
      </c>
      <c r="B206" s="1">
        <v>44784.061620370368</v>
      </c>
      <c r="C206">
        <v>148555</v>
      </c>
      <c r="D206" t="s">
        <v>52</v>
      </c>
      <c r="E206" t="s">
        <v>53</v>
      </c>
      <c r="F206">
        <v>7</v>
      </c>
      <c r="G206">
        <v>42.904949999999999</v>
      </c>
      <c r="H206">
        <v>-71.386764999999997</v>
      </c>
      <c r="I206">
        <v>363</v>
      </c>
      <c r="J206">
        <v>0</v>
      </c>
      <c r="K206">
        <v>0</v>
      </c>
      <c r="L206" s="1">
        <v>44784.063217592593</v>
      </c>
      <c r="M206">
        <v>1.4</v>
      </c>
      <c r="N206">
        <v>2</v>
      </c>
      <c r="O206">
        <v>0.6</v>
      </c>
      <c r="P206">
        <v>35</v>
      </c>
      <c r="Q206">
        <v>0.1</v>
      </c>
      <c r="R206">
        <v>0</v>
      </c>
      <c r="S206">
        <v>0.05</v>
      </c>
      <c r="T206" t="s">
        <v>33</v>
      </c>
      <c r="U206">
        <v>1.7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">
        <v>38</v>
      </c>
    </row>
    <row r="207" spans="1:30" x14ac:dyDescent="0.25">
      <c r="A207" s="1">
        <v>44784.063275462962</v>
      </c>
      <c r="B207" s="1">
        <v>44784.0625462963</v>
      </c>
      <c r="C207">
        <v>146644</v>
      </c>
      <c r="D207" t="s">
        <v>54</v>
      </c>
      <c r="E207" t="s">
        <v>53</v>
      </c>
      <c r="F207">
        <v>7</v>
      </c>
      <c r="G207">
        <v>43.06015</v>
      </c>
      <c r="H207">
        <v>-70.758930000000007</v>
      </c>
      <c r="I207">
        <v>35</v>
      </c>
      <c r="J207">
        <v>69</v>
      </c>
      <c r="K207">
        <v>70</v>
      </c>
      <c r="L207" s="1">
        <v>44784.063217592593</v>
      </c>
      <c r="M207">
        <v>3.6</v>
      </c>
      <c r="N207">
        <v>2.5</v>
      </c>
      <c r="O207">
        <v>1.1000000000000001</v>
      </c>
      <c r="P207">
        <v>36</v>
      </c>
      <c r="Q207">
        <v>0.1</v>
      </c>
      <c r="R207">
        <v>0</v>
      </c>
      <c r="S207">
        <v>0.05</v>
      </c>
      <c r="T207" t="s">
        <v>33</v>
      </c>
      <c r="U207">
        <v>3.05</v>
      </c>
      <c r="V207">
        <v>68</v>
      </c>
      <c r="W207">
        <v>72</v>
      </c>
      <c r="X207">
        <v>4</v>
      </c>
      <c r="Y207">
        <v>0</v>
      </c>
      <c r="Z207">
        <v>0</v>
      </c>
      <c r="AA207">
        <v>0</v>
      </c>
      <c r="AB207" t="s">
        <v>33</v>
      </c>
      <c r="AC207">
        <v>70</v>
      </c>
      <c r="AD207">
        <v>-0.88</v>
      </c>
    </row>
    <row r="208" spans="1:30" x14ac:dyDescent="0.25">
      <c r="A208" s="1">
        <v>44784.063275462962</v>
      </c>
      <c r="B208" s="1">
        <v>43755.283437500002</v>
      </c>
      <c r="C208">
        <v>12188</v>
      </c>
      <c r="D208" t="s">
        <v>55</v>
      </c>
      <c r="E208" t="s">
        <v>35</v>
      </c>
      <c r="F208">
        <v>4.1100000000000003</v>
      </c>
      <c r="G208">
        <v>42.927050000000001</v>
      </c>
      <c r="H208">
        <v>-72.279610000000005</v>
      </c>
      <c r="I208">
        <v>475</v>
      </c>
      <c r="J208">
        <v>95</v>
      </c>
      <c r="K208">
        <v>0</v>
      </c>
      <c r="L208" s="1">
        <v>44784.063217592593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 t="s">
        <v>32</v>
      </c>
      <c r="V208">
        <v>77</v>
      </c>
      <c r="W208">
        <v>0</v>
      </c>
      <c r="X208">
        <v>77</v>
      </c>
      <c r="Y208">
        <v>0</v>
      </c>
      <c r="Z208">
        <v>0</v>
      </c>
      <c r="AA208">
        <v>0</v>
      </c>
      <c r="AB208" t="s">
        <v>36</v>
      </c>
      <c r="AC208">
        <v>77</v>
      </c>
    </row>
    <row r="209" spans="1:30" x14ac:dyDescent="0.25">
      <c r="A209" s="1">
        <v>44784.063275462962</v>
      </c>
      <c r="B209" s="1">
        <v>44784.06145833333</v>
      </c>
      <c r="C209">
        <v>1224</v>
      </c>
      <c r="D209" t="s">
        <v>56</v>
      </c>
      <c r="E209" t="s">
        <v>35</v>
      </c>
      <c r="F209" t="s">
        <v>57</v>
      </c>
      <c r="G209">
        <v>42.938034000000002</v>
      </c>
      <c r="H209">
        <v>-72.259299999999996</v>
      </c>
      <c r="I209">
        <v>792</v>
      </c>
      <c r="J209">
        <v>77</v>
      </c>
      <c r="K209">
        <v>0</v>
      </c>
      <c r="L209" s="1">
        <v>44784.063217592593</v>
      </c>
      <c r="M209">
        <v>2.2000000000000002</v>
      </c>
      <c r="N209">
        <v>0</v>
      </c>
      <c r="O209">
        <v>2.2000000000000002</v>
      </c>
      <c r="P209">
        <v>200</v>
      </c>
      <c r="Q209">
        <v>0.1</v>
      </c>
      <c r="R209">
        <v>0</v>
      </c>
      <c r="S209">
        <v>0.05</v>
      </c>
      <c r="T209" t="s">
        <v>43</v>
      </c>
      <c r="V209">
        <v>81</v>
      </c>
      <c r="W209">
        <v>0</v>
      </c>
      <c r="X209">
        <v>81</v>
      </c>
      <c r="Y209">
        <v>0</v>
      </c>
      <c r="Z209">
        <v>0</v>
      </c>
      <c r="AA209">
        <v>0</v>
      </c>
      <c r="AB209" t="s">
        <v>36</v>
      </c>
      <c r="AC209">
        <v>81</v>
      </c>
    </row>
    <row r="210" spans="1:30" x14ac:dyDescent="0.25">
      <c r="A210" s="1">
        <v>44784.063275462962</v>
      </c>
      <c r="B210" s="1">
        <v>44784.062291666669</v>
      </c>
      <c r="C210">
        <v>1202</v>
      </c>
      <c r="D210" t="s">
        <v>58</v>
      </c>
      <c r="E210" t="s">
        <v>35</v>
      </c>
      <c r="F210" t="s">
        <v>57</v>
      </c>
      <c r="G210">
        <v>42.936554000000001</v>
      </c>
      <c r="H210">
        <v>-72.271019999999993</v>
      </c>
      <c r="I210">
        <v>488</v>
      </c>
      <c r="J210">
        <v>0</v>
      </c>
      <c r="K210">
        <v>0</v>
      </c>
      <c r="L210" s="1">
        <v>44784.063217592593</v>
      </c>
      <c r="M210">
        <v>2.4</v>
      </c>
      <c r="N210">
        <v>2.2999999999999998</v>
      </c>
      <c r="O210">
        <v>0.1</v>
      </c>
      <c r="P210">
        <v>4</v>
      </c>
      <c r="Q210">
        <v>0.1</v>
      </c>
      <c r="R210">
        <v>0.1</v>
      </c>
      <c r="S210">
        <v>0.1</v>
      </c>
      <c r="T210" t="s">
        <v>33</v>
      </c>
      <c r="U210">
        <v>2.35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">
        <v>38</v>
      </c>
    </row>
    <row r="211" spans="1:30" x14ac:dyDescent="0.25">
      <c r="A211" s="1">
        <v>44784.063287037039</v>
      </c>
      <c r="B211" s="1">
        <v>44612.080023148148</v>
      </c>
      <c r="C211">
        <v>25985</v>
      </c>
      <c r="D211" t="s">
        <v>59</v>
      </c>
      <c r="E211" t="s">
        <v>35</v>
      </c>
      <c r="F211">
        <v>6.01</v>
      </c>
      <c r="G211">
        <v>42.927326000000001</v>
      </c>
      <c r="H211">
        <v>-72.279979999999995</v>
      </c>
      <c r="I211">
        <v>477</v>
      </c>
      <c r="J211">
        <v>78</v>
      </c>
      <c r="K211">
        <v>0</v>
      </c>
      <c r="L211" s="1">
        <v>44784.063217592593</v>
      </c>
      <c r="M211">
        <v>1.1000000000000001</v>
      </c>
      <c r="N211">
        <v>1</v>
      </c>
      <c r="O211">
        <v>0.1</v>
      </c>
      <c r="P211">
        <v>10</v>
      </c>
      <c r="Q211">
        <v>0</v>
      </c>
      <c r="R211">
        <v>0</v>
      </c>
      <c r="S211">
        <v>0</v>
      </c>
      <c r="T211" t="s">
        <v>32</v>
      </c>
      <c r="V211">
        <v>22</v>
      </c>
      <c r="W211">
        <v>0</v>
      </c>
      <c r="X211">
        <v>22</v>
      </c>
      <c r="Y211">
        <v>0</v>
      </c>
      <c r="Z211">
        <v>0</v>
      </c>
      <c r="AA211">
        <v>0</v>
      </c>
      <c r="AB211" t="s">
        <v>36</v>
      </c>
      <c r="AC211">
        <v>22</v>
      </c>
    </row>
    <row r="212" spans="1:30" x14ac:dyDescent="0.25">
      <c r="A212" s="1">
        <v>44784.070173611108</v>
      </c>
      <c r="B212" s="1">
        <v>44775.701319444444</v>
      </c>
      <c r="C212">
        <v>151708</v>
      </c>
      <c r="D212" t="s">
        <v>30</v>
      </c>
      <c r="E212" t="s">
        <v>31</v>
      </c>
      <c r="F212">
        <v>7</v>
      </c>
      <c r="G212">
        <v>43.192042999999998</v>
      </c>
      <c r="H212">
        <v>-71.541579999999996</v>
      </c>
      <c r="I212">
        <v>291</v>
      </c>
      <c r="J212">
        <v>93</v>
      </c>
      <c r="K212">
        <v>94</v>
      </c>
      <c r="L212" s="1">
        <v>44784.070162037038</v>
      </c>
      <c r="M212">
        <v>7.9</v>
      </c>
      <c r="N212">
        <v>7.6</v>
      </c>
      <c r="O212">
        <v>0.3</v>
      </c>
      <c r="P212">
        <v>4</v>
      </c>
      <c r="Q212">
        <v>0</v>
      </c>
      <c r="R212">
        <v>0</v>
      </c>
      <c r="S212">
        <v>0</v>
      </c>
      <c r="T212" t="s">
        <v>32</v>
      </c>
      <c r="V212">
        <v>42</v>
      </c>
      <c r="W212">
        <v>41</v>
      </c>
      <c r="X212">
        <v>1</v>
      </c>
      <c r="Y212">
        <v>0</v>
      </c>
      <c r="Z212">
        <v>0</v>
      </c>
      <c r="AA212">
        <v>0</v>
      </c>
      <c r="AB212" t="s">
        <v>33</v>
      </c>
      <c r="AC212">
        <v>41.5</v>
      </c>
    </row>
    <row r="213" spans="1:30" x14ac:dyDescent="0.25">
      <c r="A213" s="1">
        <v>44784.070185185185</v>
      </c>
      <c r="B213" s="1">
        <v>44784.068460648145</v>
      </c>
      <c r="C213">
        <v>143456</v>
      </c>
      <c r="D213" t="s">
        <v>34</v>
      </c>
      <c r="E213" t="s">
        <v>35</v>
      </c>
      <c r="F213">
        <v>7</v>
      </c>
      <c r="G213">
        <v>43.08963</v>
      </c>
      <c r="H213">
        <v>-71.502440000000007</v>
      </c>
      <c r="I213">
        <v>619</v>
      </c>
      <c r="J213">
        <v>70</v>
      </c>
      <c r="K213">
        <v>0</v>
      </c>
      <c r="L213" s="1">
        <v>44784.070162037038</v>
      </c>
      <c r="M213">
        <v>3.2</v>
      </c>
      <c r="N213">
        <v>3.5</v>
      </c>
      <c r="O213">
        <v>0.3</v>
      </c>
      <c r="P213">
        <v>9</v>
      </c>
      <c r="Q213">
        <v>0.1</v>
      </c>
      <c r="R213">
        <v>0</v>
      </c>
      <c r="S213">
        <v>0.05</v>
      </c>
      <c r="T213" t="s">
        <v>33</v>
      </c>
      <c r="U213">
        <v>3.35</v>
      </c>
      <c r="V213">
        <v>69</v>
      </c>
      <c r="W213">
        <v>0</v>
      </c>
      <c r="X213">
        <v>69</v>
      </c>
      <c r="Y213">
        <v>0</v>
      </c>
      <c r="Z213">
        <v>0</v>
      </c>
      <c r="AA213">
        <v>0</v>
      </c>
      <c r="AB213" t="s">
        <v>36</v>
      </c>
      <c r="AC213">
        <v>69</v>
      </c>
      <c r="AD213">
        <v>-0.63</v>
      </c>
    </row>
    <row r="214" spans="1:30" x14ac:dyDescent="0.25">
      <c r="A214" s="1">
        <v>44784.070185185185</v>
      </c>
      <c r="B214" s="1">
        <v>44784.068657407406</v>
      </c>
      <c r="C214">
        <v>151702</v>
      </c>
      <c r="D214" t="s">
        <v>37</v>
      </c>
      <c r="E214" t="s">
        <v>31</v>
      </c>
      <c r="F214">
        <v>7</v>
      </c>
      <c r="G214">
        <v>43.118609999999997</v>
      </c>
      <c r="H214">
        <v>-71.61618</v>
      </c>
      <c r="I214">
        <v>885</v>
      </c>
      <c r="J214">
        <v>0</v>
      </c>
      <c r="K214">
        <v>0</v>
      </c>
      <c r="L214" s="1">
        <v>44784.070162037038</v>
      </c>
      <c r="M214">
        <v>3.2</v>
      </c>
      <c r="N214">
        <v>2.9</v>
      </c>
      <c r="O214">
        <v>0.3</v>
      </c>
      <c r="P214">
        <v>10</v>
      </c>
      <c r="Q214">
        <v>0</v>
      </c>
      <c r="R214">
        <v>0.1</v>
      </c>
      <c r="S214">
        <v>0.05</v>
      </c>
      <c r="T214" t="s">
        <v>33</v>
      </c>
      <c r="U214">
        <v>3.05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">
        <v>38</v>
      </c>
    </row>
    <row r="215" spans="1:30" x14ac:dyDescent="0.25">
      <c r="A215" s="1">
        <v>44784.070185185185</v>
      </c>
      <c r="B215" s="1">
        <v>44784.068541666667</v>
      </c>
      <c r="C215">
        <v>151700</v>
      </c>
      <c r="D215" t="s">
        <v>30</v>
      </c>
      <c r="E215" t="s">
        <v>31</v>
      </c>
      <c r="F215">
        <v>7</v>
      </c>
      <c r="G215">
        <v>43.19211</v>
      </c>
      <c r="H215">
        <v>-71.541460000000001</v>
      </c>
      <c r="I215">
        <v>286</v>
      </c>
      <c r="J215">
        <v>72</v>
      </c>
      <c r="K215">
        <v>0</v>
      </c>
      <c r="L215" s="1">
        <v>44784.070162037038</v>
      </c>
      <c r="M215">
        <v>2.4</v>
      </c>
      <c r="N215">
        <v>2.9</v>
      </c>
      <c r="O215">
        <v>0.5</v>
      </c>
      <c r="P215">
        <v>19</v>
      </c>
      <c r="Q215">
        <v>0</v>
      </c>
      <c r="R215">
        <v>0.1</v>
      </c>
      <c r="S215">
        <v>0.05</v>
      </c>
      <c r="T215" t="s">
        <v>33</v>
      </c>
      <c r="U215">
        <v>2.65</v>
      </c>
      <c r="V215">
        <v>64</v>
      </c>
      <c r="W215">
        <v>0</v>
      </c>
      <c r="X215">
        <v>64</v>
      </c>
      <c r="Y215">
        <v>1</v>
      </c>
      <c r="Z215">
        <v>0</v>
      </c>
      <c r="AA215">
        <v>1</v>
      </c>
      <c r="AB215" t="s">
        <v>36</v>
      </c>
      <c r="AC215">
        <v>64</v>
      </c>
      <c r="AD215">
        <v>-0.7</v>
      </c>
    </row>
    <row r="216" spans="1:30" x14ac:dyDescent="0.25">
      <c r="A216" s="1">
        <v>44784.070185185185</v>
      </c>
      <c r="B216" s="1">
        <v>44784.06894675926</v>
      </c>
      <c r="C216">
        <v>135984</v>
      </c>
      <c r="D216" t="s">
        <v>39</v>
      </c>
      <c r="E216" t="s">
        <v>31</v>
      </c>
      <c r="F216">
        <v>7</v>
      </c>
      <c r="G216">
        <v>43.565852999999997</v>
      </c>
      <c r="H216">
        <v>-71.496129999999994</v>
      </c>
      <c r="I216">
        <v>708</v>
      </c>
      <c r="J216">
        <v>67</v>
      </c>
      <c r="K216">
        <v>0</v>
      </c>
      <c r="L216" s="1">
        <v>44784.070162037038</v>
      </c>
      <c r="M216">
        <v>5.4</v>
      </c>
      <c r="N216">
        <v>4.4000000000000004</v>
      </c>
      <c r="O216">
        <v>1</v>
      </c>
      <c r="P216">
        <v>20</v>
      </c>
      <c r="Q216">
        <v>0</v>
      </c>
      <c r="R216">
        <v>0</v>
      </c>
      <c r="S216">
        <v>0</v>
      </c>
      <c r="T216" t="s">
        <v>33</v>
      </c>
      <c r="U216">
        <v>4.9000000000000004</v>
      </c>
      <c r="V216">
        <v>99</v>
      </c>
      <c r="W216">
        <v>0</v>
      </c>
      <c r="X216">
        <v>99</v>
      </c>
      <c r="Y216">
        <v>1</v>
      </c>
      <c r="Z216">
        <v>0</v>
      </c>
      <c r="AA216">
        <v>1</v>
      </c>
      <c r="AB216" t="s">
        <v>36</v>
      </c>
      <c r="AC216">
        <v>99</v>
      </c>
      <c r="AD216">
        <v>-1.78</v>
      </c>
    </row>
    <row r="217" spans="1:30" x14ac:dyDescent="0.25">
      <c r="A217" s="1">
        <v>44784.070185185185</v>
      </c>
      <c r="B217" s="1">
        <v>44780.394780092596</v>
      </c>
      <c r="C217">
        <v>151712</v>
      </c>
      <c r="D217" t="s">
        <v>40</v>
      </c>
      <c r="E217" t="s">
        <v>31</v>
      </c>
      <c r="F217">
        <v>7</v>
      </c>
      <c r="G217">
        <v>43.289763999999998</v>
      </c>
      <c r="H217">
        <v>-71.564260000000004</v>
      </c>
      <c r="I217">
        <v>370</v>
      </c>
      <c r="J217">
        <v>86</v>
      </c>
      <c r="K217">
        <v>0</v>
      </c>
      <c r="L217" s="1">
        <v>44784.070162037038</v>
      </c>
      <c r="M217">
        <v>14</v>
      </c>
      <c r="N217">
        <v>13.2</v>
      </c>
      <c r="O217">
        <v>0.8</v>
      </c>
      <c r="P217">
        <v>6</v>
      </c>
      <c r="Q217">
        <v>0</v>
      </c>
      <c r="R217">
        <v>0</v>
      </c>
      <c r="S217">
        <v>0</v>
      </c>
      <c r="T217" t="s">
        <v>32</v>
      </c>
      <c r="V217">
        <v>59</v>
      </c>
      <c r="W217">
        <v>0</v>
      </c>
      <c r="X217">
        <v>59</v>
      </c>
      <c r="Y217">
        <v>0</v>
      </c>
      <c r="Z217">
        <v>0</v>
      </c>
      <c r="AA217">
        <v>0</v>
      </c>
      <c r="AB217" t="s">
        <v>36</v>
      </c>
      <c r="AC217">
        <v>59</v>
      </c>
    </row>
    <row r="218" spans="1:30" x14ac:dyDescent="0.25">
      <c r="A218" s="1">
        <v>44784.070196759261</v>
      </c>
      <c r="B218" s="1">
        <v>44784.068229166667</v>
      </c>
      <c r="C218">
        <v>151710</v>
      </c>
      <c r="D218" t="s">
        <v>41</v>
      </c>
      <c r="E218" t="s">
        <v>31</v>
      </c>
      <c r="F218">
        <v>7</v>
      </c>
      <c r="G218">
        <v>43.132477000000002</v>
      </c>
      <c r="H218">
        <v>-71.458374000000006</v>
      </c>
      <c r="I218">
        <v>230</v>
      </c>
      <c r="J218">
        <v>71</v>
      </c>
      <c r="K218">
        <v>0</v>
      </c>
      <c r="L218" s="1">
        <v>44784.070162037038</v>
      </c>
      <c r="M218">
        <v>4.9000000000000004</v>
      </c>
      <c r="N218">
        <v>3.2</v>
      </c>
      <c r="O218">
        <v>1.7</v>
      </c>
      <c r="P218">
        <v>42</v>
      </c>
      <c r="Q218">
        <v>0.1</v>
      </c>
      <c r="R218">
        <v>0.2</v>
      </c>
      <c r="S218">
        <v>0.15</v>
      </c>
      <c r="T218" t="s">
        <v>33</v>
      </c>
      <c r="U218">
        <v>4.05</v>
      </c>
      <c r="V218">
        <v>65</v>
      </c>
      <c r="W218">
        <v>0</v>
      </c>
      <c r="X218">
        <v>65</v>
      </c>
      <c r="Y218">
        <v>0</v>
      </c>
      <c r="Z218">
        <v>0</v>
      </c>
      <c r="AA218">
        <v>0</v>
      </c>
      <c r="AB218" t="s">
        <v>36</v>
      </c>
      <c r="AC218">
        <v>65</v>
      </c>
      <c r="AD218">
        <v>0.08</v>
      </c>
    </row>
    <row r="219" spans="1:30" x14ac:dyDescent="0.25">
      <c r="A219" s="1">
        <v>44784.070196759261</v>
      </c>
      <c r="B219" s="1">
        <v>44784.069328703707</v>
      </c>
      <c r="C219">
        <v>151706</v>
      </c>
      <c r="D219" t="s">
        <v>42</v>
      </c>
      <c r="E219" t="s">
        <v>31</v>
      </c>
      <c r="F219">
        <v>7</v>
      </c>
      <c r="G219">
        <v>43.004080000000002</v>
      </c>
      <c r="H219">
        <v>-71.177040000000005</v>
      </c>
      <c r="I219">
        <v>194</v>
      </c>
      <c r="J219">
        <v>71</v>
      </c>
      <c r="K219">
        <v>0</v>
      </c>
      <c r="L219" s="1">
        <v>44784.070162037038</v>
      </c>
      <c r="M219">
        <v>1.7</v>
      </c>
      <c r="N219">
        <v>0</v>
      </c>
      <c r="O219">
        <v>1.7</v>
      </c>
      <c r="P219">
        <v>200</v>
      </c>
      <c r="Q219">
        <v>0.1</v>
      </c>
      <c r="R219">
        <v>0</v>
      </c>
      <c r="S219">
        <v>0.05</v>
      </c>
      <c r="T219" t="s">
        <v>43</v>
      </c>
      <c r="V219">
        <v>66</v>
      </c>
      <c r="W219">
        <v>0</v>
      </c>
      <c r="X219">
        <v>66</v>
      </c>
      <c r="Y219">
        <v>0</v>
      </c>
      <c r="Z219">
        <v>0</v>
      </c>
      <c r="AA219">
        <v>0</v>
      </c>
      <c r="AB219" t="s">
        <v>36</v>
      </c>
      <c r="AC219">
        <v>66</v>
      </c>
    </row>
    <row r="220" spans="1:30" x14ac:dyDescent="0.25">
      <c r="A220" s="1">
        <v>44784.070196759261</v>
      </c>
      <c r="B220" s="1">
        <v>44784.069004629629</v>
      </c>
      <c r="C220">
        <v>12212</v>
      </c>
      <c r="D220" t="s">
        <v>44</v>
      </c>
      <c r="E220" t="s">
        <v>35</v>
      </c>
      <c r="F220">
        <v>7</v>
      </c>
      <c r="G220">
        <v>42.930529999999997</v>
      </c>
      <c r="H220">
        <v>-72.272350000000003</v>
      </c>
      <c r="I220">
        <v>476</v>
      </c>
      <c r="J220">
        <v>77</v>
      </c>
      <c r="K220">
        <v>0</v>
      </c>
      <c r="L220" s="1">
        <v>44784.070162037038</v>
      </c>
      <c r="M220">
        <v>2.7</v>
      </c>
      <c r="N220">
        <v>2.2000000000000002</v>
      </c>
      <c r="O220">
        <v>0.5</v>
      </c>
      <c r="P220">
        <v>20</v>
      </c>
      <c r="Q220">
        <v>0.1</v>
      </c>
      <c r="R220">
        <v>0</v>
      </c>
      <c r="S220">
        <v>0.05</v>
      </c>
      <c r="T220" t="s">
        <v>33</v>
      </c>
      <c r="U220">
        <v>2.4500000000000002</v>
      </c>
      <c r="V220">
        <v>77</v>
      </c>
      <c r="W220">
        <v>0</v>
      </c>
      <c r="X220">
        <v>77</v>
      </c>
      <c r="Y220">
        <v>2</v>
      </c>
      <c r="Z220">
        <v>0</v>
      </c>
      <c r="AA220">
        <v>2</v>
      </c>
      <c r="AB220" t="s">
        <v>36</v>
      </c>
      <c r="AC220">
        <v>77</v>
      </c>
      <c r="AD220">
        <v>-1.74</v>
      </c>
    </row>
    <row r="221" spans="1:30" x14ac:dyDescent="0.25">
      <c r="A221" s="1">
        <v>44784.070196759261</v>
      </c>
      <c r="B221" s="1">
        <v>44769.376736111109</v>
      </c>
      <c r="C221">
        <v>12178</v>
      </c>
      <c r="D221" t="s">
        <v>45</v>
      </c>
      <c r="E221" t="s">
        <v>35</v>
      </c>
      <c r="F221">
        <v>7</v>
      </c>
      <c r="G221">
        <v>42.899563000000001</v>
      </c>
      <c r="H221">
        <v>-71.464650000000006</v>
      </c>
      <c r="I221">
        <v>301</v>
      </c>
      <c r="J221">
        <v>85</v>
      </c>
      <c r="K221">
        <v>0</v>
      </c>
      <c r="L221" s="1">
        <v>44784.070162037038</v>
      </c>
      <c r="M221">
        <v>3.8</v>
      </c>
      <c r="N221">
        <v>3.1</v>
      </c>
      <c r="O221">
        <v>0.7</v>
      </c>
      <c r="P221">
        <v>20</v>
      </c>
      <c r="Q221">
        <v>0</v>
      </c>
      <c r="R221">
        <v>0</v>
      </c>
      <c r="S221">
        <v>0</v>
      </c>
      <c r="T221" t="s">
        <v>32</v>
      </c>
      <c r="V221">
        <v>35</v>
      </c>
      <c r="W221">
        <v>0</v>
      </c>
      <c r="X221">
        <v>35</v>
      </c>
      <c r="Y221">
        <v>0</v>
      </c>
      <c r="Z221">
        <v>0</v>
      </c>
      <c r="AA221">
        <v>0</v>
      </c>
      <c r="AB221" t="s">
        <v>36</v>
      </c>
      <c r="AC221">
        <v>35</v>
      </c>
    </row>
    <row r="222" spans="1:30" x14ac:dyDescent="0.25">
      <c r="A222" s="1">
        <v>44784.070196759261</v>
      </c>
      <c r="B222" s="1">
        <v>44784.068368055552</v>
      </c>
      <c r="C222">
        <v>75981</v>
      </c>
      <c r="D222" t="s">
        <v>46</v>
      </c>
      <c r="E222" t="s">
        <v>35</v>
      </c>
      <c r="F222">
        <v>7</v>
      </c>
      <c r="G222">
        <v>42.97</v>
      </c>
      <c r="H222">
        <v>-71.06</v>
      </c>
      <c r="I222">
        <v>136</v>
      </c>
      <c r="J222">
        <v>75</v>
      </c>
      <c r="K222">
        <v>0</v>
      </c>
      <c r="L222" s="1">
        <v>44784.070162037038</v>
      </c>
      <c r="M222">
        <v>3.2</v>
      </c>
      <c r="N222">
        <v>2.9</v>
      </c>
      <c r="O222">
        <v>0.3</v>
      </c>
      <c r="P222">
        <v>10</v>
      </c>
      <c r="Q222">
        <v>0.2</v>
      </c>
      <c r="R222">
        <v>0.1</v>
      </c>
      <c r="S222">
        <v>0.15</v>
      </c>
      <c r="T222" t="s">
        <v>33</v>
      </c>
      <c r="U222">
        <v>3.05</v>
      </c>
      <c r="V222">
        <v>60</v>
      </c>
      <c r="W222">
        <v>0</v>
      </c>
      <c r="X222">
        <v>60</v>
      </c>
      <c r="Y222">
        <v>0</v>
      </c>
      <c r="Z222">
        <v>0</v>
      </c>
      <c r="AA222">
        <v>0</v>
      </c>
      <c r="AB222" t="s">
        <v>36</v>
      </c>
      <c r="AC222">
        <v>60</v>
      </c>
      <c r="AD222">
        <v>-0.18</v>
      </c>
    </row>
    <row r="223" spans="1:30" x14ac:dyDescent="0.25">
      <c r="A223" s="1">
        <v>44784.070208333331</v>
      </c>
      <c r="B223" s="1">
        <v>44784.06890046296</v>
      </c>
      <c r="C223">
        <v>115703</v>
      </c>
      <c r="D223" t="s">
        <v>47</v>
      </c>
      <c r="E223" t="s">
        <v>35</v>
      </c>
      <c r="F223">
        <v>7</v>
      </c>
      <c r="G223">
        <v>43.953625000000002</v>
      </c>
      <c r="H223">
        <v>-71.508859999999999</v>
      </c>
      <c r="I223">
        <v>1493</v>
      </c>
      <c r="J223">
        <v>63</v>
      </c>
      <c r="K223">
        <v>0</v>
      </c>
      <c r="L223" s="1">
        <v>44784.070162037038</v>
      </c>
      <c r="M223">
        <v>0</v>
      </c>
      <c r="N223">
        <v>300.89999999999998</v>
      </c>
      <c r="O223">
        <v>300.89999999999998</v>
      </c>
      <c r="P223">
        <v>200</v>
      </c>
      <c r="Q223">
        <v>0</v>
      </c>
      <c r="R223">
        <v>0</v>
      </c>
      <c r="S223">
        <v>0</v>
      </c>
      <c r="T223" t="s">
        <v>48</v>
      </c>
      <c r="V223">
        <v>67</v>
      </c>
      <c r="W223">
        <v>0</v>
      </c>
      <c r="X223">
        <v>67</v>
      </c>
      <c r="Y223">
        <v>1</v>
      </c>
      <c r="Z223">
        <v>0</v>
      </c>
      <c r="AA223">
        <v>1</v>
      </c>
      <c r="AB223" t="s">
        <v>36</v>
      </c>
      <c r="AC223">
        <v>67</v>
      </c>
    </row>
    <row r="224" spans="1:30" x14ac:dyDescent="0.25">
      <c r="A224" s="1">
        <v>44784.070208333331</v>
      </c>
      <c r="B224" s="1">
        <v>44784.069699074076</v>
      </c>
      <c r="C224">
        <v>12050</v>
      </c>
      <c r="D224" t="s">
        <v>49</v>
      </c>
      <c r="E224" t="s">
        <v>35</v>
      </c>
      <c r="F224">
        <v>7</v>
      </c>
      <c r="G224">
        <v>44.220573000000002</v>
      </c>
      <c r="H224">
        <v>-71.732315</v>
      </c>
      <c r="I224">
        <v>999</v>
      </c>
      <c r="J224">
        <v>70</v>
      </c>
      <c r="K224">
        <v>0</v>
      </c>
      <c r="L224" s="1">
        <v>44784.070162037038</v>
      </c>
      <c r="M224">
        <v>3.1</v>
      </c>
      <c r="N224">
        <v>3</v>
      </c>
      <c r="O224">
        <v>0.1</v>
      </c>
      <c r="P224">
        <v>3</v>
      </c>
      <c r="Q224">
        <v>0.1</v>
      </c>
      <c r="R224">
        <v>0.1</v>
      </c>
      <c r="S224">
        <v>0.1</v>
      </c>
      <c r="T224" t="s">
        <v>33</v>
      </c>
      <c r="U224">
        <v>3.05</v>
      </c>
      <c r="V224">
        <v>57</v>
      </c>
      <c r="W224">
        <v>0</v>
      </c>
      <c r="X224">
        <v>57</v>
      </c>
      <c r="Y224">
        <v>0</v>
      </c>
      <c r="Z224">
        <v>0</v>
      </c>
      <c r="AA224">
        <v>0</v>
      </c>
      <c r="AB224" t="s">
        <v>36</v>
      </c>
      <c r="AC224">
        <v>57</v>
      </c>
      <c r="AD224">
        <v>0.03</v>
      </c>
    </row>
    <row r="225" spans="1:30" x14ac:dyDescent="0.25">
      <c r="A225" s="1">
        <v>44784.070208333331</v>
      </c>
      <c r="B225" s="1">
        <v>44784.068414351852</v>
      </c>
      <c r="C225">
        <v>23443</v>
      </c>
      <c r="D225" t="s">
        <v>50</v>
      </c>
      <c r="E225" t="s">
        <v>35</v>
      </c>
      <c r="F225">
        <v>7</v>
      </c>
      <c r="G225">
        <v>43.556139999999999</v>
      </c>
      <c r="H225">
        <v>-72.370990000000006</v>
      </c>
      <c r="I225">
        <v>523</v>
      </c>
      <c r="J225">
        <v>70</v>
      </c>
      <c r="K225">
        <v>0</v>
      </c>
      <c r="L225" s="1">
        <v>44784.070162037038</v>
      </c>
      <c r="M225">
        <v>3.4</v>
      </c>
      <c r="N225">
        <v>2.9</v>
      </c>
      <c r="O225">
        <v>0.5</v>
      </c>
      <c r="P225">
        <v>16</v>
      </c>
      <c r="Q225">
        <v>0.1</v>
      </c>
      <c r="R225">
        <v>0.1</v>
      </c>
      <c r="S225">
        <v>0.1</v>
      </c>
      <c r="T225" t="s">
        <v>33</v>
      </c>
      <c r="U225">
        <v>3.15</v>
      </c>
      <c r="V225">
        <v>65</v>
      </c>
      <c r="W225">
        <v>0</v>
      </c>
      <c r="X225">
        <v>65</v>
      </c>
      <c r="Y225">
        <v>0</v>
      </c>
      <c r="Z225">
        <v>0</v>
      </c>
      <c r="AA225">
        <v>0</v>
      </c>
      <c r="AB225" t="s">
        <v>36</v>
      </c>
      <c r="AC225">
        <v>65</v>
      </c>
      <c r="AD225">
        <v>-0.47</v>
      </c>
    </row>
    <row r="226" spans="1:30" x14ac:dyDescent="0.25">
      <c r="A226" s="1">
        <v>44784.070208333331</v>
      </c>
      <c r="B226" s="1">
        <v>44784.068506944444</v>
      </c>
      <c r="C226">
        <v>58135</v>
      </c>
      <c r="D226" t="s">
        <v>51</v>
      </c>
      <c r="E226" t="s">
        <v>35</v>
      </c>
      <c r="F226">
        <v>7</v>
      </c>
      <c r="G226">
        <v>42.883873000000001</v>
      </c>
      <c r="H226">
        <v>-71.972915999999998</v>
      </c>
      <c r="I226">
        <v>808</v>
      </c>
      <c r="J226">
        <v>70</v>
      </c>
      <c r="K226">
        <v>0</v>
      </c>
      <c r="L226" s="1">
        <v>44784.070162037038</v>
      </c>
      <c r="M226">
        <v>7.4</v>
      </c>
      <c r="N226">
        <v>4.8</v>
      </c>
      <c r="O226">
        <v>2.6</v>
      </c>
      <c r="P226">
        <v>43</v>
      </c>
      <c r="Q226">
        <v>0.2</v>
      </c>
      <c r="R226">
        <v>0</v>
      </c>
      <c r="S226">
        <v>0.1</v>
      </c>
      <c r="T226" t="s">
        <v>33</v>
      </c>
      <c r="U226">
        <v>6.1</v>
      </c>
      <c r="V226">
        <v>71</v>
      </c>
      <c r="W226">
        <v>0</v>
      </c>
      <c r="X226">
        <v>71</v>
      </c>
      <c r="Y226">
        <v>0</v>
      </c>
      <c r="Z226">
        <v>0</v>
      </c>
      <c r="AA226">
        <v>0</v>
      </c>
      <c r="AB226" t="s">
        <v>36</v>
      </c>
      <c r="AC226">
        <v>71</v>
      </c>
      <c r="AD226">
        <v>0.91</v>
      </c>
    </row>
    <row r="227" spans="1:30" x14ac:dyDescent="0.25">
      <c r="A227" s="1">
        <v>44784.070219907408</v>
      </c>
      <c r="B227" s="1">
        <v>44784.068564814814</v>
      </c>
      <c r="C227">
        <v>148555</v>
      </c>
      <c r="D227" t="s">
        <v>52</v>
      </c>
      <c r="E227" t="s">
        <v>53</v>
      </c>
      <c r="F227">
        <v>7</v>
      </c>
      <c r="G227">
        <v>42.904949999999999</v>
      </c>
      <c r="H227">
        <v>-71.386764999999997</v>
      </c>
      <c r="I227">
        <v>363</v>
      </c>
      <c r="J227">
        <v>0</v>
      </c>
      <c r="K227">
        <v>0</v>
      </c>
      <c r="L227" s="1">
        <v>44784.070162037038</v>
      </c>
      <c r="M227">
        <v>1.4</v>
      </c>
      <c r="N227">
        <v>1.9</v>
      </c>
      <c r="O227">
        <v>0.5</v>
      </c>
      <c r="P227">
        <v>30</v>
      </c>
      <c r="Q227">
        <v>0</v>
      </c>
      <c r="R227">
        <v>0.1</v>
      </c>
      <c r="S227">
        <v>0.05</v>
      </c>
      <c r="T227" t="s">
        <v>33</v>
      </c>
      <c r="U227">
        <v>1.65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">
        <v>38</v>
      </c>
    </row>
    <row r="228" spans="1:30" x14ac:dyDescent="0.25">
      <c r="A228" s="1">
        <v>44784.070219907408</v>
      </c>
      <c r="B228" s="1">
        <v>44784.069490740738</v>
      </c>
      <c r="C228">
        <v>146644</v>
      </c>
      <c r="D228" t="s">
        <v>54</v>
      </c>
      <c r="E228" t="s">
        <v>53</v>
      </c>
      <c r="F228">
        <v>7</v>
      </c>
      <c r="G228">
        <v>43.06015</v>
      </c>
      <c r="H228">
        <v>-70.758930000000007</v>
      </c>
      <c r="I228">
        <v>35</v>
      </c>
      <c r="J228">
        <v>68</v>
      </c>
      <c r="K228">
        <v>70</v>
      </c>
      <c r="L228" s="1">
        <v>44784.070162037038</v>
      </c>
      <c r="M228">
        <v>5.5</v>
      </c>
      <c r="N228">
        <v>4.4000000000000004</v>
      </c>
      <c r="O228">
        <v>1.1000000000000001</v>
      </c>
      <c r="P228">
        <v>22</v>
      </c>
      <c r="Q228">
        <v>1.9</v>
      </c>
      <c r="R228">
        <v>1.9</v>
      </c>
      <c r="S228">
        <v>1.9</v>
      </c>
      <c r="T228" t="s">
        <v>33</v>
      </c>
      <c r="U228">
        <v>4.95</v>
      </c>
      <c r="V228">
        <v>68</v>
      </c>
      <c r="W228">
        <v>73</v>
      </c>
      <c r="X228">
        <v>5</v>
      </c>
      <c r="Y228">
        <v>0</v>
      </c>
      <c r="Z228">
        <v>1</v>
      </c>
      <c r="AA228">
        <v>1</v>
      </c>
      <c r="AB228" t="s">
        <v>33</v>
      </c>
      <c r="AC228">
        <v>70.5</v>
      </c>
      <c r="AD228">
        <v>0.24</v>
      </c>
    </row>
    <row r="229" spans="1:30" x14ac:dyDescent="0.25">
      <c r="A229" s="1">
        <v>44784.070219907408</v>
      </c>
      <c r="B229" s="1">
        <v>43755.283437500002</v>
      </c>
      <c r="C229">
        <v>12188</v>
      </c>
      <c r="D229" t="s">
        <v>55</v>
      </c>
      <c r="E229" t="s">
        <v>35</v>
      </c>
      <c r="F229">
        <v>4.1100000000000003</v>
      </c>
      <c r="G229">
        <v>42.927050000000001</v>
      </c>
      <c r="H229">
        <v>-72.279610000000005</v>
      </c>
      <c r="I229">
        <v>475</v>
      </c>
      <c r="J229">
        <v>95</v>
      </c>
      <c r="K229">
        <v>0</v>
      </c>
      <c r="L229" s="1">
        <v>44784.070162037038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 t="s">
        <v>32</v>
      </c>
      <c r="V229">
        <v>77</v>
      </c>
      <c r="W229">
        <v>0</v>
      </c>
      <c r="X229">
        <v>77</v>
      </c>
      <c r="Y229">
        <v>0</v>
      </c>
      <c r="Z229">
        <v>0</v>
      </c>
      <c r="AA229">
        <v>0</v>
      </c>
      <c r="AB229" t="s">
        <v>36</v>
      </c>
      <c r="AC229">
        <v>77</v>
      </c>
    </row>
    <row r="230" spans="1:30" x14ac:dyDescent="0.25">
      <c r="A230" s="1">
        <v>44784.070219907408</v>
      </c>
      <c r="B230" s="1">
        <v>44784.068402777775</v>
      </c>
      <c r="C230">
        <v>1224</v>
      </c>
      <c r="D230" t="s">
        <v>56</v>
      </c>
      <c r="E230" t="s">
        <v>35</v>
      </c>
      <c r="F230" t="s">
        <v>57</v>
      </c>
      <c r="G230">
        <v>42.938034000000002</v>
      </c>
      <c r="H230">
        <v>-72.259299999999996</v>
      </c>
      <c r="I230">
        <v>792</v>
      </c>
      <c r="J230">
        <v>77</v>
      </c>
      <c r="K230">
        <v>0</v>
      </c>
      <c r="L230" s="1">
        <v>44784.070162037038</v>
      </c>
      <c r="M230">
        <v>2.2000000000000002</v>
      </c>
      <c r="N230">
        <v>0</v>
      </c>
      <c r="O230">
        <v>2.2000000000000002</v>
      </c>
      <c r="P230">
        <v>200</v>
      </c>
      <c r="Q230">
        <v>0</v>
      </c>
      <c r="R230">
        <v>0</v>
      </c>
      <c r="S230">
        <v>0</v>
      </c>
      <c r="T230" t="s">
        <v>43</v>
      </c>
      <c r="V230">
        <v>81</v>
      </c>
      <c r="W230">
        <v>0</v>
      </c>
      <c r="X230">
        <v>81</v>
      </c>
      <c r="Y230">
        <v>0</v>
      </c>
      <c r="Z230">
        <v>0</v>
      </c>
      <c r="AA230">
        <v>0</v>
      </c>
      <c r="AB230" t="s">
        <v>36</v>
      </c>
      <c r="AC230">
        <v>81</v>
      </c>
    </row>
    <row r="231" spans="1:30" x14ac:dyDescent="0.25">
      <c r="A231" s="1">
        <v>44784.070219907408</v>
      </c>
      <c r="B231" s="1">
        <v>44784.069236111114</v>
      </c>
      <c r="C231">
        <v>1202</v>
      </c>
      <c r="D231" t="s">
        <v>58</v>
      </c>
      <c r="E231" t="s">
        <v>35</v>
      </c>
      <c r="F231" t="s">
        <v>57</v>
      </c>
      <c r="G231">
        <v>42.936554000000001</v>
      </c>
      <c r="H231">
        <v>-72.271019999999993</v>
      </c>
      <c r="I231">
        <v>488</v>
      </c>
      <c r="J231">
        <v>0</v>
      </c>
      <c r="K231">
        <v>0</v>
      </c>
      <c r="L231" s="1">
        <v>44784.070162037038</v>
      </c>
      <c r="M231">
        <v>2.2999999999999998</v>
      </c>
      <c r="N231">
        <v>2.2999999999999998</v>
      </c>
      <c r="O231">
        <v>0</v>
      </c>
      <c r="P231">
        <v>0</v>
      </c>
      <c r="Q231">
        <v>0.1</v>
      </c>
      <c r="R231">
        <v>0</v>
      </c>
      <c r="S231">
        <v>0.05</v>
      </c>
      <c r="T231" t="s">
        <v>33</v>
      </c>
      <c r="U231">
        <v>2.2999999999999998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">
        <v>38</v>
      </c>
    </row>
    <row r="232" spans="1:30" x14ac:dyDescent="0.25">
      <c r="A232" s="1">
        <v>44784.070231481484</v>
      </c>
      <c r="B232" s="1">
        <v>44612.080023148148</v>
      </c>
      <c r="C232">
        <v>25985</v>
      </c>
      <c r="D232" t="s">
        <v>59</v>
      </c>
      <c r="E232" t="s">
        <v>35</v>
      </c>
      <c r="F232">
        <v>6.01</v>
      </c>
      <c r="G232">
        <v>42.927326000000001</v>
      </c>
      <c r="H232">
        <v>-72.279979999999995</v>
      </c>
      <c r="I232">
        <v>477</v>
      </c>
      <c r="J232">
        <v>78</v>
      </c>
      <c r="K232">
        <v>0</v>
      </c>
      <c r="L232" s="1">
        <v>44784.070162037038</v>
      </c>
      <c r="M232">
        <v>1.1000000000000001</v>
      </c>
      <c r="N232">
        <v>1</v>
      </c>
      <c r="O232">
        <v>0.1</v>
      </c>
      <c r="P232">
        <v>10</v>
      </c>
      <c r="Q232">
        <v>0</v>
      </c>
      <c r="R232">
        <v>0</v>
      </c>
      <c r="S232">
        <v>0</v>
      </c>
      <c r="T232" t="s">
        <v>32</v>
      </c>
      <c r="V232">
        <v>22</v>
      </c>
      <c r="W232">
        <v>0</v>
      </c>
      <c r="X232">
        <v>22</v>
      </c>
      <c r="Y232">
        <v>0</v>
      </c>
      <c r="Z232">
        <v>0</v>
      </c>
      <c r="AA232">
        <v>0</v>
      </c>
      <c r="AB232" t="s">
        <v>36</v>
      </c>
      <c r="AC232">
        <v>22</v>
      </c>
    </row>
    <row r="233" spans="1:30" x14ac:dyDescent="0.25">
      <c r="A233" s="1">
        <v>44784.07712962963</v>
      </c>
      <c r="B233" s="1">
        <v>44775.701319444444</v>
      </c>
      <c r="C233">
        <v>151708</v>
      </c>
      <c r="D233" t="s">
        <v>30</v>
      </c>
      <c r="E233" t="s">
        <v>31</v>
      </c>
      <c r="F233">
        <v>7</v>
      </c>
      <c r="G233">
        <v>43.192042999999998</v>
      </c>
      <c r="H233">
        <v>-71.541579999999996</v>
      </c>
      <c r="I233">
        <v>291</v>
      </c>
      <c r="J233">
        <v>93</v>
      </c>
      <c r="K233">
        <v>94</v>
      </c>
      <c r="L233" s="1">
        <v>44784.077106481483</v>
      </c>
      <c r="M233">
        <v>7.9</v>
      </c>
      <c r="N233">
        <v>7.6</v>
      </c>
      <c r="O233">
        <v>0.3</v>
      </c>
      <c r="P233">
        <v>4</v>
      </c>
      <c r="Q233">
        <v>0</v>
      </c>
      <c r="R233">
        <v>0</v>
      </c>
      <c r="S233">
        <v>0</v>
      </c>
      <c r="T233" t="s">
        <v>32</v>
      </c>
      <c r="V233">
        <v>42</v>
      </c>
      <c r="W233">
        <v>41</v>
      </c>
      <c r="X233">
        <v>1</v>
      </c>
      <c r="Y233">
        <v>0</v>
      </c>
      <c r="Z233">
        <v>0</v>
      </c>
      <c r="AA233">
        <v>0</v>
      </c>
      <c r="AB233" t="s">
        <v>33</v>
      </c>
      <c r="AC233">
        <v>41.5</v>
      </c>
    </row>
    <row r="234" spans="1:30" x14ac:dyDescent="0.25">
      <c r="A234" s="1">
        <v>44784.07712962963</v>
      </c>
      <c r="B234" s="1">
        <v>44784.07540509259</v>
      </c>
      <c r="C234">
        <v>143456</v>
      </c>
      <c r="D234" t="s">
        <v>34</v>
      </c>
      <c r="E234" t="s">
        <v>35</v>
      </c>
      <c r="F234">
        <v>7</v>
      </c>
      <c r="G234">
        <v>43.08963</v>
      </c>
      <c r="H234">
        <v>-71.502440000000007</v>
      </c>
      <c r="I234">
        <v>619</v>
      </c>
      <c r="J234">
        <v>70</v>
      </c>
      <c r="K234">
        <v>0</v>
      </c>
      <c r="L234" s="1">
        <v>44784.077106481483</v>
      </c>
      <c r="M234">
        <v>3.2</v>
      </c>
      <c r="N234">
        <v>3.3</v>
      </c>
      <c r="O234">
        <v>0.1</v>
      </c>
      <c r="P234">
        <v>3</v>
      </c>
      <c r="Q234">
        <v>0</v>
      </c>
      <c r="R234">
        <v>0.2</v>
      </c>
      <c r="S234">
        <v>0.1</v>
      </c>
      <c r="T234" t="s">
        <v>33</v>
      </c>
      <c r="U234">
        <v>3.25</v>
      </c>
      <c r="V234">
        <v>69</v>
      </c>
      <c r="W234">
        <v>0</v>
      </c>
      <c r="X234">
        <v>69</v>
      </c>
      <c r="Y234">
        <v>0</v>
      </c>
      <c r="Z234">
        <v>0</v>
      </c>
      <c r="AA234">
        <v>0</v>
      </c>
      <c r="AB234" t="s">
        <v>36</v>
      </c>
      <c r="AC234">
        <v>69</v>
      </c>
      <c r="AD234">
        <v>-0.69</v>
      </c>
    </row>
    <row r="235" spans="1:30" x14ac:dyDescent="0.25">
      <c r="A235" s="1">
        <v>44784.07712962963</v>
      </c>
      <c r="B235" s="1">
        <v>44784.075601851851</v>
      </c>
      <c r="C235">
        <v>151702</v>
      </c>
      <c r="D235" t="s">
        <v>37</v>
      </c>
      <c r="E235" t="s">
        <v>31</v>
      </c>
      <c r="F235">
        <v>7</v>
      </c>
      <c r="G235">
        <v>43.118609999999997</v>
      </c>
      <c r="H235">
        <v>-71.61618</v>
      </c>
      <c r="I235">
        <v>885</v>
      </c>
      <c r="J235">
        <v>0</v>
      </c>
      <c r="K235">
        <v>0</v>
      </c>
      <c r="L235" s="1">
        <v>44784.077106481483</v>
      </c>
      <c r="M235">
        <v>3.4</v>
      </c>
      <c r="N235">
        <v>3.1</v>
      </c>
      <c r="O235">
        <v>0.3</v>
      </c>
      <c r="P235">
        <v>9</v>
      </c>
      <c r="Q235">
        <v>0.2</v>
      </c>
      <c r="R235">
        <v>0.2</v>
      </c>
      <c r="S235">
        <v>0.2</v>
      </c>
      <c r="T235" t="s">
        <v>33</v>
      </c>
      <c r="U235">
        <v>3.25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">
        <v>38</v>
      </c>
    </row>
    <row r="236" spans="1:30" x14ac:dyDescent="0.25">
      <c r="A236" s="1">
        <v>44784.07712962963</v>
      </c>
      <c r="B236" s="1">
        <v>44784.075486111113</v>
      </c>
      <c r="C236">
        <v>151700</v>
      </c>
      <c r="D236" t="s">
        <v>30</v>
      </c>
      <c r="E236" t="s">
        <v>31</v>
      </c>
      <c r="F236">
        <v>7</v>
      </c>
      <c r="G236">
        <v>43.19211</v>
      </c>
      <c r="H236">
        <v>-71.541460000000001</v>
      </c>
      <c r="I236">
        <v>286</v>
      </c>
      <c r="J236">
        <v>72</v>
      </c>
      <c r="K236">
        <v>0</v>
      </c>
      <c r="L236" s="1">
        <v>44784.077106481483</v>
      </c>
      <c r="M236">
        <v>2.4</v>
      </c>
      <c r="N236">
        <v>3</v>
      </c>
      <c r="O236">
        <v>0.6</v>
      </c>
      <c r="P236">
        <v>22</v>
      </c>
      <c r="Q236">
        <v>0</v>
      </c>
      <c r="R236">
        <v>0.1</v>
      </c>
      <c r="S236">
        <v>0.05</v>
      </c>
      <c r="T236" t="s">
        <v>33</v>
      </c>
      <c r="U236">
        <v>2.7</v>
      </c>
      <c r="V236">
        <v>64</v>
      </c>
      <c r="W236">
        <v>0</v>
      </c>
      <c r="X236">
        <v>64</v>
      </c>
      <c r="Y236">
        <v>0</v>
      </c>
      <c r="Z236">
        <v>0</v>
      </c>
      <c r="AA236">
        <v>0</v>
      </c>
      <c r="AB236" t="s">
        <v>36</v>
      </c>
      <c r="AC236">
        <v>64</v>
      </c>
      <c r="AD236">
        <v>-0.67</v>
      </c>
    </row>
    <row r="237" spans="1:30" x14ac:dyDescent="0.25">
      <c r="A237" s="1">
        <v>44784.077141203707</v>
      </c>
      <c r="B237" s="1">
        <v>44784.075891203705</v>
      </c>
      <c r="C237">
        <v>135984</v>
      </c>
      <c r="D237" t="s">
        <v>39</v>
      </c>
      <c r="E237" t="s">
        <v>31</v>
      </c>
      <c r="F237">
        <v>7</v>
      </c>
      <c r="G237">
        <v>43.565852999999997</v>
      </c>
      <c r="H237">
        <v>-71.496129999999994</v>
      </c>
      <c r="I237">
        <v>708</v>
      </c>
      <c r="J237">
        <v>67</v>
      </c>
      <c r="K237">
        <v>0</v>
      </c>
      <c r="L237" s="1">
        <v>44784.077106481483</v>
      </c>
      <c r="M237">
        <v>5.4</v>
      </c>
      <c r="N237">
        <v>4.2</v>
      </c>
      <c r="O237">
        <v>1.2</v>
      </c>
      <c r="P237">
        <v>25</v>
      </c>
      <c r="Q237">
        <v>0</v>
      </c>
      <c r="R237">
        <v>0.2</v>
      </c>
      <c r="S237">
        <v>0.1</v>
      </c>
      <c r="T237" t="s">
        <v>33</v>
      </c>
      <c r="U237">
        <v>4.8</v>
      </c>
      <c r="V237">
        <v>97</v>
      </c>
      <c r="W237">
        <v>0</v>
      </c>
      <c r="X237">
        <v>97</v>
      </c>
      <c r="Y237">
        <v>2</v>
      </c>
      <c r="Z237">
        <v>0</v>
      </c>
      <c r="AA237">
        <v>2</v>
      </c>
      <c r="AB237" t="s">
        <v>36</v>
      </c>
      <c r="AC237">
        <v>97</v>
      </c>
      <c r="AD237">
        <v>-1.7</v>
      </c>
    </row>
    <row r="238" spans="1:30" x14ac:dyDescent="0.25">
      <c r="A238" s="1">
        <v>44784.077141203707</v>
      </c>
      <c r="B238" s="1">
        <v>44780.394780092596</v>
      </c>
      <c r="C238">
        <v>151712</v>
      </c>
      <c r="D238" t="s">
        <v>40</v>
      </c>
      <c r="E238" t="s">
        <v>31</v>
      </c>
      <c r="F238">
        <v>7</v>
      </c>
      <c r="G238">
        <v>43.289763999999998</v>
      </c>
      <c r="H238">
        <v>-71.564260000000004</v>
      </c>
      <c r="I238">
        <v>370</v>
      </c>
      <c r="J238">
        <v>86</v>
      </c>
      <c r="K238">
        <v>0</v>
      </c>
      <c r="L238" s="1">
        <v>44784.077106481483</v>
      </c>
      <c r="M238">
        <v>14</v>
      </c>
      <c r="N238">
        <v>13.2</v>
      </c>
      <c r="O238">
        <v>0.8</v>
      </c>
      <c r="P238">
        <v>6</v>
      </c>
      <c r="Q238">
        <v>0</v>
      </c>
      <c r="R238">
        <v>0</v>
      </c>
      <c r="S238">
        <v>0</v>
      </c>
      <c r="T238" t="s">
        <v>32</v>
      </c>
      <c r="V238">
        <v>59</v>
      </c>
      <c r="W238">
        <v>0</v>
      </c>
      <c r="X238">
        <v>59</v>
      </c>
      <c r="Y238">
        <v>0</v>
      </c>
      <c r="Z238">
        <v>0</v>
      </c>
      <c r="AA238">
        <v>0</v>
      </c>
      <c r="AB238" t="s">
        <v>36</v>
      </c>
      <c r="AC238">
        <v>59</v>
      </c>
    </row>
    <row r="239" spans="1:30" x14ac:dyDescent="0.25">
      <c r="A239" s="1">
        <v>44784.077141203707</v>
      </c>
      <c r="B239" s="1">
        <v>44784.075185185182</v>
      </c>
      <c r="C239">
        <v>151710</v>
      </c>
      <c r="D239" t="s">
        <v>41</v>
      </c>
      <c r="E239" t="s">
        <v>31</v>
      </c>
      <c r="F239">
        <v>7</v>
      </c>
      <c r="G239">
        <v>43.132477000000002</v>
      </c>
      <c r="H239">
        <v>-71.458374000000006</v>
      </c>
      <c r="I239">
        <v>230</v>
      </c>
      <c r="J239">
        <v>70</v>
      </c>
      <c r="K239">
        <v>0</v>
      </c>
      <c r="L239" s="1">
        <v>44784.077106481483</v>
      </c>
      <c r="M239">
        <v>4.9000000000000004</v>
      </c>
      <c r="N239">
        <v>3.4</v>
      </c>
      <c r="O239">
        <v>1.5</v>
      </c>
      <c r="P239">
        <v>36</v>
      </c>
      <c r="Q239">
        <v>0</v>
      </c>
      <c r="R239">
        <v>0.2</v>
      </c>
      <c r="S239">
        <v>0.1</v>
      </c>
      <c r="T239" t="s">
        <v>33</v>
      </c>
      <c r="U239">
        <v>4.1500000000000004</v>
      </c>
      <c r="V239">
        <v>66</v>
      </c>
      <c r="W239">
        <v>0</v>
      </c>
      <c r="X239">
        <v>66</v>
      </c>
      <c r="Y239">
        <v>1</v>
      </c>
      <c r="Z239">
        <v>0</v>
      </c>
      <c r="AA239">
        <v>1</v>
      </c>
      <c r="AB239" t="s">
        <v>36</v>
      </c>
      <c r="AC239">
        <v>66</v>
      </c>
      <c r="AD239">
        <v>7.0000000000000007E-2</v>
      </c>
    </row>
    <row r="240" spans="1:30" x14ac:dyDescent="0.25">
      <c r="A240" s="1">
        <v>44784.077141203707</v>
      </c>
      <c r="B240" s="1">
        <v>44784.076273148145</v>
      </c>
      <c r="C240">
        <v>151706</v>
      </c>
      <c r="D240" t="s">
        <v>42</v>
      </c>
      <c r="E240" t="s">
        <v>31</v>
      </c>
      <c r="F240">
        <v>7</v>
      </c>
      <c r="G240">
        <v>43.004080000000002</v>
      </c>
      <c r="H240">
        <v>-71.177040000000005</v>
      </c>
      <c r="I240">
        <v>194</v>
      </c>
      <c r="J240">
        <v>71</v>
      </c>
      <c r="K240">
        <v>0</v>
      </c>
      <c r="L240" s="1">
        <v>44784.077106481483</v>
      </c>
      <c r="M240">
        <v>1.8</v>
      </c>
      <c r="N240">
        <v>0</v>
      </c>
      <c r="O240">
        <v>1.8</v>
      </c>
      <c r="P240">
        <v>200</v>
      </c>
      <c r="Q240">
        <v>0.1</v>
      </c>
      <c r="R240">
        <v>0</v>
      </c>
      <c r="S240">
        <v>0.05</v>
      </c>
      <c r="T240" t="s">
        <v>43</v>
      </c>
      <c r="V240">
        <v>66</v>
      </c>
      <c r="W240">
        <v>0</v>
      </c>
      <c r="X240">
        <v>66</v>
      </c>
      <c r="Y240">
        <v>0</v>
      </c>
      <c r="Z240">
        <v>0</v>
      </c>
      <c r="AA240">
        <v>0</v>
      </c>
      <c r="AB240" t="s">
        <v>36</v>
      </c>
      <c r="AC240">
        <v>66</v>
      </c>
    </row>
    <row r="241" spans="1:30" x14ac:dyDescent="0.25">
      <c r="A241" s="1">
        <v>44784.077152777776</v>
      </c>
      <c r="B241" s="1">
        <v>44784.075949074075</v>
      </c>
      <c r="C241">
        <v>12212</v>
      </c>
      <c r="D241" t="s">
        <v>44</v>
      </c>
      <c r="E241" t="s">
        <v>35</v>
      </c>
      <c r="F241">
        <v>7</v>
      </c>
      <c r="G241">
        <v>42.930529999999997</v>
      </c>
      <c r="H241">
        <v>-72.272350000000003</v>
      </c>
      <c r="I241">
        <v>476</v>
      </c>
      <c r="J241">
        <v>76</v>
      </c>
      <c r="K241">
        <v>0</v>
      </c>
      <c r="L241" s="1">
        <v>44784.077106481483</v>
      </c>
      <c r="M241">
        <v>2.8</v>
      </c>
      <c r="N241">
        <v>2.2999999999999998</v>
      </c>
      <c r="O241">
        <v>0.5</v>
      </c>
      <c r="P241">
        <v>20</v>
      </c>
      <c r="Q241">
        <v>0.1</v>
      </c>
      <c r="R241">
        <v>0.1</v>
      </c>
      <c r="S241">
        <v>0.1</v>
      </c>
      <c r="T241" t="s">
        <v>33</v>
      </c>
      <c r="U241">
        <v>2.5499999999999998</v>
      </c>
      <c r="V241">
        <v>82</v>
      </c>
      <c r="W241">
        <v>0</v>
      </c>
      <c r="X241">
        <v>82</v>
      </c>
      <c r="Y241">
        <v>5</v>
      </c>
      <c r="Z241">
        <v>0</v>
      </c>
      <c r="AA241">
        <v>5</v>
      </c>
      <c r="AB241" t="s">
        <v>36</v>
      </c>
      <c r="AC241">
        <v>82</v>
      </c>
      <c r="AD241">
        <v>-2.02</v>
      </c>
    </row>
    <row r="242" spans="1:30" x14ac:dyDescent="0.25">
      <c r="A242" s="1">
        <v>44784.077152777776</v>
      </c>
      <c r="B242" s="1">
        <v>44769.376736111109</v>
      </c>
      <c r="C242">
        <v>12178</v>
      </c>
      <c r="D242" t="s">
        <v>45</v>
      </c>
      <c r="E242" t="s">
        <v>35</v>
      </c>
      <c r="F242">
        <v>7</v>
      </c>
      <c r="G242">
        <v>42.899563000000001</v>
      </c>
      <c r="H242">
        <v>-71.464650000000006</v>
      </c>
      <c r="I242">
        <v>301</v>
      </c>
      <c r="J242">
        <v>85</v>
      </c>
      <c r="K242">
        <v>0</v>
      </c>
      <c r="L242" s="1">
        <v>44784.077106481483</v>
      </c>
      <c r="M242">
        <v>3.8</v>
      </c>
      <c r="N242">
        <v>3.1</v>
      </c>
      <c r="O242">
        <v>0.7</v>
      </c>
      <c r="P242">
        <v>20</v>
      </c>
      <c r="Q242">
        <v>0</v>
      </c>
      <c r="R242">
        <v>0</v>
      </c>
      <c r="S242">
        <v>0</v>
      </c>
      <c r="T242" t="s">
        <v>32</v>
      </c>
      <c r="V242">
        <v>35</v>
      </c>
      <c r="W242">
        <v>0</v>
      </c>
      <c r="X242">
        <v>35</v>
      </c>
      <c r="Y242">
        <v>0</v>
      </c>
      <c r="Z242">
        <v>0</v>
      </c>
      <c r="AA242">
        <v>0</v>
      </c>
      <c r="AB242" t="s">
        <v>36</v>
      </c>
      <c r="AC242">
        <v>35</v>
      </c>
    </row>
    <row r="243" spans="1:30" x14ac:dyDescent="0.25">
      <c r="A243" s="1">
        <v>44784.077152777776</v>
      </c>
      <c r="B243" s="1">
        <v>44784.075312499997</v>
      </c>
      <c r="C243">
        <v>75981</v>
      </c>
      <c r="D243" t="s">
        <v>46</v>
      </c>
      <c r="E243" t="s">
        <v>35</v>
      </c>
      <c r="F243">
        <v>7</v>
      </c>
      <c r="G243">
        <v>42.97</v>
      </c>
      <c r="H243">
        <v>-71.06</v>
      </c>
      <c r="I243">
        <v>136</v>
      </c>
      <c r="J243">
        <v>74</v>
      </c>
      <c r="K243">
        <v>0</v>
      </c>
      <c r="L243" s="1">
        <v>44784.077106481483</v>
      </c>
      <c r="M243">
        <v>3.2</v>
      </c>
      <c r="N243">
        <v>3</v>
      </c>
      <c r="O243">
        <v>0.2</v>
      </c>
      <c r="P243">
        <v>6</v>
      </c>
      <c r="Q243">
        <v>0</v>
      </c>
      <c r="R243">
        <v>0.1</v>
      </c>
      <c r="S243">
        <v>0.05</v>
      </c>
      <c r="T243" t="s">
        <v>33</v>
      </c>
      <c r="U243">
        <v>3.1</v>
      </c>
      <c r="V243">
        <v>61</v>
      </c>
      <c r="W243">
        <v>0</v>
      </c>
      <c r="X243">
        <v>61</v>
      </c>
      <c r="Y243">
        <v>1</v>
      </c>
      <c r="Z243">
        <v>0</v>
      </c>
      <c r="AA243">
        <v>1</v>
      </c>
      <c r="AB243" t="s">
        <v>36</v>
      </c>
      <c r="AC243">
        <v>61</v>
      </c>
      <c r="AD243">
        <v>-0.22</v>
      </c>
    </row>
    <row r="244" spans="1:30" x14ac:dyDescent="0.25">
      <c r="A244" s="1">
        <v>44784.077152777776</v>
      </c>
      <c r="B244" s="1">
        <v>44784.075844907406</v>
      </c>
      <c r="C244">
        <v>115703</v>
      </c>
      <c r="D244" t="s">
        <v>47</v>
      </c>
      <c r="E244" t="s">
        <v>35</v>
      </c>
      <c r="F244">
        <v>7</v>
      </c>
      <c r="G244">
        <v>43.953625000000002</v>
      </c>
      <c r="H244">
        <v>-71.508859999999999</v>
      </c>
      <c r="I244">
        <v>1493</v>
      </c>
      <c r="J244">
        <v>63</v>
      </c>
      <c r="K244">
        <v>0</v>
      </c>
      <c r="L244" s="1">
        <v>44784.077106481483</v>
      </c>
      <c r="M244">
        <v>0</v>
      </c>
      <c r="N244">
        <v>300.89999999999998</v>
      </c>
      <c r="O244">
        <v>300.89999999999998</v>
      </c>
      <c r="P244">
        <v>200</v>
      </c>
      <c r="Q244">
        <v>0</v>
      </c>
      <c r="R244">
        <v>0</v>
      </c>
      <c r="S244">
        <v>0</v>
      </c>
      <c r="T244" t="s">
        <v>48</v>
      </c>
      <c r="V244">
        <v>67</v>
      </c>
      <c r="W244">
        <v>0</v>
      </c>
      <c r="X244">
        <v>67</v>
      </c>
      <c r="Y244">
        <v>0</v>
      </c>
      <c r="Z244">
        <v>0</v>
      </c>
      <c r="AA244">
        <v>0</v>
      </c>
      <c r="AB244" t="s">
        <v>36</v>
      </c>
      <c r="AC244">
        <v>67</v>
      </c>
    </row>
    <row r="245" spans="1:30" x14ac:dyDescent="0.25">
      <c r="A245" s="1">
        <v>44784.077152777776</v>
      </c>
      <c r="B245" s="1">
        <v>44784.075254629628</v>
      </c>
      <c r="C245">
        <v>12050</v>
      </c>
      <c r="D245" t="s">
        <v>49</v>
      </c>
      <c r="E245" t="s">
        <v>35</v>
      </c>
      <c r="F245">
        <v>7</v>
      </c>
      <c r="G245">
        <v>44.220573000000002</v>
      </c>
      <c r="H245">
        <v>-71.732315</v>
      </c>
      <c r="I245">
        <v>999</v>
      </c>
      <c r="J245">
        <v>70</v>
      </c>
      <c r="K245">
        <v>0</v>
      </c>
      <c r="L245" s="1">
        <v>44784.077106481483</v>
      </c>
      <c r="M245">
        <v>3</v>
      </c>
      <c r="N245">
        <v>3</v>
      </c>
      <c r="O245">
        <v>0</v>
      </c>
      <c r="P245">
        <v>0</v>
      </c>
      <c r="Q245">
        <v>0.1</v>
      </c>
      <c r="R245">
        <v>0</v>
      </c>
      <c r="S245">
        <v>0.05</v>
      </c>
      <c r="T245" t="s">
        <v>33</v>
      </c>
      <c r="U245">
        <v>3</v>
      </c>
      <c r="V245">
        <v>57</v>
      </c>
      <c r="W245">
        <v>0</v>
      </c>
      <c r="X245">
        <v>57</v>
      </c>
      <c r="Y245">
        <v>0</v>
      </c>
      <c r="Z245">
        <v>0</v>
      </c>
      <c r="AA245">
        <v>0</v>
      </c>
      <c r="AB245" t="s">
        <v>36</v>
      </c>
      <c r="AC245">
        <v>57</v>
      </c>
      <c r="AD245">
        <v>0</v>
      </c>
    </row>
    <row r="246" spans="1:30" x14ac:dyDescent="0.25">
      <c r="A246" s="1">
        <v>44784.077164351853</v>
      </c>
      <c r="B246" s="1">
        <v>44784.075358796297</v>
      </c>
      <c r="C246">
        <v>23443</v>
      </c>
      <c r="D246" t="s">
        <v>50</v>
      </c>
      <c r="E246" t="s">
        <v>35</v>
      </c>
      <c r="F246">
        <v>7</v>
      </c>
      <c r="G246">
        <v>43.556139999999999</v>
      </c>
      <c r="H246">
        <v>-72.370990000000006</v>
      </c>
      <c r="I246">
        <v>523</v>
      </c>
      <c r="J246">
        <v>70</v>
      </c>
      <c r="K246">
        <v>0</v>
      </c>
      <c r="L246" s="1">
        <v>44784.077106481483</v>
      </c>
      <c r="M246">
        <v>3.5</v>
      </c>
      <c r="N246">
        <v>3</v>
      </c>
      <c r="O246">
        <v>0.5</v>
      </c>
      <c r="P246">
        <v>15</v>
      </c>
      <c r="Q246">
        <v>0.1</v>
      </c>
      <c r="R246">
        <v>0.1</v>
      </c>
      <c r="S246">
        <v>0.1</v>
      </c>
      <c r="T246" t="s">
        <v>33</v>
      </c>
      <c r="U246">
        <v>3.25</v>
      </c>
      <c r="V246">
        <v>66</v>
      </c>
      <c r="W246">
        <v>0</v>
      </c>
      <c r="X246">
        <v>66</v>
      </c>
      <c r="Y246">
        <v>1</v>
      </c>
      <c r="Z246">
        <v>0</v>
      </c>
      <c r="AA246">
        <v>1</v>
      </c>
      <c r="AB246" t="s">
        <v>36</v>
      </c>
      <c r="AC246">
        <v>66</v>
      </c>
      <c r="AD246">
        <v>-0.48</v>
      </c>
    </row>
    <row r="247" spans="1:30" x14ac:dyDescent="0.25">
      <c r="A247" s="1">
        <v>44784.077164351853</v>
      </c>
      <c r="B247" s="1">
        <v>44784.07545138889</v>
      </c>
      <c r="C247">
        <v>58135</v>
      </c>
      <c r="D247" t="s">
        <v>51</v>
      </c>
      <c r="E247" t="s">
        <v>35</v>
      </c>
      <c r="F247">
        <v>7</v>
      </c>
      <c r="G247">
        <v>42.883873000000001</v>
      </c>
      <c r="H247">
        <v>-71.972915999999998</v>
      </c>
      <c r="I247">
        <v>808</v>
      </c>
      <c r="J247">
        <v>70</v>
      </c>
      <c r="K247">
        <v>0</v>
      </c>
      <c r="L247" s="1">
        <v>44784.077106481483</v>
      </c>
      <c r="M247">
        <v>7.5</v>
      </c>
      <c r="N247">
        <v>5</v>
      </c>
      <c r="O247">
        <v>2.5</v>
      </c>
      <c r="P247">
        <v>40</v>
      </c>
      <c r="Q247">
        <v>0.1</v>
      </c>
      <c r="R247">
        <v>0.2</v>
      </c>
      <c r="S247">
        <v>0.15</v>
      </c>
      <c r="T247" t="s">
        <v>33</v>
      </c>
      <c r="U247">
        <v>6.25</v>
      </c>
      <c r="V247">
        <v>73</v>
      </c>
      <c r="W247">
        <v>0</v>
      </c>
      <c r="X247">
        <v>73</v>
      </c>
      <c r="Y247">
        <v>2</v>
      </c>
      <c r="Z247">
        <v>0</v>
      </c>
      <c r="AA247">
        <v>2</v>
      </c>
      <c r="AB247" t="s">
        <v>36</v>
      </c>
      <c r="AC247">
        <v>73</v>
      </c>
      <c r="AD247">
        <v>0.86</v>
      </c>
    </row>
    <row r="248" spans="1:30" x14ac:dyDescent="0.25">
      <c r="A248" s="1">
        <v>44784.077164351853</v>
      </c>
      <c r="B248" s="1">
        <v>44784.075509259259</v>
      </c>
      <c r="C248">
        <v>148555</v>
      </c>
      <c r="D248" t="s">
        <v>52</v>
      </c>
      <c r="E248" t="s">
        <v>53</v>
      </c>
      <c r="F248">
        <v>7</v>
      </c>
      <c r="G248">
        <v>42.904949999999999</v>
      </c>
      <c r="H248">
        <v>-71.386764999999997</v>
      </c>
      <c r="I248">
        <v>363</v>
      </c>
      <c r="J248">
        <v>0</v>
      </c>
      <c r="K248">
        <v>0</v>
      </c>
      <c r="L248" s="1">
        <v>44784.077106481483</v>
      </c>
      <c r="M248">
        <v>1.4</v>
      </c>
      <c r="N248">
        <v>2</v>
      </c>
      <c r="O248">
        <v>0.6</v>
      </c>
      <c r="P248">
        <v>35</v>
      </c>
      <c r="Q248">
        <v>0</v>
      </c>
      <c r="R248">
        <v>0.1</v>
      </c>
      <c r="S248">
        <v>0.05</v>
      </c>
      <c r="T248" t="s">
        <v>33</v>
      </c>
      <c r="U248">
        <v>1.7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">
        <v>38</v>
      </c>
    </row>
    <row r="249" spans="1:30" x14ac:dyDescent="0.25">
      <c r="A249" s="1">
        <v>44784.077164351853</v>
      </c>
      <c r="B249" s="1">
        <v>44784.076435185183</v>
      </c>
      <c r="C249">
        <v>146644</v>
      </c>
      <c r="D249" t="s">
        <v>54</v>
      </c>
      <c r="E249" t="s">
        <v>53</v>
      </c>
      <c r="F249">
        <v>7</v>
      </c>
      <c r="G249">
        <v>43.06015</v>
      </c>
      <c r="H249">
        <v>-70.758930000000007</v>
      </c>
      <c r="I249">
        <v>35</v>
      </c>
      <c r="J249">
        <v>69</v>
      </c>
      <c r="K249">
        <v>71</v>
      </c>
      <c r="L249" s="1">
        <v>44784.077106481483</v>
      </c>
      <c r="M249">
        <v>8</v>
      </c>
      <c r="N249">
        <v>6.6</v>
      </c>
      <c r="O249">
        <v>1.4</v>
      </c>
      <c r="P249">
        <v>19</v>
      </c>
      <c r="Q249">
        <v>2.5</v>
      </c>
      <c r="R249">
        <v>2.2000000000000002</v>
      </c>
      <c r="S249">
        <v>2.35</v>
      </c>
      <c r="T249" t="s">
        <v>33</v>
      </c>
      <c r="U249">
        <v>7.3</v>
      </c>
      <c r="V249">
        <v>68</v>
      </c>
      <c r="W249">
        <v>72</v>
      </c>
      <c r="X249">
        <v>4</v>
      </c>
      <c r="Y249">
        <v>0</v>
      </c>
      <c r="Z249">
        <v>1</v>
      </c>
      <c r="AA249">
        <v>1</v>
      </c>
      <c r="AB249" t="s">
        <v>33</v>
      </c>
      <c r="AC249">
        <v>70</v>
      </c>
      <c r="AD249">
        <v>1.71</v>
      </c>
    </row>
    <row r="250" spans="1:30" x14ac:dyDescent="0.25">
      <c r="A250" s="1">
        <v>44784.077175925922</v>
      </c>
      <c r="B250" s="1">
        <v>43755.283437500002</v>
      </c>
      <c r="C250">
        <v>12188</v>
      </c>
      <c r="D250" t="s">
        <v>55</v>
      </c>
      <c r="E250" t="s">
        <v>35</v>
      </c>
      <c r="F250">
        <v>4.1100000000000003</v>
      </c>
      <c r="G250">
        <v>42.927050000000001</v>
      </c>
      <c r="H250">
        <v>-72.279610000000005</v>
      </c>
      <c r="I250">
        <v>475</v>
      </c>
      <c r="J250">
        <v>95</v>
      </c>
      <c r="K250">
        <v>0</v>
      </c>
      <c r="L250" s="1">
        <v>44784.077106481483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t="s">
        <v>32</v>
      </c>
      <c r="V250">
        <v>77</v>
      </c>
      <c r="W250">
        <v>0</v>
      </c>
      <c r="X250">
        <v>77</v>
      </c>
      <c r="Y250">
        <v>0</v>
      </c>
      <c r="Z250">
        <v>0</v>
      </c>
      <c r="AA250">
        <v>0</v>
      </c>
      <c r="AB250" t="s">
        <v>36</v>
      </c>
      <c r="AC250">
        <v>77</v>
      </c>
    </row>
    <row r="251" spans="1:30" x14ac:dyDescent="0.25">
      <c r="A251" s="1">
        <v>44784.077175925922</v>
      </c>
      <c r="B251" s="1">
        <v>44784.075358796297</v>
      </c>
      <c r="C251">
        <v>1224</v>
      </c>
      <c r="D251" t="s">
        <v>56</v>
      </c>
      <c r="E251" t="s">
        <v>35</v>
      </c>
      <c r="F251" t="s">
        <v>57</v>
      </c>
      <c r="G251">
        <v>42.938034000000002</v>
      </c>
      <c r="H251">
        <v>-72.259299999999996</v>
      </c>
      <c r="I251">
        <v>792</v>
      </c>
      <c r="J251">
        <v>77</v>
      </c>
      <c r="K251">
        <v>0</v>
      </c>
      <c r="L251" s="1">
        <v>44784.077106481483</v>
      </c>
      <c r="M251">
        <v>2.2999999999999998</v>
      </c>
      <c r="N251">
        <v>0</v>
      </c>
      <c r="O251">
        <v>2.2999999999999998</v>
      </c>
      <c r="P251">
        <v>200</v>
      </c>
      <c r="Q251">
        <v>0.1</v>
      </c>
      <c r="R251">
        <v>0</v>
      </c>
      <c r="S251">
        <v>0.05</v>
      </c>
      <c r="T251" t="s">
        <v>43</v>
      </c>
      <c r="V251">
        <v>81</v>
      </c>
      <c r="W251">
        <v>0</v>
      </c>
      <c r="X251">
        <v>81</v>
      </c>
      <c r="Y251">
        <v>0</v>
      </c>
      <c r="Z251">
        <v>0</v>
      </c>
      <c r="AA251">
        <v>0</v>
      </c>
      <c r="AB251" t="s">
        <v>36</v>
      </c>
      <c r="AC251">
        <v>81</v>
      </c>
    </row>
    <row r="252" spans="1:30" x14ac:dyDescent="0.25">
      <c r="A252" s="1">
        <v>44784.077175925922</v>
      </c>
      <c r="B252" s="1">
        <v>44784.076180555552</v>
      </c>
      <c r="C252">
        <v>1202</v>
      </c>
      <c r="D252" t="s">
        <v>58</v>
      </c>
      <c r="E252" t="s">
        <v>35</v>
      </c>
      <c r="F252" t="s">
        <v>57</v>
      </c>
      <c r="G252">
        <v>42.936554000000001</v>
      </c>
      <c r="H252">
        <v>-72.271019999999993</v>
      </c>
      <c r="I252">
        <v>488</v>
      </c>
      <c r="J252">
        <v>0</v>
      </c>
      <c r="K252">
        <v>0</v>
      </c>
      <c r="L252" s="1">
        <v>44784.077106481483</v>
      </c>
      <c r="M252">
        <v>2.2999999999999998</v>
      </c>
      <c r="N252">
        <v>2.2000000000000002</v>
      </c>
      <c r="O252">
        <v>0.1</v>
      </c>
      <c r="P252">
        <v>4</v>
      </c>
      <c r="Q252">
        <v>0</v>
      </c>
      <c r="R252">
        <v>0.1</v>
      </c>
      <c r="S252">
        <v>0.05</v>
      </c>
      <c r="T252" t="s">
        <v>33</v>
      </c>
      <c r="U252">
        <v>2.25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">
        <v>38</v>
      </c>
    </row>
    <row r="253" spans="1:30" x14ac:dyDescent="0.25">
      <c r="A253" s="1">
        <v>44784.077175925922</v>
      </c>
      <c r="B253" s="1">
        <v>44612.080023148148</v>
      </c>
      <c r="C253">
        <v>25985</v>
      </c>
      <c r="D253" t="s">
        <v>59</v>
      </c>
      <c r="E253" t="s">
        <v>35</v>
      </c>
      <c r="F253">
        <v>6.01</v>
      </c>
      <c r="G253">
        <v>42.927326000000001</v>
      </c>
      <c r="H253">
        <v>-72.279979999999995</v>
      </c>
      <c r="I253">
        <v>477</v>
      </c>
      <c r="J253">
        <v>78</v>
      </c>
      <c r="K253">
        <v>0</v>
      </c>
      <c r="L253" s="1">
        <v>44784.077106481483</v>
      </c>
      <c r="M253">
        <v>1.1000000000000001</v>
      </c>
      <c r="N253">
        <v>1</v>
      </c>
      <c r="O253">
        <v>0.1</v>
      </c>
      <c r="P253">
        <v>10</v>
      </c>
      <c r="Q253">
        <v>0</v>
      </c>
      <c r="R253">
        <v>0</v>
      </c>
      <c r="S253">
        <v>0</v>
      </c>
      <c r="T253" t="s">
        <v>32</v>
      </c>
      <c r="V253">
        <v>22</v>
      </c>
      <c r="W253">
        <v>0</v>
      </c>
      <c r="X253">
        <v>22</v>
      </c>
      <c r="Y253">
        <v>0</v>
      </c>
      <c r="Z253">
        <v>0</v>
      </c>
      <c r="AA253">
        <v>0</v>
      </c>
      <c r="AB253" t="s">
        <v>36</v>
      </c>
      <c r="AC253">
        <v>22</v>
      </c>
    </row>
    <row r="254" spans="1:30" x14ac:dyDescent="0.25">
      <c r="A254" s="1">
        <v>44784.084062499998</v>
      </c>
      <c r="B254" s="1">
        <v>44775.701319444444</v>
      </c>
      <c r="C254">
        <v>151708</v>
      </c>
      <c r="D254" t="s">
        <v>30</v>
      </c>
      <c r="E254" t="s">
        <v>31</v>
      </c>
      <c r="F254">
        <v>7</v>
      </c>
      <c r="G254">
        <v>43.192042999999998</v>
      </c>
      <c r="H254">
        <v>-71.541579999999996</v>
      </c>
      <c r="I254">
        <v>291</v>
      </c>
      <c r="J254">
        <v>93</v>
      </c>
      <c r="K254">
        <v>94</v>
      </c>
      <c r="L254" s="1">
        <v>44784.084050925929</v>
      </c>
      <c r="M254">
        <v>7.9</v>
      </c>
      <c r="N254">
        <v>7.6</v>
      </c>
      <c r="O254">
        <v>0.3</v>
      </c>
      <c r="P254">
        <v>4</v>
      </c>
      <c r="Q254">
        <v>0</v>
      </c>
      <c r="R254">
        <v>0</v>
      </c>
      <c r="S254">
        <v>0</v>
      </c>
      <c r="T254" t="s">
        <v>32</v>
      </c>
      <c r="V254">
        <v>42</v>
      </c>
      <c r="W254">
        <v>41</v>
      </c>
      <c r="X254">
        <v>1</v>
      </c>
      <c r="Y254">
        <v>0</v>
      </c>
      <c r="Z254">
        <v>0</v>
      </c>
      <c r="AA254">
        <v>0</v>
      </c>
      <c r="AB254" t="s">
        <v>33</v>
      </c>
      <c r="AC254">
        <v>41.5</v>
      </c>
    </row>
    <row r="255" spans="1:30" x14ac:dyDescent="0.25">
      <c r="A255" s="1">
        <v>44784.084074074075</v>
      </c>
      <c r="B255" s="1">
        <v>44784.082361111112</v>
      </c>
      <c r="C255">
        <v>143456</v>
      </c>
      <c r="D255" t="s">
        <v>34</v>
      </c>
      <c r="E255" t="s">
        <v>35</v>
      </c>
      <c r="F255">
        <v>7</v>
      </c>
      <c r="G255">
        <v>43.08963</v>
      </c>
      <c r="H255">
        <v>-71.502440000000007</v>
      </c>
      <c r="I255">
        <v>619</v>
      </c>
      <c r="J255">
        <v>70</v>
      </c>
      <c r="K255">
        <v>0</v>
      </c>
      <c r="L255" s="1">
        <v>44784.084050925929</v>
      </c>
      <c r="M255">
        <v>3</v>
      </c>
      <c r="N255">
        <v>3.4</v>
      </c>
      <c r="O255">
        <v>0.4</v>
      </c>
      <c r="P255">
        <v>12</v>
      </c>
      <c r="Q255">
        <v>0.2</v>
      </c>
      <c r="R255">
        <v>0.1</v>
      </c>
      <c r="S255">
        <v>0.15</v>
      </c>
      <c r="T255" t="s">
        <v>33</v>
      </c>
      <c r="U255">
        <v>3.2</v>
      </c>
      <c r="V255">
        <v>70</v>
      </c>
      <c r="W255">
        <v>0</v>
      </c>
      <c r="X255">
        <v>70</v>
      </c>
      <c r="Y255">
        <v>1</v>
      </c>
      <c r="Z255">
        <v>0</v>
      </c>
      <c r="AA255">
        <v>1</v>
      </c>
      <c r="AB255" t="s">
        <v>36</v>
      </c>
      <c r="AC255">
        <v>70</v>
      </c>
      <c r="AD255">
        <v>-0.79</v>
      </c>
    </row>
    <row r="256" spans="1:30" x14ac:dyDescent="0.25">
      <c r="A256" s="1">
        <v>44784.084074074075</v>
      </c>
      <c r="B256" s="1">
        <v>44784.082546296297</v>
      </c>
      <c r="C256">
        <v>151702</v>
      </c>
      <c r="D256" t="s">
        <v>37</v>
      </c>
      <c r="E256" t="s">
        <v>31</v>
      </c>
      <c r="F256">
        <v>7</v>
      </c>
      <c r="G256">
        <v>43.118609999999997</v>
      </c>
      <c r="H256">
        <v>-71.61618</v>
      </c>
      <c r="I256">
        <v>885</v>
      </c>
      <c r="J256">
        <v>0</v>
      </c>
      <c r="K256">
        <v>0</v>
      </c>
      <c r="L256" s="1">
        <v>44784.084050925929</v>
      </c>
      <c r="M256">
        <v>3.4</v>
      </c>
      <c r="N256">
        <v>3.2</v>
      </c>
      <c r="O256">
        <v>0.2</v>
      </c>
      <c r="P256">
        <v>6</v>
      </c>
      <c r="Q256">
        <v>0</v>
      </c>
      <c r="R256">
        <v>0.1</v>
      </c>
      <c r="S256">
        <v>0.05</v>
      </c>
      <c r="T256" t="s">
        <v>33</v>
      </c>
      <c r="U256">
        <v>3.3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">
        <v>38</v>
      </c>
    </row>
    <row r="257" spans="1:30" x14ac:dyDescent="0.25">
      <c r="A257" s="1">
        <v>44784.084074074075</v>
      </c>
      <c r="B257" s="1">
        <v>44784.082430555558</v>
      </c>
      <c r="C257">
        <v>151700</v>
      </c>
      <c r="D257" t="s">
        <v>30</v>
      </c>
      <c r="E257" t="s">
        <v>31</v>
      </c>
      <c r="F257">
        <v>7</v>
      </c>
      <c r="G257">
        <v>43.19211</v>
      </c>
      <c r="H257">
        <v>-71.541460000000001</v>
      </c>
      <c r="I257">
        <v>286</v>
      </c>
      <c r="J257">
        <v>72</v>
      </c>
      <c r="K257">
        <v>0</v>
      </c>
      <c r="L257" s="1">
        <v>44784.084050925929</v>
      </c>
      <c r="M257">
        <v>2.6</v>
      </c>
      <c r="N257">
        <v>3</v>
      </c>
      <c r="O257">
        <v>0.4</v>
      </c>
      <c r="P257">
        <v>14</v>
      </c>
      <c r="Q257">
        <v>0.2</v>
      </c>
      <c r="R257">
        <v>0</v>
      </c>
      <c r="S257">
        <v>0.1</v>
      </c>
      <c r="T257" t="s">
        <v>33</v>
      </c>
      <c r="U257">
        <v>2.8</v>
      </c>
      <c r="V257">
        <v>64</v>
      </c>
      <c r="W257">
        <v>0</v>
      </c>
      <c r="X257">
        <v>64</v>
      </c>
      <c r="Y257">
        <v>0</v>
      </c>
      <c r="Z257">
        <v>0</v>
      </c>
      <c r="AA257">
        <v>0</v>
      </c>
      <c r="AB257" t="s">
        <v>36</v>
      </c>
      <c r="AC257">
        <v>64</v>
      </c>
      <c r="AD257">
        <v>-0.61</v>
      </c>
    </row>
    <row r="258" spans="1:30" x14ac:dyDescent="0.25">
      <c r="A258" s="1">
        <v>44784.084074074075</v>
      </c>
      <c r="B258" s="1">
        <v>44784.082835648151</v>
      </c>
      <c r="C258">
        <v>135984</v>
      </c>
      <c r="D258" t="s">
        <v>39</v>
      </c>
      <c r="E258" t="s">
        <v>31</v>
      </c>
      <c r="F258">
        <v>7</v>
      </c>
      <c r="G258">
        <v>43.565852999999997</v>
      </c>
      <c r="H258">
        <v>-71.496129999999994</v>
      </c>
      <c r="I258">
        <v>708</v>
      </c>
      <c r="J258">
        <v>68</v>
      </c>
      <c r="K258">
        <v>0</v>
      </c>
      <c r="L258" s="1">
        <v>44784.084050925929</v>
      </c>
      <c r="M258">
        <v>5.3</v>
      </c>
      <c r="N258">
        <v>4.3</v>
      </c>
      <c r="O258">
        <v>1</v>
      </c>
      <c r="P258">
        <v>21</v>
      </c>
      <c r="Q258">
        <v>0.1</v>
      </c>
      <c r="R258">
        <v>0.1</v>
      </c>
      <c r="S258">
        <v>0.1</v>
      </c>
      <c r="T258" t="s">
        <v>33</v>
      </c>
      <c r="U258">
        <v>4.8</v>
      </c>
      <c r="V258">
        <v>96</v>
      </c>
      <c r="W258">
        <v>0</v>
      </c>
      <c r="X258">
        <v>96</v>
      </c>
      <c r="Y258">
        <v>1</v>
      </c>
      <c r="Z258">
        <v>0</v>
      </c>
      <c r="AA258">
        <v>1</v>
      </c>
      <c r="AB258" t="s">
        <v>36</v>
      </c>
      <c r="AC258">
        <v>96</v>
      </c>
      <c r="AD258">
        <v>-1.63</v>
      </c>
    </row>
    <row r="259" spans="1:30" x14ac:dyDescent="0.25">
      <c r="A259" s="1">
        <v>44784.084085648145</v>
      </c>
      <c r="B259" s="1">
        <v>44780.394780092596</v>
      </c>
      <c r="C259">
        <v>151712</v>
      </c>
      <c r="D259" t="s">
        <v>40</v>
      </c>
      <c r="E259" t="s">
        <v>31</v>
      </c>
      <c r="F259">
        <v>7</v>
      </c>
      <c r="G259">
        <v>43.289763999999998</v>
      </c>
      <c r="H259">
        <v>-71.564260000000004</v>
      </c>
      <c r="I259">
        <v>370</v>
      </c>
      <c r="J259">
        <v>86</v>
      </c>
      <c r="K259">
        <v>0</v>
      </c>
      <c r="L259" s="1">
        <v>44784.084050925929</v>
      </c>
      <c r="M259">
        <v>14</v>
      </c>
      <c r="N259">
        <v>13.2</v>
      </c>
      <c r="O259">
        <v>0.8</v>
      </c>
      <c r="P259">
        <v>6</v>
      </c>
      <c r="Q259">
        <v>0</v>
      </c>
      <c r="R259">
        <v>0</v>
      </c>
      <c r="S259">
        <v>0</v>
      </c>
      <c r="T259" t="s">
        <v>32</v>
      </c>
      <c r="V259">
        <v>59</v>
      </c>
      <c r="W259">
        <v>0</v>
      </c>
      <c r="X259">
        <v>59</v>
      </c>
      <c r="Y259">
        <v>0</v>
      </c>
      <c r="Z259">
        <v>0</v>
      </c>
      <c r="AA259">
        <v>0</v>
      </c>
      <c r="AB259" t="s">
        <v>36</v>
      </c>
      <c r="AC259">
        <v>59</v>
      </c>
    </row>
    <row r="260" spans="1:30" x14ac:dyDescent="0.25">
      <c r="A260" s="1">
        <v>44784.084085648145</v>
      </c>
      <c r="B260" s="1">
        <v>44784.082129629627</v>
      </c>
      <c r="C260">
        <v>151710</v>
      </c>
      <c r="D260" t="s">
        <v>41</v>
      </c>
      <c r="E260" t="s">
        <v>31</v>
      </c>
      <c r="F260">
        <v>7</v>
      </c>
      <c r="G260">
        <v>43.132477000000002</v>
      </c>
      <c r="H260">
        <v>-71.458374000000006</v>
      </c>
      <c r="I260">
        <v>230</v>
      </c>
      <c r="J260">
        <v>70</v>
      </c>
      <c r="K260">
        <v>0</v>
      </c>
      <c r="L260" s="1">
        <v>44784.084050925929</v>
      </c>
      <c r="M260">
        <v>4.8</v>
      </c>
      <c r="N260">
        <v>3.4</v>
      </c>
      <c r="O260">
        <v>1.4</v>
      </c>
      <c r="P260">
        <v>34</v>
      </c>
      <c r="Q260">
        <v>0.1</v>
      </c>
      <c r="R260">
        <v>0</v>
      </c>
      <c r="S260">
        <v>0.05</v>
      </c>
      <c r="T260" t="s">
        <v>33</v>
      </c>
      <c r="U260">
        <v>4.0999999999999996</v>
      </c>
      <c r="V260">
        <v>67</v>
      </c>
      <c r="W260">
        <v>0</v>
      </c>
      <c r="X260">
        <v>67</v>
      </c>
      <c r="Y260">
        <v>1</v>
      </c>
      <c r="Z260">
        <v>0</v>
      </c>
      <c r="AA260">
        <v>1</v>
      </c>
      <c r="AB260" t="s">
        <v>36</v>
      </c>
      <c r="AC260">
        <v>67</v>
      </c>
      <c r="AD260">
        <v>-0.03</v>
      </c>
    </row>
    <row r="261" spans="1:30" x14ac:dyDescent="0.25">
      <c r="A261" s="1">
        <v>44784.084085648145</v>
      </c>
      <c r="B261" s="1">
        <v>44784.08321759259</v>
      </c>
      <c r="C261">
        <v>151706</v>
      </c>
      <c r="D261" t="s">
        <v>42</v>
      </c>
      <c r="E261" t="s">
        <v>31</v>
      </c>
      <c r="F261">
        <v>7</v>
      </c>
      <c r="G261">
        <v>43.004080000000002</v>
      </c>
      <c r="H261">
        <v>-71.177040000000005</v>
      </c>
      <c r="I261">
        <v>194</v>
      </c>
      <c r="J261">
        <v>71</v>
      </c>
      <c r="K261">
        <v>0</v>
      </c>
      <c r="L261" s="1">
        <v>44784.084050925929</v>
      </c>
      <c r="M261">
        <v>1.9</v>
      </c>
      <c r="N261">
        <v>0</v>
      </c>
      <c r="O261">
        <v>1.9</v>
      </c>
      <c r="P261">
        <v>200</v>
      </c>
      <c r="Q261">
        <v>0.1</v>
      </c>
      <c r="R261">
        <v>0</v>
      </c>
      <c r="S261">
        <v>0.05</v>
      </c>
      <c r="T261" t="s">
        <v>43</v>
      </c>
      <c r="V261">
        <v>66</v>
      </c>
      <c r="W261">
        <v>0</v>
      </c>
      <c r="X261">
        <v>66</v>
      </c>
      <c r="Y261">
        <v>0</v>
      </c>
      <c r="Z261">
        <v>0</v>
      </c>
      <c r="AA261">
        <v>0</v>
      </c>
      <c r="AB261" t="s">
        <v>36</v>
      </c>
      <c r="AC261">
        <v>66</v>
      </c>
    </row>
    <row r="262" spans="1:30" x14ac:dyDescent="0.25">
      <c r="A262" s="1">
        <v>44784.084085648145</v>
      </c>
      <c r="B262" s="1">
        <v>44784.08289351852</v>
      </c>
      <c r="C262">
        <v>12212</v>
      </c>
      <c r="D262" t="s">
        <v>44</v>
      </c>
      <c r="E262" t="s">
        <v>35</v>
      </c>
      <c r="F262">
        <v>7</v>
      </c>
      <c r="G262">
        <v>42.930529999999997</v>
      </c>
      <c r="H262">
        <v>-72.272350000000003</v>
      </c>
      <c r="I262">
        <v>476</v>
      </c>
      <c r="J262">
        <v>77</v>
      </c>
      <c r="K262">
        <v>0</v>
      </c>
      <c r="L262" s="1">
        <v>44784.084050925929</v>
      </c>
      <c r="M262">
        <v>2.9</v>
      </c>
      <c r="N262">
        <v>2.4</v>
      </c>
      <c r="O262">
        <v>0.5</v>
      </c>
      <c r="P262">
        <v>19</v>
      </c>
      <c r="Q262">
        <v>0.1</v>
      </c>
      <c r="R262">
        <v>0.1</v>
      </c>
      <c r="S262">
        <v>0.1</v>
      </c>
      <c r="T262" t="s">
        <v>33</v>
      </c>
      <c r="U262">
        <v>2.65</v>
      </c>
      <c r="V262">
        <v>80</v>
      </c>
      <c r="W262">
        <v>0</v>
      </c>
      <c r="X262">
        <v>80</v>
      </c>
      <c r="Y262">
        <v>2</v>
      </c>
      <c r="Z262">
        <v>0</v>
      </c>
      <c r="AA262">
        <v>2</v>
      </c>
      <c r="AB262" t="s">
        <v>36</v>
      </c>
      <c r="AC262">
        <v>80</v>
      </c>
      <c r="AD262">
        <v>-1.82</v>
      </c>
    </row>
    <row r="263" spans="1:30" x14ac:dyDescent="0.25">
      <c r="A263" s="1">
        <v>44784.084085648145</v>
      </c>
      <c r="B263" s="1">
        <v>44769.376736111109</v>
      </c>
      <c r="C263">
        <v>12178</v>
      </c>
      <c r="D263" t="s">
        <v>45</v>
      </c>
      <c r="E263" t="s">
        <v>35</v>
      </c>
      <c r="F263">
        <v>7</v>
      </c>
      <c r="G263">
        <v>42.899563000000001</v>
      </c>
      <c r="H263">
        <v>-71.464650000000006</v>
      </c>
      <c r="I263">
        <v>301</v>
      </c>
      <c r="J263">
        <v>85</v>
      </c>
      <c r="K263">
        <v>0</v>
      </c>
      <c r="L263" s="1">
        <v>44784.084050925929</v>
      </c>
      <c r="M263">
        <v>3.8</v>
      </c>
      <c r="N263">
        <v>3.1</v>
      </c>
      <c r="O263">
        <v>0.7</v>
      </c>
      <c r="P263">
        <v>20</v>
      </c>
      <c r="Q263">
        <v>0</v>
      </c>
      <c r="R263">
        <v>0</v>
      </c>
      <c r="S263">
        <v>0</v>
      </c>
      <c r="T263" t="s">
        <v>32</v>
      </c>
      <c r="V263">
        <v>35</v>
      </c>
      <c r="W263">
        <v>0</v>
      </c>
      <c r="X263">
        <v>35</v>
      </c>
      <c r="Y263">
        <v>0</v>
      </c>
      <c r="Z263">
        <v>0</v>
      </c>
      <c r="AA263">
        <v>0</v>
      </c>
      <c r="AB263" t="s">
        <v>36</v>
      </c>
      <c r="AC263">
        <v>35</v>
      </c>
    </row>
    <row r="264" spans="1:30" x14ac:dyDescent="0.25">
      <c r="A264" s="1">
        <v>44784.084097222221</v>
      </c>
      <c r="B264" s="1">
        <v>44784.082256944443</v>
      </c>
      <c r="C264">
        <v>75981</v>
      </c>
      <c r="D264" t="s">
        <v>46</v>
      </c>
      <c r="E264" t="s">
        <v>35</v>
      </c>
      <c r="F264">
        <v>7</v>
      </c>
      <c r="G264">
        <v>42.97</v>
      </c>
      <c r="H264">
        <v>-71.06</v>
      </c>
      <c r="I264">
        <v>136</v>
      </c>
      <c r="J264">
        <v>74</v>
      </c>
      <c r="K264">
        <v>0</v>
      </c>
      <c r="L264" s="1">
        <v>44784.084050925929</v>
      </c>
      <c r="M264">
        <v>3.1</v>
      </c>
      <c r="N264">
        <v>2.9</v>
      </c>
      <c r="O264">
        <v>0.2</v>
      </c>
      <c r="P264">
        <v>7</v>
      </c>
      <c r="Q264">
        <v>0.1</v>
      </c>
      <c r="R264">
        <v>0.1</v>
      </c>
      <c r="S264">
        <v>0.1</v>
      </c>
      <c r="T264" t="s">
        <v>33</v>
      </c>
      <c r="U264">
        <v>3</v>
      </c>
      <c r="V264">
        <v>61</v>
      </c>
      <c r="W264">
        <v>0</v>
      </c>
      <c r="X264">
        <v>61</v>
      </c>
      <c r="Y264">
        <v>0</v>
      </c>
      <c r="Z264">
        <v>0</v>
      </c>
      <c r="AA264">
        <v>0</v>
      </c>
      <c r="AB264" t="s">
        <v>36</v>
      </c>
      <c r="AC264">
        <v>61</v>
      </c>
      <c r="AD264">
        <v>-0.28000000000000003</v>
      </c>
    </row>
    <row r="265" spans="1:30" x14ac:dyDescent="0.25">
      <c r="A265" s="1">
        <v>44784.084097222221</v>
      </c>
      <c r="B265" s="1">
        <v>44784.082789351851</v>
      </c>
      <c r="C265">
        <v>115703</v>
      </c>
      <c r="D265" t="s">
        <v>47</v>
      </c>
      <c r="E265" t="s">
        <v>35</v>
      </c>
      <c r="F265">
        <v>7</v>
      </c>
      <c r="G265">
        <v>43.953625000000002</v>
      </c>
      <c r="H265">
        <v>-71.508859999999999</v>
      </c>
      <c r="I265">
        <v>1493</v>
      </c>
      <c r="J265">
        <v>63</v>
      </c>
      <c r="K265">
        <v>0</v>
      </c>
      <c r="L265" s="1">
        <v>44784.084050925929</v>
      </c>
      <c r="M265">
        <v>0</v>
      </c>
      <c r="N265">
        <v>300.89999999999998</v>
      </c>
      <c r="O265">
        <v>300.89999999999998</v>
      </c>
      <c r="P265">
        <v>200</v>
      </c>
      <c r="Q265">
        <v>0</v>
      </c>
      <c r="R265">
        <v>0</v>
      </c>
      <c r="S265">
        <v>0</v>
      </c>
      <c r="T265" t="s">
        <v>48</v>
      </c>
      <c r="V265">
        <v>68</v>
      </c>
      <c r="W265">
        <v>0</v>
      </c>
      <c r="X265">
        <v>68</v>
      </c>
      <c r="Y265">
        <v>1</v>
      </c>
      <c r="Z265">
        <v>0</v>
      </c>
      <c r="AA265">
        <v>1</v>
      </c>
      <c r="AB265" t="s">
        <v>36</v>
      </c>
      <c r="AC265">
        <v>68</v>
      </c>
    </row>
    <row r="266" spans="1:30" x14ac:dyDescent="0.25">
      <c r="A266" s="1">
        <v>44784.084097222221</v>
      </c>
      <c r="B266" s="1">
        <v>44784.082199074073</v>
      </c>
      <c r="C266">
        <v>12050</v>
      </c>
      <c r="D266" t="s">
        <v>49</v>
      </c>
      <c r="E266" t="s">
        <v>35</v>
      </c>
      <c r="F266">
        <v>7</v>
      </c>
      <c r="G266">
        <v>44.220573000000002</v>
      </c>
      <c r="H266">
        <v>-71.732315</v>
      </c>
      <c r="I266">
        <v>999</v>
      </c>
      <c r="J266">
        <v>70</v>
      </c>
      <c r="K266">
        <v>0</v>
      </c>
      <c r="L266" s="1">
        <v>44784.084050925929</v>
      </c>
      <c r="M266">
        <v>3</v>
      </c>
      <c r="N266">
        <v>3</v>
      </c>
      <c r="O266">
        <v>0</v>
      </c>
      <c r="P266">
        <v>0</v>
      </c>
      <c r="Q266">
        <v>0</v>
      </c>
      <c r="R266">
        <v>0</v>
      </c>
      <c r="S266">
        <v>0</v>
      </c>
      <c r="T266" t="s">
        <v>33</v>
      </c>
      <c r="U266">
        <v>3</v>
      </c>
      <c r="V266">
        <v>57</v>
      </c>
      <c r="W266">
        <v>0</v>
      </c>
      <c r="X266">
        <v>57</v>
      </c>
      <c r="Y266">
        <v>0</v>
      </c>
      <c r="Z266">
        <v>0</v>
      </c>
      <c r="AA266">
        <v>0</v>
      </c>
      <c r="AB266" t="s">
        <v>36</v>
      </c>
      <c r="AC266">
        <v>57</v>
      </c>
      <c r="AD266">
        <v>0</v>
      </c>
    </row>
    <row r="267" spans="1:30" x14ac:dyDescent="0.25">
      <c r="A267" s="1">
        <v>44784.084097222221</v>
      </c>
      <c r="B267" s="1">
        <v>44784.082303240742</v>
      </c>
      <c r="C267">
        <v>23443</v>
      </c>
      <c r="D267" t="s">
        <v>50</v>
      </c>
      <c r="E267" t="s">
        <v>35</v>
      </c>
      <c r="F267">
        <v>7</v>
      </c>
      <c r="G267">
        <v>43.556139999999999</v>
      </c>
      <c r="H267">
        <v>-72.370990000000006</v>
      </c>
      <c r="I267">
        <v>523</v>
      </c>
      <c r="J267">
        <v>70</v>
      </c>
      <c r="K267">
        <v>0</v>
      </c>
      <c r="L267" s="1">
        <v>44784.084050925929</v>
      </c>
      <c r="M267">
        <v>3.6</v>
      </c>
      <c r="N267">
        <v>3</v>
      </c>
      <c r="O267">
        <v>0.6</v>
      </c>
      <c r="P267">
        <v>18</v>
      </c>
      <c r="Q267">
        <v>0.1</v>
      </c>
      <c r="R267">
        <v>0</v>
      </c>
      <c r="S267">
        <v>0.05</v>
      </c>
      <c r="T267" t="s">
        <v>33</v>
      </c>
      <c r="U267">
        <v>3.3</v>
      </c>
      <c r="V267">
        <v>66</v>
      </c>
      <c r="W267">
        <v>0</v>
      </c>
      <c r="X267">
        <v>66</v>
      </c>
      <c r="Y267">
        <v>0</v>
      </c>
      <c r="Z267">
        <v>0</v>
      </c>
      <c r="AA267">
        <v>0</v>
      </c>
      <c r="AB267" t="s">
        <v>36</v>
      </c>
      <c r="AC267">
        <v>66</v>
      </c>
      <c r="AD267">
        <v>-0.45</v>
      </c>
    </row>
    <row r="268" spans="1:30" x14ac:dyDescent="0.25">
      <c r="A268" s="1">
        <v>44784.084097222221</v>
      </c>
      <c r="B268" s="1">
        <v>44784.082395833335</v>
      </c>
      <c r="C268">
        <v>58135</v>
      </c>
      <c r="D268" t="s">
        <v>51</v>
      </c>
      <c r="E268" t="s">
        <v>35</v>
      </c>
      <c r="F268">
        <v>7</v>
      </c>
      <c r="G268">
        <v>42.883873000000001</v>
      </c>
      <c r="H268">
        <v>-71.972915999999998</v>
      </c>
      <c r="I268">
        <v>808</v>
      </c>
      <c r="J268">
        <v>71</v>
      </c>
      <c r="K268">
        <v>0</v>
      </c>
      <c r="L268" s="1">
        <v>44784.084050925929</v>
      </c>
      <c r="M268">
        <v>7.6</v>
      </c>
      <c r="N268">
        <v>5.0999999999999996</v>
      </c>
      <c r="O268">
        <v>2.5</v>
      </c>
      <c r="P268">
        <v>39</v>
      </c>
      <c r="Q268">
        <v>0.1</v>
      </c>
      <c r="R268">
        <v>0.1</v>
      </c>
      <c r="S268">
        <v>0.1</v>
      </c>
      <c r="T268" t="s">
        <v>33</v>
      </c>
      <c r="U268">
        <v>6.35</v>
      </c>
      <c r="V268">
        <v>72</v>
      </c>
      <c r="W268">
        <v>0</v>
      </c>
      <c r="X268">
        <v>72</v>
      </c>
      <c r="Y268">
        <v>1</v>
      </c>
      <c r="Z268">
        <v>0</v>
      </c>
      <c r="AA268">
        <v>1</v>
      </c>
      <c r="AB268" t="s">
        <v>36</v>
      </c>
      <c r="AC268">
        <v>72</v>
      </c>
      <c r="AD268">
        <v>0.99</v>
      </c>
    </row>
    <row r="269" spans="1:30" x14ac:dyDescent="0.25">
      <c r="A269" s="1">
        <v>44784.084108796298</v>
      </c>
      <c r="B269" s="1">
        <v>44784.082453703704</v>
      </c>
      <c r="C269">
        <v>148555</v>
      </c>
      <c r="D269" t="s">
        <v>52</v>
      </c>
      <c r="E269" t="s">
        <v>53</v>
      </c>
      <c r="F269">
        <v>7</v>
      </c>
      <c r="G269">
        <v>42.904949999999999</v>
      </c>
      <c r="H269">
        <v>-71.386764999999997</v>
      </c>
      <c r="I269">
        <v>363</v>
      </c>
      <c r="J269">
        <v>0</v>
      </c>
      <c r="K269">
        <v>0</v>
      </c>
      <c r="L269" s="1">
        <v>44784.084050925929</v>
      </c>
      <c r="M269">
        <v>1.4</v>
      </c>
      <c r="N269">
        <v>1.9</v>
      </c>
      <c r="O269">
        <v>0.5</v>
      </c>
      <c r="P269">
        <v>30</v>
      </c>
      <c r="Q269">
        <v>0</v>
      </c>
      <c r="R269">
        <v>0.1</v>
      </c>
      <c r="S269">
        <v>0.05</v>
      </c>
      <c r="T269" t="s">
        <v>33</v>
      </c>
      <c r="U269">
        <v>1.65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">
        <v>38</v>
      </c>
    </row>
    <row r="270" spans="1:30" x14ac:dyDescent="0.25">
      <c r="A270" s="1">
        <v>44784.084108796298</v>
      </c>
      <c r="B270" s="1">
        <v>44784.083379629628</v>
      </c>
      <c r="C270">
        <v>146644</v>
      </c>
      <c r="D270" t="s">
        <v>54</v>
      </c>
      <c r="E270" t="s">
        <v>53</v>
      </c>
      <c r="F270">
        <v>7</v>
      </c>
      <c r="G270">
        <v>43.06015</v>
      </c>
      <c r="H270">
        <v>-70.758930000000007</v>
      </c>
      <c r="I270">
        <v>35</v>
      </c>
      <c r="J270">
        <v>69</v>
      </c>
      <c r="K270">
        <v>71</v>
      </c>
      <c r="L270" s="1">
        <v>44784.084050925929</v>
      </c>
      <c r="M270">
        <v>9.1999999999999993</v>
      </c>
      <c r="N270">
        <v>7.6</v>
      </c>
      <c r="O270">
        <v>1.6</v>
      </c>
      <c r="P270">
        <v>19</v>
      </c>
      <c r="Q270">
        <v>1.2</v>
      </c>
      <c r="R270">
        <v>1</v>
      </c>
      <c r="S270">
        <v>1.1000000000000001</v>
      </c>
      <c r="T270" t="s">
        <v>33</v>
      </c>
      <c r="U270">
        <v>8.4</v>
      </c>
      <c r="V270">
        <v>68</v>
      </c>
      <c r="W270">
        <v>72</v>
      </c>
      <c r="X270">
        <v>4</v>
      </c>
      <c r="Y270">
        <v>0</v>
      </c>
      <c r="Z270">
        <v>0</v>
      </c>
      <c r="AA270">
        <v>0</v>
      </c>
      <c r="AB270" t="s">
        <v>33</v>
      </c>
      <c r="AC270">
        <v>70</v>
      </c>
      <c r="AD270">
        <v>2.38</v>
      </c>
    </row>
    <row r="271" spans="1:30" x14ac:dyDescent="0.25">
      <c r="A271" s="1">
        <v>44784.084108796298</v>
      </c>
      <c r="B271" s="1">
        <v>43755.283437500002</v>
      </c>
      <c r="C271">
        <v>12188</v>
      </c>
      <c r="D271" t="s">
        <v>55</v>
      </c>
      <c r="E271" t="s">
        <v>35</v>
      </c>
      <c r="F271">
        <v>4.1100000000000003</v>
      </c>
      <c r="G271">
        <v>42.927050000000001</v>
      </c>
      <c r="H271">
        <v>-72.279610000000005</v>
      </c>
      <c r="I271">
        <v>475</v>
      </c>
      <c r="J271">
        <v>95</v>
      </c>
      <c r="K271">
        <v>0</v>
      </c>
      <c r="L271" s="1">
        <v>44784.084050925929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 t="s">
        <v>32</v>
      </c>
      <c r="V271">
        <v>77</v>
      </c>
      <c r="W271">
        <v>0</v>
      </c>
      <c r="X271">
        <v>77</v>
      </c>
      <c r="Y271">
        <v>0</v>
      </c>
      <c r="Z271">
        <v>0</v>
      </c>
      <c r="AA271">
        <v>0</v>
      </c>
      <c r="AB271" t="s">
        <v>36</v>
      </c>
      <c r="AC271">
        <v>77</v>
      </c>
    </row>
    <row r="272" spans="1:30" x14ac:dyDescent="0.25">
      <c r="A272" s="1">
        <v>44784.084108796298</v>
      </c>
      <c r="B272" s="1">
        <v>44784.082303240742</v>
      </c>
      <c r="C272">
        <v>1224</v>
      </c>
      <c r="D272" t="s">
        <v>56</v>
      </c>
      <c r="E272" t="s">
        <v>35</v>
      </c>
      <c r="F272" t="s">
        <v>57</v>
      </c>
      <c r="G272">
        <v>42.938034000000002</v>
      </c>
      <c r="H272">
        <v>-72.259299999999996</v>
      </c>
      <c r="I272">
        <v>792</v>
      </c>
      <c r="J272">
        <v>76</v>
      </c>
      <c r="K272">
        <v>0</v>
      </c>
      <c r="L272" s="1">
        <v>44784.084050925929</v>
      </c>
      <c r="M272">
        <v>2.2999999999999998</v>
      </c>
      <c r="N272">
        <v>0</v>
      </c>
      <c r="O272">
        <v>2.2999999999999998</v>
      </c>
      <c r="P272">
        <v>200</v>
      </c>
      <c r="Q272">
        <v>0</v>
      </c>
      <c r="R272">
        <v>0</v>
      </c>
      <c r="S272">
        <v>0</v>
      </c>
      <c r="T272" t="s">
        <v>43</v>
      </c>
      <c r="V272">
        <v>81</v>
      </c>
      <c r="W272">
        <v>0</v>
      </c>
      <c r="X272">
        <v>81</v>
      </c>
      <c r="Y272">
        <v>0</v>
      </c>
      <c r="Z272">
        <v>0</v>
      </c>
      <c r="AA272">
        <v>0</v>
      </c>
      <c r="AB272" t="s">
        <v>36</v>
      </c>
      <c r="AC272">
        <v>81</v>
      </c>
    </row>
    <row r="273" spans="1:30" x14ac:dyDescent="0.25">
      <c r="A273" s="1">
        <v>44784.084108796298</v>
      </c>
      <c r="B273" s="1">
        <v>44784.083124999997</v>
      </c>
      <c r="C273">
        <v>1202</v>
      </c>
      <c r="D273" t="s">
        <v>58</v>
      </c>
      <c r="E273" t="s">
        <v>35</v>
      </c>
      <c r="F273" t="s">
        <v>57</v>
      </c>
      <c r="G273">
        <v>42.936554000000001</v>
      </c>
      <c r="H273">
        <v>-72.271019999999993</v>
      </c>
      <c r="I273">
        <v>488</v>
      </c>
      <c r="J273">
        <v>0</v>
      </c>
      <c r="K273">
        <v>0</v>
      </c>
      <c r="L273" s="1">
        <v>44784.084050925929</v>
      </c>
      <c r="M273">
        <v>2.2000000000000002</v>
      </c>
      <c r="N273">
        <v>2.2000000000000002</v>
      </c>
      <c r="O273">
        <v>0</v>
      </c>
      <c r="P273">
        <v>0</v>
      </c>
      <c r="Q273">
        <v>0.1</v>
      </c>
      <c r="R273">
        <v>0</v>
      </c>
      <c r="S273">
        <v>0.05</v>
      </c>
      <c r="T273" t="s">
        <v>33</v>
      </c>
      <c r="U273">
        <v>2.2000000000000002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 t="s">
        <v>38</v>
      </c>
    </row>
    <row r="274" spans="1:30" x14ac:dyDescent="0.25">
      <c r="A274" s="1">
        <v>44784.084120370368</v>
      </c>
      <c r="B274" s="1">
        <v>44612.080023148148</v>
      </c>
      <c r="C274">
        <v>25985</v>
      </c>
      <c r="D274" t="s">
        <v>59</v>
      </c>
      <c r="E274" t="s">
        <v>35</v>
      </c>
      <c r="F274">
        <v>6.01</v>
      </c>
      <c r="G274">
        <v>42.927326000000001</v>
      </c>
      <c r="H274">
        <v>-72.279979999999995</v>
      </c>
      <c r="I274">
        <v>477</v>
      </c>
      <c r="J274">
        <v>78</v>
      </c>
      <c r="K274">
        <v>0</v>
      </c>
      <c r="L274" s="1">
        <v>44784.084050925929</v>
      </c>
      <c r="M274">
        <v>1.1000000000000001</v>
      </c>
      <c r="N274">
        <v>1</v>
      </c>
      <c r="O274">
        <v>0.1</v>
      </c>
      <c r="P274">
        <v>10</v>
      </c>
      <c r="Q274">
        <v>0</v>
      </c>
      <c r="R274">
        <v>0</v>
      </c>
      <c r="S274">
        <v>0</v>
      </c>
      <c r="T274" t="s">
        <v>32</v>
      </c>
      <c r="V274">
        <v>22</v>
      </c>
      <c r="W274">
        <v>0</v>
      </c>
      <c r="X274">
        <v>22</v>
      </c>
      <c r="Y274">
        <v>0</v>
      </c>
      <c r="Z274">
        <v>0</v>
      </c>
      <c r="AA274">
        <v>0</v>
      </c>
      <c r="AB274" t="s">
        <v>36</v>
      </c>
      <c r="AC274">
        <v>22</v>
      </c>
    </row>
    <row r="275" spans="1:30" x14ac:dyDescent="0.25">
      <c r="A275" s="1">
        <v>44784.091006944444</v>
      </c>
      <c r="B275" s="1">
        <v>44775.701319444444</v>
      </c>
      <c r="C275">
        <v>151708</v>
      </c>
      <c r="D275" t="s">
        <v>30</v>
      </c>
      <c r="E275" t="s">
        <v>31</v>
      </c>
      <c r="F275">
        <v>7</v>
      </c>
      <c r="G275">
        <v>43.192042999999998</v>
      </c>
      <c r="H275">
        <v>-71.541579999999996</v>
      </c>
      <c r="I275">
        <v>291</v>
      </c>
      <c r="J275">
        <v>93</v>
      </c>
      <c r="K275">
        <v>94</v>
      </c>
      <c r="L275" s="1">
        <v>44784.090995370374</v>
      </c>
      <c r="M275">
        <v>7.9</v>
      </c>
      <c r="N275">
        <v>7.6</v>
      </c>
      <c r="O275">
        <v>0.3</v>
      </c>
      <c r="P275">
        <v>4</v>
      </c>
      <c r="Q275">
        <v>0</v>
      </c>
      <c r="R275">
        <v>0</v>
      </c>
      <c r="S275">
        <v>0</v>
      </c>
      <c r="T275" t="s">
        <v>32</v>
      </c>
      <c r="V275">
        <v>42</v>
      </c>
      <c r="W275">
        <v>41</v>
      </c>
      <c r="X275">
        <v>1</v>
      </c>
      <c r="Y275">
        <v>0</v>
      </c>
      <c r="Z275">
        <v>0</v>
      </c>
      <c r="AA275">
        <v>0</v>
      </c>
      <c r="AB275" t="s">
        <v>33</v>
      </c>
      <c r="AC275">
        <v>41.5</v>
      </c>
    </row>
    <row r="276" spans="1:30" x14ac:dyDescent="0.25">
      <c r="A276" s="1">
        <v>44784.09101851852</v>
      </c>
      <c r="B276" s="1">
        <v>44784.089305555557</v>
      </c>
      <c r="C276">
        <v>143456</v>
      </c>
      <c r="D276" t="s">
        <v>34</v>
      </c>
      <c r="E276" t="s">
        <v>35</v>
      </c>
      <c r="F276">
        <v>7</v>
      </c>
      <c r="G276">
        <v>43.08963</v>
      </c>
      <c r="H276">
        <v>-71.502440000000007</v>
      </c>
      <c r="I276">
        <v>619</v>
      </c>
      <c r="J276">
        <v>70</v>
      </c>
      <c r="K276">
        <v>0</v>
      </c>
      <c r="L276" s="1">
        <v>44784.090995370374</v>
      </c>
      <c r="M276">
        <v>2.9</v>
      </c>
      <c r="N276">
        <v>3.3</v>
      </c>
      <c r="O276">
        <v>0.4</v>
      </c>
      <c r="P276">
        <v>13</v>
      </c>
      <c r="Q276">
        <v>0.1</v>
      </c>
      <c r="R276">
        <v>0.1</v>
      </c>
      <c r="S276">
        <v>0.1</v>
      </c>
      <c r="T276" t="s">
        <v>33</v>
      </c>
      <c r="U276">
        <v>3.1</v>
      </c>
      <c r="V276">
        <v>70</v>
      </c>
      <c r="W276">
        <v>0</v>
      </c>
      <c r="X276">
        <v>70</v>
      </c>
      <c r="Y276">
        <v>0</v>
      </c>
      <c r="Z276">
        <v>0</v>
      </c>
      <c r="AA276">
        <v>0</v>
      </c>
      <c r="AB276" t="s">
        <v>36</v>
      </c>
      <c r="AC276">
        <v>70</v>
      </c>
      <c r="AD276">
        <v>-0.85</v>
      </c>
    </row>
    <row r="277" spans="1:30" x14ac:dyDescent="0.25">
      <c r="A277" s="1">
        <v>44784.09101851852</v>
      </c>
      <c r="B277" s="1">
        <v>44784.089490740742</v>
      </c>
      <c r="C277">
        <v>151702</v>
      </c>
      <c r="D277" t="s">
        <v>37</v>
      </c>
      <c r="E277" t="s">
        <v>31</v>
      </c>
      <c r="F277">
        <v>7</v>
      </c>
      <c r="G277">
        <v>43.118609999999997</v>
      </c>
      <c r="H277">
        <v>-71.61618</v>
      </c>
      <c r="I277">
        <v>885</v>
      </c>
      <c r="J277">
        <v>0</v>
      </c>
      <c r="K277">
        <v>0</v>
      </c>
      <c r="L277" s="1">
        <v>44784.090995370374</v>
      </c>
      <c r="M277">
        <v>3.3</v>
      </c>
      <c r="N277">
        <v>3.2</v>
      </c>
      <c r="O277">
        <v>0.1</v>
      </c>
      <c r="P277">
        <v>3</v>
      </c>
      <c r="Q277">
        <v>0.1</v>
      </c>
      <c r="R277">
        <v>0</v>
      </c>
      <c r="S277">
        <v>0.05</v>
      </c>
      <c r="T277" t="s">
        <v>33</v>
      </c>
      <c r="U277">
        <v>3.25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 t="s">
        <v>38</v>
      </c>
    </row>
    <row r="278" spans="1:30" x14ac:dyDescent="0.25">
      <c r="A278" s="1">
        <v>44784.09101851852</v>
      </c>
      <c r="B278" s="1">
        <v>44784.089375000003</v>
      </c>
      <c r="C278">
        <v>151700</v>
      </c>
      <c r="D278" t="s">
        <v>30</v>
      </c>
      <c r="E278" t="s">
        <v>31</v>
      </c>
      <c r="F278">
        <v>7</v>
      </c>
      <c r="G278">
        <v>43.19211</v>
      </c>
      <c r="H278">
        <v>-71.541460000000001</v>
      </c>
      <c r="I278">
        <v>286</v>
      </c>
      <c r="J278">
        <v>72</v>
      </c>
      <c r="K278">
        <v>0</v>
      </c>
      <c r="L278" s="1">
        <v>44784.090995370374</v>
      </c>
      <c r="M278">
        <v>2.7</v>
      </c>
      <c r="N278">
        <v>3.2</v>
      </c>
      <c r="O278">
        <v>0.5</v>
      </c>
      <c r="P278">
        <v>17</v>
      </c>
      <c r="Q278">
        <v>0.1</v>
      </c>
      <c r="R278">
        <v>0.2</v>
      </c>
      <c r="S278">
        <v>0.15</v>
      </c>
      <c r="T278" t="s">
        <v>33</v>
      </c>
      <c r="U278">
        <v>2.95</v>
      </c>
      <c r="V278">
        <v>65</v>
      </c>
      <c r="W278">
        <v>0</v>
      </c>
      <c r="X278">
        <v>65</v>
      </c>
      <c r="Y278">
        <v>1</v>
      </c>
      <c r="Z278">
        <v>0</v>
      </c>
      <c r="AA278">
        <v>1</v>
      </c>
      <c r="AB278" t="s">
        <v>36</v>
      </c>
      <c r="AC278">
        <v>65</v>
      </c>
      <c r="AD278">
        <v>-0.59</v>
      </c>
    </row>
    <row r="279" spans="1:30" x14ac:dyDescent="0.25">
      <c r="A279" s="1">
        <v>44784.09101851852</v>
      </c>
      <c r="B279" s="1">
        <v>44784.089780092596</v>
      </c>
      <c r="C279">
        <v>135984</v>
      </c>
      <c r="D279" t="s">
        <v>39</v>
      </c>
      <c r="E279" t="s">
        <v>31</v>
      </c>
      <c r="F279">
        <v>7</v>
      </c>
      <c r="G279">
        <v>43.565852999999997</v>
      </c>
      <c r="H279">
        <v>-71.496129999999994</v>
      </c>
      <c r="I279">
        <v>708</v>
      </c>
      <c r="J279">
        <v>68</v>
      </c>
      <c r="K279">
        <v>0</v>
      </c>
      <c r="L279" s="1">
        <v>44784.090995370374</v>
      </c>
      <c r="M279">
        <v>5.3</v>
      </c>
      <c r="N279">
        <v>4.4000000000000004</v>
      </c>
      <c r="O279">
        <v>0.9</v>
      </c>
      <c r="P279">
        <v>19</v>
      </c>
      <c r="Q279">
        <v>0</v>
      </c>
      <c r="R279">
        <v>0.1</v>
      </c>
      <c r="S279">
        <v>0.05</v>
      </c>
      <c r="T279" t="s">
        <v>33</v>
      </c>
      <c r="U279">
        <v>4.8499999999999996</v>
      </c>
      <c r="V279">
        <v>95</v>
      </c>
      <c r="W279">
        <v>0</v>
      </c>
      <c r="X279">
        <v>95</v>
      </c>
      <c r="Y279">
        <v>1</v>
      </c>
      <c r="Z279">
        <v>0</v>
      </c>
      <c r="AA279">
        <v>1</v>
      </c>
      <c r="AB279" t="s">
        <v>36</v>
      </c>
      <c r="AC279">
        <v>95</v>
      </c>
      <c r="AD279">
        <v>-1.53</v>
      </c>
    </row>
    <row r="280" spans="1:30" x14ac:dyDescent="0.25">
      <c r="A280" s="1">
        <v>44784.09101851852</v>
      </c>
      <c r="B280" s="1">
        <v>44780.394780092596</v>
      </c>
      <c r="C280">
        <v>151712</v>
      </c>
      <c r="D280" t="s">
        <v>40</v>
      </c>
      <c r="E280" t="s">
        <v>31</v>
      </c>
      <c r="F280">
        <v>7</v>
      </c>
      <c r="G280">
        <v>43.289763999999998</v>
      </c>
      <c r="H280">
        <v>-71.564260000000004</v>
      </c>
      <c r="I280">
        <v>370</v>
      </c>
      <c r="J280">
        <v>86</v>
      </c>
      <c r="K280">
        <v>0</v>
      </c>
      <c r="L280" s="1">
        <v>44784.090995370374</v>
      </c>
      <c r="M280">
        <v>14</v>
      </c>
      <c r="N280">
        <v>13.2</v>
      </c>
      <c r="O280">
        <v>0.8</v>
      </c>
      <c r="P280">
        <v>6</v>
      </c>
      <c r="Q280">
        <v>0</v>
      </c>
      <c r="R280">
        <v>0</v>
      </c>
      <c r="S280">
        <v>0</v>
      </c>
      <c r="T280" t="s">
        <v>32</v>
      </c>
      <c r="V280">
        <v>59</v>
      </c>
      <c r="W280">
        <v>0</v>
      </c>
      <c r="X280">
        <v>59</v>
      </c>
      <c r="Y280">
        <v>0</v>
      </c>
      <c r="Z280">
        <v>0</v>
      </c>
      <c r="AA280">
        <v>0</v>
      </c>
      <c r="AB280" t="s">
        <v>36</v>
      </c>
      <c r="AC280">
        <v>59</v>
      </c>
    </row>
    <row r="281" spans="1:30" x14ac:dyDescent="0.25">
      <c r="A281" s="1">
        <v>44784.09103009259</v>
      </c>
      <c r="B281" s="1">
        <v>44784.089074074072</v>
      </c>
      <c r="C281">
        <v>151710</v>
      </c>
      <c r="D281" t="s">
        <v>41</v>
      </c>
      <c r="E281" t="s">
        <v>31</v>
      </c>
      <c r="F281">
        <v>7</v>
      </c>
      <c r="G281">
        <v>43.132477000000002</v>
      </c>
      <c r="H281">
        <v>-71.458374000000006</v>
      </c>
      <c r="I281">
        <v>230</v>
      </c>
      <c r="J281">
        <v>70</v>
      </c>
      <c r="K281">
        <v>0</v>
      </c>
      <c r="L281" s="1">
        <v>44784.090995370374</v>
      </c>
      <c r="M281">
        <v>4.8</v>
      </c>
      <c r="N281">
        <v>3.6</v>
      </c>
      <c r="O281">
        <v>1.2</v>
      </c>
      <c r="P281">
        <v>29</v>
      </c>
      <c r="Q281">
        <v>0</v>
      </c>
      <c r="R281">
        <v>0.2</v>
      </c>
      <c r="S281">
        <v>0.1</v>
      </c>
      <c r="T281" t="s">
        <v>33</v>
      </c>
      <c r="U281">
        <v>4.2</v>
      </c>
      <c r="V281">
        <v>67</v>
      </c>
      <c r="W281">
        <v>0</v>
      </c>
      <c r="X281">
        <v>67</v>
      </c>
      <c r="Y281">
        <v>0</v>
      </c>
      <c r="Z281">
        <v>0</v>
      </c>
      <c r="AA281">
        <v>0</v>
      </c>
      <c r="AB281" t="s">
        <v>36</v>
      </c>
      <c r="AC281">
        <v>67</v>
      </c>
      <c r="AD281">
        <v>0.03</v>
      </c>
    </row>
    <row r="282" spans="1:30" x14ac:dyDescent="0.25">
      <c r="A282" s="1">
        <v>44784.09103009259</v>
      </c>
      <c r="B282" s="1">
        <v>44784.090162037035</v>
      </c>
      <c r="C282">
        <v>151706</v>
      </c>
      <c r="D282" t="s">
        <v>42</v>
      </c>
      <c r="E282" t="s">
        <v>31</v>
      </c>
      <c r="F282">
        <v>7</v>
      </c>
      <c r="G282">
        <v>43.004080000000002</v>
      </c>
      <c r="H282">
        <v>-71.177040000000005</v>
      </c>
      <c r="I282">
        <v>194</v>
      </c>
      <c r="J282">
        <v>71</v>
      </c>
      <c r="K282">
        <v>0</v>
      </c>
      <c r="L282" s="1">
        <v>44784.090995370374</v>
      </c>
      <c r="M282">
        <v>1.9</v>
      </c>
      <c r="N282">
        <v>0</v>
      </c>
      <c r="O282">
        <v>1.9</v>
      </c>
      <c r="P282">
        <v>200</v>
      </c>
      <c r="Q282">
        <v>0</v>
      </c>
      <c r="R282">
        <v>0</v>
      </c>
      <c r="S282">
        <v>0</v>
      </c>
      <c r="T282" t="s">
        <v>43</v>
      </c>
      <c r="V282">
        <v>66</v>
      </c>
      <c r="W282">
        <v>0</v>
      </c>
      <c r="X282">
        <v>66</v>
      </c>
      <c r="Y282">
        <v>0</v>
      </c>
      <c r="Z282">
        <v>0</v>
      </c>
      <c r="AA282">
        <v>0</v>
      </c>
      <c r="AB282" t="s">
        <v>36</v>
      </c>
      <c r="AC282">
        <v>66</v>
      </c>
    </row>
    <row r="283" spans="1:30" x14ac:dyDescent="0.25">
      <c r="A283" s="1">
        <v>44784.09103009259</v>
      </c>
      <c r="B283" s="1">
        <v>44784.089849537035</v>
      </c>
      <c r="C283">
        <v>12212</v>
      </c>
      <c r="D283" t="s">
        <v>44</v>
      </c>
      <c r="E283" t="s">
        <v>35</v>
      </c>
      <c r="F283">
        <v>7</v>
      </c>
      <c r="G283">
        <v>42.930529999999997</v>
      </c>
      <c r="H283">
        <v>-72.272350000000003</v>
      </c>
      <c r="I283">
        <v>476</v>
      </c>
      <c r="J283">
        <v>76</v>
      </c>
      <c r="K283">
        <v>0</v>
      </c>
      <c r="L283" s="1">
        <v>44784.090995370374</v>
      </c>
      <c r="M283">
        <v>3.1</v>
      </c>
      <c r="N283">
        <v>2.5</v>
      </c>
      <c r="O283">
        <v>0.6</v>
      </c>
      <c r="P283">
        <v>21</v>
      </c>
      <c r="Q283">
        <v>0.2</v>
      </c>
      <c r="R283">
        <v>0.1</v>
      </c>
      <c r="S283">
        <v>0.15</v>
      </c>
      <c r="T283" t="s">
        <v>33</v>
      </c>
      <c r="U283">
        <v>2.8</v>
      </c>
      <c r="V283">
        <v>82</v>
      </c>
      <c r="W283">
        <v>0</v>
      </c>
      <c r="X283">
        <v>82</v>
      </c>
      <c r="Y283">
        <v>2</v>
      </c>
      <c r="Z283">
        <v>0</v>
      </c>
      <c r="AA283">
        <v>2</v>
      </c>
      <c r="AB283" t="s">
        <v>36</v>
      </c>
      <c r="AC283">
        <v>82</v>
      </c>
      <c r="AD283">
        <v>-1.87</v>
      </c>
    </row>
    <row r="284" spans="1:30" x14ac:dyDescent="0.25">
      <c r="A284" s="1">
        <v>44784.09103009259</v>
      </c>
      <c r="B284" s="1">
        <v>44769.376736111109</v>
      </c>
      <c r="C284">
        <v>12178</v>
      </c>
      <c r="D284" t="s">
        <v>45</v>
      </c>
      <c r="E284" t="s">
        <v>35</v>
      </c>
      <c r="F284">
        <v>7</v>
      </c>
      <c r="G284">
        <v>42.899563000000001</v>
      </c>
      <c r="H284">
        <v>-71.464650000000006</v>
      </c>
      <c r="I284">
        <v>301</v>
      </c>
      <c r="J284">
        <v>85</v>
      </c>
      <c r="K284">
        <v>0</v>
      </c>
      <c r="L284" s="1">
        <v>44784.090995370374</v>
      </c>
      <c r="M284">
        <v>3.8</v>
      </c>
      <c r="N284">
        <v>3.1</v>
      </c>
      <c r="O284">
        <v>0.7</v>
      </c>
      <c r="P284">
        <v>20</v>
      </c>
      <c r="Q284">
        <v>0</v>
      </c>
      <c r="R284">
        <v>0</v>
      </c>
      <c r="S284">
        <v>0</v>
      </c>
      <c r="T284" t="s">
        <v>32</v>
      </c>
      <c r="V284">
        <v>35</v>
      </c>
      <c r="W284">
        <v>0</v>
      </c>
      <c r="X284">
        <v>35</v>
      </c>
      <c r="Y284">
        <v>0</v>
      </c>
      <c r="Z284">
        <v>0</v>
      </c>
      <c r="AA284">
        <v>0</v>
      </c>
      <c r="AB284" t="s">
        <v>36</v>
      </c>
      <c r="AC284">
        <v>35</v>
      </c>
    </row>
    <row r="285" spans="1:30" x14ac:dyDescent="0.25">
      <c r="A285" s="1">
        <v>44784.091041666667</v>
      </c>
      <c r="B285" s="1">
        <v>44784.089201388888</v>
      </c>
      <c r="C285">
        <v>75981</v>
      </c>
      <c r="D285" t="s">
        <v>46</v>
      </c>
      <c r="E285" t="s">
        <v>35</v>
      </c>
      <c r="F285">
        <v>7</v>
      </c>
      <c r="G285">
        <v>42.97</v>
      </c>
      <c r="H285">
        <v>-71.06</v>
      </c>
      <c r="I285">
        <v>136</v>
      </c>
      <c r="J285">
        <v>74</v>
      </c>
      <c r="K285">
        <v>0</v>
      </c>
      <c r="L285" s="1">
        <v>44784.090995370374</v>
      </c>
      <c r="M285">
        <v>3.3</v>
      </c>
      <c r="N285">
        <v>3.1</v>
      </c>
      <c r="O285">
        <v>0.2</v>
      </c>
      <c r="P285">
        <v>6</v>
      </c>
      <c r="Q285">
        <v>0.2</v>
      </c>
      <c r="R285">
        <v>0.2</v>
      </c>
      <c r="S285">
        <v>0.2</v>
      </c>
      <c r="T285" t="s">
        <v>33</v>
      </c>
      <c r="U285">
        <v>3.2</v>
      </c>
      <c r="V285">
        <v>61</v>
      </c>
      <c r="W285">
        <v>0</v>
      </c>
      <c r="X285">
        <v>61</v>
      </c>
      <c r="Y285">
        <v>0</v>
      </c>
      <c r="Z285">
        <v>0</v>
      </c>
      <c r="AA285">
        <v>0</v>
      </c>
      <c r="AB285" t="s">
        <v>36</v>
      </c>
      <c r="AC285">
        <v>61</v>
      </c>
      <c r="AD285">
        <v>-0.16</v>
      </c>
    </row>
    <row r="286" spans="1:30" x14ac:dyDescent="0.25">
      <c r="A286" s="1">
        <v>44784.091041666667</v>
      </c>
      <c r="B286" s="1">
        <v>44784.089733796296</v>
      </c>
      <c r="C286">
        <v>115703</v>
      </c>
      <c r="D286" t="s">
        <v>47</v>
      </c>
      <c r="E286" t="s">
        <v>35</v>
      </c>
      <c r="F286">
        <v>7</v>
      </c>
      <c r="G286">
        <v>43.953625000000002</v>
      </c>
      <c r="H286">
        <v>-71.508859999999999</v>
      </c>
      <c r="I286">
        <v>1493</v>
      </c>
      <c r="J286">
        <v>62</v>
      </c>
      <c r="K286">
        <v>0</v>
      </c>
      <c r="L286" s="1">
        <v>44784.090995370374</v>
      </c>
      <c r="M286">
        <v>0</v>
      </c>
      <c r="N286">
        <v>300.89999999999998</v>
      </c>
      <c r="O286">
        <v>300.89999999999998</v>
      </c>
      <c r="P286">
        <v>200</v>
      </c>
      <c r="Q286">
        <v>0</v>
      </c>
      <c r="R286">
        <v>0</v>
      </c>
      <c r="S286">
        <v>0</v>
      </c>
      <c r="T286" t="s">
        <v>48</v>
      </c>
      <c r="V286">
        <v>69</v>
      </c>
      <c r="W286">
        <v>0</v>
      </c>
      <c r="X286">
        <v>69</v>
      </c>
      <c r="Y286">
        <v>1</v>
      </c>
      <c r="Z286">
        <v>0</v>
      </c>
      <c r="AA286">
        <v>1</v>
      </c>
      <c r="AB286" t="s">
        <v>36</v>
      </c>
      <c r="AC286">
        <v>69</v>
      </c>
    </row>
    <row r="287" spans="1:30" x14ac:dyDescent="0.25">
      <c r="A287" s="1">
        <v>44784.091041666667</v>
      </c>
      <c r="B287" s="1">
        <v>44784.089143518519</v>
      </c>
      <c r="C287">
        <v>12050</v>
      </c>
      <c r="D287" t="s">
        <v>49</v>
      </c>
      <c r="E287" t="s">
        <v>35</v>
      </c>
      <c r="F287">
        <v>7</v>
      </c>
      <c r="G287">
        <v>44.220573000000002</v>
      </c>
      <c r="H287">
        <v>-71.732315</v>
      </c>
      <c r="I287">
        <v>999</v>
      </c>
      <c r="J287">
        <v>69</v>
      </c>
      <c r="K287">
        <v>0</v>
      </c>
      <c r="L287" s="1">
        <v>44784.090995370374</v>
      </c>
      <c r="M287">
        <v>2.9</v>
      </c>
      <c r="N287">
        <v>2.9</v>
      </c>
      <c r="O287">
        <v>0</v>
      </c>
      <c r="P287">
        <v>0</v>
      </c>
      <c r="Q287">
        <v>0.1</v>
      </c>
      <c r="R287">
        <v>0.1</v>
      </c>
      <c r="S287">
        <v>0.1</v>
      </c>
      <c r="T287" t="s">
        <v>33</v>
      </c>
      <c r="U287">
        <v>2.9</v>
      </c>
      <c r="V287">
        <v>57</v>
      </c>
      <c r="W287">
        <v>0</v>
      </c>
      <c r="X287">
        <v>57</v>
      </c>
      <c r="Y287">
        <v>0</v>
      </c>
      <c r="Z287">
        <v>0</v>
      </c>
      <c r="AA287">
        <v>0</v>
      </c>
      <c r="AB287" t="s">
        <v>36</v>
      </c>
      <c r="AC287">
        <v>57</v>
      </c>
      <c r="AD287">
        <v>-0.06</v>
      </c>
    </row>
    <row r="288" spans="1:30" x14ac:dyDescent="0.25">
      <c r="A288" s="1">
        <v>44784.091041666667</v>
      </c>
      <c r="B288" s="1">
        <v>44784.089247685188</v>
      </c>
      <c r="C288">
        <v>23443</v>
      </c>
      <c r="D288" t="s">
        <v>50</v>
      </c>
      <c r="E288" t="s">
        <v>35</v>
      </c>
      <c r="F288">
        <v>7</v>
      </c>
      <c r="G288">
        <v>43.556139999999999</v>
      </c>
      <c r="H288">
        <v>-72.370990000000006</v>
      </c>
      <c r="I288">
        <v>523</v>
      </c>
      <c r="J288">
        <v>70</v>
      </c>
      <c r="K288">
        <v>0</v>
      </c>
      <c r="L288" s="1">
        <v>44784.090995370374</v>
      </c>
      <c r="M288">
        <v>3.4</v>
      </c>
      <c r="N288">
        <v>3</v>
      </c>
      <c r="O288">
        <v>0.4</v>
      </c>
      <c r="P288">
        <v>12</v>
      </c>
      <c r="Q288">
        <v>0.2</v>
      </c>
      <c r="R288">
        <v>0</v>
      </c>
      <c r="S288">
        <v>0.1</v>
      </c>
      <c r="T288" t="s">
        <v>33</v>
      </c>
      <c r="U288">
        <v>3.2</v>
      </c>
      <c r="V288">
        <v>66</v>
      </c>
      <c r="W288">
        <v>0</v>
      </c>
      <c r="X288">
        <v>66</v>
      </c>
      <c r="Y288">
        <v>0</v>
      </c>
      <c r="Z288">
        <v>0</v>
      </c>
      <c r="AA288">
        <v>0</v>
      </c>
      <c r="AB288" t="s">
        <v>36</v>
      </c>
      <c r="AC288">
        <v>66</v>
      </c>
      <c r="AD288">
        <v>-0.51</v>
      </c>
    </row>
    <row r="289" spans="1:30" x14ac:dyDescent="0.25">
      <c r="A289" s="1">
        <v>44784.091053240743</v>
      </c>
      <c r="B289" s="1">
        <v>44784.08934027778</v>
      </c>
      <c r="C289">
        <v>58135</v>
      </c>
      <c r="D289" t="s">
        <v>51</v>
      </c>
      <c r="E289" t="s">
        <v>35</v>
      </c>
      <c r="F289">
        <v>7</v>
      </c>
      <c r="G289">
        <v>42.883873000000001</v>
      </c>
      <c r="H289">
        <v>-71.972915999999998</v>
      </c>
      <c r="I289">
        <v>808</v>
      </c>
      <c r="J289">
        <v>71</v>
      </c>
      <c r="K289">
        <v>0</v>
      </c>
      <c r="L289" s="1">
        <v>44784.090995370374</v>
      </c>
      <c r="M289">
        <v>7.8</v>
      </c>
      <c r="N289">
        <v>5.2</v>
      </c>
      <c r="O289">
        <v>2.6</v>
      </c>
      <c r="P289">
        <v>40</v>
      </c>
      <c r="Q289">
        <v>0.2</v>
      </c>
      <c r="R289">
        <v>0.1</v>
      </c>
      <c r="S289">
        <v>0.15</v>
      </c>
      <c r="T289" t="s">
        <v>33</v>
      </c>
      <c r="U289">
        <v>6.5</v>
      </c>
      <c r="V289">
        <v>72</v>
      </c>
      <c r="W289">
        <v>0</v>
      </c>
      <c r="X289">
        <v>72</v>
      </c>
      <c r="Y289">
        <v>0</v>
      </c>
      <c r="Z289">
        <v>0</v>
      </c>
      <c r="AA289">
        <v>0</v>
      </c>
      <c r="AB289" t="s">
        <v>36</v>
      </c>
      <c r="AC289">
        <v>72</v>
      </c>
      <c r="AD289">
        <v>1.08</v>
      </c>
    </row>
    <row r="290" spans="1:30" x14ac:dyDescent="0.25">
      <c r="A290" s="1">
        <v>44784.091053240743</v>
      </c>
      <c r="B290" s="1">
        <v>44784.089398148149</v>
      </c>
      <c r="C290">
        <v>148555</v>
      </c>
      <c r="D290" t="s">
        <v>52</v>
      </c>
      <c r="E290" t="s">
        <v>53</v>
      </c>
      <c r="F290">
        <v>7</v>
      </c>
      <c r="G290">
        <v>42.904949999999999</v>
      </c>
      <c r="H290">
        <v>-71.386764999999997</v>
      </c>
      <c r="I290">
        <v>363</v>
      </c>
      <c r="J290">
        <v>0</v>
      </c>
      <c r="K290">
        <v>0</v>
      </c>
      <c r="L290" s="1">
        <v>44784.090995370374</v>
      </c>
      <c r="M290">
        <v>1.5</v>
      </c>
      <c r="N290">
        <v>2.1</v>
      </c>
      <c r="O290">
        <v>0.6</v>
      </c>
      <c r="P290">
        <v>33</v>
      </c>
      <c r="Q290">
        <v>0.1</v>
      </c>
      <c r="R290">
        <v>0.2</v>
      </c>
      <c r="S290">
        <v>0.15</v>
      </c>
      <c r="T290" t="s">
        <v>33</v>
      </c>
      <c r="U290">
        <v>1.8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 t="s">
        <v>38</v>
      </c>
    </row>
    <row r="291" spans="1:30" x14ac:dyDescent="0.25">
      <c r="A291" s="1">
        <v>44784.091053240743</v>
      </c>
      <c r="B291" s="1">
        <v>44784.090324074074</v>
      </c>
      <c r="C291">
        <v>146644</v>
      </c>
      <c r="D291" t="s">
        <v>54</v>
      </c>
      <c r="E291" t="s">
        <v>53</v>
      </c>
      <c r="F291">
        <v>7</v>
      </c>
      <c r="G291">
        <v>43.06015</v>
      </c>
      <c r="H291">
        <v>-70.758930000000007</v>
      </c>
      <c r="I291">
        <v>35</v>
      </c>
      <c r="J291">
        <v>69</v>
      </c>
      <c r="K291">
        <v>71</v>
      </c>
      <c r="L291" s="1">
        <v>44784.090995370374</v>
      </c>
      <c r="M291">
        <v>9.6999999999999993</v>
      </c>
      <c r="N291">
        <v>8.1999999999999993</v>
      </c>
      <c r="O291">
        <v>1.5</v>
      </c>
      <c r="P291">
        <v>17</v>
      </c>
      <c r="Q291">
        <v>0.5</v>
      </c>
      <c r="R291">
        <v>0.6</v>
      </c>
      <c r="S291">
        <v>0.55000000000000004</v>
      </c>
      <c r="T291" t="s">
        <v>33</v>
      </c>
      <c r="U291">
        <v>8.9499999999999993</v>
      </c>
      <c r="V291">
        <v>67</v>
      </c>
      <c r="W291">
        <v>72</v>
      </c>
      <c r="X291">
        <v>5</v>
      </c>
      <c r="Y291">
        <v>1</v>
      </c>
      <c r="Z291">
        <v>0</v>
      </c>
      <c r="AA291">
        <v>1</v>
      </c>
      <c r="AB291" t="s">
        <v>33</v>
      </c>
      <c r="AC291">
        <v>69.5</v>
      </c>
      <c r="AD291">
        <v>2.75</v>
      </c>
    </row>
    <row r="292" spans="1:30" x14ac:dyDescent="0.25">
      <c r="A292" s="1">
        <v>44784.091053240743</v>
      </c>
      <c r="B292" s="1">
        <v>43755.283437500002</v>
      </c>
      <c r="C292">
        <v>12188</v>
      </c>
      <c r="D292" t="s">
        <v>55</v>
      </c>
      <c r="E292" t="s">
        <v>35</v>
      </c>
      <c r="F292">
        <v>4.1100000000000003</v>
      </c>
      <c r="G292">
        <v>42.927050000000001</v>
      </c>
      <c r="H292">
        <v>-72.279610000000005</v>
      </c>
      <c r="I292">
        <v>475</v>
      </c>
      <c r="J292">
        <v>95</v>
      </c>
      <c r="K292">
        <v>0</v>
      </c>
      <c r="L292" s="1">
        <v>44784.090995370374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t="s">
        <v>32</v>
      </c>
      <c r="V292">
        <v>77</v>
      </c>
      <c r="W292">
        <v>0</v>
      </c>
      <c r="X292">
        <v>77</v>
      </c>
      <c r="Y292">
        <v>0</v>
      </c>
      <c r="Z292">
        <v>0</v>
      </c>
      <c r="AA292">
        <v>0</v>
      </c>
      <c r="AB292" t="s">
        <v>36</v>
      </c>
      <c r="AC292">
        <v>77</v>
      </c>
    </row>
    <row r="293" spans="1:30" x14ac:dyDescent="0.25">
      <c r="A293" s="1">
        <v>44784.091064814813</v>
      </c>
      <c r="B293" s="1">
        <v>44784.089247685188</v>
      </c>
      <c r="C293">
        <v>1224</v>
      </c>
      <c r="D293" t="s">
        <v>56</v>
      </c>
      <c r="E293" t="s">
        <v>35</v>
      </c>
      <c r="F293" t="s">
        <v>57</v>
      </c>
      <c r="G293">
        <v>42.938034000000002</v>
      </c>
      <c r="H293">
        <v>-72.259299999999996</v>
      </c>
      <c r="I293">
        <v>792</v>
      </c>
      <c r="J293">
        <v>76</v>
      </c>
      <c r="K293">
        <v>0</v>
      </c>
      <c r="L293" s="1">
        <v>44784.090995370374</v>
      </c>
      <c r="M293">
        <v>2.2999999999999998</v>
      </c>
      <c r="N293">
        <v>0</v>
      </c>
      <c r="O293">
        <v>2.2999999999999998</v>
      </c>
      <c r="P293">
        <v>200</v>
      </c>
      <c r="Q293">
        <v>0</v>
      </c>
      <c r="R293">
        <v>0</v>
      </c>
      <c r="S293">
        <v>0</v>
      </c>
      <c r="T293" t="s">
        <v>43</v>
      </c>
      <c r="V293">
        <v>82</v>
      </c>
      <c r="W293">
        <v>0</v>
      </c>
      <c r="X293">
        <v>82</v>
      </c>
      <c r="Y293">
        <v>1</v>
      </c>
      <c r="Z293">
        <v>0</v>
      </c>
      <c r="AA293">
        <v>1</v>
      </c>
      <c r="AB293" t="s">
        <v>36</v>
      </c>
      <c r="AC293">
        <v>82</v>
      </c>
    </row>
    <row r="294" spans="1:30" x14ac:dyDescent="0.25">
      <c r="A294" s="1">
        <v>44784.091064814813</v>
      </c>
      <c r="B294" s="1">
        <v>44784.090081018519</v>
      </c>
      <c r="C294">
        <v>1202</v>
      </c>
      <c r="D294" t="s">
        <v>58</v>
      </c>
      <c r="E294" t="s">
        <v>35</v>
      </c>
      <c r="F294" t="s">
        <v>57</v>
      </c>
      <c r="G294">
        <v>42.936554000000001</v>
      </c>
      <c r="H294">
        <v>-72.271019999999993</v>
      </c>
      <c r="I294">
        <v>488</v>
      </c>
      <c r="J294">
        <v>0</v>
      </c>
      <c r="K294">
        <v>0</v>
      </c>
      <c r="L294" s="1">
        <v>44784.090995370374</v>
      </c>
      <c r="M294">
        <v>2.2999999999999998</v>
      </c>
      <c r="N294">
        <v>2.2999999999999998</v>
      </c>
      <c r="O294">
        <v>0</v>
      </c>
      <c r="P294">
        <v>0</v>
      </c>
      <c r="Q294">
        <v>0.1</v>
      </c>
      <c r="R294">
        <v>0.1</v>
      </c>
      <c r="S294">
        <v>0.1</v>
      </c>
      <c r="T294" t="s">
        <v>33</v>
      </c>
      <c r="U294">
        <v>2.2999999999999998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 t="s">
        <v>38</v>
      </c>
    </row>
    <row r="295" spans="1:30" x14ac:dyDescent="0.25">
      <c r="A295" s="1">
        <v>44784.091064814813</v>
      </c>
      <c r="B295" s="1">
        <v>44612.080023148148</v>
      </c>
      <c r="C295">
        <v>25985</v>
      </c>
      <c r="D295" t="s">
        <v>59</v>
      </c>
      <c r="E295" t="s">
        <v>35</v>
      </c>
      <c r="F295">
        <v>6.01</v>
      </c>
      <c r="G295">
        <v>42.927326000000001</v>
      </c>
      <c r="H295">
        <v>-72.279979999999995</v>
      </c>
      <c r="I295">
        <v>477</v>
      </c>
      <c r="J295">
        <v>78</v>
      </c>
      <c r="K295">
        <v>0</v>
      </c>
      <c r="L295" s="1">
        <v>44784.090995370374</v>
      </c>
      <c r="M295">
        <v>1.1000000000000001</v>
      </c>
      <c r="N295">
        <v>1</v>
      </c>
      <c r="O295">
        <v>0.1</v>
      </c>
      <c r="P295">
        <v>10</v>
      </c>
      <c r="Q295">
        <v>0</v>
      </c>
      <c r="R295">
        <v>0</v>
      </c>
      <c r="S295">
        <v>0</v>
      </c>
      <c r="T295" t="s">
        <v>32</v>
      </c>
      <c r="V295">
        <v>22</v>
      </c>
      <c r="W295">
        <v>0</v>
      </c>
      <c r="X295">
        <v>22</v>
      </c>
      <c r="Y295">
        <v>0</v>
      </c>
      <c r="Z295">
        <v>0</v>
      </c>
      <c r="AA295">
        <v>0</v>
      </c>
      <c r="AB295" t="s">
        <v>36</v>
      </c>
      <c r="AC295">
        <v>22</v>
      </c>
    </row>
    <row r="296" spans="1:30" x14ac:dyDescent="0.25">
      <c r="A296" s="1">
        <v>44784.097951388889</v>
      </c>
      <c r="B296" s="1">
        <v>44775.701319444444</v>
      </c>
      <c r="C296">
        <v>151708</v>
      </c>
      <c r="D296" t="s">
        <v>30</v>
      </c>
      <c r="E296" t="s">
        <v>31</v>
      </c>
      <c r="F296">
        <v>7</v>
      </c>
      <c r="G296">
        <v>43.192042999999998</v>
      </c>
      <c r="H296">
        <v>-71.541579999999996</v>
      </c>
      <c r="I296">
        <v>291</v>
      </c>
      <c r="J296">
        <v>93</v>
      </c>
      <c r="K296">
        <v>94</v>
      </c>
      <c r="L296" s="1">
        <v>44784.097939814812</v>
      </c>
      <c r="M296">
        <v>7.9</v>
      </c>
      <c r="N296">
        <v>7.6</v>
      </c>
      <c r="O296">
        <v>0.3</v>
      </c>
      <c r="P296">
        <v>4</v>
      </c>
      <c r="Q296">
        <v>0</v>
      </c>
      <c r="R296">
        <v>0</v>
      </c>
      <c r="S296">
        <v>0</v>
      </c>
      <c r="T296" t="s">
        <v>32</v>
      </c>
      <c r="V296">
        <v>42</v>
      </c>
      <c r="W296">
        <v>41</v>
      </c>
      <c r="X296">
        <v>1</v>
      </c>
      <c r="Y296">
        <v>0</v>
      </c>
      <c r="Z296">
        <v>0</v>
      </c>
      <c r="AA296">
        <v>0</v>
      </c>
      <c r="AB296" t="s">
        <v>33</v>
      </c>
      <c r="AC296">
        <v>41.5</v>
      </c>
    </row>
    <row r="297" spans="1:30" x14ac:dyDescent="0.25">
      <c r="A297" s="1">
        <v>44784.097962962966</v>
      </c>
      <c r="B297" s="1">
        <v>44784.096250000002</v>
      </c>
      <c r="C297">
        <v>143456</v>
      </c>
      <c r="D297" t="s">
        <v>34</v>
      </c>
      <c r="E297" t="s">
        <v>35</v>
      </c>
      <c r="F297">
        <v>7</v>
      </c>
      <c r="G297">
        <v>43.08963</v>
      </c>
      <c r="H297">
        <v>-71.502440000000007</v>
      </c>
      <c r="I297">
        <v>619</v>
      </c>
      <c r="J297">
        <v>70</v>
      </c>
      <c r="K297">
        <v>0</v>
      </c>
      <c r="L297" s="1">
        <v>44784.097939814812</v>
      </c>
      <c r="M297">
        <v>3</v>
      </c>
      <c r="N297">
        <v>3.4</v>
      </c>
      <c r="O297">
        <v>0.4</v>
      </c>
      <c r="P297">
        <v>12</v>
      </c>
      <c r="Q297">
        <v>0.1</v>
      </c>
      <c r="R297">
        <v>0.1</v>
      </c>
      <c r="S297">
        <v>0.1</v>
      </c>
      <c r="T297" t="s">
        <v>33</v>
      </c>
      <c r="U297">
        <v>3.2</v>
      </c>
      <c r="V297">
        <v>70</v>
      </c>
      <c r="W297">
        <v>0</v>
      </c>
      <c r="X297">
        <v>70</v>
      </c>
      <c r="Y297">
        <v>0</v>
      </c>
      <c r="Z297">
        <v>0</v>
      </c>
      <c r="AA297">
        <v>0</v>
      </c>
      <c r="AB297" t="s">
        <v>36</v>
      </c>
      <c r="AC297">
        <v>70</v>
      </c>
      <c r="AD297">
        <v>-0.79</v>
      </c>
    </row>
    <row r="298" spans="1:30" x14ac:dyDescent="0.25">
      <c r="A298" s="1">
        <v>44784.097962962966</v>
      </c>
      <c r="B298" s="1">
        <v>44784.096435185187</v>
      </c>
      <c r="C298">
        <v>151702</v>
      </c>
      <c r="D298" t="s">
        <v>37</v>
      </c>
      <c r="E298" t="s">
        <v>31</v>
      </c>
      <c r="F298">
        <v>7</v>
      </c>
      <c r="G298">
        <v>43.118609999999997</v>
      </c>
      <c r="H298">
        <v>-71.61618</v>
      </c>
      <c r="I298">
        <v>885</v>
      </c>
      <c r="J298">
        <v>0</v>
      </c>
      <c r="K298">
        <v>0</v>
      </c>
      <c r="L298" s="1">
        <v>44784.097939814812</v>
      </c>
      <c r="M298">
        <v>3.4</v>
      </c>
      <c r="N298">
        <v>3.1</v>
      </c>
      <c r="O298">
        <v>0.3</v>
      </c>
      <c r="P298">
        <v>9</v>
      </c>
      <c r="Q298">
        <v>0.1</v>
      </c>
      <c r="R298">
        <v>0.1</v>
      </c>
      <c r="S298">
        <v>0.1</v>
      </c>
      <c r="T298" t="s">
        <v>33</v>
      </c>
      <c r="U298">
        <v>3.25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 t="s">
        <v>38</v>
      </c>
    </row>
    <row r="299" spans="1:30" x14ac:dyDescent="0.25">
      <c r="A299" s="1">
        <v>44784.097962962966</v>
      </c>
      <c r="B299" s="1">
        <v>44784.096319444441</v>
      </c>
      <c r="C299">
        <v>151700</v>
      </c>
      <c r="D299" t="s">
        <v>30</v>
      </c>
      <c r="E299" t="s">
        <v>31</v>
      </c>
      <c r="F299">
        <v>7</v>
      </c>
      <c r="G299">
        <v>43.19211</v>
      </c>
      <c r="H299">
        <v>-71.541460000000001</v>
      </c>
      <c r="I299">
        <v>286</v>
      </c>
      <c r="J299">
        <v>71</v>
      </c>
      <c r="K299">
        <v>0</v>
      </c>
      <c r="L299" s="1">
        <v>44784.097939814812</v>
      </c>
      <c r="M299">
        <v>2.7</v>
      </c>
      <c r="N299">
        <v>3.3</v>
      </c>
      <c r="O299">
        <v>0.6</v>
      </c>
      <c r="P299">
        <v>20</v>
      </c>
      <c r="Q299">
        <v>0</v>
      </c>
      <c r="R299">
        <v>0.1</v>
      </c>
      <c r="S299">
        <v>0.05</v>
      </c>
      <c r="T299" t="s">
        <v>33</v>
      </c>
      <c r="U299">
        <v>3</v>
      </c>
      <c r="V299">
        <v>65</v>
      </c>
      <c r="W299">
        <v>0</v>
      </c>
      <c r="X299">
        <v>65</v>
      </c>
      <c r="Y299">
        <v>0</v>
      </c>
      <c r="Z299">
        <v>0</v>
      </c>
      <c r="AA299">
        <v>0</v>
      </c>
      <c r="AB299" t="s">
        <v>36</v>
      </c>
      <c r="AC299">
        <v>65</v>
      </c>
      <c r="AD299">
        <v>-0.56000000000000005</v>
      </c>
    </row>
    <row r="300" spans="1:30" x14ac:dyDescent="0.25">
      <c r="A300" s="1">
        <v>44784.097974537035</v>
      </c>
      <c r="B300" s="1">
        <v>44784.096724537034</v>
      </c>
      <c r="C300">
        <v>135984</v>
      </c>
      <c r="D300" t="s">
        <v>39</v>
      </c>
      <c r="E300" t="s">
        <v>31</v>
      </c>
      <c r="F300">
        <v>7</v>
      </c>
      <c r="G300">
        <v>43.565852999999997</v>
      </c>
      <c r="H300">
        <v>-71.496129999999994</v>
      </c>
      <c r="I300">
        <v>708</v>
      </c>
      <c r="J300">
        <v>68</v>
      </c>
      <c r="K300">
        <v>0</v>
      </c>
      <c r="L300" s="1">
        <v>44784.097939814812</v>
      </c>
      <c r="M300">
        <v>5.2</v>
      </c>
      <c r="N300">
        <v>4.3</v>
      </c>
      <c r="O300">
        <v>0.9</v>
      </c>
      <c r="P300">
        <v>19</v>
      </c>
      <c r="Q300">
        <v>0.1</v>
      </c>
      <c r="R300">
        <v>0.1</v>
      </c>
      <c r="S300">
        <v>0.1</v>
      </c>
      <c r="T300" t="s">
        <v>33</v>
      </c>
      <c r="U300">
        <v>4.75</v>
      </c>
      <c r="V300">
        <v>94</v>
      </c>
      <c r="W300">
        <v>0</v>
      </c>
      <c r="X300">
        <v>94</v>
      </c>
      <c r="Y300">
        <v>1</v>
      </c>
      <c r="Z300">
        <v>0</v>
      </c>
      <c r="AA300">
        <v>1</v>
      </c>
      <c r="AB300" t="s">
        <v>36</v>
      </c>
      <c r="AC300">
        <v>94</v>
      </c>
      <c r="AD300">
        <v>-1.52</v>
      </c>
    </row>
    <row r="301" spans="1:30" x14ac:dyDescent="0.25">
      <c r="A301" s="1">
        <v>44784.097974537035</v>
      </c>
      <c r="B301" s="1">
        <v>44780.394780092596</v>
      </c>
      <c r="C301">
        <v>151712</v>
      </c>
      <c r="D301" t="s">
        <v>40</v>
      </c>
      <c r="E301" t="s">
        <v>31</v>
      </c>
      <c r="F301">
        <v>7</v>
      </c>
      <c r="G301">
        <v>43.289763999999998</v>
      </c>
      <c r="H301">
        <v>-71.564260000000004</v>
      </c>
      <c r="I301">
        <v>370</v>
      </c>
      <c r="J301">
        <v>86</v>
      </c>
      <c r="K301">
        <v>0</v>
      </c>
      <c r="L301" s="1">
        <v>44784.097939814812</v>
      </c>
      <c r="M301">
        <v>14</v>
      </c>
      <c r="N301">
        <v>13.2</v>
      </c>
      <c r="O301">
        <v>0.8</v>
      </c>
      <c r="P301">
        <v>6</v>
      </c>
      <c r="Q301">
        <v>0</v>
      </c>
      <c r="R301">
        <v>0</v>
      </c>
      <c r="S301">
        <v>0</v>
      </c>
      <c r="T301" t="s">
        <v>32</v>
      </c>
      <c r="V301">
        <v>59</v>
      </c>
      <c r="W301">
        <v>0</v>
      </c>
      <c r="X301">
        <v>59</v>
      </c>
      <c r="Y301">
        <v>0</v>
      </c>
      <c r="Z301">
        <v>0</v>
      </c>
      <c r="AA301">
        <v>0</v>
      </c>
      <c r="AB301" t="s">
        <v>36</v>
      </c>
      <c r="AC301">
        <v>59</v>
      </c>
    </row>
    <row r="302" spans="1:30" x14ac:dyDescent="0.25">
      <c r="A302" s="1">
        <v>44784.097974537035</v>
      </c>
      <c r="B302" s="1">
        <v>44784.097407407404</v>
      </c>
      <c r="C302">
        <v>151710</v>
      </c>
      <c r="D302" t="s">
        <v>41</v>
      </c>
      <c r="E302" t="s">
        <v>31</v>
      </c>
      <c r="F302">
        <v>7</v>
      </c>
      <c r="G302">
        <v>43.132477000000002</v>
      </c>
      <c r="H302">
        <v>-71.458374000000006</v>
      </c>
      <c r="I302">
        <v>230</v>
      </c>
      <c r="J302">
        <v>70</v>
      </c>
      <c r="K302">
        <v>0</v>
      </c>
      <c r="L302" s="1">
        <v>44784.097939814812</v>
      </c>
      <c r="M302">
        <v>4.9000000000000004</v>
      </c>
      <c r="N302">
        <v>3.7</v>
      </c>
      <c r="O302">
        <v>1.2</v>
      </c>
      <c r="P302">
        <v>28</v>
      </c>
      <c r="Q302">
        <v>0.1</v>
      </c>
      <c r="R302">
        <v>0.1</v>
      </c>
      <c r="S302">
        <v>0.1</v>
      </c>
      <c r="T302" t="s">
        <v>33</v>
      </c>
      <c r="U302">
        <v>4.3</v>
      </c>
      <c r="V302">
        <v>67</v>
      </c>
      <c r="W302">
        <v>0</v>
      </c>
      <c r="X302">
        <v>67</v>
      </c>
      <c r="Y302">
        <v>0</v>
      </c>
      <c r="Z302">
        <v>0</v>
      </c>
      <c r="AA302">
        <v>0</v>
      </c>
      <c r="AB302" t="s">
        <v>36</v>
      </c>
      <c r="AC302">
        <v>67</v>
      </c>
      <c r="AD302">
        <v>0.09</v>
      </c>
    </row>
    <row r="303" spans="1:30" x14ac:dyDescent="0.25">
      <c r="A303" s="1">
        <v>44784.097986111112</v>
      </c>
      <c r="B303" s="1">
        <v>44784.09710648148</v>
      </c>
      <c r="C303">
        <v>151706</v>
      </c>
      <c r="D303" t="s">
        <v>42</v>
      </c>
      <c r="E303" t="s">
        <v>31</v>
      </c>
      <c r="F303">
        <v>7</v>
      </c>
      <c r="G303">
        <v>43.004080000000002</v>
      </c>
      <c r="H303">
        <v>-71.177040000000005</v>
      </c>
      <c r="I303">
        <v>194</v>
      </c>
      <c r="J303">
        <v>71</v>
      </c>
      <c r="K303">
        <v>0</v>
      </c>
      <c r="L303" s="1">
        <v>44784.097939814812</v>
      </c>
      <c r="M303">
        <v>2.1</v>
      </c>
      <c r="N303">
        <v>0</v>
      </c>
      <c r="O303">
        <v>2.1</v>
      </c>
      <c r="P303">
        <v>200</v>
      </c>
      <c r="Q303">
        <v>0.2</v>
      </c>
      <c r="R303">
        <v>0</v>
      </c>
      <c r="S303">
        <v>0.1</v>
      </c>
      <c r="T303" t="s">
        <v>43</v>
      </c>
      <c r="V303">
        <v>66</v>
      </c>
      <c r="W303">
        <v>0</v>
      </c>
      <c r="X303">
        <v>66</v>
      </c>
      <c r="Y303">
        <v>0</v>
      </c>
      <c r="Z303">
        <v>0</v>
      </c>
      <c r="AA303">
        <v>0</v>
      </c>
      <c r="AB303" t="s">
        <v>36</v>
      </c>
      <c r="AC303">
        <v>66</v>
      </c>
    </row>
    <row r="304" spans="1:30" x14ac:dyDescent="0.25">
      <c r="A304" s="1">
        <v>44784.097986111112</v>
      </c>
      <c r="B304" s="1">
        <v>44784.09679398148</v>
      </c>
      <c r="C304">
        <v>12212</v>
      </c>
      <c r="D304" t="s">
        <v>44</v>
      </c>
      <c r="E304" t="s">
        <v>35</v>
      </c>
      <c r="F304">
        <v>7</v>
      </c>
      <c r="G304">
        <v>42.930529999999997</v>
      </c>
      <c r="H304">
        <v>-72.272350000000003</v>
      </c>
      <c r="I304">
        <v>476</v>
      </c>
      <c r="J304">
        <v>75</v>
      </c>
      <c r="K304">
        <v>0</v>
      </c>
      <c r="L304" s="1">
        <v>44784.097939814812</v>
      </c>
      <c r="M304">
        <v>3.5</v>
      </c>
      <c r="N304">
        <v>3</v>
      </c>
      <c r="O304">
        <v>0.5</v>
      </c>
      <c r="P304">
        <v>15</v>
      </c>
      <c r="Q304">
        <v>0.4</v>
      </c>
      <c r="R304">
        <v>0.5</v>
      </c>
      <c r="S304">
        <v>0.45</v>
      </c>
      <c r="T304" t="s">
        <v>33</v>
      </c>
      <c r="U304">
        <v>3.25</v>
      </c>
      <c r="V304">
        <v>88</v>
      </c>
      <c r="W304">
        <v>0</v>
      </c>
      <c r="X304">
        <v>88</v>
      </c>
      <c r="Y304">
        <v>6</v>
      </c>
      <c r="Z304">
        <v>0</v>
      </c>
      <c r="AA304">
        <v>6</v>
      </c>
      <c r="AB304" t="s">
        <v>36</v>
      </c>
      <c r="AC304">
        <v>88</v>
      </c>
      <c r="AD304">
        <v>-2.02</v>
      </c>
    </row>
    <row r="305" spans="1:30" x14ac:dyDescent="0.25">
      <c r="A305" s="1">
        <v>44784.097986111112</v>
      </c>
      <c r="B305" s="1">
        <v>44769.376736111109</v>
      </c>
      <c r="C305">
        <v>12178</v>
      </c>
      <c r="D305" t="s">
        <v>45</v>
      </c>
      <c r="E305" t="s">
        <v>35</v>
      </c>
      <c r="F305">
        <v>7</v>
      </c>
      <c r="G305">
        <v>42.899563000000001</v>
      </c>
      <c r="H305">
        <v>-71.464650000000006</v>
      </c>
      <c r="I305">
        <v>301</v>
      </c>
      <c r="J305">
        <v>85</v>
      </c>
      <c r="K305">
        <v>0</v>
      </c>
      <c r="L305" s="1">
        <v>44784.097939814812</v>
      </c>
      <c r="M305">
        <v>3.8</v>
      </c>
      <c r="N305">
        <v>3.1</v>
      </c>
      <c r="O305">
        <v>0.7</v>
      </c>
      <c r="P305">
        <v>20</v>
      </c>
      <c r="Q305">
        <v>0</v>
      </c>
      <c r="R305">
        <v>0</v>
      </c>
      <c r="S305">
        <v>0</v>
      </c>
      <c r="T305" t="s">
        <v>32</v>
      </c>
      <c r="V305">
        <v>35</v>
      </c>
      <c r="W305">
        <v>0</v>
      </c>
      <c r="X305">
        <v>35</v>
      </c>
      <c r="Y305">
        <v>0</v>
      </c>
      <c r="Z305">
        <v>0</v>
      </c>
      <c r="AA305">
        <v>0</v>
      </c>
      <c r="AB305" t="s">
        <v>36</v>
      </c>
      <c r="AC305">
        <v>35</v>
      </c>
    </row>
    <row r="306" spans="1:30" x14ac:dyDescent="0.25">
      <c r="A306" s="1">
        <v>44784.097986111112</v>
      </c>
      <c r="B306" s="1">
        <v>44784.097534722219</v>
      </c>
      <c r="C306">
        <v>75981</v>
      </c>
      <c r="D306" t="s">
        <v>46</v>
      </c>
      <c r="E306" t="s">
        <v>35</v>
      </c>
      <c r="F306">
        <v>7</v>
      </c>
      <c r="G306">
        <v>42.97</v>
      </c>
      <c r="H306">
        <v>-71.06</v>
      </c>
      <c r="I306">
        <v>136</v>
      </c>
      <c r="J306">
        <v>74</v>
      </c>
      <c r="K306">
        <v>0</v>
      </c>
      <c r="L306" s="1">
        <v>44784.097939814812</v>
      </c>
      <c r="M306">
        <v>3.3</v>
      </c>
      <c r="N306">
        <v>3.1</v>
      </c>
      <c r="O306">
        <v>0.2</v>
      </c>
      <c r="P306">
        <v>6</v>
      </c>
      <c r="Q306">
        <v>0</v>
      </c>
      <c r="R306">
        <v>0</v>
      </c>
      <c r="S306">
        <v>0</v>
      </c>
      <c r="T306" t="s">
        <v>33</v>
      </c>
      <c r="U306">
        <v>3.2</v>
      </c>
      <c r="V306">
        <v>61</v>
      </c>
      <c r="W306">
        <v>0</v>
      </c>
      <c r="X306">
        <v>61</v>
      </c>
      <c r="Y306">
        <v>0</v>
      </c>
      <c r="Z306">
        <v>0</v>
      </c>
      <c r="AA306">
        <v>0</v>
      </c>
      <c r="AB306" t="s">
        <v>36</v>
      </c>
      <c r="AC306">
        <v>61</v>
      </c>
      <c r="AD306">
        <v>-0.16</v>
      </c>
    </row>
    <row r="307" spans="1:30" x14ac:dyDescent="0.25">
      <c r="A307" s="1">
        <v>44784.097997685189</v>
      </c>
      <c r="B307" s="1">
        <v>44784.096678240741</v>
      </c>
      <c r="C307">
        <v>115703</v>
      </c>
      <c r="D307" t="s">
        <v>47</v>
      </c>
      <c r="E307" t="s">
        <v>35</v>
      </c>
      <c r="F307">
        <v>7</v>
      </c>
      <c r="G307">
        <v>43.953625000000002</v>
      </c>
      <c r="H307">
        <v>-71.508859999999999</v>
      </c>
      <c r="I307">
        <v>1493</v>
      </c>
      <c r="J307">
        <v>63</v>
      </c>
      <c r="K307">
        <v>0</v>
      </c>
      <c r="L307" s="1">
        <v>44784.097939814812</v>
      </c>
      <c r="M307">
        <v>0</v>
      </c>
      <c r="N307">
        <v>300.89999999999998</v>
      </c>
      <c r="O307">
        <v>300.89999999999998</v>
      </c>
      <c r="P307">
        <v>200</v>
      </c>
      <c r="Q307">
        <v>0</v>
      </c>
      <c r="R307">
        <v>0</v>
      </c>
      <c r="S307">
        <v>0</v>
      </c>
      <c r="T307" t="s">
        <v>48</v>
      </c>
      <c r="V307">
        <v>68</v>
      </c>
      <c r="W307">
        <v>0</v>
      </c>
      <c r="X307">
        <v>68</v>
      </c>
      <c r="Y307">
        <v>1</v>
      </c>
      <c r="Z307">
        <v>0</v>
      </c>
      <c r="AA307">
        <v>1</v>
      </c>
      <c r="AB307" t="s">
        <v>36</v>
      </c>
      <c r="AC307">
        <v>68</v>
      </c>
    </row>
    <row r="308" spans="1:30" x14ac:dyDescent="0.25">
      <c r="A308" s="1">
        <v>44784.097997685189</v>
      </c>
      <c r="B308" s="1">
        <v>44784.09747685185</v>
      </c>
      <c r="C308">
        <v>12050</v>
      </c>
      <c r="D308" t="s">
        <v>49</v>
      </c>
      <c r="E308" t="s">
        <v>35</v>
      </c>
      <c r="F308">
        <v>7</v>
      </c>
      <c r="G308">
        <v>44.220573000000002</v>
      </c>
      <c r="H308">
        <v>-71.732315</v>
      </c>
      <c r="I308">
        <v>999</v>
      </c>
      <c r="J308">
        <v>69</v>
      </c>
      <c r="K308">
        <v>0</v>
      </c>
      <c r="L308" s="1">
        <v>44784.097939814812</v>
      </c>
      <c r="M308">
        <v>2.9</v>
      </c>
      <c r="N308">
        <v>2.9</v>
      </c>
      <c r="O308">
        <v>0</v>
      </c>
      <c r="P308">
        <v>0</v>
      </c>
      <c r="Q308">
        <v>0</v>
      </c>
      <c r="R308">
        <v>0</v>
      </c>
      <c r="S308">
        <v>0</v>
      </c>
      <c r="T308" t="s">
        <v>33</v>
      </c>
      <c r="U308">
        <v>2.9</v>
      </c>
      <c r="V308">
        <v>58</v>
      </c>
      <c r="W308">
        <v>0</v>
      </c>
      <c r="X308">
        <v>58</v>
      </c>
      <c r="Y308">
        <v>1</v>
      </c>
      <c r="Z308">
        <v>0</v>
      </c>
      <c r="AA308">
        <v>1</v>
      </c>
      <c r="AB308" t="s">
        <v>36</v>
      </c>
      <c r="AC308">
        <v>58</v>
      </c>
      <c r="AD308">
        <v>-0.13</v>
      </c>
    </row>
    <row r="309" spans="1:30" x14ac:dyDescent="0.25">
      <c r="A309" s="1">
        <v>44784.097997685189</v>
      </c>
      <c r="B309" s="1">
        <v>44784.096192129633</v>
      </c>
      <c r="C309">
        <v>23443</v>
      </c>
      <c r="D309" t="s">
        <v>50</v>
      </c>
      <c r="E309" t="s">
        <v>35</v>
      </c>
      <c r="F309">
        <v>7</v>
      </c>
      <c r="G309">
        <v>43.556139999999999</v>
      </c>
      <c r="H309">
        <v>-72.370990000000006</v>
      </c>
      <c r="I309">
        <v>523</v>
      </c>
      <c r="J309">
        <v>70</v>
      </c>
      <c r="K309">
        <v>0</v>
      </c>
      <c r="L309" s="1">
        <v>44784.097939814812</v>
      </c>
      <c r="M309">
        <v>3.4</v>
      </c>
      <c r="N309">
        <v>3</v>
      </c>
      <c r="O309">
        <v>0.4</v>
      </c>
      <c r="P309">
        <v>12</v>
      </c>
      <c r="Q309">
        <v>0</v>
      </c>
      <c r="R309">
        <v>0</v>
      </c>
      <c r="S309">
        <v>0</v>
      </c>
      <c r="T309" t="s">
        <v>33</v>
      </c>
      <c r="U309">
        <v>3.2</v>
      </c>
      <c r="V309">
        <v>66</v>
      </c>
      <c r="W309">
        <v>0</v>
      </c>
      <c r="X309">
        <v>66</v>
      </c>
      <c r="Y309">
        <v>0</v>
      </c>
      <c r="Z309">
        <v>0</v>
      </c>
      <c r="AA309">
        <v>0</v>
      </c>
      <c r="AB309" t="s">
        <v>36</v>
      </c>
      <c r="AC309">
        <v>66</v>
      </c>
      <c r="AD309">
        <v>-0.51</v>
      </c>
    </row>
    <row r="310" spans="1:30" x14ac:dyDescent="0.25">
      <c r="A310" s="1">
        <v>44784.097997685189</v>
      </c>
      <c r="B310" s="1">
        <v>44784.097673611112</v>
      </c>
      <c r="C310">
        <v>58135</v>
      </c>
      <c r="D310" t="s">
        <v>51</v>
      </c>
      <c r="E310" t="s">
        <v>35</v>
      </c>
      <c r="F310">
        <v>7</v>
      </c>
      <c r="G310">
        <v>42.883873000000001</v>
      </c>
      <c r="H310">
        <v>-71.972915999999998</v>
      </c>
      <c r="I310">
        <v>808</v>
      </c>
      <c r="J310">
        <v>71</v>
      </c>
      <c r="K310">
        <v>0</v>
      </c>
      <c r="L310" s="1">
        <v>44784.097939814812</v>
      </c>
      <c r="M310">
        <v>7.6</v>
      </c>
      <c r="N310">
        <v>5.0999999999999996</v>
      </c>
      <c r="O310">
        <v>2.5</v>
      </c>
      <c r="P310">
        <v>39</v>
      </c>
      <c r="Q310">
        <v>0.2</v>
      </c>
      <c r="R310">
        <v>0.1</v>
      </c>
      <c r="S310">
        <v>0.15</v>
      </c>
      <c r="T310" t="s">
        <v>33</v>
      </c>
      <c r="U310">
        <v>6.35</v>
      </c>
      <c r="V310">
        <v>73</v>
      </c>
      <c r="W310">
        <v>0</v>
      </c>
      <c r="X310">
        <v>73</v>
      </c>
      <c r="Y310">
        <v>1</v>
      </c>
      <c r="Z310">
        <v>0</v>
      </c>
      <c r="AA310">
        <v>1</v>
      </c>
      <c r="AB310" t="s">
        <v>36</v>
      </c>
      <c r="AC310">
        <v>73</v>
      </c>
      <c r="AD310">
        <v>0.92</v>
      </c>
    </row>
    <row r="311" spans="1:30" x14ac:dyDescent="0.25">
      <c r="A311" s="1">
        <v>44784.098009259258</v>
      </c>
      <c r="B311" s="1">
        <v>44784.097743055558</v>
      </c>
      <c r="C311">
        <v>148555</v>
      </c>
      <c r="D311" t="s">
        <v>52</v>
      </c>
      <c r="E311" t="s">
        <v>53</v>
      </c>
      <c r="F311">
        <v>7</v>
      </c>
      <c r="G311">
        <v>42.904949999999999</v>
      </c>
      <c r="H311">
        <v>-71.386764999999997</v>
      </c>
      <c r="I311">
        <v>363</v>
      </c>
      <c r="J311">
        <v>0</v>
      </c>
      <c r="K311">
        <v>0</v>
      </c>
      <c r="L311" s="1">
        <v>44784.097939814812</v>
      </c>
      <c r="M311">
        <v>1.5</v>
      </c>
      <c r="N311">
        <v>2</v>
      </c>
      <c r="O311">
        <v>0.5</v>
      </c>
      <c r="P311">
        <v>29</v>
      </c>
      <c r="Q311">
        <v>0</v>
      </c>
      <c r="R311">
        <v>0.1</v>
      </c>
      <c r="S311">
        <v>0.05</v>
      </c>
      <c r="T311" t="s">
        <v>33</v>
      </c>
      <c r="U311">
        <v>1.75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">
        <v>38</v>
      </c>
    </row>
    <row r="312" spans="1:30" x14ac:dyDescent="0.25">
      <c r="A312" s="1">
        <v>44784.098009259258</v>
      </c>
      <c r="B312" s="1">
        <v>44784.097268518519</v>
      </c>
      <c r="C312">
        <v>146644</v>
      </c>
      <c r="D312" t="s">
        <v>54</v>
      </c>
      <c r="E312" t="s">
        <v>53</v>
      </c>
      <c r="F312">
        <v>7</v>
      </c>
      <c r="G312">
        <v>43.06015</v>
      </c>
      <c r="H312">
        <v>-70.758930000000007</v>
      </c>
      <c r="I312">
        <v>35</v>
      </c>
      <c r="J312">
        <v>69</v>
      </c>
      <c r="K312">
        <v>71</v>
      </c>
      <c r="L312" s="1">
        <v>44784.097939814812</v>
      </c>
      <c r="M312">
        <v>9.8000000000000007</v>
      </c>
      <c r="N312">
        <v>8.1</v>
      </c>
      <c r="O312">
        <v>1.7</v>
      </c>
      <c r="P312">
        <v>19</v>
      </c>
      <c r="Q312">
        <v>0.1</v>
      </c>
      <c r="R312">
        <v>0.1</v>
      </c>
      <c r="S312">
        <v>0.1</v>
      </c>
      <c r="T312" t="s">
        <v>33</v>
      </c>
      <c r="U312">
        <v>8.9499999999999993</v>
      </c>
      <c r="V312">
        <v>68</v>
      </c>
      <c r="W312">
        <v>73</v>
      </c>
      <c r="X312">
        <v>5</v>
      </c>
      <c r="Y312">
        <v>1</v>
      </c>
      <c r="Z312">
        <v>1</v>
      </c>
      <c r="AA312">
        <v>0</v>
      </c>
      <c r="AB312" t="s">
        <v>33</v>
      </c>
      <c r="AC312">
        <v>70.5</v>
      </c>
      <c r="AD312">
        <v>2.68</v>
      </c>
    </row>
    <row r="313" spans="1:30" x14ac:dyDescent="0.25">
      <c r="A313" s="1">
        <v>44784.098009259258</v>
      </c>
      <c r="B313" s="1">
        <v>43755.283437500002</v>
      </c>
      <c r="C313">
        <v>12188</v>
      </c>
      <c r="D313" t="s">
        <v>55</v>
      </c>
      <c r="E313" t="s">
        <v>35</v>
      </c>
      <c r="F313">
        <v>4.1100000000000003</v>
      </c>
      <c r="G313">
        <v>42.927050000000001</v>
      </c>
      <c r="H313">
        <v>-72.279610000000005</v>
      </c>
      <c r="I313">
        <v>475</v>
      </c>
      <c r="J313">
        <v>95</v>
      </c>
      <c r="K313">
        <v>0</v>
      </c>
      <c r="L313" s="1">
        <v>44784.097939814812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 t="s">
        <v>32</v>
      </c>
      <c r="V313">
        <v>77</v>
      </c>
      <c r="W313">
        <v>0</v>
      </c>
      <c r="X313">
        <v>77</v>
      </c>
      <c r="Y313">
        <v>0</v>
      </c>
      <c r="Z313">
        <v>0</v>
      </c>
      <c r="AA313">
        <v>0</v>
      </c>
      <c r="AB313" t="s">
        <v>36</v>
      </c>
      <c r="AC313">
        <v>77</v>
      </c>
    </row>
    <row r="314" spans="1:30" x14ac:dyDescent="0.25">
      <c r="A314" s="1">
        <v>44784.098009259258</v>
      </c>
      <c r="B314" s="1">
        <v>44784.097581018519</v>
      </c>
      <c r="C314">
        <v>1224</v>
      </c>
      <c r="D314" t="s">
        <v>56</v>
      </c>
      <c r="E314" t="s">
        <v>35</v>
      </c>
      <c r="F314" t="s">
        <v>57</v>
      </c>
      <c r="G314">
        <v>42.938034000000002</v>
      </c>
      <c r="H314">
        <v>-72.259299999999996</v>
      </c>
      <c r="I314">
        <v>792</v>
      </c>
      <c r="J314">
        <v>76</v>
      </c>
      <c r="K314">
        <v>0</v>
      </c>
      <c r="L314" s="1">
        <v>44784.097939814812</v>
      </c>
      <c r="M314">
        <v>2.4</v>
      </c>
      <c r="N314">
        <v>0</v>
      </c>
      <c r="O314">
        <v>2.4</v>
      </c>
      <c r="P314">
        <v>200</v>
      </c>
      <c r="Q314">
        <v>0.1</v>
      </c>
      <c r="R314">
        <v>0</v>
      </c>
      <c r="S314">
        <v>0.05</v>
      </c>
      <c r="T314" t="s">
        <v>43</v>
      </c>
      <c r="V314">
        <v>82</v>
      </c>
      <c r="W314">
        <v>0</v>
      </c>
      <c r="X314">
        <v>82</v>
      </c>
      <c r="Y314">
        <v>0</v>
      </c>
      <c r="Z314">
        <v>0</v>
      </c>
      <c r="AA314">
        <v>0</v>
      </c>
      <c r="AB314" t="s">
        <v>36</v>
      </c>
      <c r="AC314">
        <v>82</v>
      </c>
    </row>
    <row r="315" spans="1:30" x14ac:dyDescent="0.25">
      <c r="A315" s="1">
        <v>44784.098020833335</v>
      </c>
      <c r="B315" s="1">
        <v>44784.097025462965</v>
      </c>
      <c r="C315">
        <v>1202</v>
      </c>
      <c r="D315" t="s">
        <v>58</v>
      </c>
      <c r="E315" t="s">
        <v>35</v>
      </c>
      <c r="F315" t="s">
        <v>57</v>
      </c>
      <c r="G315">
        <v>42.936554000000001</v>
      </c>
      <c r="H315">
        <v>-72.271019999999993</v>
      </c>
      <c r="I315">
        <v>488</v>
      </c>
      <c r="J315">
        <v>0</v>
      </c>
      <c r="K315">
        <v>0</v>
      </c>
      <c r="L315" s="1">
        <v>44784.097939814812</v>
      </c>
      <c r="M315">
        <v>2.2000000000000002</v>
      </c>
      <c r="N315">
        <v>2.1</v>
      </c>
      <c r="O315">
        <v>0.1</v>
      </c>
      <c r="P315">
        <v>5</v>
      </c>
      <c r="Q315">
        <v>0.1</v>
      </c>
      <c r="R315">
        <v>0.2</v>
      </c>
      <c r="S315">
        <v>0.15</v>
      </c>
      <c r="T315" t="s">
        <v>33</v>
      </c>
      <c r="U315">
        <v>2.15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">
        <v>38</v>
      </c>
    </row>
    <row r="316" spans="1:30" x14ac:dyDescent="0.25">
      <c r="A316" s="1">
        <v>44784.098020833335</v>
      </c>
      <c r="B316" s="1">
        <v>44612.080023148148</v>
      </c>
      <c r="C316">
        <v>25985</v>
      </c>
      <c r="D316" t="s">
        <v>59</v>
      </c>
      <c r="E316" t="s">
        <v>35</v>
      </c>
      <c r="F316">
        <v>6.01</v>
      </c>
      <c r="G316">
        <v>42.927326000000001</v>
      </c>
      <c r="H316">
        <v>-72.279979999999995</v>
      </c>
      <c r="I316">
        <v>477</v>
      </c>
      <c r="J316">
        <v>78</v>
      </c>
      <c r="K316">
        <v>0</v>
      </c>
      <c r="L316" s="1">
        <v>44784.097939814812</v>
      </c>
      <c r="M316">
        <v>1.1000000000000001</v>
      </c>
      <c r="N316">
        <v>1</v>
      </c>
      <c r="O316">
        <v>0.1</v>
      </c>
      <c r="P316">
        <v>10</v>
      </c>
      <c r="Q316">
        <v>0</v>
      </c>
      <c r="R316">
        <v>0</v>
      </c>
      <c r="S316">
        <v>0</v>
      </c>
      <c r="T316" t="s">
        <v>32</v>
      </c>
      <c r="V316">
        <v>22</v>
      </c>
      <c r="W316">
        <v>0</v>
      </c>
      <c r="X316">
        <v>22</v>
      </c>
      <c r="Y316">
        <v>0</v>
      </c>
      <c r="Z316">
        <v>0</v>
      </c>
      <c r="AA316">
        <v>0</v>
      </c>
      <c r="AB316" t="s">
        <v>36</v>
      </c>
      <c r="AC316">
        <v>22</v>
      </c>
    </row>
    <row r="317" spans="1:30" x14ac:dyDescent="0.25">
      <c r="A317" s="1">
        <v>44784.104907407411</v>
      </c>
      <c r="B317" s="1">
        <v>44775.701319444444</v>
      </c>
      <c r="C317">
        <v>151708</v>
      </c>
      <c r="D317" t="s">
        <v>30</v>
      </c>
      <c r="E317" t="s">
        <v>31</v>
      </c>
      <c r="F317">
        <v>7</v>
      </c>
      <c r="G317">
        <v>43.192042999999998</v>
      </c>
      <c r="H317">
        <v>-71.541579999999996</v>
      </c>
      <c r="I317">
        <v>291</v>
      </c>
      <c r="J317">
        <v>93</v>
      </c>
      <c r="K317">
        <v>94</v>
      </c>
      <c r="L317" s="1">
        <v>44784.104884259257</v>
      </c>
      <c r="M317">
        <v>7.9</v>
      </c>
      <c r="N317">
        <v>7.6</v>
      </c>
      <c r="O317">
        <v>0.3</v>
      </c>
      <c r="P317">
        <v>4</v>
      </c>
      <c r="Q317">
        <v>0</v>
      </c>
      <c r="R317">
        <v>0</v>
      </c>
      <c r="S317">
        <v>0</v>
      </c>
      <c r="T317" t="s">
        <v>32</v>
      </c>
      <c r="V317">
        <v>42</v>
      </c>
      <c r="W317">
        <v>41</v>
      </c>
      <c r="X317">
        <v>1</v>
      </c>
      <c r="Y317">
        <v>0</v>
      </c>
      <c r="Z317">
        <v>0</v>
      </c>
      <c r="AA317">
        <v>0</v>
      </c>
      <c r="AB317" t="s">
        <v>33</v>
      </c>
      <c r="AC317">
        <v>41.5</v>
      </c>
    </row>
    <row r="318" spans="1:30" x14ac:dyDescent="0.25">
      <c r="A318" s="1">
        <v>44784.104907407411</v>
      </c>
      <c r="B318" s="1">
        <v>44784.103194444448</v>
      </c>
      <c r="C318">
        <v>143456</v>
      </c>
      <c r="D318" t="s">
        <v>34</v>
      </c>
      <c r="E318" t="s">
        <v>35</v>
      </c>
      <c r="F318">
        <v>7</v>
      </c>
      <c r="G318">
        <v>43.08963</v>
      </c>
      <c r="H318">
        <v>-71.502440000000007</v>
      </c>
      <c r="I318">
        <v>619</v>
      </c>
      <c r="J318">
        <v>70</v>
      </c>
      <c r="K318">
        <v>0</v>
      </c>
      <c r="L318" s="1">
        <v>44784.104884259257</v>
      </c>
      <c r="M318">
        <v>2.9</v>
      </c>
      <c r="N318">
        <v>3.3</v>
      </c>
      <c r="O318">
        <v>0.4</v>
      </c>
      <c r="P318">
        <v>13</v>
      </c>
      <c r="Q318">
        <v>0.1</v>
      </c>
      <c r="R318">
        <v>0.1</v>
      </c>
      <c r="S318">
        <v>0.1</v>
      </c>
      <c r="T318" t="s">
        <v>33</v>
      </c>
      <c r="U318">
        <v>3.1</v>
      </c>
      <c r="V318">
        <v>70</v>
      </c>
      <c r="W318">
        <v>0</v>
      </c>
      <c r="X318">
        <v>70</v>
      </c>
      <c r="Y318">
        <v>0</v>
      </c>
      <c r="Z318">
        <v>0</v>
      </c>
      <c r="AA318">
        <v>0</v>
      </c>
      <c r="AB318" t="s">
        <v>36</v>
      </c>
      <c r="AC318">
        <v>70</v>
      </c>
      <c r="AD318">
        <v>-0.85</v>
      </c>
    </row>
    <row r="319" spans="1:30" x14ac:dyDescent="0.25">
      <c r="A319" s="1">
        <v>44784.104907407411</v>
      </c>
      <c r="B319" s="1">
        <v>44784.103379629632</v>
      </c>
      <c r="C319">
        <v>151702</v>
      </c>
      <c r="D319" t="s">
        <v>37</v>
      </c>
      <c r="E319" t="s">
        <v>31</v>
      </c>
      <c r="F319">
        <v>7</v>
      </c>
      <c r="G319">
        <v>43.118609999999997</v>
      </c>
      <c r="H319">
        <v>-71.61618</v>
      </c>
      <c r="I319">
        <v>885</v>
      </c>
      <c r="J319">
        <v>0</v>
      </c>
      <c r="K319">
        <v>0</v>
      </c>
      <c r="L319" s="1">
        <v>44784.104884259257</v>
      </c>
      <c r="M319">
        <v>3.2</v>
      </c>
      <c r="N319">
        <v>3.1</v>
      </c>
      <c r="O319">
        <v>0.1</v>
      </c>
      <c r="P319">
        <v>3</v>
      </c>
      <c r="Q319">
        <v>0.2</v>
      </c>
      <c r="R319">
        <v>0</v>
      </c>
      <c r="S319">
        <v>0.1</v>
      </c>
      <c r="T319" t="s">
        <v>33</v>
      </c>
      <c r="U319">
        <v>3.15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">
        <v>38</v>
      </c>
    </row>
    <row r="320" spans="1:30" x14ac:dyDescent="0.25">
      <c r="A320" s="1">
        <v>44784.104907407411</v>
      </c>
      <c r="B320" s="1">
        <v>44784.103263888886</v>
      </c>
      <c r="C320">
        <v>151700</v>
      </c>
      <c r="D320" t="s">
        <v>30</v>
      </c>
      <c r="E320" t="s">
        <v>31</v>
      </c>
      <c r="F320">
        <v>7</v>
      </c>
      <c r="G320">
        <v>43.19211</v>
      </c>
      <c r="H320">
        <v>-71.541460000000001</v>
      </c>
      <c r="I320">
        <v>286</v>
      </c>
      <c r="J320">
        <v>72</v>
      </c>
      <c r="K320">
        <v>0</v>
      </c>
      <c r="L320" s="1">
        <v>44784.104884259257</v>
      </c>
      <c r="M320">
        <v>2.7</v>
      </c>
      <c r="N320">
        <v>3.4</v>
      </c>
      <c r="O320">
        <v>0.7</v>
      </c>
      <c r="P320">
        <v>23</v>
      </c>
      <c r="Q320">
        <v>0</v>
      </c>
      <c r="R320">
        <v>0.1</v>
      </c>
      <c r="S320">
        <v>0.05</v>
      </c>
      <c r="T320" t="s">
        <v>33</v>
      </c>
      <c r="U320">
        <v>3.05</v>
      </c>
      <c r="V320">
        <v>66</v>
      </c>
      <c r="W320">
        <v>0</v>
      </c>
      <c r="X320">
        <v>66</v>
      </c>
      <c r="Y320">
        <v>1</v>
      </c>
      <c r="Z320">
        <v>0</v>
      </c>
      <c r="AA320">
        <v>1</v>
      </c>
      <c r="AB320" t="s">
        <v>36</v>
      </c>
      <c r="AC320">
        <v>66</v>
      </c>
      <c r="AD320">
        <v>-0.6</v>
      </c>
    </row>
    <row r="321" spans="1:30" x14ac:dyDescent="0.25">
      <c r="A321" s="1">
        <v>44784.104907407411</v>
      </c>
      <c r="B321" s="1">
        <v>44784.103668981479</v>
      </c>
      <c r="C321">
        <v>135984</v>
      </c>
      <c r="D321" t="s">
        <v>39</v>
      </c>
      <c r="E321" t="s">
        <v>31</v>
      </c>
      <c r="F321">
        <v>7</v>
      </c>
      <c r="G321">
        <v>43.565852999999997</v>
      </c>
      <c r="H321">
        <v>-71.496129999999994</v>
      </c>
      <c r="I321">
        <v>708</v>
      </c>
      <c r="J321">
        <v>68</v>
      </c>
      <c r="K321">
        <v>0</v>
      </c>
      <c r="L321" s="1">
        <v>44784.104884259257</v>
      </c>
      <c r="M321">
        <v>5.2</v>
      </c>
      <c r="N321">
        <v>4.3</v>
      </c>
      <c r="O321">
        <v>0.9</v>
      </c>
      <c r="P321">
        <v>19</v>
      </c>
      <c r="Q321">
        <v>0</v>
      </c>
      <c r="R321">
        <v>0</v>
      </c>
      <c r="S321">
        <v>0</v>
      </c>
      <c r="T321" t="s">
        <v>33</v>
      </c>
      <c r="U321">
        <v>4.75</v>
      </c>
      <c r="V321">
        <v>93</v>
      </c>
      <c r="W321">
        <v>0</v>
      </c>
      <c r="X321">
        <v>93</v>
      </c>
      <c r="Y321">
        <v>1</v>
      </c>
      <c r="Z321">
        <v>0</v>
      </c>
      <c r="AA321">
        <v>1</v>
      </c>
      <c r="AB321" t="s">
        <v>36</v>
      </c>
      <c r="AC321">
        <v>93</v>
      </c>
      <c r="AD321">
        <v>-1.45</v>
      </c>
    </row>
    <row r="322" spans="1:30" x14ac:dyDescent="0.25">
      <c r="A322" s="1">
        <v>44784.10491898148</v>
      </c>
      <c r="B322" s="1">
        <v>44780.394780092596</v>
      </c>
      <c r="C322">
        <v>151712</v>
      </c>
      <c r="D322" t="s">
        <v>40</v>
      </c>
      <c r="E322" t="s">
        <v>31</v>
      </c>
      <c r="F322">
        <v>7</v>
      </c>
      <c r="G322">
        <v>43.289763999999998</v>
      </c>
      <c r="H322">
        <v>-71.564260000000004</v>
      </c>
      <c r="I322">
        <v>370</v>
      </c>
      <c r="J322">
        <v>86</v>
      </c>
      <c r="K322">
        <v>0</v>
      </c>
      <c r="L322" s="1">
        <v>44784.104884259257</v>
      </c>
      <c r="M322">
        <v>14</v>
      </c>
      <c r="N322">
        <v>13.2</v>
      </c>
      <c r="O322">
        <v>0.8</v>
      </c>
      <c r="P322">
        <v>6</v>
      </c>
      <c r="Q322">
        <v>0</v>
      </c>
      <c r="R322">
        <v>0</v>
      </c>
      <c r="S322">
        <v>0</v>
      </c>
      <c r="T322" t="s">
        <v>32</v>
      </c>
      <c r="V322">
        <v>59</v>
      </c>
      <c r="W322">
        <v>0</v>
      </c>
      <c r="X322">
        <v>59</v>
      </c>
      <c r="Y322">
        <v>0</v>
      </c>
      <c r="Z322">
        <v>0</v>
      </c>
      <c r="AA322">
        <v>0</v>
      </c>
      <c r="AB322" t="s">
        <v>36</v>
      </c>
      <c r="AC322">
        <v>59</v>
      </c>
    </row>
    <row r="323" spans="1:30" x14ac:dyDescent="0.25">
      <c r="A323" s="1">
        <v>44784.10491898148</v>
      </c>
      <c r="B323" s="1">
        <v>44784.102962962963</v>
      </c>
      <c r="C323">
        <v>151710</v>
      </c>
      <c r="D323" t="s">
        <v>41</v>
      </c>
      <c r="E323" t="s">
        <v>31</v>
      </c>
      <c r="F323">
        <v>7</v>
      </c>
      <c r="G323">
        <v>43.132477000000002</v>
      </c>
      <c r="H323">
        <v>-71.458374000000006</v>
      </c>
      <c r="I323">
        <v>230</v>
      </c>
      <c r="J323">
        <v>70</v>
      </c>
      <c r="K323">
        <v>0</v>
      </c>
      <c r="L323" s="1">
        <v>44784.104884259257</v>
      </c>
      <c r="M323">
        <v>5.4</v>
      </c>
      <c r="N323">
        <v>3.8</v>
      </c>
      <c r="O323">
        <v>1.6</v>
      </c>
      <c r="P323">
        <v>35</v>
      </c>
      <c r="Q323">
        <v>0.5</v>
      </c>
      <c r="R323">
        <v>0.1</v>
      </c>
      <c r="S323">
        <v>0.3</v>
      </c>
      <c r="T323" t="s">
        <v>33</v>
      </c>
      <c r="U323">
        <v>4.5999999999999996</v>
      </c>
      <c r="V323">
        <v>67</v>
      </c>
      <c r="W323">
        <v>0</v>
      </c>
      <c r="X323">
        <v>67</v>
      </c>
      <c r="Y323">
        <v>0</v>
      </c>
      <c r="Z323">
        <v>0</v>
      </c>
      <c r="AA323">
        <v>0</v>
      </c>
      <c r="AB323" t="s">
        <v>36</v>
      </c>
      <c r="AC323">
        <v>67</v>
      </c>
      <c r="AD323">
        <v>0.28000000000000003</v>
      </c>
    </row>
    <row r="324" spans="1:30" x14ac:dyDescent="0.25">
      <c r="A324" s="1">
        <v>44784.10491898148</v>
      </c>
      <c r="B324" s="1">
        <v>44784.104050925926</v>
      </c>
      <c r="C324">
        <v>151706</v>
      </c>
      <c r="D324" t="s">
        <v>42</v>
      </c>
      <c r="E324" t="s">
        <v>31</v>
      </c>
      <c r="F324">
        <v>7</v>
      </c>
      <c r="G324">
        <v>43.004080000000002</v>
      </c>
      <c r="H324">
        <v>-71.177040000000005</v>
      </c>
      <c r="I324">
        <v>194</v>
      </c>
      <c r="J324">
        <v>71</v>
      </c>
      <c r="K324">
        <v>0</v>
      </c>
      <c r="L324" s="1">
        <v>44784.104884259257</v>
      </c>
      <c r="M324">
        <v>2.1</v>
      </c>
      <c r="N324">
        <v>0</v>
      </c>
      <c r="O324">
        <v>2.1</v>
      </c>
      <c r="P324">
        <v>200</v>
      </c>
      <c r="Q324">
        <v>0</v>
      </c>
      <c r="R324">
        <v>0</v>
      </c>
      <c r="S324">
        <v>0</v>
      </c>
      <c r="T324" t="s">
        <v>43</v>
      </c>
      <c r="V324">
        <v>66</v>
      </c>
      <c r="W324">
        <v>0</v>
      </c>
      <c r="X324">
        <v>66</v>
      </c>
      <c r="Y324">
        <v>0</v>
      </c>
      <c r="Z324">
        <v>0</v>
      </c>
      <c r="AA324">
        <v>0</v>
      </c>
      <c r="AB324" t="s">
        <v>36</v>
      </c>
      <c r="AC324">
        <v>66</v>
      </c>
    </row>
    <row r="325" spans="1:30" x14ac:dyDescent="0.25">
      <c r="A325" s="1">
        <v>44784.10491898148</v>
      </c>
      <c r="B325" s="1">
        <v>44784.103726851848</v>
      </c>
      <c r="C325">
        <v>12212</v>
      </c>
      <c r="D325" t="s">
        <v>44</v>
      </c>
      <c r="E325" t="s">
        <v>35</v>
      </c>
      <c r="F325">
        <v>7</v>
      </c>
      <c r="G325">
        <v>42.930529999999997</v>
      </c>
      <c r="H325">
        <v>-72.272350000000003</v>
      </c>
      <c r="I325">
        <v>476</v>
      </c>
      <c r="J325">
        <v>74</v>
      </c>
      <c r="K325">
        <v>0</v>
      </c>
      <c r="L325" s="1">
        <v>44784.104884259257</v>
      </c>
      <c r="M325">
        <v>3.9</v>
      </c>
      <c r="N325">
        <v>3.3</v>
      </c>
      <c r="O325">
        <v>0.6</v>
      </c>
      <c r="P325">
        <v>17</v>
      </c>
      <c r="Q325">
        <v>0.4</v>
      </c>
      <c r="R325">
        <v>0.3</v>
      </c>
      <c r="S325">
        <v>0.35</v>
      </c>
      <c r="T325" t="s">
        <v>33</v>
      </c>
      <c r="U325">
        <v>3.6</v>
      </c>
      <c r="V325">
        <v>95</v>
      </c>
      <c r="W325">
        <v>0</v>
      </c>
      <c r="X325">
        <v>95</v>
      </c>
      <c r="Y325">
        <v>7</v>
      </c>
      <c r="Z325">
        <v>0</v>
      </c>
      <c r="AA325">
        <v>7</v>
      </c>
      <c r="AB325" t="s">
        <v>36</v>
      </c>
      <c r="AC325">
        <v>95</v>
      </c>
      <c r="AD325">
        <v>-2.29</v>
      </c>
    </row>
    <row r="326" spans="1:30" x14ac:dyDescent="0.25">
      <c r="A326" s="1">
        <v>44784.104930555557</v>
      </c>
      <c r="B326" s="1">
        <v>44769.376736111109</v>
      </c>
      <c r="C326">
        <v>12178</v>
      </c>
      <c r="D326" t="s">
        <v>45</v>
      </c>
      <c r="E326" t="s">
        <v>35</v>
      </c>
      <c r="F326">
        <v>7</v>
      </c>
      <c r="G326">
        <v>42.899563000000001</v>
      </c>
      <c r="H326">
        <v>-71.464650000000006</v>
      </c>
      <c r="I326">
        <v>301</v>
      </c>
      <c r="J326">
        <v>85</v>
      </c>
      <c r="K326">
        <v>0</v>
      </c>
      <c r="L326" s="1">
        <v>44784.104884259257</v>
      </c>
      <c r="M326">
        <v>3.8</v>
      </c>
      <c r="N326">
        <v>3.1</v>
      </c>
      <c r="O326">
        <v>0.7</v>
      </c>
      <c r="P326">
        <v>20</v>
      </c>
      <c r="Q326">
        <v>0</v>
      </c>
      <c r="R326">
        <v>0</v>
      </c>
      <c r="S326">
        <v>0</v>
      </c>
      <c r="T326" t="s">
        <v>32</v>
      </c>
      <c r="V326">
        <v>35</v>
      </c>
      <c r="W326">
        <v>0</v>
      </c>
      <c r="X326">
        <v>35</v>
      </c>
      <c r="Y326">
        <v>0</v>
      </c>
      <c r="Z326">
        <v>0</v>
      </c>
      <c r="AA326">
        <v>0</v>
      </c>
      <c r="AB326" t="s">
        <v>36</v>
      </c>
      <c r="AC326">
        <v>35</v>
      </c>
    </row>
    <row r="327" spans="1:30" x14ac:dyDescent="0.25">
      <c r="A327" s="1">
        <v>44784.104930555557</v>
      </c>
      <c r="B327" s="1">
        <v>44784.103090277778</v>
      </c>
      <c r="C327">
        <v>75981</v>
      </c>
      <c r="D327" t="s">
        <v>46</v>
      </c>
      <c r="E327" t="s">
        <v>35</v>
      </c>
      <c r="F327">
        <v>7</v>
      </c>
      <c r="G327">
        <v>42.97</v>
      </c>
      <c r="H327">
        <v>-71.06</v>
      </c>
      <c r="I327">
        <v>136</v>
      </c>
      <c r="J327">
        <v>74</v>
      </c>
      <c r="K327">
        <v>0</v>
      </c>
      <c r="L327" s="1">
        <v>44784.104884259257</v>
      </c>
      <c r="M327">
        <v>3.4</v>
      </c>
      <c r="N327">
        <v>3.1</v>
      </c>
      <c r="O327">
        <v>0.3</v>
      </c>
      <c r="P327">
        <v>9</v>
      </c>
      <c r="Q327">
        <v>0.1</v>
      </c>
      <c r="R327">
        <v>0</v>
      </c>
      <c r="S327">
        <v>0.05</v>
      </c>
      <c r="T327" t="s">
        <v>33</v>
      </c>
      <c r="U327">
        <v>3.25</v>
      </c>
      <c r="V327">
        <v>61</v>
      </c>
      <c r="W327">
        <v>0</v>
      </c>
      <c r="X327">
        <v>61</v>
      </c>
      <c r="Y327">
        <v>0</v>
      </c>
      <c r="Z327">
        <v>0</v>
      </c>
      <c r="AA327">
        <v>0</v>
      </c>
      <c r="AB327" t="s">
        <v>36</v>
      </c>
      <c r="AC327">
        <v>61</v>
      </c>
      <c r="AD327">
        <v>-0.13</v>
      </c>
    </row>
    <row r="328" spans="1:30" x14ac:dyDescent="0.25">
      <c r="A328" s="1">
        <v>44784.104930555557</v>
      </c>
      <c r="B328" s="1">
        <v>44784.103622685187</v>
      </c>
      <c r="C328">
        <v>115703</v>
      </c>
      <c r="D328" t="s">
        <v>47</v>
      </c>
      <c r="E328" t="s">
        <v>35</v>
      </c>
      <c r="F328">
        <v>7</v>
      </c>
      <c r="G328">
        <v>43.953625000000002</v>
      </c>
      <c r="H328">
        <v>-71.508859999999999</v>
      </c>
      <c r="I328">
        <v>1493</v>
      </c>
      <c r="J328">
        <v>63</v>
      </c>
      <c r="K328">
        <v>0</v>
      </c>
      <c r="L328" s="1">
        <v>44784.104884259257</v>
      </c>
      <c r="M328">
        <v>0</v>
      </c>
      <c r="N328">
        <v>300.89999999999998</v>
      </c>
      <c r="O328">
        <v>300.89999999999998</v>
      </c>
      <c r="P328">
        <v>200</v>
      </c>
      <c r="Q328">
        <v>0</v>
      </c>
      <c r="R328">
        <v>0</v>
      </c>
      <c r="S328">
        <v>0</v>
      </c>
      <c r="T328" t="s">
        <v>48</v>
      </c>
      <c r="V328">
        <v>68</v>
      </c>
      <c r="W328">
        <v>0</v>
      </c>
      <c r="X328">
        <v>68</v>
      </c>
      <c r="Y328">
        <v>0</v>
      </c>
      <c r="Z328">
        <v>0</v>
      </c>
      <c r="AA328">
        <v>0</v>
      </c>
      <c r="AB328" t="s">
        <v>36</v>
      </c>
      <c r="AC328">
        <v>68</v>
      </c>
    </row>
    <row r="329" spans="1:30" x14ac:dyDescent="0.25">
      <c r="A329" s="1">
        <v>44784.104930555557</v>
      </c>
      <c r="B329" s="1">
        <v>44784.103043981479</v>
      </c>
      <c r="C329">
        <v>12050</v>
      </c>
      <c r="D329" t="s">
        <v>49</v>
      </c>
      <c r="E329" t="s">
        <v>35</v>
      </c>
      <c r="F329">
        <v>7</v>
      </c>
      <c r="G329">
        <v>44.220573000000002</v>
      </c>
      <c r="H329">
        <v>-71.732315</v>
      </c>
      <c r="I329">
        <v>999</v>
      </c>
      <c r="J329">
        <v>69</v>
      </c>
      <c r="K329">
        <v>0</v>
      </c>
      <c r="L329" s="1">
        <v>44784.104884259257</v>
      </c>
      <c r="M329">
        <v>2.9</v>
      </c>
      <c r="N329">
        <v>2.9</v>
      </c>
      <c r="O329">
        <v>0</v>
      </c>
      <c r="P329">
        <v>0</v>
      </c>
      <c r="Q329">
        <v>0</v>
      </c>
      <c r="R329">
        <v>0</v>
      </c>
      <c r="S329">
        <v>0</v>
      </c>
      <c r="T329" t="s">
        <v>33</v>
      </c>
      <c r="U329">
        <v>2.9</v>
      </c>
      <c r="V329">
        <v>58</v>
      </c>
      <c r="W329">
        <v>0</v>
      </c>
      <c r="X329">
        <v>58</v>
      </c>
      <c r="Y329">
        <v>0</v>
      </c>
      <c r="Z329">
        <v>0</v>
      </c>
      <c r="AA329">
        <v>0</v>
      </c>
      <c r="AB329" t="s">
        <v>36</v>
      </c>
      <c r="AC329">
        <v>58</v>
      </c>
      <c r="AD329">
        <v>-0.13</v>
      </c>
    </row>
    <row r="330" spans="1:30" x14ac:dyDescent="0.25">
      <c r="A330" s="1">
        <v>44784.104930555557</v>
      </c>
      <c r="B330" s="1">
        <v>44784.103136574071</v>
      </c>
      <c r="C330">
        <v>23443</v>
      </c>
      <c r="D330" t="s">
        <v>50</v>
      </c>
      <c r="E330" t="s">
        <v>35</v>
      </c>
      <c r="F330">
        <v>7</v>
      </c>
      <c r="G330">
        <v>43.556139999999999</v>
      </c>
      <c r="H330">
        <v>-72.370990000000006</v>
      </c>
      <c r="I330">
        <v>523</v>
      </c>
      <c r="J330">
        <v>70</v>
      </c>
      <c r="K330">
        <v>0</v>
      </c>
      <c r="L330" s="1">
        <v>44784.104884259257</v>
      </c>
      <c r="M330">
        <v>3.5</v>
      </c>
      <c r="N330">
        <v>2.9</v>
      </c>
      <c r="O330">
        <v>0.6</v>
      </c>
      <c r="P330">
        <v>19</v>
      </c>
      <c r="Q330">
        <v>0.1</v>
      </c>
      <c r="R330">
        <v>0.1</v>
      </c>
      <c r="S330">
        <v>0.1</v>
      </c>
      <c r="T330" t="s">
        <v>33</v>
      </c>
      <c r="U330">
        <v>3.2</v>
      </c>
      <c r="V330">
        <v>66</v>
      </c>
      <c r="W330">
        <v>0</v>
      </c>
      <c r="X330">
        <v>66</v>
      </c>
      <c r="Y330">
        <v>0</v>
      </c>
      <c r="Z330">
        <v>0</v>
      </c>
      <c r="AA330">
        <v>0</v>
      </c>
      <c r="AB330" t="s">
        <v>36</v>
      </c>
      <c r="AC330">
        <v>66</v>
      </c>
      <c r="AD330">
        <v>-0.51</v>
      </c>
    </row>
    <row r="331" spans="1:30" x14ac:dyDescent="0.25">
      <c r="A331" s="1">
        <v>44784.104942129627</v>
      </c>
      <c r="B331" s="1">
        <v>44784.103229166663</v>
      </c>
      <c r="C331">
        <v>58135</v>
      </c>
      <c r="D331" t="s">
        <v>51</v>
      </c>
      <c r="E331" t="s">
        <v>35</v>
      </c>
      <c r="F331">
        <v>7</v>
      </c>
      <c r="G331">
        <v>42.883873000000001</v>
      </c>
      <c r="H331">
        <v>-71.972915999999998</v>
      </c>
      <c r="I331">
        <v>808</v>
      </c>
      <c r="J331">
        <v>71</v>
      </c>
      <c r="K331">
        <v>0</v>
      </c>
      <c r="L331" s="1">
        <v>44784.104884259257</v>
      </c>
      <c r="M331">
        <v>7.7</v>
      </c>
      <c r="N331">
        <v>5.2</v>
      </c>
      <c r="O331">
        <v>2.5</v>
      </c>
      <c r="P331">
        <v>39</v>
      </c>
      <c r="Q331">
        <v>0.1</v>
      </c>
      <c r="R331">
        <v>0.1</v>
      </c>
      <c r="S331">
        <v>0.1</v>
      </c>
      <c r="T331" t="s">
        <v>33</v>
      </c>
      <c r="U331">
        <v>6.45</v>
      </c>
      <c r="V331">
        <v>72</v>
      </c>
      <c r="W331">
        <v>0</v>
      </c>
      <c r="X331">
        <v>72</v>
      </c>
      <c r="Y331">
        <v>1</v>
      </c>
      <c r="Z331">
        <v>0</v>
      </c>
      <c r="AA331">
        <v>1</v>
      </c>
      <c r="AB331" t="s">
        <v>36</v>
      </c>
      <c r="AC331">
        <v>72</v>
      </c>
      <c r="AD331">
        <v>1.05</v>
      </c>
    </row>
    <row r="332" spans="1:30" x14ac:dyDescent="0.25">
      <c r="A332" s="1">
        <v>44784.104942129627</v>
      </c>
      <c r="B332" s="1">
        <v>44784.103298611109</v>
      </c>
      <c r="C332">
        <v>148555</v>
      </c>
      <c r="D332" t="s">
        <v>52</v>
      </c>
      <c r="E332" t="s">
        <v>53</v>
      </c>
      <c r="F332">
        <v>7</v>
      </c>
      <c r="G332">
        <v>42.904949999999999</v>
      </c>
      <c r="H332">
        <v>-71.386764999999997</v>
      </c>
      <c r="I332">
        <v>363</v>
      </c>
      <c r="J332">
        <v>0</v>
      </c>
      <c r="K332">
        <v>0</v>
      </c>
      <c r="L332" s="1">
        <v>44784.104884259257</v>
      </c>
      <c r="M332">
        <v>1.5</v>
      </c>
      <c r="N332">
        <v>2.1</v>
      </c>
      <c r="O332">
        <v>0.6</v>
      </c>
      <c r="P332">
        <v>33</v>
      </c>
      <c r="Q332">
        <v>0</v>
      </c>
      <c r="R332">
        <v>0.1</v>
      </c>
      <c r="S332">
        <v>0.05</v>
      </c>
      <c r="T332" t="s">
        <v>33</v>
      </c>
      <c r="U332">
        <v>1.8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 t="s">
        <v>38</v>
      </c>
    </row>
    <row r="333" spans="1:30" x14ac:dyDescent="0.25">
      <c r="A333" s="1">
        <v>44784.104942129627</v>
      </c>
      <c r="B333" s="1">
        <v>44784.104224537034</v>
      </c>
      <c r="C333">
        <v>146644</v>
      </c>
      <c r="D333" t="s">
        <v>54</v>
      </c>
      <c r="E333" t="s">
        <v>53</v>
      </c>
      <c r="F333">
        <v>7</v>
      </c>
      <c r="G333">
        <v>43.06015</v>
      </c>
      <c r="H333">
        <v>-70.758930000000007</v>
      </c>
      <c r="I333">
        <v>35</v>
      </c>
      <c r="J333">
        <v>69</v>
      </c>
      <c r="K333">
        <v>71</v>
      </c>
      <c r="L333" s="1">
        <v>44784.104884259257</v>
      </c>
      <c r="M333">
        <v>9.5</v>
      </c>
      <c r="N333">
        <v>7.9</v>
      </c>
      <c r="O333">
        <v>1.6</v>
      </c>
      <c r="P333">
        <v>18</v>
      </c>
      <c r="Q333">
        <v>0.3</v>
      </c>
      <c r="R333">
        <v>0.2</v>
      </c>
      <c r="S333">
        <v>0.25</v>
      </c>
      <c r="T333" t="s">
        <v>33</v>
      </c>
      <c r="U333">
        <v>8.6999999999999993</v>
      </c>
      <c r="V333">
        <v>68</v>
      </c>
      <c r="W333">
        <v>73</v>
      </c>
      <c r="X333">
        <v>5</v>
      </c>
      <c r="Y333">
        <v>0</v>
      </c>
      <c r="Z333">
        <v>0</v>
      </c>
      <c r="AA333">
        <v>0</v>
      </c>
      <c r="AB333" t="s">
        <v>33</v>
      </c>
      <c r="AC333">
        <v>70.5</v>
      </c>
      <c r="AD333">
        <v>2.5299999999999998</v>
      </c>
    </row>
    <row r="334" spans="1:30" x14ac:dyDescent="0.25">
      <c r="A334" s="1">
        <v>44784.104942129627</v>
      </c>
      <c r="B334" s="1">
        <v>43755.283437500002</v>
      </c>
      <c r="C334">
        <v>12188</v>
      </c>
      <c r="D334" t="s">
        <v>55</v>
      </c>
      <c r="E334" t="s">
        <v>35</v>
      </c>
      <c r="F334">
        <v>4.1100000000000003</v>
      </c>
      <c r="G334">
        <v>42.927050000000001</v>
      </c>
      <c r="H334">
        <v>-72.279610000000005</v>
      </c>
      <c r="I334">
        <v>475</v>
      </c>
      <c r="J334">
        <v>95</v>
      </c>
      <c r="K334">
        <v>0</v>
      </c>
      <c r="L334" s="1">
        <v>44784.104884259257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 t="s">
        <v>32</v>
      </c>
      <c r="V334">
        <v>77</v>
      </c>
      <c r="W334">
        <v>0</v>
      </c>
      <c r="X334">
        <v>77</v>
      </c>
      <c r="Y334">
        <v>0</v>
      </c>
      <c r="Z334">
        <v>0</v>
      </c>
      <c r="AA334">
        <v>0</v>
      </c>
      <c r="AB334" t="s">
        <v>36</v>
      </c>
      <c r="AC334">
        <v>77</v>
      </c>
    </row>
    <row r="335" spans="1:30" x14ac:dyDescent="0.25">
      <c r="A335" s="1">
        <v>44784.104953703703</v>
      </c>
      <c r="B335" s="1">
        <v>44784.103136574071</v>
      </c>
      <c r="C335">
        <v>1224</v>
      </c>
      <c r="D335" t="s">
        <v>56</v>
      </c>
      <c r="E335" t="s">
        <v>35</v>
      </c>
      <c r="F335" t="s">
        <v>57</v>
      </c>
      <c r="G335">
        <v>42.938034000000002</v>
      </c>
      <c r="H335">
        <v>-72.259299999999996</v>
      </c>
      <c r="I335">
        <v>792</v>
      </c>
      <c r="J335">
        <v>76</v>
      </c>
      <c r="K335">
        <v>0</v>
      </c>
      <c r="L335" s="1">
        <v>44784.104884259257</v>
      </c>
      <c r="M335">
        <v>2.2999999999999998</v>
      </c>
      <c r="N335">
        <v>0</v>
      </c>
      <c r="O335">
        <v>2.2999999999999998</v>
      </c>
      <c r="P335">
        <v>200</v>
      </c>
      <c r="Q335">
        <v>0.1</v>
      </c>
      <c r="R335">
        <v>0</v>
      </c>
      <c r="S335">
        <v>0.05</v>
      </c>
      <c r="T335" t="s">
        <v>43</v>
      </c>
      <c r="V335">
        <v>83</v>
      </c>
      <c r="W335">
        <v>0</v>
      </c>
      <c r="X335">
        <v>83</v>
      </c>
      <c r="Y335">
        <v>1</v>
      </c>
      <c r="Z335">
        <v>0</v>
      </c>
      <c r="AA335">
        <v>1</v>
      </c>
      <c r="AB335" t="s">
        <v>36</v>
      </c>
      <c r="AC335">
        <v>83</v>
      </c>
    </row>
    <row r="336" spans="1:30" x14ac:dyDescent="0.25">
      <c r="A336" s="1">
        <v>44784.104953703703</v>
      </c>
      <c r="B336" s="1">
        <v>44784.10396990741</v>
      </c>
      <c r="C336">
        <v>1202</v>
      </c>
      <c r="D336" t="s">
        <v>58</v>
      </c>
      <c r="E336" t="s">
        <v>35</v>
      </c>
      <c r="F336" t="s">
        <v>57</v>
      </c>
      <c r="G336">
        <v>42.936554000000001</v>
      </c>
      <c r="H336">
        <v>-72.271019999999993</v>
      </c>
      <c r="I336">
        <v>488</v>
      </c>
      <c r="J336">
        <v>0</v>
      </c>
      <c r="K336">
        <v>0</v>
      </c>
      <c r="L336" s="1">
        <v>44784.104884259257</v>
      </c>
      <c r="M336">
        <v>2.6</v>
      </c>
      <c r="N336">
        <v>2.6</v>
      </c>
      <c r="O336">
        <v>0</v>
      </c>
      <c r="P336">
        <v>0</v>
      </c>
      <c r="Q336">
        <v>0.4</v>
      </c>
      <c r="R336">
        <v>0.5</v>
      </c>
      <c r="S336">
        <v>0.45</v>
      </c>
      <c r="T336" t="s">
        <v>33</v>
      </c>
      <c r="U336">
        <v>2.6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 t="s">
        <v>38</v>
      </c>
    </row>
    <row r="337" spans="1:30" x14ac:dyDescent="0.25">
      <c r="A337" s="1">
        <v>44784.104953703703</v>
      </c>
      <c r="B337" s="1">
        <v>44612.080023148148</v>
      </c>
      <c r="C337">
        <v>25985</v>
      </c>
      <c r="D337" t="s">
        <v>59</v>
      </c>
      <c r="E337" t="s">
        <v>35</v>
      </c>
      <c r="F337">
        <v>6.01</v>
      </c>
      <c r="G337">
        <v>42.927326000000001</v>
      </c>
      <c r="H337">
        <v>-72.279979999999995</v>
      </c>
      <c r="I337">
        <v>477</v>
      </c>
      <c r="J337">
        <v>78</v>
      </c>
      <c r="K337">
        <v>0</v>
      </c>
      <c r="L337" s="1">
        <v>44784.104884259257</v>
      </c>
      <c r="M337">
        <v>1.1000000000000001</v>
      </c>
      <c r="N337">
        <v>1</v>
      </c>
      <c r="O337">
        <v>0.1</v>
      </c>
      <c r="P337">
        <v>10</v>
      </c>
      <c r="Q337">
        <v>0</v>
      </c>
      <c r="R337">
        <v>0</v>
      </c>
      <c r="S337">
        <v>0</v>
      </c>
      <c r="T337" t="s">
        <v>32</v>
      </c>
      <c r="V337">
        <v>22</v>
      </c>
      <c r="W337">
        <v>0</v>
      </c>
      <c r="X337">
        <v>22</v>
      </c>
      <c r="Y337">
        <v>0</v>
      </c>
      <c r="Z337">
        <v>0</v>
      </c>
      <c r="AA337">
        <v>0</v>
      </c>
      <c r="AB337" t="s">
        <v>36</v>
      </c>
      <c r="AC337">
        <v>22</v>
      </c>
    </row>
    <row r="338" spans="1:30" x14ac:dyDescent="0.25">
      <c r="A338" s="1">
        <v>44784.111840277779</v>
      </c>
      <c r="B338" s="1">
        <v>44775.701319444444</v>
      </c>
      <c r="C338">
        <v>151708</v>
      </c>
      <c r="D338" t="s">
        <v>30</v>
      </c>
      <c r="E338" t="s">
        <v>31</v>
      </c>
      <c r="F338">
        <v>7</v>
      </c>
      <c r="G338">
        <v>43.192042999999998</v>
      </c>
      <c r="H338">
        <v>-71.541579999999996</v>
      </c>
      <c r="I338">
        <v>291</v>
      </c>
      <c r="J338">
        <v>93</v>
      </c>
      <c r="K338">
        <v>94</v>
      </c>
      <c r="L338" s="1">
        <v>44784.111828703702</v>
      </c>
      <c r="M338">
        <v>7.9</v>
      </c>
      <c r="N338">
        <v>7.6</v>
      </c>
      <c r="O338">
        <v>0.3</v>
      </c>
      <c r="P338">
        <v>4</v>
      </c>
      <c r="Q338">
        <v>0</v>
      </c>
      <c r="R338">
        <v>0</v>
      </c>
      <c r="S338">
        <v>0</v>
      </c>
      <c r="T338" t="s">
        <v>32</v>
      </c>
      <c r="V338">
        <v>42</v>
      </c>
      <c r="W338">
        <v>41</v>
      </c>
      <c r="X338">
        <v>1</v>
      </c>
      <c r="Y338">
        <v>0</v>
      </c>
      <c r="Z338">
        <v>0</v>
      </c>
      <c r="AA338">
        <v>0</v>
      </c>
      <c r="AB338" t="s">
        <v>33</v>
      </c>
      <c r="AC338">
        <v>41.5</v>
      </c>
    </row>
    <row r="339" spans="1:30" x14ac:dyDescent="0.25">
      <c r="A339" s="1">
        <v>44784.111851851849</v>
      </c>
      <c r="B339" s="1">
        <v>44784.110138888886</v>
      </c>
      <c r="C339">
        <v>143456</v>
      </c>
      <c r="D339" t="s">
        <v>34</v>
      </c>
      <c r="E339" t="s">
        <v>35</v>
      </c>
      <c r="F339">
        <v>7</v>
      </c>
      <c r="G339">
        <v>43.08963</v>
      </c>
      <c r="H339">
        <v>-71.502440000000007</v>
      </c>
      <c r="I339">
        <v>619</v>
      </c>
      <c r="J339">
        <v>70</v>
      </c>
      <c r="K339">
        <v>0</v>
      </c>
      <c r="L339" s="1">
        <v>44784.111828703702</v>
      </c>
      <c r="M339">
        <v>2.7</v>
      </c>
      <c r="N339">
        <v>3.3</v>
      </c>
      <c r="O339">
        <v>0.6</v>
      </c>
      <c r="P339">
        <v>20</v>
      </c>
      <c r="Q339">
        <v>0.2</v>
      </c>
      <c r="R339">
        <v>0</v>
      </c>
      <c r="S339">
        <v>0.1</v>
      </c>
      <c r="T339" t="s">
        <v>33</v>
      </c>
      <c r="U339">
        <v>3</v>
      </c>
      <c r="V339">
        <v>70</v>
      </c>
      <c r="W339">
        <v>0</v>
      </c>
      <c r="X339">
        <v>70</v>
      </c>
      <c r="Y339">
        <v>0</v>
      </c>
      <c r="Z339">
        <v>0</v>
      </c>
      <c r="AA339">
        <v>0</v>
      </c>
      <c r="AB339" t="s">
        <v>36</v>
      </c>
      <c r="AC339">
        <v>70</v>
      </c>
      <c r="AD339">
        <v>-0.91</v>
      </c>
    </row>
    <row r="340" spans="1:30" x14ac:dyDescent="0.25">
      <c r="A340" s="1">
        <v>44784.111851851849</v>
      </c>
      <c r="B340" s="1">
        <v>44784.110324074078</v>
      </c>
      <c r="C340">
        <v>151702</v>
      </c>
      <c r="D340" t="s">
        <v>37</v>
      </c>
      <c r="E340" t="s">
        <v>31</v>
      </c>
      <c r="F340">
        <v>7</v>
      </c>
      <c r="G340">
        <v>43.118609999999997</v>
      </c>
      <c r="H340">
        <v>-71.61618</v>
      </c>
      <c r="I340">
        <v>885</v>
      </c>
      <c r="J340">
        <v>0</v>
      </c>
      <c r="K340">
        <v>0</v>
      </c>
      <c r="L340" s="1">
        <v>44784.111828703702</v>
      </c>
      <c r="M340">
        <v>3.2</v>
      </c>
      <c r="N340">
        <v>3</v>
      </c>
      <c r="O340">
        <v>0.2</v>
      </c>
      <c r="P340">
        <v>6</v>
      </c>
      <c r="Q340">
        <v>0</v>
      </c>
      <c r="R340">
        <v>0.1</v>
      </c>
      <c r="S340">
        <v>0.05</v>
      </c>
      <c r="T340" t="s">
        <v>33</v>
      </c>
      <c r="U340">
        <v>3.1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 t="s">
        <v>38</v>
      </c>
    </row>
    <row r="341" spans="1:30" x14ac:dyDescent="0.25">
      <c r="A341" s="1">
        <v>44784.111851851849</v>
      </c>
      <c r="B341" s="1">
        <v>44784.110208333332</v>
      </c>
      <c r="C341">
        <v>151700</v>
      </c>
      <c r="D341" t="s">
        <v>30</v>
      </c>
      <c r="E341" t="s">
        <v>31</v>
      </c>
      <c r="F341">
        <v>7</v>
      </c>
      <c r="G341">
        <v>43.19211</v>
      </c>
      <c r="H341">
        <v>-71.541460000000001</v>
      </c>
      <c r="I341">
        <v>286</v>
      </c>
      <c r="J341">
        <v>71</v>
      </c>
      <c r="K341">
        <v>0</v>
      </c>
      <c r="L341" s="1">
        <v>44784.111828703702</v>
      </c>
      <c r="M341">
        <v>2.8</v>
      </c>
      <c r="N341">
        <v>3.3</v>
      </c>
      <c r="O341">
        <v>0.5</v>
      </c>
      <c r="P341">
        <v>16</v>
      </c>
      <c r="Q341">
        <v>0.1</v>
      </c>
      <c r="R341">
        <v>0.1</v>
      </c>
      <c r="S341">
        <v>0.1</v>
      </c>
      <c r="T341" t="s">
        <v>33</v>
      </c>
      <c r="U341">
        <v>3.05</v>
      </c>
      <c r="V341">
        <v>66</v>
      </c>
      <c r="W341">
        <v>0</v>
      </c>
      <c r="X341">
        <v>66</v>
      </c>
      <c r="Y341">
        <v>0</v>
      </c>
      <c r="Z341">
        <v>0</v>
      </c>
      <c r="AA341">
        <v>0</v>
      </c>
      <c r="AB341" t="s">
        <v>36</v>
      </c>
      <c r="AC341">
        <v>66</v>
      </c>
      <c r="AD341">
        <v>-0.6</v>
      </c>
    </row>
    <row r="342" spans="1:30" x14ac:dyDescent="0.25">
      <c r="A342" s="1">
        <v>44784.111851851849</v>
      </c>
      <c r="B342" s="1">
        <v>44784.110613425924</v>
      </c>
      <c r="C342">
        <v>135984</v>
      </c>
      <c r="D342" t="s">
        <v>39</v>
      </c>
      <c r="E342" t="s">
        <v>31</v>
      </c>
      <c r="F342">
        <v>7</v>
      </c>
      <c r="G342">
        <v>43.565852999999997</v>
      </c>
      <c r="H342">
        <v>-71.496129999999994</v>
      </c>
      <c r="I342">
        <v>708</v>
      </c>
      <c r="J342">
        <v>69</v>
      </c>
      <c r="K342">
        <v>0</v>
      </c>
      <c r="L342" s="1">
        <v>44784.111828703702</v>
      </c>
      <c r="M342">
        <v>5.3</v>
      </c>
      <c r="N342">
        <v>4.4000000000000004</v>
      </c>
      <c r="O342">
        <v>0.9</v>
      </c>
      <c r="P342">
        <v>19</v>
      </c>
      <c r="Q342">
        <v>0.1</v>
      </c>
      <c r="R342">
        <v>0.1</v>
      </c>
      <c r="S342">
        <v>0.1</v>
      </c>
      <c r="T342" t="s">
        <v>33</v>
      </c>
      <c r="U342">
        <v>4.8499999999999996</v>
      </c>
      <c r="V342">
        <v>94</v>
      </c>
      <c r="W342">
        <v>0</v>
      </c>
      <c r="X342">
        <v>94</v>
      </c>
      <c r="Y342">
        <v>1</v>
      </c>
      <c r="Z342">
        <v>0</v>
      </c>
      <c r="AA342">
        <v>1</v>
      </c>
      <c r="AB342" t="s">
        <v>36</v>
      </c>
      <c r="AC342">
        <v>94</v>
      </c>
      <c r="AD342">
        <v>-1.46</v>
      </c>
    </row>
    <row r="343" spans="1:30" x14ac:dyDescent="0.25">
      <c r="A343" s="1">
        <v>44784.111863425926</v>
      </c>
      <c r="B343" s="1">
        <v>44780.394780092596</v>
      </c>
      <c r="C343">
        <v>151712</v>
      </c>
      <c r="D343" t="s">
        <v>40</v>
      </c>
      <c r="E343" t="s">
        <v>31</v>
      </c>
      <c r="F343">
        <v>7</v>
      </c>
      <c r="G343">
        <v>43.289763999999998</v>
      </c>
      <c r="H343">
        <v>-71.564260000000004</v>
      </c>
      <c r="I343">
        <v>370</v>
      </c>
      <c r="J343">
        <v>86</v>
      </c>
      <c r="K343">
        <v>0</v>
      </c>
      <c r="L343" s="1">
        <v>44784.111828703702</v>
      </c>
      <c r="M343">
        <v>14</v>
      </c>
      <c r="N343">
        <v>13.2</v>
      </c>
      <c r="O343">
        <v>0.8</v>
      </c>
      <c r="P343">
        <v>6</v>
      </c>
      <c r="Q343">
        <v>0</v>
      </c>
      <c r="R343">
        <v>0</v>
      </c>
      <c r="S343">
        <v>0</v>
      </c>
      <c r="T343" t="s">
        <v>32</v>
      </c>
      <c r="V343">
        <v>59</v>
      </c>
      <c r="W343">
        <v>0</v>
      </c>
      <c r="X343">
        <v>59</v>
      </c>
      <c r="Y343">
        <v>0</v>
      </c>
      <c r="Z343">
        <v>0</v>
      </c>
      <c r="AA343">
        <v>0</v>
      </c>
      <c r="AB343" t="s">
        <v>36</v>
      </c>
      <c r="AC343">
        <v>59</v>
      </c>
    </row>
    <row r="344" spans="1:30" x14ac:dyDescent="0.25">
      <c r="A344" s="1">
        <v>44784.111863425926</v>
      </c>
      <c r="B344" s="1">
        <v>44784.109907407408</v>
      </c>
      <c r="C344">
        <v>151710</v>
      </c>
      <c r="D344" t="s">
        <v>41</v>
      </c>
      <c r="E344" t="s">
        <v>31</v>
      </c>
      <c r="F344">
        <v>7</v>
      </c>
      <c r="G344">
        <v>43.132477000000002</v>
      </c>
      <c r="H344">
        <v>-71.458374000000006</v>
      </c>
      <c r="I344">
        <v>230</v>
      </c>
      <c r="J344">
        <v>70</v>
      </c>
      <c r="K344">
        <v>0</v>
      </c>
      <c r="L344" s="1">
        <v>44784.111828703702</v>
      </c>
      <c r="M344">
        <v>5.5</v>
      </c>
      <c r="N344">
        <v>3.9</v>
      </c>
      <c r="O344">
        <v>1.6</v>
      </c>
      <c r="P344">
        <v>34</v>
      </c>
      <c r="Q344">
        <v>0.1</v>
      </c>
      <c r="R344">
        <v>0.1</v>
      </c>
      <c r="S344">
        <v>0.1</v>
      </c>
      <c r="T344" t="s">
        <v>33</v>
      </c>
      <c r="U344">
        <v>4.7</v>
      </c>
      <c r="V344">
        <v>67</v>
      </c>
      <c r="W344">
        <v>0</v>
      </c>
      <c r="X344">
        <v>67</v>
      </c>
      <c r="Y344">
        <v>0</v>
      </c>
      <c r="Z344">
        <v>0</v>
      </c>
      <c r="AA344">
        <v>0</v>
      </c>
      <c r="AB344" t="s">
        <v>36</v>
      </c>
      <c r="AC344">
        <v>67</v>
      </c>
      <c r="AD344">
        <v>0.34</v>
      </c>
    </row>
    <row r="345" spans="1:30" x14ac:dyDescent="0.25">
      <c r="A345" s="1">
        <v>44784.111863425926</v>
      </c>
      <c r="B345" s="1">
        <v>44784.110995370371</v>
      </c>
      <c r="C345">
        <v>151706</v>
      </c>
      <c r="D345" t="s">
        <v>42</v>
      </c>
      <c r="E345" t="s">
        <v>31</v>
      </c>
      <c r="F345">
        <v>7</v>
      </c>
      <c r="G345">
        <v>43.004080000000002</v>
      </c>
      <c r="H345">
        <v>-71.177040000000005</v>
      </c>
      <c r="I345">
        <v>194</v>
      </c>
      <c r="J345">
        <v>71</v>
      </c>
      <c r="K345">
        <v>0</v>
      </c>
      <c r="L345" s="1">
        <v>44784.111828703702</v>
      </c>
      <c r="M345">
        <v>2</v>
      </c>
      <c r="N345">
        <v>0</v>
      </c>
      <c r="O345">
        <v>2</v>
      </c>
      <c r="P345">
        <v>200</v>
      </c>
      <c r="Q345">
        <v>0.1</v>
      </c>
      <c r="R345">
        <v>0</v>
      </c>
      <c r="S345">
        <v>0.05</v>
      </c>
      <c r="T345" t="s">
        <v>43</v>
      </c>
      <c r="V345">
        <v>66</v>
      </c>
      <c r="W345">
        <v>0</v>
      </c>
      <c r="X345">
        <v>66</v>
      </c>
      <c r="Y345">
        <v>0</v>
      </c>
      <c r="Z345">
        <v>0</v>
      </c>
      <c r="AA345">
        <v>0</v>
      </c>
      <c r="AB345" t="s">
        <v>36</v>
      </c>
      <c r="AC345">
        <v>66</v>
      </c>
    </row>
    <row r="346" spans="1:30" x14ac:dyDescent="0.25">
      <c r="A346" s="1">
        <v>44784.111863425926</v>
      </c>
      <c r="B346" s="1">
        <v>44784.110682870371</v>
      </c>
      <c r="C346">
        <v>12212</v>
      </c>
      <c r="D346" t="s">
        <v>44</v>
      </c>
      <c r="E346" t="s">
        <v>35</v>
      </c>
      <c r="F346">
        <v>7</v>
      </c>
      <c r="G346">
        <v>42.930529999999997</v>
      </c>
      <c r="H346">
        <v>-72.272350000000003</v>
      </c>
      <c r="I346">
        <v>476</v>
      </c>
      <c r="J346">
        <v>76</v>
      </c>
      <c r="K346">
        <v>0</v>
      </c>
      <c r="L346" s="1">
        <v>44784.111828703702</v>
      </c>
      <c r="M346">
        <v>3.9</v>
      </c>
      <c r="N346">
        <v>3.3</v>
      </c>
      <c r="O346">
        <v>0.6</v>
      </c>
      <c r="P346">
        <v>17</v>
      </c>
      <c r="Q346">
        <v>0</v>
      </c>
      <c r="R346">
        <v>0</v>
      </c>
      <c r="S346">
        <v>0</v>
      </c>
      <c r="T346" t="s">
        <v>33</v>
      </c>
      <c r="U346">
        <v>3.6</v>
      </c>
      <c r="V346">
        <v>87</v>
      </c>
      <c r="W346">
        <v>0</v>
      </c>
      <c r="X346">
        <v>87</v>
      </c>
      <c r="Y346">
        <v>8</v>
      </c>
      <c r="Z346">
        <v>0</v>
      </c>
      <c r="AA346">
        <v>8</v>
      </c>
      <c r="AB346" t="s">
        <v>36</v>
      </c>
      <c r="AC346">
        <v>87</v>
      </c>
      <c r="AD346">
        <v>-1.73</v>
      </c>
    </row>
    <row r="347" spans="1:30" x14ac:dyDescent="0.25">
      <c r="A347" s="1">
        <v>44784.111875000002</v>
      </c>
      <c r="B347" s="1">
        <v>44769.376736111109</v>
      </c>
      <c r="C347">
        <v>12178</v>
      </c>
      <c r="D347" t="s">
        <v>45</v>
      </c>
      <c r="E347" t="s">
        <v>35</v>
      </c>
      <c r="F347">
        <v>7</v>
      </c>
      <c r="G347">
        <v>42.899563000000001</v>
      </c>
      <c r="H347">
        <v>-71.464650000000006</v>
      </c>
      <c r="I347">
        <v>301</v>
      </c>
      <c r="J347">
        <v>85</v>
      </c>
      <c r="K347">
        <v>0</v>
      </c>
      <c r="L347" s="1">
        <v>44784.111828703702</v>
      </c>
      <c r="M347">
        <v>3.8</v>
      </c>
      <c r="N347">
        <v>3.1</v>
      </c>
      <c r="O347">
        <v>0.7</v>
      </c>
      <c r="P347">
        <v>20</v>
      </c>
      <c r="Q347">
        <v>0</v>
      </c>
      <c r="R347">
        <v>0</v>
      </c>
      <c r="S347">
        <v>0</v>
      </c>
      <c r="T347" t="s">
        <v>32</v>
      </c>
      <c r="V347">
        <v>35</v>
      </c>
      <c r="W347">
        <v>0</v>
      </c>
      <c r="X347">
        <v>35</v>
      </c>
      <c r="Y347">
        <v>0</v>
      </c>
      <c r="Z347">
        <v>0</v>
      </c>
      <c r="AA347">
        <v>0</v>
      </c>
      <c r="AB347" t="s">
        <v>36</v>
      </c>
      <c r="AC347">
        <v>35</v>
      </c>
    </row>
    <row r="348" spans="1:30" x14ac:dyDescent="0.25">
      <c r="A348" s="1">
        <v>44784.111875000002</v>
      </c>
      <c r="B348" s="1">
        <v>44784.110034722224</v>
      </c>
      <c r="C348">
        <v>75981</v>
      </c>
      <c r="D348" t="s">
        <v>46</v>
      </c>
      <c r="E348" t="s">
        <v>35</v>
      </c>
      <c r="F348">
        <v>7</v>
      </c>
      <c r="G348">
        <v>42.97</v>
      </c>
      <c r="H348">
        <v>-71.06</v>
      </c>
      <c r="I348">
        <v>136</v>
      </c>
      <c r="J348">
        <v>74</v>
      </c>
      <c r="K348">
        <v>0</v>
      </c>
      <c r="L348" s="1">
        <v>44784.111828703702</v>
      </c>
      <c r="M348">
        <v>3.5</v>
      </c>
      <c r="N348">
        <v>3.1</v>
      </c>
      <c r="O348">
        <v>0.4</v>
      </c>
      <c r="P348">
        <v>12</v>
      </c>
      <c r="Q348">
        <v>0.1</v>
      </c>
      <c r="R348">
        <v>0</v>
      </c>
      <c r="S348">
        <v>0.05</v>
      </c>
      <c r="T348" t="s">
        <v>33</v>
      </c>
      <c r="U348">
        <v>3.3</v>
      </c>
      <c r="V348">
        <v>61</v>
      </c>
      <c r="W348">
        <v>0</v>
      </c>
      <c r="X348">
        <v>61</v>
      </c>
      <c r="Y348">
        <v>0</v>
      </c>
      <c r="Z348">
        <v>0</v>
      </c>
      <c r="AA348">
        <v>0</v>
      </c>
      <c r="AB348" t="s">
        <v>36</v>
      </c>
      <c r="AC348">
        <v>61</v>
      </c>
      <c r="AD348">
        <v>-0.1</v>
      </c>
    </row>
    <row r="349" spans="1:30" x14ac:dyDescent="0.25">
      <c r="A349" s="1">
        <v>44784.111875000002</v>
      </c>
      <c r="B349" s="1">
        <v>44784.110567129632</v>
      </c>
      <c r="C349">
        <v>115703</v>
      </c>
      <c r="D349" t="s">
        <v>47</v>
      </c>
      <c r="E349" t="s">
        <v>35</v>
      </c>
      <c r="F349">
        <v>7</v>
      </c>
      <c r="G349">
        <v>43.953625000000002</v>
      </c>
      <c r="H349">
        <v>-71.508859999999999</v>
      </c>
      <c r="I349">
        <v>1493</v>
      </c>
      <c r="J349">
        <v>63</v>
      </c>
      <c r="K349">
        <v>0</v>
      </c>
      <c r="L349" s="1">
        <v>44784.111828703702</v>
      </c>
      <c r="M349">
        <v>0</v>
      </c>
      <c r="N349">
        <v>300.89999999999998</v>
      </c>
      <c r="O349">
        <v>300.89999999999998</v>
      </c>
      <c r="P349">
        <v>200</v>
      </c>
      <c r="Q349">
        <v>0</v>
      </c>
      <c r="R349">
        <v>0</v>
      </c>
      <c r="S349">
        <v>0</v>
      </c>
      <c r="T349" t="s">
        <v>48</v>
      </c>
      <c r="V349">
        <v>67</v>
      </c>
      <c r="W349">
        <v>0</v>
      </c>
      <c r="X349">
        <v>67</v>
      </c>
      <c r="Y349">
        <v>1</v>
      </c>
      <c r="Z349">
        <v>0</v>
      </c>
      <c r="AA349">
        <v>1</v>
      </c>
      <c r="AB349" t="s">
        <v>36</v>
      </c>
      <c r="AC349">
        <v>67</v>
      </c>
    </row>
    <row r="350" spans="1:30" x14ac:dyDescent="0.25">
      <c r="A350" s="1">
        <v>44784.111875000002</v>
      </c>
      <c r="B350" s="1">
        <v>44784.109976851854</v>
      </c>
      <c r="C350">
        <v>12050</v>
      </c>
      <c r="D350" t="s">
        <v>49</v>
      </c>
      <c r="E350" t="s">
        <v>35</v>
      </c>
      <c r="F350">
        <v>7</v>
      </c>
      <c r="G350">
        <v>44.220573000000002</v>
      </c>
      <c r="H350">
        <v>-71.732315</v>
      </c>
      <c r="I350">
        <v>999</v>
      </c>
      <c r="J350">
        <v>69</v>
      </c>
      <c r="K350">
        <v>0</v>
      </c>
      <c r="L350" s="1">
        <v>44784.111828703702</v>
      </c>
      <c r="M350">
        <v>2.8</v>
      </c>
      <c r="N350">
        <v>2.8</v>
      </c>
      <c r="O350">
        <v>0</v>
      </c>
      <c r="P350">
        <v>0</v>
      </c>
      <c r="Q350">
        <v>0.1</v>
      </c>
      <c r="R350">
        <v>0.1</v>
      </c>
      <c r="S350">
        <v>0.1</v>
      </c>
      <c r="T350" t="s">
        <v>33</v>
      </c>
      <c r="U350">
        <v>2.8</v>
      </c>
      <c r="V350">
        <v>58</v>
      </c>
      <c r="W350">
        <v>0</v>
      </c>
      <c r="X350">
        <v>58</v>
      </c>
      <c r="Y350">
        <v>0</v>
      </c>
      <c r="Z350">
        <v>0</v>
      </c>
      <c r="AA350">
        <v>0</v>
      </c>
      <c r="AB350" t="s">
        <v>36</v>
      </c>
      <c r="AC350">
        <v>58</v>
      </c>
      <c r="AD350">
        <v>-0.19</v>
      </c>
    </row>
    <row r="351" spans="1:30" x14ac:dyDescent="0.25">
      <c r="A351" s="1">
        <v>44784.111875000002</v>
      </c>
      <c r="B351" s="1">
        <v>44784.110081018516</v>
      </c>
      <c r="C351">
        <v>23443</v>
      </c>
      <c r="D351" t="s">
        <v>50</v>
      </c>
      <c r="E351" t="s">
        <v>35</v>
      </c>
      <c r="F351">
        <v>7</v>
      </c>
      <c r="G351">
        <v>43.556139999999999</v>
      </c>
      <c r="H351">
        <v>-72.370990000000006</v>
      </c>
      <c r="I351">
        <v>523</v>
      </c>
      <c r="J351">
        <v>69</v>
      </c>
      <c r="K351">
        <v>0</v>
      </c>
      <c r="L351" s="1">
        <v>44784.111828703702</v>
      </c>
      <c r="M351">
        <v>3.4</v>
      </c>
      <c r="N351">
        <v>3</v>
      </c>
      <c r="O351">
        <v>0.4</v>
      </c>
      <c r="P351">
        <v>12</v>
      </c>
      <c r="Q351">
        <v>0.1</v>
      </c>
      <c r="R351">
        <v>0.1</v>
      </c>
      <c r="S351">
        <v>0.1</v>
      </c>
      <c r="T351" t="s">
        <v>33</v>
      </c>
      <c r="U351">
        <v>3.2</v>
      </c>
      <c r="V351">
        <v>66</v>
      </c>
      <c r="W351">
        <v>0</v>
      </c>
      <c r="X351">
        <v>66</v>
      </c>
      <c r="Y351">
        <v>0</v>
      </c>
      <c r="Z351">
        <v>0</v>
      </c>
      <c r="AA351">
        <v>0</v>
      </c>
      <c r="AB351" t="s">
        <v>36</v>
      </c>
      <c r="AC351">
        <v>66</v>
      </c>
      <c r="AD351">
        <v>-0.51</v>
      </c>
    </row>
    <row r="352" spans="1:30" x14ac:dyDescent="0.25">
      <c r="A352" s="1">
        <v>44784.111886574072</v>
      </c>
      <c r="B352" s="1">
        <v>44784.110185185185</v>
      </c>
      <c r="C352">
        <v>58135</v>
      </c>
      <c r="D352" t="s">
        <v>51</v>
      </c>
      <c r="E352" t="s">
        <v>35</v>
      </c>
      <c r="F352">
        <v>7</v>
      </c>
      <c r="G352">
        <v>42.883873000000001</v>
      </c>
      <c r="H352">
        <v>-71.972915999999998</v>
      </c>
      <c r="I352">
        <v>808</v>
      </c>
      <c r="J352">
        <v>71</v>
      </c>
      <c r="K352">
        <v>0</v>
      </c>
      <c r="L352" s="1">
        <v>44784.111828703702</v>
      </c>
      <c r="M352">
        <v>7.8</v>
      </c>
      <c r="N352">
        <v>5.2</v>
      </c>
      <c r="O352">
        <v>2.6</v>
      </c>
      <c r="P352">
        <v>40</v>
      </c>
      <c r="Q352">
        <v>0.1</v>
      </c>
      <c r="R352">
        <v>0</v>
      </c>
      <c r="S352">
        <v>0.05</v>
      </c>
      <c r="T352" t="s">
        <v>33</v>
      </c>
      <c r="U352">
        <v>6.5</v>
      </c>
      <c r="V352">
        <v>72</v>
      </c>
      <c r="W352">
        <v>0</v>
      </c>
      <c r="X352">
        <v>72</v>
      </c>
      <c r="Y352">
        <v>0</v>
      </c>
      <c r="Z352">
        <v>0</v>
      </c>
      <c r="AA352">
        <v>0</v>
      </c>
      <c r="AB352" t="s">
        <v>36</v>
      </c>
      <c r="AC352">
        <v>72</v>
      </c>
      <c r="AD352">
        <v>1.08</v>
      </c>
    </row>
    <row r="353" spans="1:30" x14ac:dyDescent="0.25">
      <c r="A353" s="1">
        <v>44784.111886574072</v>
      </c>
      <c r="B353" s="1">
        <v>44784.110243055555</v>
      </c>
      <c r="C353">
        <v>148555</v>
      </c>
      <c r="D353" t="s">
        <v>52</v>
      </c>
      <c r="E353" t="s">
        <v>53</v>
      </c>
      <c r="F353">
        <v>7</v>
      </c>
      <c r="G353">
        <v>42.904949999999999</v>
      </c>
      <c r="H353">
        <v>-71.386764999999997</v>
      </c>
      <c r="I353">
        <v>363</v>
      </c>
      <c r="J353">
        <v>0</v>
      </c>
      <c r="K353">
        <v>0</v>
      </c>
      <c r="L353" s="1">
        <v>44784.111828703702</v>
      </c>
      <c r="M353">
        <v>1.6</v>
      </c>
      <c r="N353">
        <v>2.1</v>
      </c>
      <c r="O353">
        <v>0.5</v>
      </c>
      <c r="P353">
        <v>27</v>
      </c>
      <c r="Q353">
        <v>0.1</v>
      </c>
      <c r="R353">
        <v>0</v>
      </c>
      <c r="S353">
        <v>0.05</v>
      </c>
      <c r="T353" t="s">
        <v>33</v>
      </c>
      <c r="U353">
        <v>1.85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 t="s">
        <v>38</v>
      </c>
    </row>
    <row r="354" spans="1:30" x14ac:dyDescent="0.25">
      <c r="A354" s="1">
        <v>44784.111886574072</v>
      </c>
      <c r="B354" s="1">
        <v>44784.111168981479</v>
      </c>
      <c r="C354">
        <v>146644</v>
      </c>
      <c r="D354" t="s">
        <v>54</v>
      </c>
      <c r="E354" t="s">
        <v>53</v>
      </c>
      <c r="F354">
        <v>7</v>
      </c>
      <c r="G354">
        <v>43.06015</v>
      </c>
      <c r="H354">
        <v>-70.758930000000007</v>
      </c>
      <c r="I354">
        <v>35</v>
      </c>
      <c r="J354">
        <v>69</v>
      </c>
      <c r="K354">
        <v>71</v>
      </c>
      <c r="L354" s="1">
        <v>44784.111828703702</v>
      </c>
      <c r="M354">
        <v>9.1</v>
      </c>
      <c r="N354">
        <v>7.6</v>
      </c>
      <c r="O354">
        <v>1.5</v>
      </c>
      <c r="P354">
        <v>18</v>
      </c>
      <c r="Q354">
        <v>0.4</v>
      </c>
      <c r="R354">
        <v>0.3</v>
      </c>
      <c r="S354">
        <v>0.35</v>
      </c>
      <c r="T354" t="s">
        <v>33</v>
      </c>
      <c r="U354">
        <v>8.35</v>
      </c>
      <c r="V354">
        <v>67</v>
      </c>
      <c r="W354">
        <v>72</v>
      </c>
      <c r="X354">
        <v>5</v>
      </c>
      <c r="Y354">
        <v>1</v>
      </c>
      <c r="Z354">
        <v>1</v>
      </c>
      <c r="AA354">
        <v>0</v>
      </c>
      <c r="AB354" t="s">
        <v>33</v>
      </c>
      <c r="AC354">
        <v>69.5</v>
      </c>
      <c r="AD354">
        <v>2.39</v>
      </c>
    </row>
    <row r="355" spans="1:30" x14ac:dyDescent="0.25">
      <c r="A355" s="1">
        <v>44784.111886574072</v>
      </c>
      <c r="B355" s="1">
        <v>43755.283437500002</v>
      </c>
      <c r="C355">
        <v>12188</v>
      </c>
      <c r="D355" t="s">
        <v>55</v>
      </c>
      <c r="E355" t="s">
        <v>35</v>
      </c>
      <c r="F355">
        <v>4.1100000000000003</v>
      </c>
      <c r="G355">
        <v>42.927050000000001</v>
      </c>
      <c r="H355">
        <v>-72.279610000000005</v>
      </c>
      <c r="I355">
        <v>475</v>
      </c>
      <c r="J355">
        <v>95</v>
      </c>
      <c r="K355">
        <v>0</v>
      </c>
      <c r="L355" s="1">
        <v>44784.111828703702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 t="s">
        <v>32</v>
      </c>
      <c r="V355">
        <v>77</v>
      </c>
      <c r="W355">
        <v>0</v>
      </c>
      <c r="X355">
        <v>77</v>
      </c>
      <c r="Y355">
        <v>0</v>
      </c>
      <c r="Z355">
        <v>0</v>
      </c>
      <c r="AA355">
        <v>0</v>
      </c>
      <c r="AB355" t="s">
        <v>36</v>
      </c>
      <c r="AC355">
        <v>77</v>
      </c>
    </row>
    <row r="356" spans="1:30" x14ac:dyDescent="0.25">
      <c r="A356" s="1">
        <v>44784.111886574072</v>
      </c>
      <c r="B356" s="1">
        <v>44784.110081018516</v>
      </c>
      <c r="C356">
        <v>1224</v>
      </c>
      <c r="D356" t="s">
        <v>56</v>
      </c>
      <c r="E356" t="s">
        <v>35</v>
      </c>
      <c r="F356" t="s">
        <v>57</v>
      </c>
      <c r="G356">
        <v>42.938034000000002</v>
      </c>
      <c r="H356">
        <v>-72.259299999999996</v>
      </c>
      <c r="I356">
        <v>792</v>
      </c>
      <c r="J356">
        <v>76</v>
      </c>
      <c r="K356">
        <v>0</v>
      </c>
      <c r="L356" s="1">
        <v>44784.111828703702</v>
      </c>
      <c r="M356">
        <v>2.4</v>
      </c>
      <c r="N356">
        <v>0</v>
      </c>
      <c r="O356">
        <v>2.4</v>
      </c>
      <c r="P356">
        <v>200</v>
      </c>
      <c r="Q356">
        <v>0.1</v>
      </c>
      <c r="R356">
        <v>0</v>
      </c>
      <c r="S356">
        <v>0.05</v>
      </c>
      <c r="T356" t="s">
        <v>43</v>
      </c>
      <c r="V356">
        <v>84</v>
      </c>
      <c r="W356">
        <v>0</v>
      </c>
      <c r="X356">
        <v>84</v>
      </c>
      <c r="Y356">
        <v>1</v>
      </c>
      <c r="Z356">
        <v>0</v>
      </c>
      <c r="AA356">
        <v>1</v>
      </c>
      <c r="AB356" t="s">
        <v>36</v>
      </c>
      <c r="AC356">
        <v>84</v>
      </c>
    </row>
    <row r="357" spans="1:30" x14ac:dyDescent="0.25">
      <c r="A357" s="1">
        <v>44784.111898148149</v>
      </c>
      <c r="B357" s="1">
        <v>44784.110914351855</v>
      </c>
      <c r="C357">
        <v>1202</v>
      </c>
      <c r="D357" t="s">
        <v>58</v>
      </c>
      <c r="E357" t="s">
        <v>35</v>
      </c>
      <c r="F357" t="s">
        <v>57</v>
      </c>
      <c r="G357">
        <v>42.936554000000001</v>
      </c>
      <c r="H357">
        <v>-72.271019999999993</v>
      </c>
      <c r="I357">
        <v>488</v>
      </c>
      <c r="J357">
        <v>0</v>
      </c>
      <c r="K357">
        <v>0</v>
      </c>
      <c r="L357" s="1">
        <v>44784.111828703702</v>
      </c>
      <c r="M357">
        <v>2.8</v>
      </c>
      <c r="N357">
        <v>2.9</v>
      </c>
      <c r="O357">
        <v>0.1</v>
      </c>
      <c r="P357">
        <v>4</v>
      </c>
      <c r="Q357">
        <v>0.2</v>
      </c>
      <c r="R357">
        <v>0.3</v>
      </c>
      <c r="S357">
        <v>0.25</v>
      </c>
      <c r="T357" t="s">
        <v>33</v>
      </c>
      <c r="U357">
        <v>2.85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 t="s">
        <v>38</v>
      </c>
    </row>
    <row r="358" spans="1:30" x14ac:dyDescent="0.25">
      <c r="A358" s="1">
        <v>44784.111898148149</v>
      </c>
      <c r="B358" s="1">
        <v>44612.080023148148</v>
      </c>
      <c r="C358">
        <v>25985</v>
      </c>
      <c r="D358" t="s">
        <v>59</v>
      </c>
      <c r="E358" t="s">
        <v>35</v>
      </c>
      <c r="F358">
        <v>6.01</v>
      </c>
      <c r="G358">
        <v>42.927326000000001</v>
      </c>
      <c r="H358">
        <v>-72.279979999999995</v>
      </c>
      <c r="I358">
        <v>477</v>
      </c>
      <c r="J358">
        <v>78</v>
      </c>
      <c r="K358">
        <v>0</v>
      </c>
      <c r="L358" s="1">
        <v>44784.111828703702</v>
      </c>
      <c r="M358">
        <v>1.1000000000000001</v>
      </c>
      <c r="N358">
        <v>1</v>
      </c>
      <c r="O358">
        <v>0.1</v>
      </c>
      <c r="P358">
        <v>10</v>
      </c>
      <c r="Q358">
        <v>0</v>
      </c>
      <c r="R358">
        <v>0</v>
      </c>
      <c r="S358">
        <v>0</v>
      </c>
      <c r="T358" t="s">
        <v>32</v>
      </c>
      <c r="V358">
        <v>22</v>
      </c>
      <c r="W358">
        <v>0</v>
      </c>
      <c r="X358">
        <v>22</v>
      </c>
      <c r="Y358">
        <v>0</v>
      </c>
      <c r="Z358">
        <v>0</v>
      </c>
      <c r="AA358">
        <v>0</v>
      </c>
      <c r="AB358" t="s">
        <v>36</v>
      </c>
      <c r="AC358">
        <v>22</v>
      </c>
    </row>
    <row r="359" spans="1:30" x14ac:dyDescent="0.25">
      <c r="A359" s="1">
        <v>44784.118796296294</v>
      </c>
      <c r="B359" s="1">
        <v>44775.701319444444</v>
      </c>
      <c r="C359">
        <v>151708</v>
      </c>
      <c r="D359" t="s">
        <v>30</v>
      </c>
      <c r="E359" t="s">
        <v>31</v>
      </c>
      <c r="F359">
        <v>7</v>
      </c>
      <c r="G359">
        <v>43.192042999999998</v>
      </c>
      <c r="H359">
        <v>-71.541579999999996</v>
      </c>
      <c r="I359">
        <v>291</v>
      </c>
      <c r="J359">
        <v>93</v>
      </c>
      <c r="K359">
        <v>94</v>
      </c>
      <c r="L359" s="1">
        <v>44784.118773148148</v>
      </c>
      <c r="M359">
        <v>7.9</v>
      </c>
      <c r="N359">
        <v>7.6</v>
      </c>
      <c r="O359">
        <v>0.3</v>
      </c>
      <c r="P359">
        <v>4</v>
      </c>
      <c r="Q359">
        <v>0</v>
      </c>
      <c r="R359">
        <v>0</v>
      </c>
      <c r="S359">
        <v>0</v>
      </c>
      <c r="T359" t="s">
        <v>32</v>
      </c>
      <c r="V359">
        <v>42</v>
      </c>
      <c r="W359">
        <v>41</v>
      </c>
      <c r="X359">
        <v>1</v>
      </c>
      <c r="Y359">
        <v>0</v>
      </c>
      <c r="Z359">
        <v>0</v>
      </c>
      <c r="AA359">
        <v>0</v>
      </c>
      <c r="AB359" t="s">
        <v>33</v>
      </c>
      <c r="AC359">
        <v>41.5</v>
      </c>
    </row>
    <row r="360" spans="1:30" x14ac:dyDescent="0.25">
      <c r="A360" s="1">
        <v>44784.118796296294</v>
      </c>
      <c r="B360" s="1">
        <v>44784.117071759261</v>
      </c>
      <c r="C360">
        <v>143456</v>
      </c>
      <c r="D360" t="s">
        <v>34</v>
      </c>
      <c r="E360" t="s">
        <v>35</v>
      </c>
      <c r="F360">
        <v>7</v>
      </c>
      <c r="G360">
        <v>43.08963</v>
      </c>
      <c r="H360">
        <v>-71.502440000000007</v>
      </c>
      <c r="I360">
        <v>619</v>
      </c>
      <c r="J360">
        <v>70</v>
      </c>
      <c r="K360">
        <v>0</v>
      </c>
      <c r="L360" s="1">
        <v>44784.118773148148</v>
      </c>
      <c r="M360">
        <v>2.8</v>
      </c>
      <c r="N360">
        <v>3.2</v>
      </c>
      <c r="O360">
        <v>0.4</v>
      </c>
      <c r="P360">
        <v>13</v>
      </c>
      <c r="Q360">
        <v>0.1</v>
      </c>
      <c r="R360">
        <v>0.1</v>
      </c>
      <c r="S360">
        <v>0.1</v>
      </c>
      <c r="T360" t="s">
        <v>33</v>
      </c>
      <c r="U360">
        <v>3</v>
      </c>
      <c r="V360">
        <v>70</v>
      </c>
      <c r="W360">
        <v>0</v>
      </c>
      <c r="X360">
        <v>70</v>
      </c>
      <c r="Y360">
        <v>0</v>
      </c>
      <c r="Z360">
        <v>0</v>
      </c>
      <c r="AA360">
        <v>0</v>
      </c>
      <c r="AB360" t="s">
        <v>36</v>
      </c>
      <c r="AC360">
        <v>70</v>
      </c>
      <c r="AD360">
        <v>-0.91</v>
      </c>
    </row>
    <row r="361" spans="1:30" x14ac:dyDescent="0.25">
      <c r="A361" s="1">
        <v>44784.118796296294</v>
      </c>
      <c r="B361" s="1">
        <v>44784.117280092592</v>
      </c>
      <c r="C361">
        <v>151702</v>
      </c>
      <c r="D361" t="s">
        <v>37</v>
      </c>
      <c r="E361" t="s">
        <v>31</v>
      </c>
      <c r="F361">
        <v>7</v>
      </c>
      <c r="G361">
        <v>43.118609999999997</v>
      </c>
      <c r="H361">
        <v>-71.61618</v>
      </c>
      <c r="I361">
        <v>885</v>
      </c>
      <c r="J361">
        <v>0</v>
      </c>
      <c r="K361">
        <v>0</v>
      </c>
      <c r="L361" s="1">
        <v>44784.118773148148</v>
      </c>
      <c r="M361">
        <v>3.2</v>
      </c>
      <c r="N361">
        <v>3.1</v>
      </c>
      <c r="O361">
        <v>0.1</v>
      </c>
      <c r="P361">
        <v>3</v>
      </c>
      <c r="Q361">
        <v>0</v>
      </c>
      <c r="R361">
        <v>0.1</v>
      </c>
      <c r="S361">
        <v>0.05</v>
      </c>
      <c r="T361" t="s">
        <v>33</v>
      </c>
      <c r="U361">
        <v>3.15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 t="s">
        <v>38</v>
      </c>
    </row>
    <row r="362" spans="1:30" x14ac:dyDescent="0.25">
      <c r="A362" s="1">
        <v>44784.118796296294</v>
      </c>
      <c r="B362" s="1">
        <v>44784.117152777777</v>
      </c>
      <c r="C362">
        <v>151700</v>
      </c>
      <c r="D362" t="s">
        <v>30</v>
      </c>
      <c r="E362" t="s">
        <v>31</v>
      </c>
      <c r="F362">
        <v>7</v>
      </c>
      <c r="G362">
        <v>43.19211</v>
      </c>
      <c r="H362">
        <v>-71.541460000000001</v>
      </c>
      <c r="I362">
        <v>286</v>
      </c>
      <c r="J362">
        <v>71</v>
      </c>
      <c r="K362">
        <v>0</v>
      </c>
      <c r="L362" s="1">
        <v>44784.118773148148</v>
      </c>
      <c r="M362">
        <v>2.8</v>
      </c>
      <c r="N362">
        <v>3.2</v>
      </c>
      <c r="O362">
        <v>0.4</v>
      </c>
      <c r="P362">
        <v>13</v>
      </c>
      <c r="Q362">
        <v>0</v>
      </c>
      <c r="R362">
        <v>0.1</v>
      </c>
      <c r="S362">
        <v>0.05</v>
      </c>
      <c r="T362" t="s">
        <v>33</v>
      </c>
      <c r="U362">
        <v>3</v>
      </c>
      <c r="V362">
        <v>66</v>
      </c>
      <c r="W362">
        <v>0</v>
      </c>
      <c r="X362">
        <v>66</v>
      </c>
      <c r="Y362">
        <v>0</v>
      </c>
      <c r="Z362">
        <v>0</v>
      </c>
      <c r="AA362">
        <v>0</v>
      </c>
      <c r="AB362" t="s">
        <v>36</v>
      </c>
      <c r="AC362">
        <v>66</v>
      </c>
      <c r="AD362">
        <v>-0.63</v>
      </c>
    </row>
    <row r="363" spans="1:30" x14ac:dyDescent="0.25">
      <c r="A363" s="1">
        <v>44784.118796296294</v>
      </c>
      <c r="B363" s="1">
        <v>44784.11755787037</v>
      </c>
      <c r="C363">
        <v>135984</v>
      </c>
      <c r="D363" t="s">
        <v>39</v>
      </c>
      <c r="E363" t="s">
        <v>31</v>
      </c>
      <c r="F363">
        <v>7</v>
      </c>
      <c r="G363">
        <v>43.565852999999997</v>
      </c>
      <c r="H363">
        <v>-71.496129999999994</v>
      </c>
      <c r="I363">
        <v>708</v>
      </c>
      <c r="J363">
        <v>69</v>
      </c>
      <c r="K363">
        <v>0</v>
      </c>
      <c r="L363" s="1">
        <v>44784.118773148148</v>
      </c>
      <c r="M363">
        <v>5.3</v>
      </c>
      <c r="N363">
        <v>4.0999999999999996</v>
      </c>
      <c r="O363">
        <v>1.2</v>
      </c>
      <c r="P363">
        <v>26</v>
      </c>
      <c r="Q363">
        <v>0</v>
      </c>
      <c r="R363">
        <v>0.3</v>
      </c>
      <c r="S363">
        <v>0.15</v>
      </c>
      <c r="T363" t="s">
        <v>33</v>
      </c>
      <c r="U363">
        <v>4.7</v>
      </c>
      <c r="V363">
        <v>92</v>
      </c>
      <c r="W363">
        <v>0</v>
      </c>
      <c r="X363">
        <v>92</v>
      </c>
      <c r="Y363">
        <v>2</v>
      </c>
      <c r="Z363">
        <v>0</v>
      </c>
      <c r="AA363">
        <v>2</v>
      </c>
      <c r="AB363" t="s">
        <v>36</v>
      </c>
      <c r="AC363">
        <v>92</v>
      </c>
      <c r="AD363">
        <v>-1.41</v>
      </c>
    </row>
    <row r="364" spans="1:30" x14ac:dyDescent="0.25">
      <c r="A364" s="1">
        <v>44784.118807870371</v>
      </c>
      <c r="B364" s="1">
        <v>44780.394780092596</v>
      </c>
      <c r="C364">
        <v>151712</v>
      </c>
      <c r="D364" t="s">
        <v>40</v>
      </c>
      <c r="E364" t="s">
        <v>31</v>
      </c>
      <c r="F364">
        <v>7</v>
      </c>
      <c r="G364">
        <v>43.289763999999998</v>
      </c>
      <c r="H364">
        <v>-71.564260000000004</v>
      </c>
      <c r="I364">
        <v>370</v>
      </c>
      <c r="J364">
        <v>86</v>
      </c>
      <c r="K364">
        <v>0</v>
      </c>
      <c r="L364" s="1">
        <v>44784.118773148148</v>
      </c>
      <c r="M364">
        <v>14</v>
      </c>
      <c r="N364">
        <v>13.2</v>
      </c>
      <c r="O364">
        <v>0.8</v>
      </c>
      <c r="P364">
        <v>6</v>
      </c>
      <c r="Q364">
        <v>0</v>
      </c>
      <c r="R364">
        <v>0</v>
      </c>
      <c r="S364">
        <v>0</v>
      </c>
      <c r="T364" t="s">
        <v>32</v>
      </c>
      <c r="V364">
        <v>59</v>
      </c>
      <c r="W364">
        <v>0</v>
      </c>
      <c r="X364">
        <v>59</v>
      </c>
      <c r="Y364">
        <v>0</v>
      </c>
      <c r="Z364">
        <v>0</v>
      </c>
      <c r="AA364">
        <v>0</v>
      </c>
      <c r="AB364" t="s">
        <v>36</v>
      </c>
      <c r="AC364">
        <v>59</v>
      </c>
    </row>
    <row r="365" spans="1:30" x14ac:dyDescent="0.25">
      <c r="A365" s="1">
        <v>44784.118807870371</v>
      </c>
      <c r="B365" s="1">
        <v>44784.11824074074</v>
      </c>
      <c r="C365">
        <v>151710</v>
      </c>
      <c r="D365" t="s">
        <v>41</v>
      </c>
      <c r="E365" t="s">
        <v>31</v>
      </c>
      <c r="F365">
        <v>7</v>
      </c>
      <c r="G365">
        <v>43.132477000000002</v>
      </c>
      <c r="H365">
        <v>-71.458374000000006</v>
      </c>
      <c r="I365">
        <v>230</v>
      </c>
      <c r="J365">
        <v>70</v>
      </c>
      <c r="K365">
        <v>0</v>
      </c>
      <c r="L365" s="1">
        <v>44784.118773148148</v>
      </c>
      <c r="M365">
        <v>5.2</v>
      </c>
      <c r="N365">
        <v>4</v>
      </c>
      <c r="O365">
        <v>1.2</v>
      </c>
      <c r="P365">
        <v>26</v>
      </c>
      <c r="Q365">
        <v>0.3</v>
      </c>
      <c r="R365">
        <v>0.1</v>
      </c>
      <c r="S365">
        <v>0.2</v>
      </c>
      <c r="T365" t="s">
        <v>33</v>
      </c>
      <c r="U365">
        <v>4.5999999999999996</v>
      </c>
      <c r="V365">
        <v>67</v>
      </c>
      <c r="W365">
        <v>0</v>
      </c>
      <c r="X365">
        <v>67</v>
      </c>
      <c r="Y365">
        <v>0</v>
      </c>
      <c r="Z365">
        <v>0</v>
      </c>
      <c r="AA365">
        <v>0</v>
      </c>
      <c r="AB365" t="s">
        <v>36</v>
      </c>
      <c r="AC365">
        <v>67</v>
      </c>
      <c r="AD365">
        <v>0.28000000000000003</v>
      </c>
    </row>
    <row r="366" spans="1:30" x14ac:dyDescent="0.25">
      <c r="A366" s="1">
        <v>44784.118807870371</v>
      </c>
      <c r="B366" s="1">
        <v>44784.117939814816</v>
      </c>
      <c r="C366">
        <v>151706</v>
      </c>
      <c r="D366" t="s">
        <v>42</v>
      </c>
      <c r="E366" t="s">
        <v>31</v>
      </c>
      <c r="F366">
        <v>7</v>
      </c>
      <c r="G366">
        <v>43.004080000000002</v>
      </c>
      <c r="H366">
        <v>-71.177040000000005</v>
      </c>
      <c r="I366">
        <v>194</v>
      </c>
      <c r="J366">
        <v>71</v>
      </c>
      <c r="K366">
        <v>0</v>
      </c>
      <c r="L366" s="1">
        <v>44784.118773148148</v>
      </c>
      <c r="M366">
        <v>2.1</v>
      </c>
      <c r="N366">
        <v>0</v>
      </c>
      <c r="O366">
        <v>2.1</v>
      </c>
      <c r="P366">
        <v>200</v>
      </c>
      <c r="Q366">
        <v>0.1</v>
      </c>
      <c r="R366">
        <v>0</v>
      </c>
      <c r="S366">
        <v>0.05</v>
      </c>
      <c r="T366" t="s">
        <v>43</v>
      </c>
      <c r="V366">
        <v>67</v>
      </c>
      <c r="W366">
        <v>0</v>
      </c>
      <c r="X366">
        <v>67</v>
      </c>
      <c r="Y366">
        <v>1</v>
      </c>
      <c r="Z366">
        <v>0</v>
      </c>
      <c r="AA366">
        <v>1</v>
      </c>
      <c r="AB366" t="s">
        <v>36</v>
      </c>
      <c r="AC366">
        <v>67</v>
      </c>
    </row>
    <row r="367" spans="1:30" x14ac:dyDescent="0.25">
      <c r="A367" s="1">
        <v>44784.118807870371</v>
      </c>
      <c r="B367" s="1">
        <v>44784.117627314816</v>
      </c>
      <c r="C367">
        <v>12212</v>
      </c>
      <c r="D367" t="s">
        <v>44</v>
      </c>
      <c r="E367" t="s">
        <v>35</v>
      </c>
      <c r="F367">
        <v>7</v>
      </c>
      <c r="G367">
        <v>42.930529999999997</v>
      </c>
      <c r="H367">
        <v>-72.272350000000003</v>
      </c>
      <c r="I367">
        <v>476</v>
      </c>
      <c r="J367">
        <v>76</v>
      </c>
      <c r="K367">
        <v>0</v>
      </c>
      <c r="L367" s="1">
        <v>44784.118773148148</v>
      </c>
      <c r="M367">
        <v>3.8</v>
      </c>
      <c r="N367">
        <v>3.2</v>
      </c>
      <c r="O367">
        <v>0.6</v>
      </c>
      <c r="P367">
        <v>17</v>
      </c>
      <c r="Q367">
        <v>0.1</v>
      </c>
      <c r="R367">
        <v>0.1</v>
      </c>
      <c r="S367">
        <v>0.1</v>
      </c>
      <c r="T367" t="s">
        <v>33</v>
      </c>
      <c r="U367">
        <v>3.5</v>
      </c>
      <c r="V367">
        <v>85</v>
      </c>
      <c r="W367">
        <v>0</v>
      </c>
      <c r="X367">
        <v>85</v>
      </c>
      <c r="Y367">
        <v>2</v>
      </c>
      <c r="Z367">
        <v>0</v>
      </c>
      <c r="AA367">
        <v>2</v>
      </c>
      <c r="AB367" t="s">
        <v>36</v>
      </c>
      <c r="AC367">
        <v>85</v>
      </c>
      <c r="AD367">
        <v>-1.66</v>
      </c>
    </row>
    <row r="368" spans="1:30" x14ac:dyDescent="0.25">
      <c r="A368" s="1">
        <v>44784.118819444448</v>
      </c>
      <c r="B368" s="1">
        <v>44769.376736111109</v>
      </c>
      <c r="C368">
        <v>12178</v>
      </c>
      <c r="D368" t="s">
        <v>45</v>
      </c>
      <c r="E368" t="s">
        <v>35</v>
      </c>
      <c r="F368">
        <v>7</v>
      </c>
      <c r="G368">
        <v>42.899563000000001</v>
      </c>
      <c r="H368">
        <v>-71.464650000000006</v>
      </c>
      <c r="I368">
        <v>301</v>
      </c>
      <c r="J368">
        <v>85</v>
      </c>
      <c r="K368">
        <v>0</v>
      </c>
      <c r="L368" s="1">
        <v>44784.118773148148</v>
      </c>
      <c r="M368">
        <v>3.8</v>
      </c>
      <c r="N368">
        <v>3.1</v>
      </c>
      <c r="O368">
        <v>0.7</v>
      </c>
      <c r="P368">
        <v>20</v>
      </c>
      <c r="Q368">
        <v>0</v>
      </c>
      <c r="R368">
        <v>0</v>
      </c>
      <c r="S368">
        <v>0</v>
      </c>
      <c r="T368" t="s">
        <v>32</v>
      </c>
      <c r="V368">
        <v>35</v>
      </c>
      <c r="W368">
        <v>0</v>
      </c>
      <c r="X368">
        <v>35</v>
      </c>
      <c r="Y368">
        <v>0</v>
      </c>
      <c r="Z368">
        <v>0</v>
      </c>
      <c r="AA368">
        <v>0</v>
      </c>
      <c r="AB368" t="s">
        <v>36</v>
      </c>
      <c r="AC368">
        <v>35</v>
      </c>
    </row>
    <row r="369" spans="1:30" x14ac:dyDescent="0.25">
      <c r="A369" s="1">
        <v>44784.118819444448</v>
      </c>
      <c r="B369" s="1">
        <v>44784.116979166669</v>
      </c>
      <c r="C369">
        <v>75981</v>
      </c>
      <c r="D369" t="s">
        <v>46</v>
      </c>
      <c r="E369" t="s">
        <v>35</v>
      </c>
      <c r="F369">
        <v>7</v>
      </c>
      <c r="G369">
        <v>42.97</v>
      </c>
      <c r="H369">
        <v>-71.06</v>
      </c>
      <c r="I369">
        <v>136</v>
      </c>
      <c r="J369">
        <v>74</v>
      </c>
      <c r="K369">
        <v>0</v>
      </c>
      <c r="L369" s="1">
        <v>44784.118773148148</v>
      </c>
      <c r="M369">
        <v>3.5</v>
      </c>
      <c r="N369">
        <v>3.1</v>
      </c>
      <c r="O369">
        <v>0.4</v>
      </c>
      <c r="P369">
        <v>12</v>
      </c>
      <c r="Q369">
        <v>0</v>
      </c>
      <c r="R369">
        <v>0</v>
      </c>
      <c r="S369">
        <v>0</v>
      </c>
      <c r="T369" t="s">
        <v>33</v>
      </c>
      <c r="U369">
        <v>3.3</v>
      </c>
      <c r="V369">
        <v>62</v>
      </c>
      <c r="W369">
        <v>0</v>
      </c>
      <c r="X369">
        <v>62</v>
      </c>
      <c r="Y369">
        <v>1</v>
      </c>
      <c r="Z369">
        <v>0</v>
      </c>
      <c r="AA369">
        <v>1</v>
      </c>
      <c r="AB369" t="s">
        <v>36</v>
      </c>
      <c r="AC369">
        <v>62</v>
      </c>
      <c r="AD369">
        <v>-0.17</v>
      </c>
    </row>
    <row r="370" spans="1:30" x14ac:dyDescent="0.25">
      <c r="A370" s="1">
        <v>44784.118819444448</v>
      </c>
      <c r="B370" s="1">
        <v>44784.117511574077</v>
      </c>
      <c r="C370">
        <v>115703</v>
      </c>
      <c r="D370" t="s">
        <v>47</v>
      </c>
      <c r="E370" t="s">
        <v>35</v>
      </c>
      <c r="F370">
        <v>7</v>
      </c>
      <c r="G370">
        <v>43.953625000000002</v>
      </c>
      <c r="H370">
        <v>-71.508859999999999</v>
      </c>
      <c r="I370">
        <v>1493</v>
      </c>
      <c r="J370">
        <v>63</v>
      </c>
      <c r="K370">
        <v>0</v>
      </c>
      <c r="L370" s="1">
        <v>44784.118773148148</v>
      </c>
      <c r="M370">
        <v>0</v>
      </c>
      <c r="N370">
        <v>300.89999999999998</v>
      </c>
      <c r="O370">
        <v>300.89999999999998</v>
      </c>
      <c r="P370">
        <v>200</v>
      </c>
      <c r="Q370">
        <v>0</v>
      </c>
      <c r="R370">
        <v>0</v>
      </c>
      <c r="S370">
        <v>0</v>
      </c>
      <c r="T370" t="s">
        <v>48</v>
      </c>
      <c r="V370">
        <v>68</v>
      </c>
      <c r="W370">
        <v>0</v>
      </c>
      <c r="X370">
        <v>68</v>
      </c>
      <c r="Y370">
        <v>1</v>
      </c>
      <c r="Z370">
        <v>0</v>
      </c>
      <c r="AA370">
        <v>1</v>
      </c>
      <c r="AB370" t="s">
        <v>36</v>
      </c>
      <c r="AC370">
        <v>68</v>
      </c>
    </row>
    <row r="371" spans="1:30" x14ac:dyDescent="0.25">
      <c r="A371" s="1">
        <v>44784.118819444448</v>
      </c>
      <c r="B371" s="1">
        <v>44784.118310185186</v>
      </c>
      <c r="C371">
        <v>12050</v>
      </c>
      <c r="D371" t="s">
        <v>49</v>
      </c>
      <c r="E371" t="s">
        <v>35</v>
      </c>
      <c r="F371">
        <v>7</v>
      </c>
      <c r="G371">
        <v>44.220573000000002</v>
      </c>
      <c r="H371">
        <v>-71.732315</v>
      </c>
      <c r="I371">
        <v>999</v>
      </c>
      <c r="J371">
        <v>69</v>
      </c>
      <c r="K371">
        <v>0</v>
      </c>
      <c r="L371" s="1">
        <v>44784.118773148148</v>
      </c>
      <c r="M371">
        <v>2.8</v>
      </c>
      <c r="N371">
        <v>2.8</v>
      </c>
      <c r="O371">
        <v>0</v>
      </c>
      <c r="P371">
        <v>0</v>
      </c>
      <c r="Q371">
        <v>0</v>
      </c>
      <c r="R371">
        <v>0</v>
      </c>
      <c r="S371">
        <v>0</v>
      </c>
      <c r="T371" t="s">
        <v>33</v>
      </c>
      <c r="U371">
        <v>2.8</v>
      </c>
      <c r="V371">
        <v>58</v>
      </c>
      <c r="W371">
        <v>0</v>
      </c>
      <c r="X371">
        <v>58</v>
      </c>
      <c r="Y371">
        <v>0</v>
      </c>
      <c r="Z371">
        <v>0</v>
      </c>
      <c r="AA371">
        <v>0</v>
      </c>
      <c r="AB371" t="s">
        <v>36</v>
      </c>
      <c r="AC371">
        <v>58</v>
      </c>
      <c r="AD371">
        <v>-0.19</v>
      </c>
    </row>
    <row r="372" spans="1:30" x14ac:dyDescent="0.25">
      <c r="A372" s="1">
        <v>44784.118831018517</v>
      </c>
      <c r="B372" s="1">
        <v>44784.117037037038</v>
      </c>
      <c r="C372">
        <v>23443</v>
      </c>
      <c r="D372" t="s">
        <v>50</v>
      </c>
      <c r="E372" t="s">
        <v>35</v>
      </c>
      <c r="F372">
        <v>7</v>
      </c>
      <c r="G372">
        <v>43.556139999999999</v>
      </c>
      <c r="H372">
        <v>-72.370990000000006</v>
      </c>
      <c r="I372">
        <v>523</v>
      </c>
      <c r="J372">
        <v>69</v>
      </c>
      <c r="K372">
        <v>0</v>
      </c>
      <c r="L372" s="1">
        <v>44784.118773148148</v>
      </c>
      <c r="M372">
        <v>3.5</v>
      </c>
      <c r="N372">
        <v>3.1</v>
      </c>
      <c r="O372">
        <v>0.4</v>
      </c>
      <c r="P372">
        <v>12</v>
      </c>
      <c r="Q372">
        <v>0.1</v>
      </c>
      <c r="R372">
        <v>0.1</v>
      </c>
      <c r="S372">
        <v>0.1</v>
      </c>
      <c r="T372" t="s">
        <v>33</v>
      </c>
      <c r="U372">
        <v>3.3</v>
      </c>
      <c r="V372">
        <v>66</v>
      </c>
      <c r="W372">
        <v>0</v>
      </c>
      <c r="X372">
        <v>66</v>
      </c>
      <c r="Y372">
        <v>0</v>
      </c>
      <c r="Z372">
        <v>0</v>
      </c>
      <c r="AA372">
        <v>0</v>
      </c>
      <c r="AB372" t="s">
        <v>36</v>
      </c>
      <c r="AC372">
        <v>66</v>
      </c>
      <c r="AD372">
        <v>-0.45</v>
      </c>
    </row>
    <row r="373" spans="1:30" x14ac:dyDescent="0.25">
      <c r="A373" s="1">
        <v>44784.118831018517</v>
      </c>
      <c r="B373" s="1">
        <v>44784.117210648146</v>
      </c>
      <c r="C373">
        <v>58135</v>
      </c>
      <c r="D373" t="s">
        <v>51</v>
      </c>
      <c r="E373" t="s">
        <v>35</v>
      </c>
      <c r="F373">
        <v>7</v>
      </c>
      <c r="G373">
        <v>42.883873000000001</v>
      </c>
      <c r="H373">
        <v>-71.972915999999998</v>
      </c>
      <c r="I373">
        <v>808</v>
      </c>
      <c r="J373">
        <v>71</v>
      </c>
      <c r="K373">
        <v>0</v>
      </c>
      <c r="L373" s="1">
        <v>44784.118773148148</v>
      </c>
      <c r="M373">
        <v>7.7</v>
      </c>
      <c r="N373">
        <v>5.3</v>
      </c>
      <c r="O373">
        <v>2.4</v>
      </c>
      <c r="P373">
        <v>37</v>
      </c>
      <c r="Q373">
        <v>0.1</v>
      </c>
      <c r="R373">
        <v>0.1</v>
      </c>
      <c r="S373">
        <v>0.1</v>
      </c>
      <c r="T373" t="s">
        <v>33</v>
      </c>
      <c r="U373">
        <v>6.5</v>
      </c>
      <c r="V373">
        <v>71</v>
      </c>
      <c r="W373">
        <v>0</v>
      </c>
      <c r="X373">
        <v>71</v>
      </c>
      <c r="Y373">
        <v>1</v>
      </c>
      <c r="Z373">
        <v>0</v>
      </c>
      <c r="AA373">
        <v>1</v>
      </c>
      <c r="AB373" t="s">
        <v>36</v>
      </c>
      <c r="AC373">
        <v>71</v>
      </c>
      <c r="AD373">
        <v>1.1499999999999999</v>
      </c>
    </row>
    <row r="374" spans="1:30" x14ac:dyDescent="0.25">
      <c r="A374" s="1">
        <v>44784.118831018517</v>
      </c>
      <c r="B374" s="1">
        <v>44784.1171875</v>
      </c>
      <c r="C374">
        <v>148555</v>
      </c>
      <c r="D374" t="s">
        <v>52</v>
      </c>
      <c r="E374" t="s">
        <v>53</v>
      </c>
      <c r="F374">
        <v>7</v>
      </c>
      <c r="G374">
        <v>42.904949999999999</v>
      </c>
      <c r="H374">
        <v>-71.386764999999997</v>
      </c>
      <c r="I374">
        <v>363</v>
      </c>
      <c r="J374">
        <v>0</v>
      </c>
      <c r="K374">
        <v>0</v>
      </c>
      <c r="L374" s="1">
        <v>44784.118773148148</v>
      </c>
      <c r="M374">
        <v>1.6</v>
      </c>
      <c r="N374">
        <v>2.2000000000000002</v>
      </c>
      <c r="O374">
        <v>0.6</v>
      </c>
      <c r="P374">
        <v>32</v>
      </c>
      <c r="Q374">
        <v>0</v>
      </c>
      <c r="R374">
        <v>0.1</v>
      </c>
      <c r="S374">
        <v>0.05</v>
      </c>
      <c r="T374" t="s">
        <v>33</v>
      </c>
      <c r="U374">
        <v>1.9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 t="s">
        <v>38</v>
      </c>
    </row>
    <row r="375" spans="1:30" x14ac:dyDescent="0.25">
      <c r="A375" s="1">
        <v>44784.118831018517</v>
      </c>
      <c r="B375" s="1">
        <v>44784.118113425924</v>
      </c>
      <c r="C375">
        <v>146644</v>
      </c>
      <c r="D375" t="s">
        <v>54</v>
      </c>
      <c r="E375" t="s">
        <v>53</v>
      </c>
      <c r="F375">
        <v>7</v>
      </c>
      <c r="G375">
        <v>43.06015</v>
      </c>
      <c r="H375">
        <v>-70.758930000000007</v>
      </c>
      <c r="I375">
        <v>35</v>
      </c>
      <c r="J375">
        <v>69</v>
      </c>
      <c r="K375">
        <v>71</v>
      </c>
      <c r="L375" s="1">
        <v>44784.118773148148</v>
      </c>
      <c r="M375">
        <v>8.6999999999999993</v>
      </c>
      <c r="N375">
        <v>7.1</v>
      </c>
      <c r="O375">
        <v>1.6</v>
      </c>
      <c r="P375">
        <v>20</v>
      </c>
      <c r="Q375">
        <v>0.4</v>
      </c>
      <c r="R375">
        <v>0.5</v>
      </c>
      <c r="S375">
        <v>0.45</v>
      </c>
      <c r="T375" t="s">
        <v>33</v>
      </c>
      <c r="U375">
        <v>7.9</v>
      </c>
      <c r="V375">
        <v>67</v>
      </c>
      <c r="W375">
        <v>72</v>
      </c>
      <c r="X375">
        <v>5</v>
      </c>
      <c r="Y375">
        <v>0</v>
      </c>
      <c r="Z375">
        <v>0</v>
      </c>
      <c r="AA375">
        <v>0</v>
      </c>
      <c r="AB375" t="s">
        <v>33</v>
      </c>
      <c r="AC375">
        <v>69.5</v>
      </c>
      <c r="AD375">
        <v>2.11</v>
      </c>
    </row>
    <row r="376" spans="1:30" x14ac:dyDescent="0.25">
      <c r="A376" s="1">
        <v>44784.118842592594</v>
      </c>
      <c r="B376" s="1">
        <v>43755.283437500002</v>
      </c>
      <c r="C376">
        <v>12188</v>
      </c>
      <c r="D376" t="s">
        <v>55</v>
      </c>
      <c r="E376" t="s">
        <v>35</v>
      </c>
      <c r="F376">
        <v>4.1100000000000003</v>
      </c>
      <c r="G376">
        <v>42.927050000000001</v>
      </c>
      <c r="H376">
        <v>-72.279610000000005</v>
      </c>
      <c r="I376">
        <v>475</v>
      </c>
      <c r="J376">
        <v>95</v>
      </c>
      <c r="K376">
        <v>0</v>
      </c>
      <c r="L376" s="1">
        <v>44784.118773148148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 t="s">
        <v>32</v>
      </c>
      <c r="V376">
        <v>77</v>
      </c>
      <c r="W376">
        <v>0</v>
      </c>
      <c r="X376">
        <v>77</v>
      </c>
      <c r="Y376">
        <v>0</v>
      </c>
      <c r="Z376">
        <v>0</v>
      </c>
      <c r="AA376">
        <v>0</v>
      </c>
      <c r="AB376" t="s">
        <v>36</v>
      </c>
      <c r="AC376">
        <v>77</v>
      </c>
    </row>
    <row r="377" spans="1:30" x14ac:dyDescent="0.25">
      <c r="A377" s="1">
        <v>44784.118842592594</v>
      </c>
      <c r="B377" s="1">
        <v>44784.117025462961</v>
      </c>
      <c r="C377">
        <v>1224</v>
      </c>
      <c r="D377" t="s">
        <v>56</v>
      </c>
      <c r="E377" t="s">
        <v>35</v>
      </c>
      <c r="F377" t="s">
        <v>57</v>
      </c>
      <c r="G377">
        <v>42.938034000000002</v>
      </c>
      <c r="H377">
        <v>-72.259299999999996</v>
      </c>
      <c r="I377">
        <v>792</v>
      </c>
      <c r="J377">
        <v>76</v>
      </c>
      <c r="K377">
        <v>0</v>
      </c>
      <c r="L377" s="1">
        <v>44784.118773148148</v>
      </c>
      <c r="M377">
        <v>2.5</v>
      </c>
      <c r="N377">
        <v>0</v>
      </c>
      <c r="O377">
        <v>2.5</v>
      </c>
      <c r="P377">
        <v>200</v>
      </c>
      <c r="Q377">
        <v>0.1</v>
      </c>
      <c r="R377">
        <v>0</v>
      </c>
      <c r="S377">
        <v>0.05</v>
      </c>
      <c r="T377" t="s">
        <v>43</v>
      </c>
      <c r="V377">
        <v>83</v>
      </c>
      <c r="W377">
        <v>0</v>
      </c>
      <c r="X377">
        <v>83</v>
      </c>
      <c r="Y377">
        <v>1</v>
      </c>
      <c r="Z377">
        <v>0</v>
      </c>
      <c r="AA377">
        <v>1</v>
      </c>
      <c r="AB377" t="s">
        <v>36</v>
      </c>
      <c r="AC377">
        <v>83</v>
      </c>
    </row>
    <row r="378" spans="1:30" x14ac:dyDescent="0.25">
      <c r="A378" s="1">
        <v>44784.118842592594</v>
      </c>
      <c r="B378" s="1">
        <v>44784.117858796293</v>
      </c>
      <c r="C378">
        <v>1202</v>
      </c>
      <c r="D378" t="s">
        <v>58</v>
      </c>
      <c r="E378" t="s">
        <v>35</v>
      </c>
      <c r="F378" t="s">
        <v>57</v>
      </c>
      <c r="G378">
        <v>42.936554000000001</v>
      </c>
      <c r="H378">
        <v>-72.271019999999993</v>
      </c>
      <c r="I378">
        <v>488</v>
      </c>
      <c r="J378">
        <v>0</v>
      </c>
      <c r="K378">
        <v>0</v>
      </c>
      <c r="L378" s="1">
        <v>44784.118773148148</v>
      </c>
      <c r="M378">
        <v>3.2</v>
      </c>
      <c r="N378">
        <v>3.1</v>
      </c>
      <c r="O378">
        <v>0.1</v>
      </c>
      <c r="P378">
        <v>3</v>
      </c>
      <c r="Q378">
        <v>0.4</v>
      </c>
      <c r="R378">
        <v>0.2</v>
      </c>
      <c r="S378">
        <v>0.3</v>
      </c>
      <c r="T378" t="s">
        <v>33</v>
      </c>
      <c r="U378">
        <v>3.15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 t="s">
        <v>38</v>
      </c>
    </row>
    <row r="379" spans="1:30" x14ac:dyDescent="0.25">
      <c r="A379" s="1">
        <v>44784.118842592594</v>
      </c>
      <c r="B379" s="1">
        <v>44612.080023148148</v>
      </c>
      <c r="C379">
        <v>25985</v>
      </c>
      <c r="D379" t="s">
        <v>59</v>
      </c>
      <c r="E379" t="s">
        <v>35</v>
      </c>
      <c r="F379">
        <v>6.01</v>
      </c>
      <c r="G379">
        <v>42.927326000000001</v>
      </c>
      <c r="H379">
        <v>-72.279979999999995</v>
      </c>
      <c r="I379">
        <v>477</v>
      </c>
      <c r="J379">
        <v>78</v>
      </c>
      <c r="K379">
        <v>0</v>
      </c>
      <c r="L379" s="1">
        <v>44784.118773148148</v>
      </c>
      <c r="M379">
        <v>1.1000000000000001</v>
      </c>
      <c r="N379">
        <v>1</v>
      </c>
      <c r="O379">
        <v>0.1</v>
      </c>
      <c r="P379">
        <v>10</v>
      </c>
      <c r="Q379">
        <v>0</v>
      </c>
      <c r="R379">
        <v>0</v>
      </c>
      <c r="S379">
        <v>0</v>
      </c>
      <c r="T379" t="s">
        <v>32</v>
      </c>
      <c r="V379">
        <v>22</v>
      </c>
      <c r="W379">
        <v>0</v>
      </c>
      <c r="X379">
        <v>22</v>
      </c>
      <c r="Y379">
        <v>0</v>
      </c>
      <c r="Z379">
        <v>0</v>
      </c>
      <c r="AA379">
        <v>0</v>
      </c>
      <c r="AB379" t="s">
        <v>36</v>
      </c>
      <c r="AC379">
        <v>22</v>
      </c>
    </row>
    <row r="380" spans="1:30" x14ac:dyDescent="0.25">
      <c r="A380" s="1">
        <v>44784.12572916667</v>
      </c>
      <c r="B380" s="1">
        <v>44775.701319444444</v>
      </c>
      <c r="C380">
        <v>151708</v>
      </c>
      <c r="D380" t="s">
        <v>30</v>
      </c>
      <c r="E380" t="s">
        <v>31</v>
      </c>
      <c r="F380">
        <v>7</v>
      </c>
      <c r="G380">
        <v>43.192042999999998</v>
      </c>
      <c r="H380">
        <v>-71.541579999999996</v>
      </c>
      <c r="I380">
        <v>291</v>
      </c>
      <c r="J380">
        <v>93</v>
      </c>
      <c r="K380">
        <v>94</v>
      </c>
      <c r="L380" s="1">
        <v>44784.125717592593</v>
      </c>
      <c r="M380">
        <v>7.9</v>
      </c>
      <c r="N380">
        <v>7.6</v>
      </c>
      <c r="O380">
        <v>0.3</v>
      </c>
      <c r="P380">
        <v>4</v>
      </c>
      <c r="Q380">
        <v>0</v>
      </c>
      <c r="R380">
        <v>0</v>
      </c>
      <c r="S380">
        <v>0</v>
      </c>
      <c r="T380" t="s">
        <v>32</v>
      </c>
      <c r="V380">
        <v>42</v>
      </c>
      <c r="W380">
        <v>41</v>
      </c>
      <c r="X380">
        <v>1</v>
      </c>
      <c r="Y380">
        <v>0</v>
      </c>
      <c r="Z380">
        <v>0</v>
      </c>
      <c r="AA380">
        <v>0</v>
      </c>
      <c r="AB380" t="s">
        <v>33</v>
      </c>
      <c r="AC380">
        <v>41.5</v>
      </c>
    </row>
    <row r="381" spans="1:30" x14ac:dyDescent="0.25">
      <c r="A381" s="1">
        <v>44784.125740740739</v>
      </c>
      <c r="B381" s="1">
        <v>44784.124027777776</v>
      </c>
      <c r="C381">
        <v>143456</v>
      </c>
      <c r="D381" t="s">
        <v>34</v>
      </c>
      <c r="E381" t="s">
        <v>35</v>
      </c>
      <c r="F381">
        <v>7</v>
      </c>
      <c r="G381">
        <v>43.08963</v>
      </c>
      <c r="H381">
        <v>-71.502440000000007</v>
      </c>
      <c r="I381">
        <v>619</v>
      </c>
      <c r="J381">
        <v>70</v>
      </c>
      <c r="K381">
        <v>0</v>
      </c>
      <c r="L381" s="1">
        <v>44784.125717592593</v>
      </c>
      <c r="M381">
        <v>2.9</v>
      </c>
      <c r="N381">
        <v>3.1</v>
      </c>
      <c r="O381">
        <v>0.2</v>
      </c>
      <c r="P381">
        <v>7</v>
      </c>
      <c r="Q381">
        <v>0.1</v>
      </c>
      <c r="R381">
        <v>0.1</v>
      </c>
      <c r="S381">
        <v>0.1</v>
      </c>
      <c r="T381" t="s">
        <v>33</v>
      </c>
      <c r="U381">
        <v>3</v>
      </c>
      <c r="V381">
        <v>71</v>
      </c>
      <c r="W381">
        <v>0</v>
      </c>
      <c r="X381">
        <v>71</v>
      </c>
      <c r="Y381">
        <v>1</v>
      </c>
      <c r="Z381">
        <v>0</v>
      </c>
      <c r="AA381">
        <v>1</v>
      </c>
      <c r="AB381" t="s">
        <v>36</v>
      </c>
      <c r="AC381">
        <v>71</v>
      </c>
      <c r="AD381">
        <v>-0.98</v>
      </c>
    </row>
    <row r="382" spans="1:30" x14ac:dyDescent="0.25">
      <c r="A382" s="1">
        <v>44784.125740740739</v>
      </c>
      <c r="B382" s="1">
        <v>44784.124212962961</v>
      </c>
      <c r="C382">
        <v>151702</v>
      </c>
      <c r="D382" t="s">
        <v>37</v>
      </c>
      <c r="E382" t="s">
        <v>31</v>
      </c>
      <c r="F382">
        <v>7</v>
      </c>
      <c r="G382">
        <v>43.118609999999997</v>
      </c>
      <c r="H382">
        <v>-71.61618</v>
      </c>
      <c r="I382">
        <v>885</v>
      </c>
      <c r="J382">
        <v>0</v>
      </c>
      <c r="K382">
        <v>0</v>
      </c>
      <c r="L382" s="1">
        <v>44784.125717592593</v>
      </c>
      <c r="M382">
        <v>3.3</v>
      </c>
      <c r="N382">
        <v>3.2</v>
      </c>
      <c r="O382">
        <v>0.1</v>
      </c>
      <c r="P382">
        <v>3</v>
      </c>
      <c r="Q382">
        <v>0.1</v>
      </c>
      <c r="R382">
        <v>0.1</v>
      </c>
      <c r="S382">
        <v>0.1</v>
      </c>
      <c r="T382" t="s">
        <v>33</v>
      </c>
      <c r="U382">
        <v>3.25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t="s">
        <v>38</v>
      </c>
    </row>
    <row r="383" spans="1:30" x14ac:dyDescent="0.25">
      <c r="A383" s="1">
        <v>44784.125740740739</v>
      </c>
      <c r="B383" s="1">
        <v>44784.124097222222</v>
      </c>
      <c r="C383">
        <v>151700</v>
      </c>
      <c r="D383" t="s">
        <v>30</v>
      </c>
      <c r="E383" t="s">
        <v>31</v>
      </c>
      <c r="F383">
        <v>7</v>
      </c>
      <c r="G383">
        <v>43.19211</v>
      </c>
      <c r="H383">
        <v>-71.541460000000001</v>
      </c>
      <c r="I383">
        <v>286</v>
      </c>
      <c r="J383">
        <v>71</v>
      </c>
      <c r="K383">
        <v>0</v>
      </c>
      <c r="L383" s="1">
        <v>44784.125717592593</v>
      </c>
      <c r="M383">
        <v>2.8</v>
      </c>
      <c r="N383">
        <v>3.3</v>
      </c>
      <c r="O383">
        <v>0.5</v>
      </c>
      <c r="P383">
        <v>16</v>
      </c>
      <c r="Q383">
        <v>0</v>
      </c>
      <c r="R383">
        <v>0.1</v>
      </c>
      <c r="S383">
        <v>0.05</v>
      </c>
      <c r="T383" t="s">
        <v>33</v>
      </c>
      <c r="U383">
        <v>3.05</v>
      </c>
      <c r="V383">
        <v>66</v>
      </c>
      <c r="W383">
        <v>0</v>
      </c>
      <c r="X383">
        <v>66</v>
      </c>
      <c r="Y383">
        <v>0</v>
      </c>
      <c r="Z383">
        <v>0</v>
      </c>
      <c r="AA383">
        <v>0</v>
      </c>
      <c r="AB383" t="s">
        <v>36</v>
      </c>
      <c r="AC383">
        <v>66</v>
      </c>
      <c r="AD383">
        <v>-0.6</v>
      </c>
    </row>
    <row r="384" spans="1:30" x14ac:dyDescent="0.25">
      <c r="A384" s="1">
        <v>44784.125752314816</v>
      </c>
      <c r="B384" s="1">
        <v>44784.124502314815</v>
      </c>
      <c r="C384">
        <v>135984</v>
      </c>
      <c r="D384" t="s">
        <v>39</v>
      </c>
      <c r="E384" t="s">
        <v>31</v>
      </c>
      <c r="F384">
        <v>7</v>
      </c>
      <c r="G384">
        <v>43.565852999999997</v>
      </c>
      <c r="H384">
        <v>-71.496129999999994</v>
      </c>
      <c r="I384">
        <v>708</v>
      </c>
      <c r="J384">
        <v>68</v>
      </c>
      <c r="K384">
        <v>0</v>
      </c>
      <c r="L384" s="1">
        <v>44784.125717592593</v>
      </c>
      <c r="M384">
        <v>5</v>
      </c>
      <c r="N384">
        <v>4</v>
      </c>
      <c r="O384">
        <v>1</v>
      </c>
      <c r="P384">
        <v>22</v>
      </c>
      <c r="Q384">
        <v>0.3</v>
      </c>
      <c r="R384">
        <v>0.1</v>
      </c>
      <c r="S384">
        <v>0.2</v>
      </c>
      <c r="T384" t="s">
        <v>33</v>
      </c>
      <c r="U384">
        <v>4.5</v>
      </c>
      <c r="V384">
        <v>92</v>
      </c>
      <c r="W384">
        <v>0</v>
      </c>
      <c r="X384">
        <v>92</v>
      </c>
      <c r="Y384">
        <v>0</v>
      </c>
      <c r="Z384">
        <v>0</v>
      </c>
      <c r="AA384">
        <v>0</v>
      </c>
      <c r="AB384" t="s">
        <v>36</v>
      </c>
      <c r="AC384">
        <v>92</v>
      </c>
      <c r="AD384">
        <v>-1.54</v>
      </c>
    </row>
    <row r="385" spans="1:30" x14ac:dyDescent="0.25">
      <c r="A385" s="1">
        <v>44784.125752314816</v>
      </c>
      <c r="B385" s="1">
        <v>44780.394780092596</v>
      </c>
      <c r="C385">
        <v>151712</v>
      </c>
      <c r="D385" t="s">
        <v>40</v>
      </c>
      <c r="E385" t="s">
        <v>31</v>
      </c>
      <c r="F385">
        <v>7</v>
      </c>
      <c r="G385">
        <v>43.289763999999998</v>
      </c>
      <c r="H385">
        <v>-71.564260000000004</v>
      </c>
      <c r="I385">
        <v>370</v>
      </c>
      <c r="J385">
        <v>86</v>
      </c>
      <c r="K385">
        <v>0</v>
      </c>
      <c r="L385" s="1">
        <v>44784.125717592593</v>
      </c>
      <c r="M385">
        <v>14</v>
      </c>
      <c r="N385">
        <v>13.2</v>
      </c>
      <c r="O385">
        <v>0.8</v>
      </c>
      <c r="P385">
        <v>6</v>
      </c>
      <c r="Q385">
        <v>0</v>
      </c>
      <c r="R385">
        <v>0</v>
      </c>
      <c r="S385">
        <v>0</v>
      </c>
      <c r="T385" t="s">
        <v>32</v>
      </c>
      <c r="V385">
        <v>59</v>
      </c>
      <c r="W385">
        <v>0</v>
      </c>
      <c r="X385">
        <v>59</v>
      </c>
      <c r="Y385">
        <v>0</v>
      </c>
      <c r="Z385">
        <v>0</v>
      </c>
      <c r="AA385">
        <v>0</v>
      </c>
      <c r="AB385" t="s">
        <v>36</v>
      </c>
      <c r="AC385">
        <v>59</v>
      </c>
    </row>
    <row r="386" spans="1:30" x14ac:dyDescent="0.25">
      <c r="A386" s="1">
        <v>44784.125752314816</v>
      </c>
      <c r="B386" s="1">
        <v>44784.125185185185</v>
      </c>
      <c r="C386">
        <v>151710</v>
      </c>
      <c r="D386" t="s">
        <v>41</v>
      </c>
      <c r="E386" t="s">
        <v>31</v>
      </c>
      <c r="F386">
        <v>7</v>
      </c>
      <c r="G386">
        <v>43.132477000000002</v>
      </c>
      <c r="H386">
        <v>-71.458374000000006</v>
      </c>
      <c r="I386">
        <v>230</v>
      </c>
      <c r="J386">
        <v>70</v>
      </c>
      <c r="K386">
        <v>0</v>
      </c>
      <c r="L386" s="1">
        <v>44784.125717592593</v>
      </c>
      <c r="M386">
        <v>5.7</v>
      </c>
      <c r="N386">
        <v>4</v>
      </c>
      <c r="O386">
        <v>1.7</v>
      </c>
      <c r="P386">
        <v>35</v>
      </c>
      <c r="Q386">
        <v>0.5</v>
      </c>
      <c r="R386">
        <v>0</v>
      </c>
      <c r="S386">
        <v>0.25</v>
      </c>
      <c r="T386" t="s">
        <v>33</v>
      </c>
      <c r="U386">
        <v>4.8499999999999996</v>
      </c>
      <c r="V386">
        <v>68</v>
      </c>
      <c r="W386">
        <v>0</v>
      </c>
      <c r="X386">
        <v>68</v>
      </c>
      <c r="Y386">
        <v>1</v>
      </c>
      <c r="Z386">
        <v>0</v>
      </c>
      <c r="AA386">
        <v>1</v>
      </c>
      <c r="AB386" t="s">
        <v>36</v>
      </c>
      <c r="AC386">
        <v>68</v>
      </c>
      <c r="AD386">
        <v>0.36</v>
      </c>
    </row>
    <row r="387" spans="1:30" x14ac:dyDescent="0.25">
      <c r="A387" s="1">
        <v>44784.125752314816</v>
      </c>
      <c r="B387" s="1">
        <v>44784.124884259261</v>
      </c>
      <c r="C387">
        <v>151706</v>
      </c>
      <c r="D387" t="s">
        <v>42</v>
      </c>
      <c r="E387" t="s">
        <v>31</v>
      </c>
      <c r="F387">
        <v>7</v>
      </c>
      <c r="G387">
        <v>43.004080000000002</v>
      </c>
      <c r="H387">
        <v>-71.177040000000005</v>
      </c>
      <c r="I387">
        <v>194</v>
      </c>
      <c r="J387">
        <v>71</v>
      </c>
      <c r="K387">
        <v>0</v>
      </c>
      <c r="L387" s="1">
        <v>44784.125717592593</v>
      </c>
      <c r="M387">
        <v>2.1</v>
      </c>
      <c r="N387">
        <v>0</v>
      </c>
      <c r="O387">
        <v>2.1</v>
      </c>
      <c r="P387">
        <v>200</v>
      </c>
      <c r="Q387">
        <v>0</v>
      </c>
      <c r="R387">
        <v>0</v>
      </c>
      <c r="S387">
        <v>0</v>
      </c>
      <c r="T387" t="s">
        <v>43</v>
      </c>
      <c r="V387">
        <v>67</v>
      </c>
      <c r="W387">
        <v>0</v>
      </c>
      <c r="X387">
        <v>67</v>
      </c>
      <c r="Y387">
        <v>0</v>
      </c>
      <c r="Z387">
        <v>0</v>
      </c>
      <c r="AA387">
        <v>0</v>
      </c>
      <c r="AB387" t="s">
        <v>36</v>
      </c>
      <c r="AC387">
        <v>67</v>
      </c>
    </row>
    <row r="388" spans="1:30" x14ac:dyDescent="0.25">
      <c r="A388" s="1">
        <v>44784.125763888886</v>
      </c>
      <c r="B388" s="1">
        <v>44784.124583333331</v>
      </c>
      <c r="C388">
        <v>12212</v>
      </c>
      <c r="D388" t="s">
        <v>44</v>
      </c>
      <c r="E388" t="s">
        <v>35</v>
      </c>
      <c r="F388">
        <v>7</v>
      </c>
      <c r="G388">
        <v>42.930529999999997</v>
      </c>
      <c r="H388">
        <v>-72.272350000000003</v>
      </c>
      <c r="I388">
        <v>476</v>
      </c>
      <c r="J388">
        <v>75</v>
      </c>
      <c r="K388">
        <v>0</v>
      </c>
      <c r="L388" s="1">
        <v>44784.125717592593</v>
      </c>
      <c r="M388">
        <v>3.8</v>
      </c>
      <c r="N388">
        <v>3.2</v>
      </c>
      <c r="O388">
        <v>0.6</v>
      </c>
      <c r="P388">
        <v>17</v>
      </c>
      <c r="Q388">
        <v>0</v>
      </c>
      <c r="R388">
        <v>0</v>
      </c>
      <c r="S388">
        <v>0</v>
      </c>
      <c r="T388" t="s">
        <v>33</v>
      </c>
      <c r="U388">
        <v>3.5</v>
      </c>
      <c r="V388">
        <v>89</v>
      </c>
      <c r="W388">
        <v>0</v>
      </c>
      <c r="X388">
        <v>89</v>
      </c>
      <c r="Y388">
        <v>4</v>
      </c>
      <c r="Z388">
        <v>0</v>
      </c>
      <c r="AA388">
        <v>4</v>
      </c>
      <c r="AB388" t="s">
        <v>36</v>
      </c>
      <c r="AC388">
        <v>89</v>
      </c>
      <c r="AD388">
        <v>-1.94</v>
      </c>
    </row>
    <row r="389" spans="1:30" x14ac:dyDescent="0.25">
      <c r="A389" s="1">
        <v>44784.125763888886</v>
      </c>
      <c r="B389" s="1">
        <v>44769.376736111109</v>
      </c>
      <c r="C389">
        <v>12178</v>
      </c>
      <c r="D389" t="s">
        <v>45</v>
      </c>
      <c r="E389" t="s">
        <v>35</v>
      </c>
      <c r="F389">
        <v>7</v>
      </c>
      <c r="G389">
        <v>42.899563000000001</v>
      </c>
      <c r="H389">
        <v>-71.464650000000006</v>
      </c>
      <c r="I389">
        <v>301</v>
      </c>
      <c r="J389">
        <v>85</v>
      </c>
      <c r="K389">
        <v>0</v>
      </c>
      <c r="L389" s="1">
        <v>44784.125717592593</v>
      </c>
      <c r="M389">
        <v>3.8</v>
      </c>
      <c r="N389">
        <v>3.1</v>
      </c>
      <c r="O389">
        <v>0.7</v>
      </c>
      <c r="P389">
        <v>20</v>
      </c>
      <c r="Q389">
        <v>0</v>
      </c>
      <c r="R389">
        <v>0</v>
      </c>
      <c r="S389">
        <v>0</v>
      </c>
      <c r="T389" t="s">
        <v>32</v>
      </c>
      <c r="V389">
        <v>35</v>
      </c>
      <c r="W389">
        <v>0</v>
      </c>
      <c r="X389">
        <v>35</v>
      </c>
      <c r="Y389">
        <v>0</v>
      </c>
      <c r="Z389">
        <v>0</v>
      </c>
      <c r="AA389">
        <v>0</v>
      </c>
      <c r="AB389" t="s">
        <v>36</v>
      </c>
      <c r="AC389">
        <v>35</v>
      </c>
    </row>
    <row r="390" spans="1:30" x14ac:dyDescent="0.25">
      <c r="A390" s="1">
        <v>44784.125763888886</v>
      </c>
      <c r="B390" s="1">
        <v>44784.123935185184</v>
      </c>
      <c r="C390">
        <v>75981</v>
      </c>
      <c r="D390" t="s">
        <v>46</v>
      </c>
      <c r="E390" t="s">
        <v>35</v>
      </c>
      <c r="F390">
        <v>7</v>
      </c>
      <c r="G390">
        <v>42.97</v>
      </c>
      <c r="H390">
        <v>-71.06</v>
      </c>
      <c r="I390">
        <v>136</v>
      </c>
      <c r="J390">
        <v>74</v>
      </c>
      <c r="K390">
        <v>0</v>
      </c>
      <c r="L390" s="1">
        <v>44784.125717592593</v>
      </c>
      <c r="M390">
        <v>3.6</v>
      </c>
      <c r="N390">
        <v>3.2</v>
      </c>
      <c r="O390">
        <v>0.4</v>
      </c>
      <c r="P390">
        <v>12</v>
      </c>
      <c r="Q390">
        <v>0.1</v>
      </c>
      <c r="R390">
        <v>0.1</v>
      </c>
      <c r="S390">
        <v>0.1</v>
      </c>
      <c r="T390" t="s">
        <v>33</v>
      </c>
      <c r="U390">
        <v>3.4</v>
      </c>
      <c r="V390">
        <v>62</v>
      </c>
      <c r="W390">
        <v>0</v>
      </c>
      <c r="X390">
        <v>62</v>
      </c>
      <c r="Y390">
        <v>0</v>
      </c>
      <c r="Z390">
        <v>0</v>
      </c>
      <c r="AA390">
        <v>0</v>
      </c>
      <c r="AB390" t="s">
        <v>36</v>
      </c>
      <c r="AC390">
        <v>62</v>
      </c>
      <c r="AD390">
        <v>-0.11</v>
      </c>
    </row>
    <row r="391" spans="1:30" x14ac:dyDescent="0.25">
      <c r="A391" s="1">
        <v>44784.125763888886</v>
      </c>
      <c r="B391" s="1">
        <v>44784.124456018515</v>
      </c>
      <c r="C391">
        <v>115703</v>
      </c>
      <c r="D391" t="s">
        <v>47</v>
      </c>
      <c r="E391" t="s">
        <v>35</v>
      </c>
      <c r="F391">
        <v>7</v>
      </c>
      <c r="G391">
        <v>43.953625000000002</v>
      </c>
      <c r="H391">
        <v>-71.508859999999999</v>
      </c>
      <c r="I391">
        <v>1493</v>
      </c>
      <c r="J391">
        <v>62</v>
      </c>
      <c r="K391">
        <v>0</v>
      </c>
      <c r="L391" s="1">
        <v>44784.125717592593</v>
      </c>
      <c r="M391">
        <v>0</v>
      </c>
      <c r="N391">
        <v>300.89999999999998</v>
      </c>
      <c r="O391">
        <v>300.89999999999998</v>
      </c>
      <c r="P391">
        <v>200</v>
      </c>
      <c r="Q391">
        <v>0</v>
      </c>
      <c r="R391">
        <v>0</v>
      </c>
      <c r="S391">
        <v>0</v>
      </c>
      <c r="T391" t="s">
        <v>48</v>
      </c>
      <c r="V391">
        <v>68</v>
      </c>
      <c r="W391">
        <v>0</v>
      </c>
      <c r="X391">
        <v>68</v>
      </c>
      <c r="Y391">
        <v>0</v>
      </c>
      <c r="Z391">
        <v>0</v>
      </c>
      <c r="AA391">
        <v>0</v>
      </c>
      <c r="AB391" t="s">
        <v>36</v>
      </c>
      <c r="AC391">
        <v>68</v>
      </c>
    </row>
    <row r="392" spans="1:30" x14ac:dyDescent="0.25">
      <c r="A392" s="1">
        <v>44784.125775462962</v>
      </c>
      <c r="B392" s="1">
        <v>44784.1252662037</v>
      </c>
      <c r="C392">
        <v>12050</v>
      </c>
      <c r="D392" t="s">
        <v>49</v>
      </c>
      <c r="E392" t="s">
        <v>35</v>
      </c>
      <c r="F392">
        <v>7</v>
      </c>
      <c r="G392">
        <v>44.220573000000002</v>
      </c>
      <c r="H392">
        <v>-71.732315</v>
      </c>
      <c r="I392">
        <v>999</v>
      </c>
      <c r="J392">
        <v>69</v>
      </c>
      <c r="K392">
        <v>0</v>
      </c>
      <c r="L392" s="1">
        <v>44784.125717592593</v>
      </c>
      <c r="M392">
        <v>2.8</v>
      </c>
      <c r="N392">
        <v>2.8</v>
      </c>
      <c r="O392">
        <v>0</v>
      </c>
      <c r="P392">
        <v>0</v>
      </c>
      <c r="Q392">
        <v>0</v>
      </c>
      <c r="R392">
        <v>0</v>
      </c>
      <c r="S392">
        <v>0</v>
      </c>
      <c r="T392" t="s">
        <v>33</v>
      </c>
      <c r="U392">
        <v>2.8</v>
      </c>
      <c r="V392">
        <v>58</v>
      </c>
      <c r="W392">
        <v>0</v>
      </c>
      <c r="X392">
        <v>58</v>
      </c>
      <c r="Y392">
        <v>0</v>
      </c>
      <c r="Z392">
        <v>0</v>
      </c>
      <c r="AA392">
        <v>0</v>
      </c>
      <c r="AB392" t="s">
        <v>36</v>
      </c>
      <c r="AC392">
        <v>58</v>
      </c>
      <c r="AD392">
        <v>-0.19</v>
      </c>
    </row>
    <row r="393" spans="1:30" x14ac:dyDescent="0.25">
      <c r="A393" s="1">
        <v>44784.125775462962</v>
      </c>
      <c r="B393" s="1">
        <v>44784.123981481483</v>
      </c>
      <c r="C393">
        <v>23443</v>
      </c>
      <c r="D393" t="s">
        <v>50</v>
      </c>
      <c r="E393" t="s">
        <v>35</v>
      </c>
      <c r="F393">
        <v>7</v>
      </c>
      <c r="G393">
        <v>43.556139999999999</v>
      </c>
      <c r="H393">
        <v>-72.370990000000006</v>
      </c>
      <c r="I393">
        <v>523</v>
      </c>
      <c r="J393">
        <v>69</v>
      </c>
      <c r="K393">
        <v>0</v>
      </c>
      <c r="L393" s="1">
        <v>44784.125717592593</v>
      </c>
      <c r="M393">
        <v>3.7</v>
      </c>
      <c r="N393">
        <v>3.2</v>
      </c>
      <c r="O393">
        <v>0.5</v>
      </c>
      <c r="P393">
        <v>14</v>
      </c>
      <c r="Q393">
        <v>0.2</v>
      </c>
      <c r="R393">
        <v>0.1</v>
      </c>
      <c r="S393">
        <v>0.15</v>
      </c>
      <c r="T393" t="s">
        <v>33</v>
      </c>
      <c r="U393">
        <v>3.45</v>
      </c>
      <c r="V393">
        <v>66</v>
      </c>
      <c r="W393">
        <v>0</v>
      </c>
      <c r="X393">
        <v>66</v>
      </c>
      <c r="Y393">
        <v>0</v>
      </c>
      <c r="Z393">
        <v>0</v>
      </c>
      <c r="AA393">
        <v>0</v>
      </c>
      <c r="AB393" t="s">
        <v>36</v>
      </c>
      <c r="AC393">
        <v>66</v>
      </c>
      <c r="AD393">
        <v>-0.36</v>
      </c>
    </row>
    <row r="394" spans="1:30" x14ac:dyDescent="0.25">
      <c r="A394" s="1">
        <v>44784.125775462962</v>
      </c>
      <c r="B394" s="1">
        <v>44784.124074074076</v>
      </c>
      <c r="C394">
        <v>58135</v>
      </c>
      <c r="D394" t="s">
        <v>51</v>
      </c>
      <c r="E394" t="s">
        <v>35</v>
      </c>
      <c r="F394">
        <v>7</v>
      </c>
      <c r="G394">
        <v>42.883873000000001</v>
      </c>
      <c r="H394">
        <v>-71.972915999999998</v>
      </c>
      <c r="I394">
        <v>808</v>
      </c>
      <c r="J394">
        <v>70</v>
      </c>
      <c r="K394">
        <v>0</v>
      </c>
      <c r="L394" s="1">
        <v>44784.125717592593</v>
      </c>
      <c r="M394">
        <v>7.7</v>
      </c>
      <c r="N394">
        <v>5.0999999999999996</v>
      </c>
      <c r="O394">
        <v>2.6</v>
      </c>
      <c r="P394">
        <v>41</v>
      </c>
      <c r="Q394">
        <v>0</v>
      </c>
      <c r="R394">
        <v>0.2</v>
      </c>
      <c r="S394">
        <v>0.1</v>
      </c>
      <c r="T394" t="s">
        <v>33</v>
      </c>
      <c r="U394">
        <v>6.4</v>
      </c>
      <c r="V394">
        <v>73</v>
      </c>
      <c r="W394">
        <v>0</v>
      </c>
      <c r="X394">
        <v>73</v>
      </c>
      <c r="Y394">
        <v>2</v>
      </c>
      <c r="Z394">
        <v>0</v>
      </c>
      <c r="AA394">
        <v>2</v>
      </c>
      <c r="AB394" t="s">
        <v>36</v>
      </c>
      <c r="AC394">
        <v>73</v>
      </c>
      <c r="AD394">
        <v>0.95</v>
      </c>
    </row>
    <row r="395" spans="1:30" x14ac:dyDescent="0.25">
      <c r="A395" s="1">
        <v>44784.125775462962</v>
      </c>
      <c r="B395" s="1">
        <v>44784.124131944445</v>
      </c>
      <c r="C395">
        <v>148555</v>
      </c>
      <c r="D395" t="s">
        <v>52</v>
      </c>
      <c r="E395" t="s">
        <v>53</v>
      </c>
      <c r="F395">
        <v>7</v>
      </c>
      <c r="G395">
        <v>42.904949999999999</v>
      </c>
      <c r="H395">
        <v>-71.386764999999997</v>
      </c>
      <c r="I395">
        <v>363</v>
      </c>
      <c r="J395">
        <v>0</v>
      </c>
      <c r="K395">
        <v>0</v>
      </c>
      <c r="L395" s="1">
        <v>44784.125717592593</v>
      </c>
      <c r="M395">
        <v>1.7</v>
      </c>
      <c r="N395">
        <v>2.1</v>
      </c>
      <c r="O395">
        <v>0.4</v>
      </c>
      <c r="P395">
        <v>21</v>
      </c>
      <c r="Q395">
        <v>0.1</v>
      </c>
      <c r="R395">
        <v>0.1</v>
      </c>
      <c r="S395">
        <v>0.1</v>
      </c>
      <c r="T395" t="s">
        <v>33</v>
      </c>
      <c r="U395">
        <v>1.9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">
        <v>38</v>
      </c>
    </row>
    <row r="396" spans="1:30" x14ac:dyDescent="0.25">
      <c r="A396" s="1">
        <v>44784.125775462962</v>
      </c>
      <c r="B396" s="1">
        <v>44784.125057870369</v>
      </c>
      <c r="C396">
        <v>146644</v>
      </c>
      <c r="D396" t="s">
        <v>54</v>
      </c>
      <c r="E396" t="s">
        <v>53</v>
      </c>
      <c r="F396">
        <v>7</v>
      </c>
      <c r="G396">
        <v>43.06015</v>
      </c>
      <c r="H396">
        <v>-70.758930000000007</v>
      </c>
      <c r="I396">
        <v>35</v>
      </c>
      <c r="J396">
        <v>69</v>
      </c>
      <c r="K396">
        <v>71</v>
      </c>
      <c r="L396" s="1">
        <v>44784.125717592593</v>
      </c>
      <c r="M396">
        <v>8.5</v>
      </c>
      <c r="N396">
        <v>6.9</v>
      </c>
      <c r="O396">
        <v>1.6</v>
      </c>
      <c r="P396">
        <v>21</v>
      </c>
      <c r="Q396">
        <v>0.2</v>
      </c>
      <c r="R396">
        <v>0.2</v>
      </c>
      <c r="S396">
        <v>0.2</v>
      </c>
      <c r="T396" t="s">
        <v>33</v>
      </c>
      <c r="U396">
        <v>7.7</v>
      </c>
      <c r="V396">
        <v>68</v>
      </c>
      <c r="W396">
        <v>72</v>
      </c>
      <c r="X396">
        <v>4</v>
      </c>
      <c r="Y396">
        <v>1</v>
      </c>
      <c r="Z396">
        <v>0</v>
      </c>
      <c r="AA396">
        <v>1</v>
      </c>
      <c r="AB396" t="s">
        <v>33</v>
      </c>
      <c r="AC396">
        <v>70</v>
      </c>
      <c r="AD396">
        <v>1.96</v>
      </c>
    </row>
    <row r="397" spans="1:30" x14ac:dyDescent="0.25">
      <c r="A397" s="1">
        <v>44784.125787037039</v>
      </c>
      <c r="B397" s="1">
        <v>43755.283437500002</v>
      </c>
      <c r="C397">
        <v>12188</v>
      </c>
      <c r="D397" t="s">
        <v>55</v>
      </c>
      <c r="E397" t="s">
        <v>35</v>
      </c>
      <c r="F397">
        <v>4.1100000000000003</v>
      </c>
      <c r="G397">
        <v>42.927050000000001</v>
      </c>
      <c r="H397">
        <v>-72.279610000000005</v>
      </c>
      <c r="I397">
        <v>475</v>
      </c>
      <c r="J397">
        <v>95</v>
      </c>
      <c r="K397">
        <v>0</v>
      </c>
      <c r="L397" s="1">
        <v>44784.125717592593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 t="s">
        <v>32</v>
      </c>
      <c r="V397">
        <v>77</v>
      </c>
      <c r="W397">
        <v>0</v>
      </c>
      <c r="X397">
        <v>77</v>
      </c>
      <c r="Y397">
        <v>0</v>
      </c>
      <c r="Z397">
        <v>0</v>
      </c>
      <c r="AA397">
        <v>0</v>
      </c>
      <c r="AB397" t="s">
        <v>36</v>
      </c>
      <c r="AC397">
        <v>77</v>
      </c>
    </row>
    <row r="398" spans="1:30" x14ac:dyDescent="0.25">
      <c r="A398" s="1">
        <v>44784.125787037039</v>
      </c>
      <c r="B398" s="1">
        <v>44784.123969907407</v>
      </c>
      <c r="C398">
        <v>1224</v>
      </c>
      <c r="D398" t="s">
        <v>56</v>
      </c>
      <c r="E398" t="s">
        <v>35</v>
      </c>
      <c r="F398" t="s">
        <v>57</v>
      </c>
      <c r="G398">
        <v>42.938034000000002</v>
      </c>
      <c r="H398">
        <v>-72.259299999999996</v>
      </c>
      <c r="I398">
        <v>792</v>
      </c>
      <c r="J398">
        <v>76</v>
      </c>
      <c r="K398">
        <v>0</v>
      </c>
      <c r="L398" s="1">
        <v>44784.125717592593</v>
      </c>
      <c r="M398">
        <v>2.5</v>
      </c>
      <c r="N398">
        <v>0.1</v>
      </c>
      <c r="O398">
        <v>2.4</v>
      </c>
      <c r="P398">
        <v>185</v>
      </c>
      <c r="Q398">
        <v>0</v>
      </c>
      <c r="R398">
        <v>0.1</v>
      </c>
      <c r="S398">
        <v>0.05</v>
      </c>
      <c r="T398" t="s">
        <v>33</v>
      </c>
      <c r="U398">
        <v>1.3</v>
      </c>
      <c r="V398">
        <v>84</v>
      </c>
      <c r="W398">
        <v>0</v>
      </c>
      <c r="X398">
        <v>84</v>
      </c>
      <c r="Y398">
        <v>1</v>
      </c>
      <c r="Z398">
        <v>0</v>
      </c>
      <c r="AA398">
        <v>1</v>
      </c>
      <c r="AB398" t="s">
        <v>36</v>
      </c>
      <c r="AC398">
        <v>84</v>
      </c>
      <c r="AD398">
        <v>-2.93</v>
      </c>
    </row>
    <row r="399" spans="1:30" x14ac:dyDescent="0.25">
      <c r="A399" s="1">
        <v>44784.125787037039</v>
      </c>
      <c r="B399" s="1">
        <v>44784.124803240738</v>
      </c>
      <c r="C399">
        <v>1202</v>
      </c>
      <c r="D399" t="s">
        <v>58</v>
      </c>
      <c r="E399" t="s">
        <v>35</v>
      </c>
      <c r="F399" t="s">
        <v>57</v>
      </c>
      <c r="G399">
        <v>42.936554000000001</v>
      </c>
      <c r="H399">
        <v>-72.271019999999993</v>
      </c>
      <c r="I399">
        <v>488</v>
      </c>
      <c r="J399">
        <v>0</v>
      </c>
      <c r="K399">
        <v>0</v>
      </c>
      <c r="L399" s="1">
        <v>44784.125717592593</v>
      </c>
      <c r="M399">
        <v>3.4</v>
      </c>
      <c r="N399">
        <v>3.2</v>
      </c>
      <c r="O399">
        <v>0.2</v>
      </c>
      <c r="P399">
        <v>6</v>
      </c>
      <c r="Q399">
        <v>0.2</v>
      </c>
      <c r="R399">
        <v>0.1</v>
      </c>
      <c r="S399">
        <v>0.15</v>
      </c>
      <c r="T399" t="s">
        <v>33</v>
      </c>
      <c r="U399">
        <v>3.3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">
        <v>38</v>
      </c>
    </row>
    <row r="400" spans="1:30" x14ac:dyDescent="0.25">
      <c r="A400" s="1">
        <v>44784.125787037039</v>
      </c>
      <c r="B400" s="1">
        <v>44612.080023148148</v>
      </c>
      <c r="C400">
        <v>25985</v>
      </c>
      <c r="D400" t="s">
        <v>59</v>
      </c>
      <c r="E400" t="s">
        <v>35</v>
      </c>
      <c r="F400">
        <v>6.01</v>
      </c>
      <c r="G400">
        <v>42.927326000000001</v>
      </c>
      <c r="H400">
        <v>-72.279979999999995</v>
      </c>
      <c r="I400">
        <v>477</v>
      </c>
      <c r="J400">
        <v>78</v>
      </c>
      <c r="K400">
        <v>0</v>
      </c>
      <c r="L400" s="1">
        <v>44784.125717592593</v>
      </c>
      <c r="M400">
        <v>1.1000000000000001</v>
      </c>
      <c r="N400">
        <v>1</v>
      </c>
      <c r="O400">
        <v>0.1</v>
      </c>
      <c r="P400">
        <v>10</v>
      </c>
      <c r="Q400">
        <v>0</v>
      </c>
      <c r="R400">
        <v>0</v>
      </c>
      <c r="S400">
        <v>0</v>
      </c>
      <c r="T400" t="s">
        <v>32</v>
      </c>
      <c r="V400">
        <v>22</v>
      </c>
      <c r="W400">
        <v>0</v>
      </c>
      <c r="X400">
        <v>22</v>
      </c>
      <c r="Y400">
        <v>0</v>
      </c>
      <c r="Z400">
        <v>0</v>
      </c>
      <c r="AA400">
        <v>0</v>
      </c>
      <c r="AB400" t="s">
        <v>36</v>
      </c>
      <c r="AC400">
        <v>22</v>
      </c>
    </row>
    <row r="401" spans="1:30" x14ac:dyDescent="0.25">
      <c r="A401" s="1">
        <v>44784.132685185185</v>
      </c>
      <c r="B401" s="1">
        <v>44775.701319444444</v>
      </c>
      <c r="C401">
        <v>151708</v>
      </c>
      <c r="D401" t="s">
        <v>30</v>
      </c>
      <c r="E401" t="s">
        <v>31</v>
      </c>
      <c r="F401">
        <v>7</v>
      </c>
      <c r="G401">
        <v>43.192042999999998</v>
      </c>
      <c r="H401">
        <v>-71.541579999999996</v>
      </c>
      <c r="I401">
        <v>291</v>
      </c>
      <c r="J401">
        <v>93</v>
      </c>
      <c r="K401">
        <v>94</v>
      </c>
      <c r="L401" s="1">
        <v>44784.132662037038</v>
      </c>
      <c r="M401">
        <v>7.9</v>
      </c>
      <c r="N401">
        <v>7.6</v>
      </c>
      <c r="O401">
        <v>0.3</v>
      </c>
      <c r="P401">
        <v>4</v>
      </c>
      <c r="Q401">
        <v>0</v>
      </c>
      <c r="R401">
        <v>0</v>
      </c>
      <c r="S401">
        <v>0</v>
      </c>
      <c r="T401" t="s">
        <v>32</v>
      </c>
      <c r="V401">
        <v>42</v>
      </c>
      <c r="W401">
        <v>41</v>
      </c>
      <c r="X401">
        <v>1</v>
      </c>
      <c r="Y401">
        <v>0</v>
      </c>
      <c r="Z401">
        <v>0</v>
      </c>
      <c r="AA401">
        <v>0</v>
      </c>
      <c r="AB401" t="s">
        <v>33</v>
      </c>
      <c r="AC401">
        <v>41.5</v>
      </c>
    </row>
    <row r="402" spans="1:30" x14ac:dyDescent="0.25">
      <c r="A402" s="1">
        <v>44784.132685185185</v>
      </c>
      <c r="B402" s="1">
        <v>44784.130972222221</v>
      </c>
      <c r="C402">
        <v>143456</v>
      </c>
      <c r="D402" t="s">
        <v>34</v>
      </c>
      <c r="E402" t="s">
        <v>35</v>
      </c>
      <c r="F402">
        <v>7</v>
      </c>
      <c r="G402">
        <v>43.08963</v>
      </c>
      <c r="H402">
        <v>-71.502440000000007</v>
      </c>
      <c r="I402">
        <v>619</v>
      </c>
      <c r="J402">
        <v>70</v>
      </c>
      <c r="K402">
        <v>0</v>
      </c>
      <c r="L402" s="1">
        <v>44784.132662037038</v>
      </c>
      <c r="M402">
        <v>2.8</v>
      </c>
      <c r="N402">
        <v>3.1</v>
      </c>
      <c r="O402">
        <v>0.3</v>
      </c>
      <c r="P402">
        <v>10</v>
      </c>
      <c r="Q402">
        <v>0.1</v>
      </c>
      <c r="R402">
        <v>0</v>
      </c>
      <c r="S402">
        <v>0.05</v>
      </c>
      <c r="T402" t="s">
        <v>33</v>
      </c>
      <c r="U402">
        <v>2.95</v>
      </c>
      <c r="V402">
        <v>71</v>
      </c>
      <c r="W402">
        <v>0</v>
      </c>
      <c r="X402">
        <v>71</v>
      </c>
      <c r="Y402">
        <v>0</v>
      </c>
      <c r="Z402">
        <v>0</v>
      </c>
      <c r="AA402">
        <v>0</v>
      </c>
      <c r="AB402" t="s">
        <v>36</v>
      </c>
      <c r="AC402">
        <v>71</v>
      </c>
      <c r="AD402">
        <v>-1.01</v>
      </c>
    </row>
    <row r="403" spans="1:30" x14ac:dyDescent="0.25">
      <c r="A403" s="1">
        <v>44784.132685185185</v>
      </c>
      <c r="B403" s="1">
        <v>44784.131157407406</v>
      </c>
      <c r="C403">
        <v>151702</v>
      </c>
      <c r="D403" t="s">
        <v>37</v>
      </c>
      <c r="E403" t="s">
        <v>31</v>
      </c>
      <c r="F403">
        <v>7</v>
      </c>
      <c r="G403">
        <v>43.118609999999997</v>
      </c>
      <c r="H403">
        <v>-71.61618</v>
      </c>
      <c r="I403">
        <v>885</v>
      </c>
      <c r="J403">
        <v>0</v>
      </c>
      <c r="K403">
        <v>0</v>
      </c>
      <c r="L403" s="1">
        <v>44784.132662037038</v>
      </c>
      <c r="M403">
        <v>3.6</v>
      </c>
      <c r="N403">
        <v>3.4</v>
      </c>
      <c r="O403">
        <v>0.2</v>
      </c>
      <c r="P403">
        <v>6</v>
      </c>
      <c r="Q403">
        <v>0.3</v>
      </c>
      <c r="R403">
        <v>0.2</v>
      </c>
      <c r="S403">
        <v>0.25</v>
      </c>
      <c r="T403" t="s">
        <v>33</v>
      </c>
      <c r="U403">
        <v>3.5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 t="s">
        <v>38</v>
      </c>
    </row>
    <row r="404" spans="1:30" x14ac:dyDescent="0.25">
      <c r="A404" s="1">
        <v>44784.132685185185</v>
      </c>
      <c r="B404" s="1">
        <v>44784.131041666667</v>
      </c>
      <c r="C404">
        <v>151700</v>
      </c>
      <c r="D404" t="s">
        <v>30</v>
      </c>
      <c r="E404" t="s">
        <v>31</v>
      </c>
      <c r="F404">
        <v>7</v>
      </c>
      <c r="G404">
        <v>43.19211</v>
      </c>
      <c r="H404">
        <v>-71.541460000000001</v>
      </c>
      <c r="I404">
        <v>286</v>
      </c>
      <c r="J404">
        <v>71</v>
      </c>
      <c r="K404">
        <v>0</v>
      </c>
      <c r="L404" s="1">
        <v>44784.132662037038</v>
      </c>
      <c r="M404">
        <v>2.8</v>
      </c>
      <c r="N404">
        <v>3.1</v>
      </c>
      <c r="O404">
        <v>0.3</v>
      </c>
      <c r="P404">
        <v>10</v>
      </c>
      <c r="Q404">
        <v>0</v>
      </c>
      <c r="R404">
        <v>0.2</v>
      </c>
      <c r="S404">
        <v>0.1</v>
      </c>
      <c r="T404" t="s">
        <v>33</v>
      </c>
      <c r="U404">
        <v>2.95</v>
      </c>
      <c r="V404">
        <v>66</v>
      </c>
      <c r="W404">
        <v>0</v>
      </c>
      <c r="X404">
        <v>66</v>
      </c>
      <c r="Y404">
        <v>0</v>
      </c>
      <c r="Z404">
        <v>0</v>
      </c>
      <c r="AA404">
        <v>0</v>
      </c>
      <c r="AB404" t="s">
        <v>36</v>
      </c>
      <c r="AC404">
        <v>66</v>
      </c>
      <c r="AD404">
        <v>-0.66</v>
      </c>
    </row>
    <row r="405" spans="1:30" x14ac:dyDescent="0.25">
      <c r="A405" s="1">
        <v>44784.132696759261</v>
      </c>
      <c r="B405" s="1">
        <v>44784.131458333337</v>
      </c>
      <c r="C405">
        <v>135984</v>
      </c>
      <c r="D405" t="s">
        <v>39</v>
      </c>
      <c r="E405" t="s">
        <v>31</v>
      </c>
      <c r="F405">
        <v>7</v>
      </c>
      <c r="G405">
        <v>43.565852999999997</v>
      </c>
      <c r="H405">
        <v>-71.496129999999994</v>
      </c>
      <c r="I405">
        <v>708</v>
      </c>
      <c r="J405">
        <v>68</v>
      </c>
      <c r="K405">
        <v>0</v>
      </c>
      <c r="L405" s="1">
        <v>44784.132662037038</v>
      </c>
      <c r="M405">
        <v>5</v>
      </c>
      <c r="N405">
        <v>4</v>
      </c>
      <c r="O405">
        <v>1</v>
      </c>
      <c r="P405">
        <v>22</v>
      </c>
      <c r="Q405">
        <v>0</v>
      </c>
      <c r="R405">
        <v>0</v>
      </c>
      <c r="S405">
        <v>0</v>
      </c>
      <c r="T405" t="s">
        <v>33</v>
      </c>
      <c r="U405">
        <v>4.5</v>
      </c>
      <c r="V405">
        <v>91</v>
      </c>
      <c r="W405">
        <v>0</v>
      </c>
      <c r="X405">
        <v>91</v>
      </c>
      <c r="Y405">
        <v>1</v>
      </c>
      <c r="Z405">
        <v>0</v>
      </c>
      <c r="AA405">
        <v>1</v>
      </c>
      <c r="AB405" t="s">
        <v>36</v>
      </c>
      <c r="AC405">
        <v>91</v>
      </c>
      <c r="AD405">
        <v>-1.47</v>
      </c>
    </row>
    <row r="406" spans="1:30" x14ac:dyDescent="0.25">
      <c r="A406" s="1">
        <v>44784.132696759261</v>
      </c>
      <c r="B406" s="1">
        <v>44780.394780092596</v>
      </c>
      <c r="C406">
        <v>151712</v>
      </c>
      <c r="D406" t="s">
        <v>40</v>
      </c>
      <c r="E406" t="s">
        <v>31</v>
      </c>
      <c r="F406">
        <v>7</v>
      </c>
      <c r="G406">
        <v>43.289763999999998</v>
      </c>
      <c r="H406">
        <v>-71.564260000000004</v>
      </c>
      <c r="I406">
        <v>370</v>
      </c>
      <c r="J406">
        <v>86</v>
      </c>
      <c r="K406">
        <v>0</v>
      </c>
      <c r="L406" s="1">
        <v>44784.132662037038</v>
      </c>
      <c r="M406">
        <v>14</v>
      </c>
      <c r="N406">
        <v>13.2</v>
      </c>
      <c r="O406">
        <v>0.8</v>
      </c>
      <c r="P406">
        <v>6</v>
      </c>
      <c r="Q406">
        <v>0</v>
      </c>
      <c r="R406">
        <v>0</v>
      </c>
      <c r="S406">
        <v>0</v>
      </c>
      <c r="T406" t="s">
        <v>32</v>
      </c>
      <c r="V406">
        <v>59</v>
      </c>
      <c r="W406">
        <v>0</v>
      </c>
      <c r="X406">
        <v>59</v>
      </c>
      <c r="Y406">
        <v>0</v>
      </c>
      <c r="Z406">
        <v>0</v>
      </c>
      <c r="AA406">
        <v>0</v>
      </c>
      <c r="AB406" t="s">
        <v>36</v>
      </c>
      <c r="AC406">
        <v>59</v>
      </c>
    </row>
    <row r="407" spans="1:30" x14ac:dyDescent="0.25">
      <c r="A407" s="1">
        <v>44784.132696759261</v>
      </c>
      <c r="B407" s="1">
        <v>44784.13212962963</v>
      </c>
      <c r="C407">
        <v>151710</v>
      </c>
      <c r="D407" t="s">
        <v>41</v>
      </c>
      <c r="E407" t="s">
        <v>31</v>
      </c>
      <c r="F407">
        <v>7</v>
      </c>
      <c r="G407">
        <v>43.132477000000002</v>
      </c>
      <c r="H407">
        <v>-71.458374000000006</v>
      </c>
      <c r="I407">
        <v>230</v>
      </c>
      <c r="J407">
        <v>70</v>
      </c>
      <c r="K407">
        <v>0</v>
      </c>
      <c r="L407" s="1">
        <v>44784.132662037038</v>
      </c>
      <c r="M407">
        <v>5.3</v>
      </c>
      <c r="N407">
        <v>4</v>
      </c>
      <c r="O407">
        <v>1.3</v>
      </c>
      <c r="P407">
        <v>28</v>
      </c>
      <c r="Q407">
        <v>0.4</v>
      </c>
      <c r="R407">
        <v>0</v>
      </c>
      <c r="S407">
        <v>0.2</v>
      </c>
      <c r="T407" t="s">
        <v>33</v>
      </c>
      <c r="U407">
        <v>4.6500000000000004</v>
      </c>
      <c r="V407">
        <v>67</v>
      </c>
      <c r="W407">
        <v>0</v>
      </c>
      <c r="X407">
        <v>67</v>
      </c>
      <c r="Y407">
        <v>1</v>
      </c>
      <c r="Z407">
        <v>0</v>
      </c>
      <c r="AA407">
        <v>1</v>
      </c>
      <c r="AB407" t="s">
        <v>36</v>
      </c>
      <c r="AC407">
        <v>67</v>
      </c>
      <c r="AD407">
        <v>0.31</v>
      </c>
    </row>
    <row r="408" spans="1:30" x14ac:dyDescent="0.25">
      <c r="A408" s="1">
        <v>44784.132696759261</v>
      </c>
      <c r="B408" s="1">
        <v>44784.131828703707</v>
      </c>
      <c r="C408">
        <v>151706</v>
      </c>
      <c r="D408" t="s">
        <v>42</v>
      </c>
      <c r="E408" t="s">
        <v>31</v>
      </c>
      <c r="F408">
        <v>7</v>
      </c>
      <c r="G408">
        <v>43.004080000000002</v>
      </c>
      <c r="H408">
        <v>-71.177040000000005</v>
      </c>
      <c r="I408">
        <v>194</v>
      </c>
      <c r="J408">
        <v>71</v>
      </c>
      <c r="K408">
        <v>0</v>
      </c>
      <c r="L408" s="1">
        <v>44784.132662037038</v>
      </c>
      <c r="M408">
        <v>2</v>
      </c>
      <c r="N408">
        <v>0</v>
      </c>
      <c r="O408">
        <v>2</v>
      </c>
      <c r="P408">
        <v>200</v>
      </c>
      <c r="Q408">
        <v>0.1</v>
      </c>
      <c r="R408">
        <v>0</v>
      </c>
      <c r="S408">
        <v>0.05</v>
      </c>
      <c r="T408" t="s">
        <v>43</v>
      </c>
      <c r="V408">
        <v>67</v>
      </c>
      <c r="W408">
        <v>0</v>
      </c>
      <c r="X408">
        <v>67</v>
      </c>
      <c r="Y408">
        <v>0</v>
      </c>
      <c r="Z408">
        <v>0</v>
      </c>
      <c r="AA408">
        <v>0</v>
      </c>
      <c r="AB408" t="s">
        <v>36</v>
      </c>
      <c r="AC408">
        <v>67</v>
      </c>
    </row>
    <row r="409" spans="1:30" x14ac:dyDescent="0.25">
      <c r="A409" s="1">
        <v>44784.132696759261</v>
      </c>
      <c r="B409" s="1">
        <v>44784.131516203706</v>
      </c>
      <c r="C409">
        <v>12212</v>
      </c>
      <c r="D409" t="s">
        <v>44</v>
      </c>
      <c r="E409" t="s">
        <v>35</v>
      </c>
      <c r="F409">
        <v>7</v>
      </c>
      <c r="G409">
        <v>42.930529999999997</v>
      </c>
      <c r="H409">
        <v>-72.272350000000003</v>
      </c>
      <c r="I409">
        <v>476</v>
      </c>
      <c r="J409">
        <v>76</v>
      </c>
      <c r="K409">
        <v>0</v>
      </c>
      <c r="L409" s="1">
        <v>44784.132662037038</v>
      </c>
      <c r="M409">
        <v>3.7</v>
      </c>
      <c r="N409">
        <v>3</v>
      </c>
      <c r="O409">
        <v>0.7</v>
      </c>
      <c r="P409">
        <v>21</v>
      </c>
      <c r="Q409">
        <v>0.1</v>
      </c>
      <c r="R409">
        <v>0.2</v>
      </c>
      <c r="S409">
        <v>0.15</v>
      </c>
      <c r="T409" t="s">
        <v>33</v>
      </c>
      <c r="U409">
        <v>3.35</v>
      </c>
      <c r="V409">
        <v>86</v>
      </c>
      <c r="W409">
        <v>0</v>
      </c>
      <c r="X409">
        <v>86</v>
      </c>
      <c r="Y409">
        <v>3</v>
      </c>
      <c r="Z409">
        <v>0</v>
      </c>
      <c r="AA409">
        <v>3</v>
      </c>
      <c r="AB409" t="s">
        <v>36</v>
      </c>
      <c r="AC409">
        <v>86</v>
      </c>
      <c r="AD409">
        <v>-1.82</v>
      </c>
    </row>
    <row r="410" spans="1:30" x14ac:dyDescent="0.25">
      <c r="A410" s="1">
        <v>44784.132708333331</v>
      </c>
      <c r="B410" s="1">
        <v>44769.376736111109</v>
      </c>
      <c r="C410">
        <v>12178</v>
      </c>
      <c r="D410" t="s">
        <v>45</v>
      </c>
      <c r="E410" t="s">
        <v>35</v>
      </c>
      <c r="F410">
        <v>7</v>
      </c>
      <c r="G410">
        <v>42.899563000000001</v>
      </c>
      <c r="H410">
        <v>-71.464650000000006</v>
      </c>
      <c r="I410">
        <v>301</v>
      </c>
      <c r="J410">
        <v>85</v>
      </c>
      <c r="K410">
        <v>0</v>
      </c>
      <c r="L410" s="1">
        <v>44784.132662037038</v>
      </c>
      <c r="M410">
        <v>3.8</v>
      </c>
      <c r="N410">
        <v>3.1</v>
      </c>
      <c r="O410">
        <v>0.7</v>
      </c>
      <c r="P410">
        <v>20</v>
      </c>
      <c r="Q410">
        <v>0</v>
      </c>
      <c r="R410">
        <v>0</v>
      </c>
      <c r="S410">
        <v>0</v>
      </c>
      <c r="T410" t="s">
        <v>32</v>
      </c>
      <c r="V410">
        <v>35</v>
      </c>
      <c r="W410">
        <v>0</v>
      </c>
      <c r="X410">
        <v>35</v>
      </c>
      <c r="Y410">
        <v>0</v>
      </c>
      <c r="Z410">
        <v>0</v>
      </c>
      <c r="AA410">
        <v>0</v>
      </c>
      <c r="AB410" t="s">
        <v>36</v>
      </c>
      <c r="AC410">
        <v>35</v>
      </c>
    </row>
    <row r="411" spans="1:30" x14ac:dyDescent="0.25">
      <c r="A411" s="1">
        <v>44784.132708333331</v>
      </c>
      <c r="B411" s="1">
        <v>44784.130879629629</v>
      </c>
      <c r="C411">
        <v>75981</v>
      </c>
      <c r="D411" t="s">
        <v>46</v>
      </c>
      <c r="E411" t="s">
        <v>35</v>
      </c>
      <c r="F411">
        <v>7</v>
      </c>
      <c r="G411">
        <v>42.97</v>
      </c>
      <c r="H411">
        <v>-71.06</v>
      </c>
      <c r="I411">
        <v>136</v>
      </c>
      <c r="J411">
        <v>74</v>
      </c>
      <c r="K411">
        <v>0</v>
      </c>
      <c r="L411" s="1">
        <v>44784.132662037038</v>
      </c>
      <c r="M411">
        <v>3.7</v>
      </c>
      <c r="N411">
        <v>3.2</v>
      </c>
      <c r="O411">
        <v>0.5</v>
      </c>
      <c r="P411">
        <v>14</v>
      </c>
      <c r="Q411">
        <v>0.1</v>
      </c>
      <c r="R411">
        <v>0</v>
      </c>
      <c r="S411">
        <v>0.05</v>
      </c>
      <c r="T411" t="s">
        <v>33</v>
      </c>
      <c r="U411">
        <v>3.45</v>
      </c>
      <c r="V411">
        <v>62</v>
      </c>
      <c r="W411">
        <v>0</v>
      </c>
      <c r="X411">
        <v>62</v>
      </c>
      <c r="Y411">
        <v>0</v>
      </c>
      <c r="Z411">
        <v>0</v>
      </c>
      <c r="AA411">
        <v>0</v>
      </c>
      <c r="AB411" t="s">
        <v>36</v>
      </c>
      <c r="AC411">
        <v>62</v>
      </c>
      <c r="AD411">
        <v>-0.08</v>
      </c>
    </row>
    <row r="412" spans="1:30" x14ac:dyDescent="0.25">
      <c r="A412" s="1">
        <v>44784.132708333331</v>
      </c>
      <c r="B412" s="1">
        <v>44784.13140046296</v>
      </c>
      <c r="C412">
        <v>115703</v>
      </c>
      <c r="D412" t="s">
        <v>47</v>
      </c>
      <c r="E412" t="s">
        <v>35</v>
      </c>
      <c r="F412">
        <v>7</v>
      </c>
      <c r="G412">
        <v>43.953625000000002</v>
      </c>
      <c r="H412">
        <v>-71.508859999999999</v>
      </c>
      <c r="I412">
        <v>1493</v>
      </c>
      <c r="J412">
        <v>63</v>
      </c>
      <c r="K412">
        <v>0</v>
      </c>
      <c r="L412" s="1">
        <v>44784.132662037038</v>
      </c>
      <c r="M412">
        <v>0</v>
      </c>
      <c r="N412">
        <v>300.89999999999998</v>
      </c>
      <c r="O412">
        <v>300.89999999999998</v>
      </c>
      <c r="P412">
        <v>200</v>
      </c>
      <c r="Q412">
        <v>0</v>
      </c>
      <c r="R412">
        <v>0</v>
      </c>
      <c r="S412">
        <v>0</v>
      </c>
      <c r="T412" t="s">
        <v>48</v>
      </c>
      <c r="V412">
        <v>68</v>
      </c>
      <c r="W412">
        <v>0</v>
      </c>
      <c r="X412">
        <v>68</v>
      </c>
      <c r="Y412">
        <v>0</v>
      </c>
      <c r="Z412">
        <v>0</v>
      </c>
      <c r="AA412">
        <v>0</v>
      </c>
      <c r="AB412" t="s">
        <v>36</v>
      </c>
      <c r="AC412">
        <v>68</v>
      </c>
    </row>
    <row r="413" spans="1:30" x14ac:dyDescent="0.25">
      <c r="A413" s="1">
        <v>44784.132708333331</v>
      </c>
      <c r="B413" s="1">
        <v>44784.132210648146</v>
      </c>
      <c r="C413">
        <v>12050</v>
      </c>
      <c r="D413" t="s">
        <v>49</v>
      </c>
      <c r="E413" t="s">
        <v>35</v>
      </c>
      <c r="F413">
        <v>7</v>
      </c>
      <c r="G413">
        <v>44.220573000000002</v>
      </c>
      <c r="H413">
        <v>-71.732315</v>
      </c>
      <c r="I413">
        <v>999</v>
      </c>
      <c r="J413">
        <v>69</v>
      </c>
      <c r="K413">
        <v>0</v>
      </c>
      <c r="L413" s="1">
        <v>44784.132662037038</v>
      </c>
      <c r="M413">
        <v>2.6</v>
      </c>
      <c r="N413">
        <v>2.8</v>
      </c>
      <c r="O413">
        <v>0.2</v>
      </c>
      <c r="P413">
        <v>7</v>
      </c>
      <c r="Q413">
        <v>0.2</v>
      </c>
      <c r="R413">
        <v>0</v>
      </c>
      <c r="S413">
        <v>0.1</v>
      </c>
      <c r="T413" t="s">
        <v>33</v>
      </c>
      <c r="U413">
        <v>2.7</v>
      </c>
      <c r="V413">
        <v>58</v>
      </c>
      <c r="W413">
        <v>0</v>
      </c>
      <c r="X413">
        <v>58</v>
      </c>
      <c r="Y413">
        <v>0</v>
      </c>
      <c r="Z413">
        <v>0</v>
      </c>
      <c r="AA413">
        <v>0</v>
      </c>
      <c r="AB413" t="s">
        <v>36</v>
      </c>
      <c r="AC413">
        <v>58</v>
      </c>
      <c r="AD413">
        <v>-0.25</v>
      </c>
    </row>
    <row r="414" spans="1:30" x14ac:dyDescent="0.25">
      <c r="A414" s="1">
        <v>44784.132719907408</v>
      </c>
      <c r="B414" s="1">
        <v>44784.130925925929</v>
      </c>
      <c r="C414">
        <v>23443</v>
      </c>
      <c r="D414" t="s">
        <v>50</v>
      </c>
      <c r="E414" t="s">
        <v>35</v>
      </c>
      <c r="F414">
        <v>7</v>
      </c>
      <c r="G414">
        <v>43.556139999999999</v>
      </c>
      <c r="H414">
        <v>-72.370990000000006</v>
      </c>
      <c r="I414">
        <v>523</v>
      </c>
      <c r="J414">
        <v>69</v>
      </c>
      <c r="K414">
        <v>0</v>
      </c>
      <c r="L414" s="1">
        <v>44784.132662037038</v>
      </c>
      <c r="M414">
        <v>3.6</v>
      </c>
      <c r="N414">
        <v>3.1</v>
      </c>
      <c r="O414">
        <v>0.5</v>
      </c>
      <c r="P414">
        <v>15</v>
      </c>
      <c r="Q414">
        <v>0.1</v>
      </c>
      <c r="R414">
        <v>0.1</v>
      </c>
      <c r="S414">
        <v>0.1</v>
      </c>
      <c r="T414" t="s">
        <v>33</v>
      </c>
      <c r="U414">
        <v>3.35</v>
      </c>
      <c r="V414">
        <v>66</v>
      </c>
      <c r="W414">
        <v>0</v>
      </c>
      <c r="X414">
        <v>66</v>
      </c>
      <c r="Y414">
        <v>0</v>
      </c>
      <c r="Z414">
        <v>0</v>
      </c>
      <c r="AA414">
        <v>0</v>
      </c>
      <c r="AB414" t="s">
        <v>36</v>
      </c>
      <c r="AC414">
        <v>66</v>
      </c>
      <c r="AD414">
        <v>-0.42</v>
      </c>
    </row>
    <row r="415" spans="1:30" x14ac:dyDescent="0.25">
      <c r="A415" s="1">
        <v>44784.132719907408</v>
      </c>
      <c r="B415" s="1">
        <v>44784.131018518521</v>
      </c>
      <c r="C415">
        <v>58135</v>
      </c>
      <c r="D415" t="s">
        <v>51</v>
      </c>
      <c r="E415" t="s">
        <v>35</v>
      </c>
      <c r="F415">
        <v>7</v>
      </c>
      <c r="G415">
        <v>42.883873000000001</v>
      </c>
      <c r="H415">
        <v>-71.972915999999998</v>
      </c>
      <c r="I415">
        <v>808</v>
      </c>
      <c r="J415">
        <v>70</v>
      </c>
      <c r="K415">
        <v>0</v>
      </c>
      <c r="L415" s="1">
        <v>44784.132662037038</v>
      </c>
      <c r="M415">
        <v>7.6</v>
      </c>
      <c r="N415">
        <v>5</v>
      </c>
      <c r="O415">
        <v>2.6</v>
      </c>
      <c r="P415">
        <v>41</v>
      </c>
      <c r="Q415">
        <v>0.1</v>
      </c>
      <c r="R415">
        <v>0.1</v>
      </c>
      <c r="S415">
        <v>0.1</v>
      </c>
      <c r="T415" t="s">
        <v>33</v>
      </c>
      <c r="U415">
        <v>6.3</v>
      </c>
      <c r="V415">
        <v>71</v>
      </c>
      <c r="W415">
        <v>0</v>
      </c>
      <c r="X415">
        <v>71</v>
      </c>
      <c r="Y415">
        <v>2</v>
      </c>
      <c r="Z415">
        <v>0</v>
      </c>
      <c r="AA415">
        <v>2</v>
      </c>
      <c r="AB415" t="s">
        <v>36</v>
      </c>
      <c r="AC415">
        <v>71</v>
      </c>
      <c r="AD415">
        <v>1.03</v>
      </c>
    </row>
    <row r="416" spans="1:30" x14ac:dyDescent="0.25">
      <c r="A416" s="1">
        <v>44784.132719907408</v>
      </c>
      <c r="B416" s="1">
        <v>44784.131076388891</v>
      </c>
      <c r="C416">
        <v>148555</v>
      </c>
      <c r="D416" t="s">
        <v>52</v>
      </c>
      <c r="E416" t="s">
        <v>53</v>
      </c>
      <c r="F416">
        <v>7</v>
      </c>
      <c r="G416">
        <v>42.904949999999999</v>
      </c>
      <c r="H416">
        <v>-71.386764999999997</v>
      </c>
      <c r="I416">
        <v>363</v>
      </c>
      <c r="J416">
        <v>0</v>
      </c>
      <c r="K416">
        <v>0</v>
      </c>
      <c r="L416" s="1">
        <v>44784.132662037038</v>
      </c>
      <c r="M416">
        <v>1.7</v>
      </c>
      <c r="N416">
        <v>2.2000000000000002</v>
      </c>
      <c r="O416">
        <v>0.5</v>
      </c>
      <c r="P416">
        <v>26</v>
      </c>
      <c r="Q416">
        <v>0</v>
      </c>
      <c r="R416">
        <v>0.1</v>
      </c>
      <c r="S416">
        <v>0.05</v>
      </c>
      <c r="T416" t="s">
        <v>33</v>
      </c>
      <c r="U416">
        <v>1.95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 t="s">
        <v>38</v>
      </c>
    </row>
    <row r="417" spans="1:30" x14ac:dyDescent="0.25">
      <c r="A417" s="1">
        <v>44784.132719907408</v>
      </c>
      <c r="B417" s="1">
        <v>44784.132002314815</v>
      </c>
      <c r="C417">
        <v>146644</v>
      </c>
      <c r="D417" t="s">
        <v>54</v>
      </c>
      <c r="E417" t="s">
        <v>53</v>
      </c>
      <c r="F417">
        <v>7</v>
      </c>
      <c r="G417">
        <v>43.06015</v>
      </c>
      <c r="H417">
        <v>-70.758930000000007</v>
      </c>
      <c r="I417">
        <v>35</v>
      </c>
      <c r="J417">
        <v>70</v>
      </c>
      <c r="K417">
        <v>71</v>
      </c>
      <c r="L417" s="1">
        <v>44784.132662037038</v>
      </c>
      <c r="M417">
        <v>7.9</v>
      </c>
      <c r="N417">
        <v>6.6</v>
      </c>
      <c r="O417">
        <v>1.3</v>
      </c>
      <c r="P417">
        <v>18</v>
      </c>
      <c r="Q417">
        <v>0.6</v>
      </c>
      <c r="R417">
        <v>0.3</v>
      </c>
      <c r="S417">
        <v>0.44999999999999901</v>
      </c>
      <c r="T417" t="s">
        <v>33</v>
      </c>
      <c r="U417">
        <v>7.25</v>
      </c>
      <c r="V417">
        <v>67</v>
      </c>
      <c r="W417">
        <v>72</v>
      </c>
      <c r="X417">
        <v>5</v>
      </c>
      <c r="Y417">
        <v>1</v>
      </c>
      <c r="Z417">
        <v>0</v>
      </c>
      <c r="AA417">
        <v>1</v>
      </c>
      <c r="AB417" t="s">
        <v>33</v>
      </c>
      <c r="AC417">
        <v>69.5</v>
      </c>
      <c r="AD417">
        <v>1.72</v>
      </c>
    </row>
    <row r="418" spans="1:30" x14ac:dyDescent="0.25">
      <c r="A418" s="1">
        <v>44784.132731481484</v>
      </c>
      <c r="B418" s="1">
        <v>43755.283437500002</v>
      </c>
      <c r="C418">
        <v>12188</v>
      </c>
      <c r="D418" t="s">
        <v>55</v>
      </c>
      <c r="E418" t="s">
        <v>35</v>
      </c>
      <c r="F418">
        <v>4.1100000000000003</v>
      </c>
      <c r="G418">
        <v>42.927050000000001</v>
      </c>
      <c r="H418">
        <v>-72.279610000000005</v>
      </c>
      <c r="I418">
        <v>475</v>
      </c>
      <c r="J418">
        <v>95</v>
      </c>
      <c r="K418">
        <v>0</v>
      </c>
      <c r="L418" s="1">
        <v>44784.132662037038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 t="s">
        <v>32</v>
      </c>
      <c r="V418">
        <v>77</v>
      </c>
      <c r="W418">
        <v>0</v>
      </c>
      <c r="X418">
        <v>77</v>
      </c>
      <c r="Y418">
        <v>0</v>
      </c>
      <c r="Z418">
        <v>0</v>
      </c>
      <c r="AA418">
        <v>0</v>
      </c>
      <c r="AB418" t="s">
        <v>36</v>
      </c>
      <c r="AC418">
        <v>77</v>
      </c>
    </row>
    <row r="419" spans="1:30" x14ac:dyDescent="0.25">
      <c r="A419" s="1">
        <v>44784.132731481484</v>
      </c>
      <c r="B419" s="1">
        <v>44784.130925925929</v>
      </c>
      <c r="C419">
        <v>1224</v>
      </c>
      <c r="D419" t="s">
        <v>56</v>
      </c>
      <c r="E419" t="s">
        <v>35</v>
      </c>
      <c r="F419" t="s">
        <v>57</v>
      </c>
      <c r="G419">
        <v>42.938034000000002</v>
      </c>
      <c r="H419">
        <v>-72.259299999999996</v>
      </c>
      <c r="I419">
        <v>792</v>
      </c>
      <c r="J419">
        <v>76</v>
      </c>
      <c r="K419">
        <v>0</v>
      </c>
      <c r="L419" s="1">
        <v>44784.132662037038</v>
      </c>
      <c r="M419">
        <v>2.7</v>
      </c>
      <c r="N419">
        <v>0.1</v>
      </c>
      <c r="O419">
        <v>2.6</v>
      </c>
      <c r="P419">
        <v>186</v>
      </c>
      <c r="Q419">
        <v>0.2</v>
      </c>
      <c r="R419">
        <v>0</v>
      </c>
      <c r="S419">
        <v>0.1</v>
      </c>
      <c r="T419" t="s">
        <v>33</v>
      </c>
      <c r="U419">
        <v>1.4</v>
      </c>
      <c r="V419">
        <v>85</v>
      </c>
      <c r="W419">
        <v>0</v>
      </c>
      <c r="X419">
        <v>85</v>
      </c>
      <c r="Y419">
        <v>1</v>
      </c>
      <c r="Z419">
        <v>0</v>
      </c>
      <c r="AA419">
        <v>1</v>
      </c>
      <c r="AB419" t="s">
        <v>36</v>
      </c>
      <c r="AC419">
        <v>85</v>
      </c>
      <c r="AD419">
        <v>-2.94</v>
      </c>
    </row>
    <row r="420" spans="1:30" x14ac:dyDescent="0.25">
      <c r="A420" s="1">
        <v>44784.132731481484</v>
      </c>
      <c r="B420" s="1">
        <v>44784.131747685184</v>
      </c>
      <c r="C420">
        <v>1202</v>
      </c>
      <c r="D420" t="s">
        <v>58</v>
      </c>
      <c r="E420" t="s">
        <v>35</v>
      </c>
      <c r="F420" t="s">
        <v>57</v>
      </c>
      <c r="G420">
        <v>42.936554000000001</v>
      </c>
      <c r="H420">
        <v>-72.271019999999993</v>
      </c>
      <c r="I420">
        <v>488</v>
      </c>
      <c r="J420">
        <v>0</v>
      </c>
      <c r="K420">
        <v>0</v>
      </c>
      <c r="L420" s="1">
        <v>44784.132662037038</v>
      </c>
      <c r="M420">
        <v>3.4</v>
      </c>
      <c r="N420">
        <v>3.3</v>
      </c>
      <c r="O420">
        <v>0.1</v>
      </c>
      <c r="P420">
        <v>3</v>
      </c>
      <c r="Q420">
        <v>0</v>
      </c>
      <c r="R420">
        <v>0.1</v>
      </c>
      <c r="S420">
        <v>0.05</v>
      </c>
      <c r="T420" t="s">
        <v>33</v>
      </c>
      <c r="U420">
        <v>3.35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 t="s">
        <v>38</v>
      </c>
    </row>
    <row r="421" spans="1:30" x14ac:dyDescent="0.25">
      <c r="A421" s="1">
        <v>44784.132731481484</v>
      </c>
      <c r="B421" s="1">
        <v>44612.080023148148</v>
      </c>
      <c r="C421">
        <v>25985</v>
      </c>
      <c r="D421" t="s">
        <v>59</v>
      </c>
      <c r="E421" t="s">
        <v>35</v>
      </c>
      <c r="F421">
        <v>6.01</v>
      </c>
      <c r="G421">
        <v>42.927326000000001</v>
      </c>
      <c r="H421">
        <v>-72.279979999999995</v>
      </c>
      <c r="I421">
        <v>477</v>
      </c>
      <c r="J421">
        <v>78</v>
      </c>
      <c r="K421">
        <v>0</v>
      </c>
      <c r="L421" s="1">
        <v>44784.132662037038</v>
      </c>
      <c r="M421">
        <v>1.1000000000000001</v>
      </c>
      <c r="N421">
        <v>1</v>
      </c>
      <c r="O421">
        <v>0.1</v>
      </c>
      <c r="P421">
        <v>10</v>
      </c>
      <c r="Q421">
        <v>0</v>
      </c>
      <c r="R421">
        <v>0</v>
      </c>
      <c r="S421">
        <v>0</v>
      </c>
      <c r="T421" t="s">
        <v>32</v>
      </c>
      <c r="V421">
        <v>22</v>
      </c>
      <c r="W421">
        <v>0</v>
      </c>
      <c r="X421">
        <v>22</v>
      </c>
      <c r="Y421">
        <v>0</v>
      </c>
      <c r="Z421">
        <v>0</v>
      </c>
      <c r="AA421">
        <v>0</v>
      </c>
      <c r="AB421" t="s">
        <v>36</v>
      </c>
      <c r="AC421">
        <v>22</v>
      </c>
    </row>
    <row r="422" spans="1:30" x14ac:dyDescent="0.25">
      <c r="A422" s="1">
        <v>44784.139618055553</v>
      </c>
      <c r="B422" s="1">
        <v>44775.701319444444</v>
      </c>
      <c r="C422">
        <v>151708</v>
      </c>
      <c r="D422" t="s">
        <v>30</v>
      </c>
      <c r="E422" t="s">
        <v>31</v>
      </c>
      <c r="F422">
        <v>7</v>
      </c>
      <c r="G422">
        <v>43.192042999999998</v>
      </c>
      <c r="H422">
        <v>-71.541579999999996</v>
      </c>
      <c r="I422">
        <v>291</v>
      </c>
      <c r="J422">
        <v>93</v>
      </c>
      <c r="K422">
        <v>94</v>
      </c>
      <c r="L422" s="1">
        <v>44784.139606481483</v>
      </c>
      <c r="M422">
        <v>7.9</v>
      </c>
      <c r="N422">
        <v>7.6</v>
      </c>
      <c r="O422">
        <v>0.3</v>
      </c>
      <c r="P422">
        <v>4</v>
      </c>
      <c r="Q422">
        <v>0</v>
      </c>
      <c r="R422">
        <v>0</v>
      </c>
      <c r="S422">
        <v>0</v>
      </c>
      <c r="T422" t="s">
        <v>32</v>
      </c>
      <c r="V422">
        <v>42</v>
      </c>
      <c r="W422">
        <v>41</v>
      </c>
      <c r="X422">
        <v>1</v>
      </c>
      <c r="Y422">
        <v>0</v>
      </c>
      <c r="Z422">
        <v>0</v>
      </c>
      <c r="AA422">
        <v>0</v>
      </c>
      <c r="AB422" t="s">
        <v>33</v>
      </c>
      <c r="AC422">
        <v>41.5</v>
      </c>
    </row>
    <row r="423" spans="1:30" x14ac:dyDescent="0.25">
      <c r="A423" s="1">
        <v>44784.13962962963</v>
      </c>
      <c r="B423" s="1">
        <v>44784.137916666667</v>
      </c>
      <c r="C423">
        <v>143456</v>
      </c>
      <c r="D423" t="s">
        <v>34</v>
      </c>
      <c r="E423" t="s">
        <v>35</v>
      </c>
      <c r="F423">
        <v>7</v>
      </c>
      <c r="G423">
        <v>43.08963</v>
      </c>
      <c r="H423">
        <v>-71.502440000000007</v>
      </c>
      <c r="I423">
        <v>619</v>
      </c>
      <c r="J423">
        <v>70</v>
      </c>
      <c r="K423">
        <v>0</v>
      </c>
      <c r="L423" s="1">
        <v>44784.139606481483</v>
      </c>
      <c r="M423">
        <v>2.8</v>
      </c>
      <c r="N423">
        <v>3</v>
      </c>
      <c r="O423">
        <v>0.2</v>
      </c>
      <c r="P423">
        <v>7</v>
      </c>
      <c r="Q423">
        <v>0</v>
      </c>
      <c r="R423">
        <v>0.1</v>
      </c>
      <c r="S423">
        <v>0.05</v>
      </c>
      <c r="T423" t="s">
        <v>33</v>
      </c>
      <c r="U423">
        <v>2.9</v>
      </c>
      <c r="V423">
        <v>71</v>
      </c>
      <c r="W423">
        <v>0</v>
      </c>
      <c r="X423">
        <v>71</v>
      </c>
      <c r="Y423">
        <v>0</v>
      </c>
      <c r="Z423">
        <v>0</v>
      </c>
      <c r="AA423">
        <v>0</v>
      </c>
      <c r="AB423" t="s">
        <v>36</v>
      </c>
      <c r="AC423">
        <v>71</v>
      </c>
      <c r="AD423">
        <v>-1.04</v>
      </c>
    </row>
    <row r="424" spans="1:30" x14ac:dyDescent="0.25">
      <c r="A424" s="1">
        <v>44784.13962962963</v>
      </c>
      <c r="B424" s="1">
        <v>44784.138101851851</v>
      </c>
      <c r="C424">
        <v>151702</v>
      </c>
      <c r="D424" t="s">
        <v>37</v>
      </c>
      <c r="E424" t="s">
        <v>31</v>
      </c>
      <c r="F424">
        <v>7</v>
      </c>
      <c r="G424">
        <v>43.118609999999997</v>
      </c>
      <c r="H424">
        <v>-71.61618</v>
      </c>
      <c r="I424">
        <v>885</v>
      </c>
      <c r="J424">
        <v>0</v>
      </c>
      <c r="K424">
        <v>0</v>
      </c>
      <c r="L424" s="1">
        <v>44784.139606481483</v>
      </c>
      <c r="M424">
        <v>3.8</v>
      </c>
      <c r="N424">
        <v>3.6</v>
      </c>
      <c r="O424">
        <v>0.2</v>
      </c>
      <c r="P424">
        <v>5</v>
      </c>
      <c r="Q424">
        <v>0.2</v>
      </c>
      <c r="R424">
        <v>0.2</v>
      </c>
      <c r="S424">
        <v>0.2</v>
      </c>
      <c r="T424" t="s">
        <v>33</v>
      </c>
      <c r="U424">
        <v>3.7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 t="s">
        <v>38</v>
      </c>
    </row>
    <row r="425" spans="1:30" x14ac:dyDescent="0.25">
      <c r="A425" s="1">
        <v>44784.13962962963</v>
      </c>
      <c r="B425" s="1">
        <v>44784.139386574076</v>
      </c>
      <c r="C425">
        <v>151700</v>
      </c>
      <c r="D425" t="s">
        <v>30</v>
      </c>
      <c r="E425" t="s">
        <v>31</v>
      </c>
      <c r="F425">
        <v>7</v>
      </c>
      <c r="G425">
        <v>43.19211</v>
      </c>
      <c r="H425">
        <v>-71.541460000000001</v>
      </c>
      <c r="I425">
        <v>286</v>
      </c>
      <c r="J425">
        <v>71</v>
      </c>
      <c r="K425">
        <v>0</v>
      </c>
      <c r="L425" s="1">
        <v>44784.139606481483</v>
      </c>
      <c r="M425">
        <v>2.7</v>
      </c>
      <c r="N425">
        <v>3.1</v>
      </c>
      <c r="O425">
        <v>0.4</v>
      </c>
      <c r="P425">
        <v>14</v>
      </c>
      <c r="Q425">
        <v>0.1</v>
      </c>
      <c r="R425">
        <v>0</v>
      </c>
      <c r="S425">
        <v>0.05</v>
      </c>
      <c r="T425" t="s">
        <v>33</v>
      </c>
      <c r="U425">
        <v>2.9</v>
      </c>
      <c r="V425">
        <v>66</v>
      </c>
      <c r="W425">
        <v>0</v>
      </c>
      <c r="X425">
        <v>66</v>
      </c>
      <c r="Y425">
        <v>0</v>
      </c>
      <c r="Z425">
        <v>0</v>
      </c>
      <c r="AA425">
        <v>0</v>
      </c>
      <c r="AB425" t="s">
        <v>36</v>
      </c>
      <c r="AC425">
        <v>66</v>
      </c>
      <c r="AD425">
        <v>-0.69</v>
      </c>
    </row>
    <row r="426" spans="1:30" x14ac:dyDescent="0.25">
      <c r="A426" s="1">
        <v>44784.139641203707</v>
      </c>
      <c r="B426" s="1">
        <v>44784.138402777775</v>
      </c>
      <c r="C426">
        <v>135984</v>
      </c>
      <c r="D426" t="s">
        <v>39</v>
      </c>
      <c r="E426" t="s">
        <v>31</v>
      </c>
      <c r="F426">
        <v>7</v>
      </c>
      <c r="G426">
        <v>43.565852999999997</v>
      </c>
      <c r="H426">
        <v>-71.496129999999994</v>
      </c>
      <c r="I426">
        <v>708</v>
      </c>
      <c r="J426">
        <v>68</v>
      </c>
      <c r="K426">
        <v>0</v>
      </c>
      <c r="L426" s="1">
        <v>44784.139606481483</v>
      </c>
      <c r="M426">
        <v>5</v>
      </c>
      <c r="N426">
        <v>4</v>
      </c>
      <c r="O426">
        <v>1</v>
      </c>
      <c r="P426">
        <v>22</v>
      </c>
      <c r="Q426">
        <v>0</v>
      </c>
      <c r="R426">
        <v>0</v>
      </c>
      <c r="S426">
        <v>0</v>
      </c>
      <c r="T426" t="s">
        <v>33</v>
      </c>
      <c r="U426">
        <v>4.5</v>
      </c>
      <c r="V426">
        <v>91</v>
      </c>
      <c r="W426">
        <v>0</v>
      </c>
      <c r="X426">
        <v>91</v>
      </c>
      <c r="Y426">
        <v>0</v>
      </c>
      <c r="Z426">
        <v>0</v>
      </c>
      <c r="AA426">
        <v>0</v>
      </c>
      <c r="AB426" t="s">
        <v>36</v>
      </c>
      <c r="AC426">
        <v>91</v>
      </c>
      <c r="AD426">
        <v>-1.47</v>
      </c>
    </row>
    <row r="427" spans="1:30" x14ac:dyDescent="0.25">
      <c r="A427" s="1">
        <v>44784.139641203707</v>
      </c>
      <c r="B427" s="1">
        <v>44780.394780092596</v>
      </c>
      <c r="C427">
        <v>151712</v>
      </c>
      <c r="D427" t="s">
        <v>40</v>
      </c>
      <c r="E427" t="s">
        <v>31</v>
      </c>
      <c r="F427">
        <v>7</v>
      </c>
      <c r="G427">
        <v>43.289763999999998</v>
      </c>
      <c r="H427">
        <v>-71.564260000000004</v>
      </c>
      <c r="I427">
        <v>370</v>
      </c>
      <c r="J427">
        <v>86</v>
      </c>
      <c r="K427">
        <v>0</v>
      </c>
      <c r="L427" s="1">
        <v>44784.139606481483</v>
      </c>
      <c r="M427">
        <v>14</v>
      </c>
      <c r="N427">
        <v>13.2</v>
      </c>
      <c r="O427">
        <v>0.8</v>
      </c>
      <c r="P427">
        <v>6</v>
      </c>
      <c r="Q427">
        <v>0</v>
      </c>
      <c r="R427">
        <v>0</v>
      </c>
      <c r="S427">
        <v>0</v>
      </c>
      <c r="T427" t="s">
        <v>32</v>
      </c>
      <c r="V427">
        <v>59</v>
      </c>
      <c r="W427">
        <v>0</v>
      </c>
      <c r="X427">
        <v>59</v>
      </c>
      <c r="Y427">
        <v>0</v>
      </c>
      <c r="Z427">
        <v>0</v>
      </c>
      <c r="AA427">
        <v>0</v>
      </c>
      <c r="AB427" t="s">
        <v>36</v>
      </c>
      <c r="AC427">
        <v>59</v>
      </c>
    </row>
    <row r="428" spans="1:30" x14ac:dyDescent="0.25">
      <c r="A428" s="1">
        <v>44784.139641203707</v>
      </c>
      <c r="B428" s="1">
        <v>44784.139074074075</v>
      </c>
      <c r="C428">
        <v>151710</v>
      </c>
      <c r="D428" t="s">
        <v>41</v>
      </c>
      <c r="E428" t="s">
        <v>31</v>
      </c>
      <c r="F428">
        <v>7</v>
      </c>
      <c r="G428">
        <v>43.132477000000002</v>
      </c>
      <c r="H428">
        <v>-71.458374000000006</v>
      </c>
      <c r="I428">
        <v>230</v>
      </c>
      <c r="J428">
        <v>70</v>
      </c>
      <c r="K428">
        <v>0</v>
      </c>
      <c r="L428" s="1">
        <v>44784.139606481483</v>
      </c>
      <c r="M428">
        <v>4.8</v>
      </c>
      <c r="N428">
        <v>3.9</v>
      </c>
      <c r="O428">
        <v>0.9</v>
      </c>
      <c r="P428">
        <v>21</v>
      </c>
      <c r="Q428">
        <v>0.5</v>
      </c>
      <c r="R428">
        <v>0.1</v>
      </c>
      <c r="S428">
        <v>0.3</v>
      </c>
      <c r="T428" t="s">
        <v>33</v>
      </c>
      <c r="U428">
        <v>4.3499999999999996</v>
      </c>
      <c r="V428">
        <v>67</v>
      </c>
      <c r="W428">
        <v>0</v>
      </c>
      <c r="X428">
        <v>67</v>
      </c>
      <c r="Y428">
        <v>0</v>
      </c>
      <c r="Z428">
        <v>0</v>
      </c>
      <c r="AA428">
        <v>0</v>
      </c>
      <c r="AB428" t="s">
        <v>36</v>
      </c>
      <c r="AC428">
        <v>67</v>
      </c>
      <c r="AD428">
        <v>0.12</v>
      </c>
    </row>
    <row r="429" spans="1:30" x14ac:dyDescent="0.25">
      <c r="A429" s="1">
        <v>44784.139641203707</v>
      </c>
      <c r="B429" s="1">
        <v>44784.138773148145</v>
      </c>
      <c r="C429">
        <v>151706</v>
      </c>
      <c r="D429" t="s">
        <v>42</v>
      </c>
      <c r="E429" t="s">
        <v>31</v>
      </c>
      <c r="F429">
        <v>7</v>
      </c>
      <c r="G429">
        <v>43.004080000000002</v>
      </c>
      <c r="H429">
        <v>-71.177040000000005</v>
      </c>
      <c r="I429">
        <v>194</v>
      </c>
      <c r="J429">
        <v>71</v>
      </c>
      <c r="K429">
        <v>0</v>
      </c>
      <c r="L429" s="1">
        <v>44784.139606481483</v>
      </c>
      <c r="M429">
        <v>2</v>
      </c>
      <c r="N429">
        <v>0</v>
      </c>
      <c r="O429">
        <v>2</v>
      </c>
      <c r="P429">
        <v>200</v>
      </c>
      <c r="Q429">
        <v>0</v>
      </c>
      <c r="R429">
        <v>0</v>
      </c>
      <c r="S429">
        <v>0</v>
      </c>
      <c r="T429" t="s">
        <v>43</v>
      </c>
      <c r="V429">
        <v>67</v>
      </c>
      <c r="W429">
        <v>0</v>
      </c>
      <c r="X429">
        <v>67</v>
      </c>
      <c r="Y429">
        <v>0</v>
      </c>
      <c r="Z429">
        <v>0</v>
      </c>
      <c r="AA429">
        <v>0</v>
      </c>
      <c r="AB429" t="s">
        <v>36</v>
      </c>
      <c r="AC429">
        <v>67</v>
      </c>
    </row>
    <row r="430" spans="1:30" x14ac:dyDescent="0.25">
      <c r="A430" s="1">
        <v>44784.139652777776</v>
      </c>
      <c r="B430" s="1">
        <v>44784.138472222221</v>
      </c>
      <c r="C430">
        <v>12212</v>
      </c>
      <c r="D430" t="s">
        <v>44</v>
      </c>
      <c r="E430" t="s">
        <v>35</v>
      </c>
      <c r="F430">
        <v>7</v>
      </c>
      <c r="G430">
        <v>42.930529999999997</v>
      </c>
      <c r="H430">
        <v>-72.272350000000003</v>
      </c>
      <c r="I430">
        <v>476</v>
      </c>
      <c r="J430">
        <v>76</v>
      </c>
      <c r="K430">
        <v>0</v>
      </c>
      <c r="L430" s="1">
        <v>44784.139606481483</v>
      </c>
      <c r="M430">
        <v>3.8</v>
      </c>
      <c r="N430">
        <v>3</v>
      </c>
      <c r="O430">
        <v>0.8</v>
      </c>
      <c r="P430">
        <v>24</v>
      </c>
      <c r="Q430">
        <v>0.1</v>
      </c>
      <c r="R430">
        <v>0</v>
      </c>
      <c r="S430">
        <v>0.05</v>
      </c>
      <c r="T430" t="s">
        <v>33</v>
      </c>
      <c r="U430">
        <v>3.4</v>
      </c>
      <c r="V430">
        <v>85</v>
      </c>
      <c r="W430">
        <v>0</v>
      </c>
      <c r="X430">
        <v>85</v>
      </c>
      <c r="Y430">
        <v>1</v>
      </c>
      <c r="Z430">
        <v>0</v>
      </c>
      <c r="AA430">
        <v>1</v>
      </c>
      <c r="AB430" t="s">
        <v>36</v>
      </c>
      <c r="AC430">
        <v>85</v>
      </c>
      <c r="AD430">
        <v>-1.72</v>
      </c>
    </row>
    <row r="431" spans="1:30" x14ac:dyDescent="0.25">
      <c r="A431" s="1">
        <v>44784.139652777776</v>
      </c>
      <c r="B431" s="1">
        <v>44769.376736111109</v>
      </c>
      <c r="C431">
        <v>12178</v>
      </c>
      <c r="D431" t="s">
        <v>45</v>
      </c>
      <c r="E431" t="s">
        <v>35</v>
      </c>
      <c r="F431">
        <v>7</v>
      </c>
      <c r="G431">
        <v>42.899563000000001</v>
      </c>
      <c r="H431">
        <v>-71.464650000000006</v>
      </c>
      <c r="I431">
        <v>301</v>
      </c>
      <c r="J431">
        <v>85</v>
      </c>
      <c r="K431">
        <v>0</v>
      </c>
      <c r="L431" s="1">
        <v>44784.139606481483</v>
      </c>
      <c r="M431">
        <v>3.8</v>
      </c>
      <c r="N431">
        <v>3.1</v>
      </c>
      <c r="O431">
        <v>0.7</v>
      </c>
      <c r="P431">
        <v>20</v>
      </c>
      <c r="Q431">
        <v>0</v>
      </c>
      <c r="R431">
        <v>0</v>
      </c>
      <c r="S431">
        <v>0</v>
      </c>
      <c r="T431" t="s">
        <v>32</v>
      </c>
      <c r="V431">
        <v>35</v>
      </c>
      <c r="W431">
        <v>0</v>
      </c>
      <c r="X431">
        <v>35</v>
      </c>
      <c r="Y431">
        <v>0</v>
      </c>
      <c r="Z431">
        <v>0</v>
      </c>
      <c r="AA431">
        <v>0</v>
      </c>
      <c r="AB431" t="s">
        <v>36</v>
      </c>
      <c r="AC431">
        <v>35</v>
      </c>
    </row>
    <row r="432" spans="1:30" x14ac:dyDescent="0.25">
      <c r="A432" s="1">
        <v>44784.139652777776</v>
      </c>
      <c r="B432" s="1">
        <v>44784.137824074074</v>
      </c>
      <c r="C432">
        <v>75981</v>
      </c>
      <c r="D432" t="s">
        <v>46</v>
      </c>
      <c r="E432" t="s">
        <v>35</v>
      </c>
      <c r="F432">
        <v>7</v>
      </c>
      <c r="G432">
        <v>42.97</v>
      </c>
      <c r="H432">
        <v>-71.06</v>
      </c>
      <c r="I432">
        <v>136</v>
      </c>
      <c r="J432">
        <v>74</v>
      </c>
      <c r="K432">
        <v>0</v>
      </c>
      <c r="L432" s="1">
        <v>44784.139606481483</v>
      </c>
      <c r="M432">
        <v>3.6</v>
      </c>
      <c r="N432">
        <v>3.1</v>
      </c>
      <c r="O432">
        <v>0.5</v>
      </c>
      <c r="P432">
        <v>15</v>
      </c>
      <c r="Q432">
        <v>0.1</v>
      </c>
      <c r="R432">
        <v>0.1</v>
      </c>
      <c r="S432">
        <v>0.1</v>
      </c>
      <c r="T432" t="s">
        <v>33</v>
      </c>
      <c r="U432">
        <v>3.35</v>
      </c>
      <c r="V432">
        <v>62</v>
      </c>
      <c r="W432">
        <v>0</v>
      </c>
      <c r="X432">
        <v>62</v>
      </c>
      <c r="Y432">
        <v>0</v>
      </c>
      <c r="Z432">
        <v>0</v>
      </c>
      <c r="AA432">
        <v>0</v>
      </c>
      <c r="AB432" t="s">
        <v>36</v>
      </c>
      <c r="AC432">
        <v>62</v>
      </c>
      <c r="AD432">
        <v>-0.14000000000000001</v>
      </c>
    </row>
    <row r="433" spans="1:30" x14ac:dyDescent="0.25">
      <c r="A433" s="1">
        <v>44784.139652777776</v>
      </c>
      <c r="B433" s="1">
        <v>44784.138356481482</v>
      </c>
      <c r="C433">
        <v>115703</v>
      </c>
      <c r="D433" t="s">
        <v>47</v>
      </c>
      <c r="E433" t="s">
        <v>35</v>
      </c>
      <c r="F433">
        <v>7</v>
      </c>
      <c r="G433">
        <v>43.953625000000002</v>
      </c>
      <c r="H433">
        <v>-71.508859999999999</v>
      </c>
      <c r="I433">
        <v>1493</v>
      </c>
      <c r="J433">
        <v>63</v>
      </c>
      <c r="K433">
        <v>0</v>
      </c>
      <c r="L433" s="1">
        <v>44784.139606481483</v>
      </c>
      <c r="M433">
        <v>0</v>
      </c>
      <c r="N433">
        <v>300.89999999999998</v>
      </c>
      <c r="O433">
        <v>300.89999999999998</v>
      </c>
      <c r="P433">
        <v>200</v>
      </c>
      <c r="Q433">
        <v>0</v>
      </c>
      <c r="R433">
        <v>0</v>
      </c>
      <c r="S433">
        <v>0</v>
      </c>
      <c r="T433" t="s">
        <v>48</v>
      </c>
      <c r="V433">
        <v>68</v>
      </c>
      <c r="W433">
        <v>0</v>
      </c>
      <c r="X433">
        <v>68</v>
      </c>
      <c r="Y433">
        <v>0</v>
      </c>
      <c r="Z433">
        <v>0</v>
      </c>
      <c r="AA433">
        <v>0</v>
      </c>
      <c r="AB433" t="s">
        <v>36</v>
      </c>
      <c r="AC433">
        <v>68</v>
      </c>
    </row>
    <row r="434" spans="1:30" x14ac:dyDescent="0.25">
      <c r="A434" s="1">
        <v>44784.139664351853</v>
      </c>
      <c r="B434" s="1">
        <v>44784.137766203705</v>
      </c>
      <c r="C434">
        <v>12050</v>
      </c>
      <c r="D434" t="s">
        <v>49</v>
      </c>
      <c r="E434" t="s">
        <v>35</v>
      </c>
      <c r="F434">
        <v>7</v>
      </c>
      <c r="G434">
        <v>44.220573000000002</v>
      </c>
      <c r="H434">
        <v>-71.732315</v>
      </c>
      <c r="I434">
        <v>999</v>
      </c>
      <c r="J434">
        <v>69</v>
      </c>
      <c r="K434">
        <v>0</v>
      </c>
      <c r="L434" s="1">
        <v>44784.139606481483</v>
      </c>
      <c r="M434">
        <v>2.7</v>
      </c>
      <c r="N434">
        <v>2.9</v>
      </c>
      <c r="O434">
        <v>0.2</v>
      </c>
      <c r="P434">
        <v>7</v>
      </c>
      <c r="Q434">
        <v>0.1</v>
      </c>
      <c r="R434">
        <v>0.1</v>
      </c>
      <c r="S434">
        <v>0.1</v>
      </c>
      <c r="T434" t="s">
        <v>33</v>
      </c>
      <c r="U434">
        <v>2.8</v>
      </c>
      <c r="V434">
        <v>58</v>
      </c>
      <c r="W434">
        <v>0</v>
      </c>
      <c r="X434">
        <v>58</v>
      </c>
      <c r="Y434">
        <v>0</v>
      </c>
      <c r="Z434">
        <v>0</v>
      </c>
      <c r="AA434">
        <v>0</v>
      </c>
      <c r="AB434" t="s">
        <v>36</v>
      </c>
      <c r="AC434">
        <v>58</v>
      </c>
      <c r="AD434">
        <v>-0.19</v>
      </c>
    </row>
    <row r="435" spans="1:30" x14ac:dyDescent="0.25">
      <c r="A435" s="1">
        <v>44784.139664351853</v>
      </c>
      <c r="B435" s="1">
        <v>44784.137870370374</v>
      </c>
      <c r="C435">
        <v>23443</v>
      </c>
      <c r="D435" t="s">
        <v>50</v>
      </c>
      <c r="E435" t="s">
        <v>35</v>
      </c>
      <c r="F435">
        <v>7</v>
      </c>
      <c r="G435">
        <v>43.556139999999999</v>
      </c>
      <c r="H435">
        <v>-72.370990000000006</v>
      </c>
      <c r="I435">
        <v>523</v>
      </c>
      <c r="J435">
        <v>69</v>
      </c>
      <c r="K435">
        <v>0</v>
      </c>
      <c r="L435" s="1">
        <v>44784.139606481483</v>
      </c>
      <c r="M435">
        <v>3.5</v>
      </c>
      <c r="N435">
        <v>3.1</v>
      </c>
      <c r="O435">
        <v>0.4</v>
      </c>
      <c r="P435">
        <v>12</v>
      </c>
      <c r="Q435">
        <v>0.1</v>
      </c>
      <c r="R435">
        <v>0</v>
      </c>
      <c r="S435">
        <v>0.05</v>
      </c>
      <c r="T435" t="s">
        <v>33</v>
      </c>
      <c r="U435">
        <v>3.3</v>
      </c>
      <c r="V435">
        <v>66</v>
      </c>
      <c r="W435">
        <v>0</v>
      </c>
      <c r="X435">
        <v>66</v>
      </c>
      <c r="Y435">
        <v>0</v>
      </c>
      <c r="Z435">
        <v>0</v>
      </c>
      <c r="AA435">
        <v>0</v>
      </c>
      <c r="AB435" t="s">
        <v>36</v>
      </c>
      <c r="AC435">
        <v>66</v>
      </c>
      <c r="AD435">
        <v>-0.45</v>
      </c>
    </row>
    <row r="436" spans="1:30" x14ac:dyDescent="0.25">
      <c r="A436" s="1">
        <v>44784.139664351853</v>
      </c>
      <c r="B436" s="1">
        <v>44784.139351851853</v>
      </c>
      <c r="C436">
        <v>58135</v>
      </c>
      <c r="D436" t="s">
        <v>51</v>
      </c>
      <c r="E436" t="s">
        <v>35</v>
      </c>
      <c r="F436">
        <v>7</v>
      </c>
      <c r="G436">
        <v>42.883873000000001</v>
      </c>
      <c r="H436">
        <v>-71.972915999999998</v>
      </c>
      <c r="I436">
        <v>808</v>
      </c>
      <c r="J436">
        <v>70</v>
      </c>
      <c r="K436">
        <v>0</v>
      </c>
      <c r="L436" s="1">
        <v>44784.139606481483</v>
      </c>
      <c r="M436">
        <v>7.5</v>
      </c>
      <c r="N436">
        <v>4.9000000000000004</v>
      </c>
      <c r="O436">
        <v>2.6</v>
      </c>
      <c r="P436">
        <v>42</v>
      </c>
      <c r="Q436">
        <v>0.1</v>
      </c>
      <c r="R436">
        <v>0.1</v>
      </c>
      <c r="S436">
        <v>0.1</v>
      </c>
      <c r="T436" t="s">
        <v>33</v>
      </c>
      <c r="U436">
        <v>6.2</v>
      </c>
      <c r="V436">
        <v>71</v>
      </c>
      <c r="W436">
        <v>0</v>
      </c>
      <c r="X436">
        <v>71</v>
      </c>
      <c r="Y436">
        <v>0</v>
      </c>
      <c r="Z436">
        <v>0</v>
      </c>
      <c r="AA436">
        <v>0</v>
      </c>
      <c r="AB436" t="s">
        <v>36</v>
      </c>
      <c r="AC436">
        <v>71</v>
      </c>
      <c r="AD436">
        <v>0.97</v>
      </c>
    </row>
    <row r="437" spans="1:30" x14ac:dyDescent="0.25">
      <c r="A437" s="1">
        <v>44784.139675925922</v>
      </c>
      <c r="B437" s="1">
        <v>44784.139409722222</v>
      </c>
      <c r="C437">
        <v>148555</v>
      </c>
      <c r="D437" t="s">
        <v>52</v>
      </c>
      <c r="E437" t="s">
        <v>53</v>
      </c>
      <c r="F437">
        <v>7</v>
      </c>
      <c r="G437">
        <v>42.904949999999999</v>
      </c>
      <c r="H437">
        <v>-71.386764999999997</v>
      </c>
      <c r="I437">
        <v>363</v>
      </c>
      <c r="J437">
        <v>0</v>
      </c>
      <c r="K437">
        <v>0</v>
      </c>
      <c r="L437" s="1">
        <v>44784.139606481483</v>
      </c>
      <c r="M437">
        <v>1.8</v>
      </c>
      <c r="N437">
        <v>2.2999999999999998</v>
      </c>
      <c r="O437">
        <v>0.5</v>
      </c>
      <c r="P437">
        <v>24</v>
      </c>
      <c r="Q437">
        <v>0.1</v>
      </c>
      <c r="R437">
        <v>0.1</v>
      </c>
      <c r="S437">
        <v>0.1</v>
      </c>
      <c r="T437" t="s">
        <v>33</v>
      </c>
      <c r="U437">
        <v>2.0499999999999998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 t="s">
        <v>38</v>
      </c>
    </row>
    <row r="438" spans="1:30" x14ac:dyDescent="0.25">
      <c r="A438" s="1">
        <v>44784.139722222222</v>
      </c>
      <c r="B438" s="1">
        <v>44784.13894675926</v>
      </c>
      <c r="C438">
        <v>146644</v>
      </c>
      <c r="D438" t="s">
        <v>54</v>
      </c>
      <c r="E438" t="s">
        <v>53</v>
      </c>
      <c r="F438">
        <v>7</v>
      </c>
      <c r="G438">
        <v>43.06015</v>
      </c>
      <c r="H438">
        <v>-70.758930000000007</v>
      </c>
      <c r="I438">
        <v>35</v>
      </c>
      <c r="J438">
        <v>69</v>
      </c>
      <c r="K438">
        <v>71</v>
      </c>
      <c r="L438" s="1">
        <v>44784.139606481483</v>
      </c>
      <c r="M438">
        <v>7.5</v>
      </c>
      <c r="N438">
        <v>6.2</v>
      </c>
      <c r="O438">
        <v>1.3</v>
      </c>
      <c r="P438">
        <v>19</v>
      </c>
      <c r="Q438">
        <v>0.4</v>
      </c>
      <c r="R438">
        <v>0.4</v>
      </c>
      <c r="S438">
        <v>0.4</v>
      </c>
      <c r="T438" t="s">
        <v>33</v>
      </c>
      <c r="U438">
        <v>6.85</v>
      </c>
      <c r="V438">
        <v>68</v>
      </c>
      <c r="W438">
        <v>72</v>
      </c>
      <c r="X438">
        <v>4</v>
      </c>
      <c r="Y438">
        <v>1</v>
      </c>
      <c r="Z438">
        <v>0</v>
      </c>
      <c r="AA438">
        <v>1</v>
      </c>
      <c r="AB438" t="s">
        <v>33</v>
      </c>
      <c r="AC438">
        <v>70</v>
      </c>
      <c r="AD438">
        <v>1.44</v>
      </c>
    </row>
    <row r="439" spans="1:30" x14ac:dyDescent="0.25">
      <c r="A439" s="1">
        <v>44784.139722222222</v>
      </c>
      <c r="B439" s="1">
        <v>43755.283437500002</v>
      </c>
      <c r="C439">
        <v>12188</v>
      </c>
      <c r="D439" t="s">
        <v>55</v>
      </c>
      <c r="E439" t="s">
        <v>35</v>
      </c>
      <c r="F439">
        <v>4.1100000000000003</v>
      </c>
      <c r="G439">
        <v>42.927050000000001</v>
      </c>
      <c r="H439">
        <v>-72.279610000000005</v>
      </c>
      <c r="I439">
        <v>475</v>
      </c>
      <c r="J439">
        <v>95</v>
      </c>
      <c r="K439">
        <v>0</v>
      </c>
      <c r="L439" s="1">
        <v>44784.139606481483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 t="s">
        <v>32</v>
      </c>
      <c r="V439">
        <v>77</v>
      </c>
      <c r="W439">
        <v>0</v>
      </c>
      <c r="X439">
        <v>77</v>
      </c>
      <c r="Y439">
        <v>0</v>
      </c>
      <c r="Z439">
        <v>0</v>
      </c>
      <c r="AA439">
        <v>0</v>
      </c>
      <c r="AB439" t="s">
        <v>36</v>
      </c>
      <c r="AC439">
        <v>77</v>
      </c>
    </row>
    <row r="440" spans="1:30" x14ac:dyDescent="0.25">
      <c r="A440" s="1">
        <v>44784.139733796299</v>
      </c>
      <c r="B440" s="1">
        <v>44784.13925925926</v>
      </c>
      <c r="C440">
        <v>1224</v>
      </c>
      <c r="D440" t="s">
        <v>56</v>
      </c>
      <c r="E440" t="s">
        <v>35</v>
      </c>
      <c r="F440" t="s">
        <v>57</v>
      </c>
      <c r="G440">
        <v>42.938034000000002</v>
      </c>
      <c r="H440">
        <v>-72.259299999999996</v>
      </c>
      <c r="I440">
        <v>792</v>
      </c>
      <c r="J440">
        <v>75</v>
      </c>
      <c r="K440">
        <v>0</v>
      </c>
      <c r="L440" s="1">
        <v>44784.139606481483</v>
      </c>
      <c r="M440">
        <v>2.9</v>
      </c>
      <c r="N440">
        <v>0</v>
      </c>
      <c r="O440">
        <v>2.9</v>
      </c>
      <c r="P440">
        <v>200</v>
      </c>
      <c r="Q440">
        <v>0.2</v>
      </c>
      <c r="R440">
        <v>0.1</v>
      </c>
      <c r="S440">
        <v>0.15</v>
      </c>
      <c r="T440" t="s">
        <v>43</v>
      </c>
      <c r="V440">
        <v>84</v>
      </c>
      <c r="W440">
        <v>0</v>
      </c>
      <c r="X440">
        <v>84</v>
      </c>
      <c r="Y440">
        <v>1</v>
      </c>
      <c r="Z440">
        <v>0</v>
      </c>
      <c r="AA440">
        <v>1</v>
      </c>
      <c r="AB440" t="s">
        <v>36</v>
      </c>
      <c r="AC440">
        <v>84</v>
      </c>
    </row>
    <row r="441" spans="1:30" x14ac:dyDescent="0.25">
      <c r="A441" s="1">
        <v>44784.139733796299</v>
      </c>
      <c r="B441" s="1">
        <v>44784.138703703706</v>
      </c>
      <c r="C441">
        <v>1202</v>
      </c>
      <c r="D441" t="s">
        <v>58</v>
      </c>
      <c r="E441" t="s">
        <v>35</v>
      </c>
      <c r="F441" t="s">
        <v>57</v>
      </c>
      <c r="G441">
        <v>42.936554000000001</v>
      </c>
      <c r="H441">
        <v>-72.271019999999993</v>
      </c>
      <c r="I441">
        <v>488</v>
      </c>
      <c r="J441">
        <v>0</v>
      </c>
      <c r="K441">
        <v>0</v>
      </c>
      <c r="L441" s="1">
        <v>44784.139606481483</v>
      </c>
      <c r="M441">
        <v>3.2</v>
      </c>
      <c r="N441">
        <v>3.2</v>
      </c>
      <c r="O441">
        <v>0</v>
      </c>
      <c r="P441">
        <v>0</v>
      </c>
      <c r="Q441">
        <v>0.2</v>
      </c>
      <c r="R441">
        <v>0.1</v>
      </c>
      <c r="S441">
        <v>0.15</v>
      </c>
      <c r="T441" t="s">
        <v>33</v>
      </c>
      <c r="U441">
        <v>3.2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 t="s">
        <v>38</v>
      </c>
    </row>
    <row r="442" spans="1:30" x14ac:dyDescent="0.25">
      <c r="A442" s="1">
        <v>44784.139733796299</v>
      </c>
      <c r="B442" s="1">
        <v>44612.080023148148</v>
      </c>
      <c r="C442">
        <v>25985</v>
      </c>
      <c r="D442" t="s">
        <v>59</v>
      </c>
      <c r="E442" t="s">
        <v>35</v>
      </c>
      <c r="F442">
        <v>6.01</v>
      </c>
      <c r="G442">
        <v>42.927326000000001</v>
      </c>
      <c r="H442">
        <v>-72.279979999999995</v>
      </c>
      <c r="I442">
        <v>477</v>
      </c>
      <c r="J442">
        <v>78</v>
      </c>
      <c r="K442">
        <v>0</v>
      </c>
      <c r="L442" s="1">
        <v>44784.139606481483</v>
      </c>
      <c r="M442">
        <v>1.1000000000000001</v>
      </c>
      <c r="N442">
        <v>1</v>
      </c>
      <c r="O442">
        <v>0.1</v>
      </c>
      <c r="P442">
        <v>10</v>
      </c>
      <c r="Q442">
        <v>0</v>
      </c>
      <c r="R442">
        <v>0</v>
      </c>
      <c r="S442">
        <v>0</v>
      </c>
      <c r="T442" t="s">
        <v>32</v>
      </c>
      <c r="V442">
        <v>22</v>
      </c>
      <c r="W442">
        <v>0</v>
      </c>
      <c r="X442">
        <v>22</v>
      </c>
      <c r="Y442">
        <v>0</v>
      </c>
      <c r="Z442">
        <v>0</v>
      </c>
      <c r="AA442">
        <v>0</v>
      </c>
      <c r="AB442" t="s">
        <v>36</v>
      </c>
      <c r="AC442">
        <v>22</v>
      </c>
    </row>
    <row r="443" spans="1:30" x14ac:dyDescent="0.25">
      <c r="A443" s="1">
        <v>44784.146562499998</v>
      </c>
      <c r="B443" s="1">
        <v>44775.701319444444</v>
      </c>
      <c r="C443">
        <v>151708</v>
      </c>
      <c r="D443" t="s">
        <v>30</v>
      </c>
      <c r="E443" t="s">
        <v>31</v>
      </c>
      <c r="F443">
        <v>7</v>
      </c>
      <c r="G443">
        <v>43.192042999999998</v>
      </c>
      <c r="H443">
        <v>-71.541579999999996</v>
      </c>
      <c r="I443">
        <v>291</v>
      </c>
      <c r="J443">
        <v>93</v>
      </c>
      <c r="K443">
        <v>94</v>
      </c>
      <c r="L443" s="1">
        <v>44784.146550925929</v>
      </c>
      <c r="M443">
        <v>7.9</v>
      </c>
      <c r="N443">
        <v>7.6</v>
      </c>
      <c r="O443">
        <v>0.3</v>
      </c>
      <c r="P443">
        <v>4</v>
      </c>
      <c r="Q443">
        <v>0</v>
      </c>
      <c r="R443">
        <v>0</v>
      </c>
      <c r="S443">
        <v>0</v>
      </c>
      <c r="T443" t="s">
        <v>32</v>
      </c>
      <c r="V443">
        <v>42</v>
      </c>
      <c r="W443">
        <v>41</v>
      </c>
      <c r="X443">
        <v>1</v>
      </c>
      <c r="Y443">
        <v>0</v>
      </c>
      <c r="Z443">
        <v>0</v>
      </c>
      <c r="AA443">
        <v>0</v>
      </c>
      <c r="AB443" t="s">
        <v>33</v>
      </c>
      <c r="AC443">
        <v>41.5</v>
      </c>
    </row>
    <row r="444" spans="1:30" x14ac:dyDescent="0.25">
      <c r="A444" s="1">
        <v>44784.146574074075</v>
      </c>
      <c r="B444" s="1">
        <v>44784.144872685189</v>
      </c>
      <c r="C444">
        <v>143456</v>
      </c>
      <c r="D444" t="s">
        <v>34</v>
      </c>
      <c r="E444" t="s">
        <v>35</v>
      </c>
      <c r="F444">
        <v>7</v>
      </c>
      <c r="G444">
        <v>43.08963</v>
      </c>
      <c r="H444">
        <v>-71.502440000000007</v>
      </c>
      <c r="I444">
        <v>619</v>
      </c>
      <c r="J444">
        <v>69</v>
      </c>
      <c r="K444">
        <v>0</v>
      </c>
      <c r="L444" s="1">
        <v>44784.146550925929</v>
      </c>
      <c r="M444">
        <v>2.8</v>
      </c>
      <c r="N444">
        <v>2.9</v>
      </c>
      <c r="O444">
        <v>0.1</v>
      </c>
      <c r="P444">
        <v>4</v>
      </c>
      <c r="Q444">
        <v>0</v>
      </c>
      <c r="R444">
        <v>0.1</v>
      </c>
      <c r="S444">
        <v>0.05</v>
      </c>
      <c r="T444" t="s">
        <v>33</v>
      </c>
      <c r="U444">
        <v>2.85</v>
      </c>
      <c r="V444">
        <v>71</v>
      </c>
      <c r="W444">
        <v>0</v>
      </c>
      <c r="X444">
        <v>71</v>
      </c>
      <c r="Y444">
        <v>0</v>
      </c>
      <c r="Z444">
        <v>0</v>
      </c>
      <c r="AA444">
        <v>0</v>
      </c>
      <c r="AB444" t="s">
        <v>36</v>
      </c>
      <c r="AC444">
        <v>71</v>
      </c>
      <c r="AD444">
        <v>-1.07</v>
      </c>
    </row>
    <row r="445" spans="1:30" x14ac:dyDescent="0.25">
      <c r="A445" s="1">
        <v>44784.146574074075</v>
      </c>
      <c r="B445" s="1">
        <v>44784.145046296297</v>
      </c>
      <c r="C445">
        <v>151702</v>
      </c>
      <c r="D445" t="s">
        <v>37</v>
      </c>
      <c r="E445" t="s">
        <v>31</v>
      </c>
      <c r="F445">
        <v>7</v>
      </c>
      <c r="G445">
        <v>43.118609999999997</v>
      </c>
      <c r="H445">
        <v>-71.61618</v>
      </c>
      <c r="I445">
        <v>885</v>
      </c>
      <c r="J445">
        <v>0</v>
      </c>
      <c r="K445">
        <v>0</v>
      </c>
      <c r="L445" s="1">
        <v>44784.146550925929</v>
      </c>
      <c r="M445">
        <v>3.8</v>
      </c>
      <c r="N445">
        <v>3.6</v>
      </c>
      <c r="O445">
        <v>0.2</v>
      </c>
      <c r="P445">
        <v>5</v>
      </c>
      <c r="Q445">
        <v>0</v>
      </c>
      <c r="R445">
        <v>0</v>
      </c>
      <c r="S445">
        <v>0</v>
      </c>
      <c r="T445" t="s">
        <v>33</v>
      </c>
      <c r="U445">
        <v>3.7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 t="s">
        <v>38</v>
      </c>
    </row>
    <row r="446" spans="1:30" x14ac:dyDescent="0.25">
      <c r="A446" s="1">
        <v>44784.146574074075</v>
      </c>
      <c r="B446" s="1">
        <v>44784.146331018521</v>
      </c>
      <c r="C446">
        <v>151700</v>
      </c>
      <c r="D446" t="s">
        <v>30</v>
      </c>
      <c r="E446" t="s">
        <v>31</v>
      </c>
      <c r="F446">
        <v>7</v>
      </c>
      <c r="G446">
        <v>43.19211</v>
      </c>
      <c r="H446">
        <v>-71.541460000000001</v>
      </c>
      <c r="I446">
        <v>286</v>
      </c>
      <c r="J446">
        <v>71</v>
      </c>
      <c r="K446">
        <v>0</v>
      </c>
      <c r="L446" s="1">
        <v>44784.146550925929</v>
      </c>
      <c r="M446">
        <v>2.7</v>
      </c>
      <c r="N446">
        <v>3.2</v>
      </c>
      <c r="O446">
        <v>0.5</v>
      </c>
      <c r="P446">
        <v>17</v>
      </c>
      <c r="Q446">
        <v>0</v>
      </c>
      <c r="R446">
        <v>0.1</v>
      </c>
      <c r="S446">
        <v>0.05</v>
      </c>
      <c r="T446" t="s">
        <v>33</v>
      </c>
      <c r="U446">
        <v>2.95</v>
      </c>
      <c r="V446">
        <v>66</v>
      </c>
      <c r="W446">
        <v>0</v>
      </c>
      <c r="X446">
        <v>66</v>
      </c>
      <c r="Y446">
        <v>0</v>
      </c>
      <c r="Z446">
        <v>0</v>
      </c>
      <c r="AA446">
        <v>0</v>
      </c>
      <c r="AB446" t="s">
        <v>36</v>
      </c>
      <c r="AC446">
        <v>66</v>
      </c>
      <c r="AD446">
        <v>-0.66</v>
      </c>
    </row>
    <row r="447" spans="1:30" x14ac:dyDescent="0.25">
      <c r="A447" s="1">
        <v>44784.146585648145</v>
      </c>
      <c r="B447" s="1">
        <v>44784.14534722222</v>
      </c>
      <c r="C447">
        <v>135984</v>
      </c>
      <c r="D447" t="s">
        <v>39</v>
      </c>
      <c r="E447" t="s">
        <v>31</v>
      </c>
      <c r="F447">
        <v>7</v>
      </c>
      <c r="G447">
        <v>43.565852999999997</v>
      </c>
      <c r="H447">
        <v>-71.496129999999994</v>
      </c>
      <c r="I447">
        <v>708</v>
      </c>
      <c r="J447">
        <v>68</v>
      </c>
      <c r="K447">
        <v>0</v>
      </c>
      <c r="L447" s="1">
        <v>44784.146550925929</v>
      </c>
      <c r="M447">
        <v>5</v>
      </c>
      <c r="N447">
        <v>3.9</v>
      </c>
      <c r="O447">
        <v>1.1000000000000001</v>
      </c>
      <c r="P447">
        <v>25</v>
      </c>
      <c r="Q447">
        <v>0</v>
      </c>
      <c r="R447">
        <v>0.1</v>
      </c>
      <c r="S447">
        <v>0.05</v>
      </c>
      <c r="T447" t="s">
        <v>33</v>
      </c>
      <c r="U447">
        <v>4.45</v>
      </c>
      <c r="V447">
        <v>91</v>
      </c>
      <c r="W447">
        <v>0</v>
      </c>
      <c r="X447">
        <v>91</v>
      </c>
      <c r="Y447">
        <v>0</v>
      </c>
      <c r="Z447">
        <v>0</v>
      </c>
      <c r="AA447">
        <v>0</v>
      </c>
      <c r="AB447" t="s">
        <v>36</v>
      </c>
      <c r="AC447">
        <v>91</v>
      </c>
      <c r="AD447">
        <v>-1.5</v>
      </c>
    </row>
    <row r="448" spans="1:30" x14ac:dyDescent="0.25">
      <c r="A448" s="1">
        <v>44784.146585648145</v>
      </c>
      <c r="B448" s="1">
        <v>44780.394780092596</v>
      </c>
      <c r="C448">
        <v>151712</v>
      </c>
      <c r="D448" t="s">
        <v>40</v>
      </c>
      <c r="E448" t="s">
        <v>31</v>
      </c>
      <c r="F448">
        <v>7</v>
      </c>
      <c r="G448">
        <v>43.289763999999998</v>
      </c>
      <c r="H448">
        <v>-71.564260000000004</v>
      </c>
      <c r="I448">
        <v>370</v>
      </c>
      <c r="J448">
        <v>86</v>
      </c>
      <c r="K448">
        <v>0</v>
      </c>
      <c r="L448" s="1">
        <v>44784.146550925929</v>
      </c>
      <c r="M448">
        <v>14</v>
      </c>
      <c r="N448">
        <v>13.2</v>
      </c>
      <c r="O448">
        <v>0.8</v>
      </c>
      <c r="P448">
        <v>6</v>
      </c>
      <c r="Q448">
        <v>0</v>
      </c>
      <c r="R448">
        <v>0</v>
      </c>
      <c r="S448">
        <v>0</v>
      </c>
      <c r="T448" t="s">
        <v>32</v>
      </c>
      <c r="V448">
        <v>59</v>
      </c>
      <c r="W448">
        <v>0</v>
      </c>
      <c r="X448">
        <v>59</v>
      </c>
      <c r="Y448">
        <v>0</v>
      </c>
      <c r="Z448">
        <v>0</v>
      </c>
      <c r="AA448">
        <v>0</v>
      </c>
      <c r="AB448" t="s">
        <v>36</v>
      </c>
      <c r="AC448">
        <v>59</v>
      </c>
    </row>
    <row r="449" spans="1:30" x14ac:dyDescent="0.25">
      <c r="A449" s="1">
        <v>44784.146585648145</v>
      </c>
      <c r="B449" s="1">
        <v>44784.146018518521</v>
      </c>
      <c r="C449">
        <v>151710</v>
      </c>
      <c r="D449" t="s">
        <v>41</v>
      </c>
      <c r="E449" t="s">
        <v>31</v>
      </c>
      <c r="F449">
        <v>7</v>
      </c>
      <c r="G449">
        <v>43.132477000000002</v>
      </c>
      <c r="H449">
        <v>-71.458374000000006</v>
      </c>
      <c r="I449">
        <v>230</v>
      </c>
      <c r="J449">
        <v>70</v>
      </c>
      <c r="K449">
        <v>0</v>
      </c>
      <c r="L449" s="1">
        <v>44784.146550925929</v>
      </c>
      <c r="M449">
        <v>4.9000000000000004</v>
      </c>
      <c r="N449">
        <v>3.9</v>
      </c>
      <c r="O449">
        <v>1</v>
      </c>
      <c r="P449">
        <v>23</v>
      </c>
      <c r="Q449">
        <v>0.1</v>
      </c>
      <c r="R449">
        <v>0</v>
      </c>
      <c r="S449">
        <v>0.05</v>
      </c>
      <c r="T449" t="s">
        <v>33</v>
      </c>
      <c r="U449">
        <v>4.4000000000000004</v>
      </c>
      <c r="V449">
        <v>68</v>
      </c>
      <c r="W449">
        <v>0</v>
      </c>
      <c r="X449">
        <v>68</v>
      </c>
      <c r="Y449">
        <v>1</v>
      </c>
      <c r="Z449">
        <v>0</v>
      </c>
      <c r="AA449">
        <v>1</v>
      </c>
      <c r="AB449" t="s">
        <v>36</v>
      </c>
      <c r="AC449">
        <v>68</v>
      </c>
      <c r="AD449">
        <v>0.08</v>
      </c>
    </row>
    <row r="450" spans="1:30" x14ac:dyDescent="0.25">
      <c r="A450" s="1">
        <v>44784.146585648145</v>
      </c>
      <c r="B450" s="1">
        <v>44784.14571759259</v>
      </c>
      <c r="C450">
        <v>151706</v>
      </c>
      <c r="D450" t="s">
        <v>42</v>
      </c>
      <c r="E450" t="s">
        <v>31</v>
      </c>
      <c r="F450">
        <v>7</v>
      </c>
      <c r="G450">
        <v>43.004080000000002</v>
      </c>
      <c r="H450">
        <v>-71.177040000000005</v>
      </c>
      <c r="I450">
        <v>194</v>
      </c>
      <c r="J450">
        <v>71</v>
      </c>
      <c r="K450">
        <v>0</v>
      </c>
      <c r="L450" s="1">
        <v>44784.146550925929</v>
      </c>
      <c r="M450">
        <v>2.2000000000000002</v>
      </c>
      <c r="N450">
        <v>0</v>
      </c>
      <c r="O450">
        <v>2.2000000000000002</v>
      </c>
      <c r="P450">
        <v>200</v>
      </c>
      <c r="Q450">
        <v>0.2</v>
      </c>
      <c r="R450">
        <v>0</v>
      </c>
      <c r="S450">
        <v>0.1</v>
      </c>
      <c r="T450" t="s">
        <v>43</v>
      </c>
      <c r="V450">
        <v>68</v>
      </c>
      <c r="W450">
        <v>0</v>
      </c>
      <c r="X450">
        <v>68</v>
      </c>
      <c r="Y450">
        <v>1</v>
      </c>
      <c r="Z450">
        <v>0</v>
      </c>
      <c r="AA450">
        <v>1</v>
      </c>
      <c r="AB450" t="s">
        <v>36</v>
      </c>
      <c r="AC450">
        <v>68</v>
      </c>
    </row>
    <row r="451" spans="1:30" x14ac:dyDescent="0.25">
      <c r="A451" s="1">
        <v>44784.146597222221</v>
      </c>
      <c r="B451" s="1">
        <v>44784.145405092589</v>
      </c>
      <c r="C451">
        <v>12212</v>
      </c>
      <c r="D451" t="s">
        <v>44</v>
      </c>
      <c r="E451" t="s">
        <v>35</v>
      </c>
      <c r="F451">
        <v>7</v>
      </c>
      <c r="G451">
        <v>42.930529999999997</v>
      </c>
      <c r="H451">
        <v>-72.272350000000003</v>
      </c>
      <c r="I451">
        <v>476</v>
      </c>
      <c r="J451">
        <v>76</v>
      </c>
      <c r="K451">
        <v>0</v>
      </c>
      <c r="L451" s="1">
        <v>44784.146550925929</v>
      </c>
      <c r="M451">
        <v>3.7</v>
      </c>
      <c r="N451">
        <v>3.1</v>
      </c>
      <c r="O451">
        <v>0.6</v>
      </c>
      <c r="P451">
        <v>18</v>
      </c>
      <c r="Q451">
        <v>0.1</v>
      </c>
      <c r="R451">
        <v>0.1</v>
      </c>
      <c r="S451">
        <v>0.1</v>
      </c>
      <c r="T451" t="s">
        <v>33</v>
      </c>
      <c r="U451">
        <v>3.4</v>
      </c>
      <c r="V451">
        <v>85</v>
      </c>
      <c r="W451">
        <v>0</v>
      </c>
      <c r="X451">
        <v>85</v>
      </c>
      <c r="Y451">
        <v>0</v>
      </c>
      <c r="Z451">
        <v>0</v>
      </c>
      <c r="AA451">
        <v>0</v>
      </c>
      <c r="AB451" t="s">
        <v>36</v>
      </c>
      <c r="AC451">
        <v>85</v>
      </c>
      <c r="AD451">
        <v>-1.72</v>
      </c>
    </row>
    <row r="452" spans="1:30" x14ac:dyDescent="0.25">
      <c r="A452" s="1">
        <v>44784.146597222221</v>
      </c>
      <c r="B452" s="1">
        <v>44769.376736111109</v>
      </c>
      <c r="C452">
        <v>12178</v>
      </c>
      <c r="D452" t="s">
        <v>45</v>
      </c>
      <c r="E452" t="s">
        <v>35</v>
      </c>
      <c r="F452">
        <v>7</v>
      </c>
      <c r="G452">
        <v>42.899563000000001</v>
      </c>
      <c r="H452">
        <v>-71.464650000000006</v>
      </c>
      <c r="I452">
        <v>301</v>
      </c>
      <c r="J452">
        <v>85</v>
      </c>
      <c r="K452">
        <v>0</v>
      </c>
      <c r="L452" s="1">
        <v>44784.146550925929</v>
      </c>
      <c r="M452">
        <v>3.8</v>
      </c>
      <c r="N452">
        <v>3.1</v>
      </c>
      <c r="O452">
        <v>0.7</v>
      </c>
      <c r="P452">
        <v>20</v>
      </c>
      <c r="Q452">
        <v>0</v>
      </c>
      <c r="R452">
        <v>0</v>
      </c>
      <c r="S452">
        <v>0</v>
      </c>
      <c r="T452" t="s">
        <v>32</v>
      </c>
      <c r="V452">
        <v>35</v>
      </c>
      <c r="W452">
        <v>0</v>
      </c>
      <c r="X452">
        <v>35</v>
      </c>
      <c r="Y452">
        <v>0</v>
      </c>
      <c r="Z452">
        <v>0</v>
      </c>
      <c r="AA452">
        <v>0</v>
      </c>
      <c r="AB452" t="s">
        <v>36</v>
      </c>
      <c r="AC452">
        <v>35</v>
      </c>
    </row>
    <row r="453" spans="1:30" x14ac:dyDescent="0.25">
      <c r="A453" s="1">
        <v>44784.146597222221</v>
      </c>
      <c r="B453" s="1">
        <v>44784.144768518519</v>
      </c>
      <c r="C453">
        <v>75981</v>
      </c>
      <c r="D453" t="s">
        <v>46</v>
      </c>
      <c r="E453" t="s">
        <v>35</v>
      </c>
      <c r="F453">
        <v>7</v>
      </c>
      <c r="G453">
        <v>42.97</v>
      </c>
      <c r="H453">
        <v>-71.06</v>
      </c>
      <c r="I453">
        <v>136</v>
      </c>
      <c r="J453">
        <v>75</v>
      </c>
      <c r="K453">
        <v>0</v>
      </c>
      <c r="L453" s="1">
        <v>44784.146550925929</v>
      </c>
      <c r="M453">
        <v>3.7</v>
      </c>
      <c r="N453">
        <v>3.2</v>
      </c>
      <c r="O453">
        <v>0.5</v>
      </c>
      <c r="P453">
        <v>14</v>
      </c>
      <c r="Q453">
        <v>0.1</v>
      </c>
      <c r="R453">
        <v>0.1</v>
      </c>
      <c r="S453">
        <v>0.1</v>
      </c>
      <c r="T453" t="s">
        <v>33</v>
      </c>
      <c r="U453">
        <v>3.45</v>
      </c>
      <c r="V453">
        <v>62</v>
      </c>
      <c r="W453">
        <v>0</v>
      </c>
      <c r="X453">
        <v>62</v>
      </c>
      <c r="Y453">
        <v>0</v>
      </c>
      <c r="Z453">
        <v>0</v>
      </c>
      <c r="AA453">
        <v>0</v>
      </c>
      <c r="AB453" t="s">
        <v>36</v>
      </c>
      <c r="AC453">
        <v>62</v>
      </c>
      <c r="AD453">
        <v>-0.08</v>
      </c>
    </row>
    <row r="454" spans="1:30" x14ac:dyDescent="0.25">
      <c r="A454" s="1">
        <v>44784.146597222221</v>
      </c>
      <c r="B454" s="1">
        <v>44784.145300925928</v>
      </c>
      <c r="C454">
        <v>115703</v>
      </c>
      <c r="D454" t="s">
        <v>47</v>
      </c>
      <c r="E454" t="s">
        <v>35</v>
      </c>
      <c r="F454">
        <v>7</v>
      </c>
      <c r="G454">
        <v>43.953625000000002</v>
      </c>
      <c r="H454">
        <v>-71.508859999999999</v>
      </c>
      <c r="I454">
        <v>1493</v>
      </c>
      <c r="J454">
        <v>63</v>
      </c>
      <c r="K454">
        <v>0</v>
      </c>
      <c r="L454" s="1">
        <v>44784.146550925929</v>
      </c>
      <c r="M454">
        <v>0</v>
      </c>
      <c r="N454">
        <v>300.89999999999998</v>
      </c>
      <c r="O454">
        <v>300.89999999999998</v>
      </c>
      <c r="P454">
        <v>200</v>
      </c>
      <c r="Q454">
        <v>0</v>
      </c>
      <c r="R454">
        <v>0</v>
      </c>
      <c r="S454">
        <v>0</v>
      </c>
      <c r="T454" t="s">
        <v>48</v>
      </c>
      <c r="V454">
        <v>68</v>
      </c>
      <c r="W454">
        <v>0</v>
      </c>
      <c r="X454">
        <v>68</v>
      </c>
      <c r="Y454">
        <v>0</v>
      </c>
      <c r="Z454">
        <v>0</v>
      </c>
      <c r="AA454">
        <v>0</v>
      </c>
      <c r="AB454" t="s">
        <v>36</v>
      </c>
      <c r="AC454">
        <v>68</v>
      </c>
    </row>
    <row r="455" spans="1:30" x14ac:dyDescent="0.25">
      <c r="A455" s="1">
        <v>44784.146608796298</v>
      </c>
      <c r="B455" s="1">
        <v>44784.14471064815</v>
      </c>
      <c r="C455">
        <v>12050</v>
      </c>
      <c r="D455" t="s">
        <v>49</v>
      </c>
      <c r="E455" t="s">
        <v>35</v>
      </c>
      <c r="F455">
        <v>7</v>
      </c>
      <c r="G455">
        <v>44.220573000000002</v>
      </c>
      <c r="H455">
        <v>-71.732315</v>
      </c>
      <c r="I455">
        <v>999</v>
      </c>
      <c r="J455">
        <v>69</v>
      </c>
      <c r="K455">
        <v>0</v>
      </c>
      <c r="L455" s="1">
        <v>44784.146550925929</v>
      </c>
      <c r="M455">
        <v>2.8</v>
      </c>
      <c r="N455">
        <v>2.9</v>
      </c>
      <c r="O455">
        <v>0.1</v>
      </c>
      <c r="P455">
        <v>4</v>
      </c>
      <c r="Q455">
        <v>0.1</v>
      </c>
      <c r="R455">
        <v>0</v>
      </c>
      <c r="S455">
        <v>0.05</v>
      </c>
      <c r="T455" t="s">
        <v>33</v>
      </c>
      <c r="U455">
        <v>2.85</v>
      </c>
      <c r="V455">
        <v>58</v>
      </c>
      <c r="W455">
        <v>0</v>
      </c>
      <c r="X455">
        <v>58</v>
      </c>
      <c r="Y455">
        <v>0</v>
      </c>
      <c r="Z455">
        <v>0</v>
      </c>
      <c r="AA455">
        <v>0</v>
      </c>
      <c r="AB455" t="s">
        <v>36</v>
      </c>
      <c r="AC455">
        <v>58</v>
      </c>
      <c r="AD455">
        <v>-0.16</v>
      </c>
    </row>
    <row r="456" spans="1:30" x14ac:dyDescent="0.25">
      <c r="A456" s="1">
        <v>44784.146608796298</v>
      </c>
      <c r="B456" s="1">
        <v>44784.146203703705</v>
      </c>
      <c r="C456">
        <v>23443</v>
      </c>
      <c r="D456" t="s">
        <v>50</v>
      </c>
      <c r="E456" t="s">
        <v>35</v>
      </c>
      <c r="F456">
        <v>7</v>
      </c>
      <c r="G456">
        <v>43.556139999999999</v>
      </c>
      <c r="H456">
        <v>-72.370990000000006</v>
      </c>
      <c r="I456">
        <v>523</v>
      </c>
      <c r="J456">
        <v>69</v>
      </c>
      <c r="K456">
        <v>0</v>
      </c>
      <c r="L456" s="1">
        <v>44784.146550925929</v>
      </c>
      <c r="M456">
        <v>3.7</v>
      </c>
      <c r="N456">
        <v>3.3</v>
      </c>
      <c r="O456">
        <v>0.4</v>
      </c>
      <c r="P456">
        <v>11</v>
      </c>
      <c r="Q456">
        <v>0.2</v>
      </c>
      <c r="R456">
        <v>0.2</v>
      </c>
      <c r="S456">
        <v>0.2</v>
      </c>
      <c r="T456" t="s">
        <v>33</v>
      </c>
      <c r="U456">
        <v>3.5</v>
      </c>
      <c r="V456">
        <v>66</v>
      </c>
      <c r="W456">
        <v>0</v>
      </c>
      <c r="X456">
        <v>66</v>
      </c>
      <c r="Y456">
        <v>0</v>
      </c>
      <c r="Z456">
        <v>0</v>
      </c>
      <c r="AA456">
        <v>0</v>
      </c>
      <c r="AB456" t="s">
        <v>36</v>
      </c>
      <c r="AC456">
        <v>66</v>
      </c>
      <c r="AD456">
        <v>-0.33</v>
      </c>
    </row>
    <row r="457" spans="1:30" x14ac:dyDescent="0.25">
      <c r="A457" s="1">
        <v>44784.146608796298</v>
      </c>
      <c r="B457" s="1">
        <v>44784.146296296298</v>
      </c>
      <c r="C457">
        <v>58135</v>
      </c>
      <c r="D457" t="s">
        <v>51</v>
      </c>
      <c r="E457" t="s">
        <v>35</v>
      </c>
      <c r="F457">
        <v>7</v>
      </c>
      <c r="G457">
        <v>42.883873000000001</v>
      </c>
      <c r="H457">
        <v>-71.972915999999998</v>
      </c>
      <c r="I457">
        <v>808</v>
      </c>
      <c r="J457">
        <v>70</v>
      </c>
      <c r="K457">
        <v>0</v>
      </c>
      <c r="L457" s="1">
        <v>44784.146550925929</v>
      </c>
      <c r="M457">
        <v>7.5</v>
      </c>
      <c r="N457">
        <v>5.0999999999999996</v>
      </c>
      <c r="O457">
        <v>2.4</v>
      </c>
      <c r="P457">
        <v>38</v>
      </c>
      <c r="Q457">
        <v>0</v>
      </c>
      <c r="R457">
        <v>0.2</v>
      </c>
      <c r="S457">
        <v>0.1</v>
      </c>
      <c r="T457" t="s">
        <v>33</v>
      </c>
      <c r="U457">
        <v>6.3</v>
      </c>
      <c r="V457">
        <v>72</v>
      </c>
      <c r="W457">
        <v>0</v>
      </c>
      <c r="X457">
        <v>72</v>
      </c>
      <c r="Y457">
        <v>1</v>
      </c>
      <c r="Z457">
        <v>0</v>
      </c>
      <c r="AA457">
        <v>1</v>
      </c>
      <c r="AB457" t="s">
        <v>36</v>
      </c>
      <c r="AC457">
        <v>72</v>
      </c>
      <c r="AD457">
        <v>0.96</v>
      </c>
    </row>
    <row r="458" spans="1:30" x14ac:dyDescent="0.25">
      <c r="A458" s="1">
        <v>44784.146608796298</v>
      </c>
      <c r="B458" s="1">
        <v>44784.146354166667</v>
      </c>
      <c r="C458">
        <v>148555</v>
      </c>
      <c r="D458" t="s">
        <v>52</v>
      </c>
      <c r="E458" t="s">
        <v>53</v>
      </c>
      <c r="F458">
        <v>7</v>
      </c>
      <c r="G458">
        <v>42.904949999999999</v>
      </c>
      <c r="H458">
        <v>-71.386764999999997</v>
      </c>
      <c r="I458">
        <v>363</v>
      </c>
      <c r="J458">
        <v>0</v>
      </c>
      <c r="K458">
        <v>0</v>
      </c>
      <c r="L458" s="1">
        <v>44784.146550925929</v>
      </c>
      <c r="M458">
        <v>1.8</v>
      </c>
      <c r="N458">
        <v>2.2999999999999998</v>
      </c>
      <c r="O458">
        <v>0.5</v>
      </c>
      <c r="P458">
        <v>24</v>
      </c>
      <c r="Q458">
        <v>0</v>
      </c>
      <c r="R458">
        <v>0</v>
      </c>
      <c r="S458">
        <v>0</v>
      </c>
      <c r="T458" t="s">
        <v>33</v>
      </c>
      <c r="U458">
        <v>2.0499999999999998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">
        <v>38</v>
      </c>
    </row>
    <row r="459" spans="1:30" x14ac:dyDescent="0.25">
      <c r="A459" s="1">
        <v>44784.146620370368</v>
      </c>
      <c r="B459" s="1">
        <v>44784.145891203705</v>
      </c>
      <c r="C459">
        <v>146644</v>
      </c>
      <c r="D459" t="s">
        <v>54</v>
      </c>
      <c r="E459" t="s">
        <v>53</v>
      </c>
      <c r="F459">
        <v>7</v>
      </c>
      <c r="G459">
        <v>43.06015</v>
      </c>
      <c r="H459">
        <v>-70.758930000000007</v>
      </c>
      <c r="I459">
        <v>35</v>
      </c>
      <c r="J459">
        <v>69</v>
      </c>
      <c r="K459">
        <v>71</v>
      </c>
      <c r="L459" s="1">
        <v>44784.146550925929</v>
      </c>
      <c r="M459">
        <v>7.3</v>
      </c>
      <c r="N459">
        <v>5.9</v>
      </c>
      <c r="O459">
        <v>1.4</v>
      </c>
      <c r="P459">
        <v>21</v>
      </c>
      <c r="Q459">
        <v>0.2</v>
      </c>
      <c r="R459">
        <v>0.3</v>
      </c>
      <c r="S459">
        <v>0.25</v>
      </c>
      <c r="T459" t="s">
        <v>33</v>
      </c>
      <c r="U459">
        <v>6.6</v>
      </c>
      <c r="V459">
        <v>68</v>
      </c>
      <c r="W459">
        <v>73</v>
      </c>
      <c r="X459">
        <v>5</v>
      </c>
      <c r="Y459">
        <v>0</v>
      </c>
      <c r="Z459">
        <v>1</v>
      </c>
      <c r="AA459">
        <v>1</v>
      </c>
      <c r="AB459" t="s">
        <v>33</v>
      </c>
      <c r="AC459">
        <v>70.5</v>
      </c>
      <c r="AD459">
        <v>1.25</v>
      </c>
    </row>
    <row r="460" spans="1:30" x14ac:dyDescent="0.25">
      <c r="A460" s="1">
        <v>44784.146620370368</v>
      </c>
      <c r="B460" s="1">
        <v>43755.283437500002</v>
      </c>
      <c r="C460">
        <v>12188</v>
      </c>
      <c r="D460" t="s">
        <v>55</v>
      </c>
      <c r="E460" t="s">
        <v>35</v>
      </c>
      <c r="F460">
        <v>4.1100000000000003</v>
      </c>
      <c r="G460">
        <v>42.927050000000001</v>
      </c>
      <c r="H460">
        <v>-72.279610000000005</v>
      </c>
      <c r="I460">
        <v>475</v>
      </c>
      <c r="J460">
        <v>95</v>
      </c>
      <c r="K460">
        <v>0</v>
      </c>
      <c r="L460" s="1">
        <v>44784.146550925929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 t="s">
        <v>32</v>
      </c>
      <c r="V460">
        <v>77</v>
      </c>
      <c r="W460">
        <v>0</v>
      </c>
      <c r="X460">
        <v>77</v>
      </c>
      <c r="Y460">
        <v>0</v>
      </c>
      <c r="Z460">
        <v>0</v>
      </c>
      <c r="AA460">
        <v>0</v>
      </c>
      <c r="AB460" t="s">
        <v>36</v>
      </c>
      <c r="AC460">
        <v>77</v>
      </c>
    </row>
    <row r="461" spans="1:30" x14ac:dyDescent="0.25">
      <c r="A461" s="1">
        <v>44784.146620370368</v>
      </c>
      <c r="B461" s="1">
        <v>44784.144814814812</v>
      </c>
      <c r="C461">
        <v>1224</v>
      </c>
      <c r="D461" t="s">
        <v>56</v>
      </c>
      <c r="E461" t="s">
        <v>35</v>
      </c>
      <c r="F461" t="s">
        <v>57</v>
      </c>
      <c r="G461">
        <v>42.938034000000002</v>
      </c>
      <c r="H461">
        <v>-72.259299999999996</v>
      </c>
      <c r="I461">
        <v>792</v>
      </c>
      <c r="J461">
        <v>75</v>
      </c>
      <c r="K461">
        <v>0</v>
      </c>
      <c r="L461" s="1">
        <v>44784.146550925929</v>
      </c>
      <c r="M461">
        <v>2.9</v>
      </c>
      <c r="N461">
        <v>0</v>
      </c>
      <c r="O461">
        <v>2.9</v>
      </c>
      <c r="P461">
        <v>200</v>
      </c>
      <c r="Q461">
        <v>0</v>
      </c>
      <c r="R461">
        <v>0</v>
      </c>
      <c r="S461">
        <v>0</v>
      </c>
      <c r="T461" t="s">
        <v>43</v>
      </c>
      <c r="V461">
        <v>84</v>
      </c>
      <c r="W461">
        <v>0</v>
      </c>
      <c r="X461">
        <v>84</v>
      </c>
      <c r="Y461">
        <v>0</v>
      </c>
      <c r="Z461">
        <v>0</v>
      </c>
      <c r="AA461">
        <v>0</v>
      </c>
      <c r="AB461" t="s">
        <v>36</v>
      </c>
      <c r="AC461">
        <v>84</v>
      </c>
    </row>
    <row r="462" spans="1:30" x14ac:dyDescent="0.25">
      <c r="A462" s="1">
        <v>44784.146620370368</v>
      </c>
      <c r="B462" s="1">
        <v>44784.145648148151</v>
      </c>
      <c r="C462">
        <v>1202</v>
      </c>
      <c r="D462" t="s">
        <v>58</v>
      </c>
      <c r="E462" t="s">
        <v>35</v>
      </c>
      <c r="F462" t="s">
        <v>57</v>
      </c>
      <c r="G462">
        <v>42.936554000000001</v>
      </c>
      <c r="H462">
        <v>-72.271019999999993</v>
      </c>
      <c r="I462">
        <v>488</v>
      </c>
      <c r="J462">
        <v>0</v>
      </c>
      <c r="K462">
        <v>0</v>
      </c>
      <c r="L462" s="1">
        <v>44784.146550925929</v>
      </c>
      <c r="M462">
        <v>3.3</v>
      </c>
      <c r="N462">
        <v>3.2</v>
      </c>
      <c r="O462">
        <v>0.1</v>
      </c>
      <c r="P462">
        <v>3</v>
      </c>
      <c r="Q462">
        <v>0.1</v>
      </c>
      <c r="R462">
        <v>0</v>
      </c>
      <c r="S462">
        <v>0.05</v>
      </c>
      <c r="T462" t="s">
        <v>33</v>
      </c>
      <c r="U462">
        <v>3.25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">
        <v>38</v>
      </c>
    </row>
    <row r="463" spans="1:30" x14ac:dyDescent="0.25">
      <c r="A463" s="1">
        <v>44784.146689814814</v>
      </c>
      <c r="B463" s="1">
        <v>44612.080023148148</v>
      </c>
      <c r="C463">
        <v>25985</v>
      </c>
      <c r="D463" t="s">
        <v>59</v>
      </c>
      <c r="E463" t="s">
        <v>35</v>
      </c>
      <c r="F463">
        <v>6.01</v>
      </c>
      <c r="G463">
        <v>42.927326000000001</v>
      </c>
      <c r="H463">
        <v>-72.279979999999995</v>
      </c>
      <c r="I463">
        <v>477</v>
      </c>
      <c r="J463">
        <v>78</v>
      </c>
      <c r="K463">
        <v>0</v>
      </c>
      <c r="L463" s="1">
        <v>44784.146550925929</v>
      </c>
      <c r="M463">
        <v>1.1000000000000001</v>
      </c>
      <c r="N463">
        <v>1</v>
      </c>
      <c r="O463">
        <v>0.1</v>
      </c>
      <c r="P463">
        <v>10</v>
      </c>
      <c r="Q463">
        <v>0</v>
      </c>
      <c r="R463">
        <v>0</v>
      </c>
      <c r="S463">
        <v>0</v>
      </c>
      <c r="T463" t="s">
        <v>32</v>
      </c>
      <c r="V463">
        <v>22</v>
      </c>
      <c r="W463">
        <v>0</v>
      </c>
      <c r="X463">
        <v>22</v>
      </c>
      <c r="Y463">
        <v>0</v>
      </c>
      <c r="Z463">
        <v>0</v>
      </c>
      <c r="AA463">
        <v>0</v>
      </c>
      <c r="AB463" t="s">
        <v>36</v>
      </c>
      <c r="AC463">
        <v>22</v>
      </c>
    </row>
    <row r="464" spans="1:30" x14ac:dyDescent="0.25">
      <c r="A464" s="1">
        <v>44784.15351851852</v>
      </c>
      <c r="B464" s="1">
        <v>44775.701319444444</v>
      </c>
      <c r="C464">
        <v>151708</v>
      </c>
      <c r="D464" t="s">
        <v>30</v>
      </c>
      <c r="E464" t="s">
        <v>31</v>
      </c>
      <c r="F464">
        <v>7</v>
      </c>
      <c r="G464">
        <v>43.192042999999998</v>
      </c>
      <c r="H464">
        <v>-71.541579999999996</v>
      </c>
      <c r="I464">
        <v>291</v>
      </c>
      <c r="J464">
        <v>93</v>
      </c>
      <c r="K464">
        <v>94</v>
      </c>
      <c r="L464" s="1">
        <v>44784.153495370374</v>
      </c>
      <c r="M464">
        <v>7.9</v>
      </c>
      <c r="N464">
        <v>7.6</v>
      </c>
      <c r="O464">
        <v>0.3</v>
      </c>
      <c r="P464">
        <v>4</v>
      </c>
      <c r="Q464">
        <v>0</v>
      </c>
      <c r="R464">
        <v>0</v>
      </c>
      <c r="S464">
        <v>0</v>
      </c>
      <c r="T464" t="s">
        <v>32</v>
      </c>
      <c r="V464">
        <v>42</v>
      </c>
      <c r="W464">
        <v>41</v>
      </c>
      <c r="X464">
        <v>1</v>
      </c>
      <c r="Y464">
        <v>0</v>
      </c>
      <c r="Z464">
        <v>0</v>
      </c>
      <c r="AA464">
        <v>0</v>
      </c>
      <c r="AB464" t="s">
        <v>33</v>
      </c>
      <c r="AC464">
        <v>41.5</v>
      </c>
    </row>
    <row r="465" spans="1:30" x14ac:dyDescent="0.25">
      <c r="A465" s="1">
        <v>44784.15351851852</v>
      </c>
      <c r="B465" s="1">
        <v>44784.151805555557</v>
      </c>
      <c r="C465">
        <v>143456</v>
      </c>
      <c r="D465" t="s">
        <v>34</v>
      </c>
      <c r="E465" t="s">
        <v>35</v>
      </c>
      <c r="F465">
        <v>7</v>
      </c>
      <c r="G465">
        <v>43.08963</v>
      </c>
      <c r="H465">
        <v>-71.502440000000007</v>
      </c>
      <c r="I465">
        <v>619</v>
      </c>
      <c r="J465">
        <v>69</v>
      </c>
      <c r="K465">
        <v>0</v>
      </c>
      <c r="L465" s="1">
        <v>44784.153495370374</v>
      </c>
      <c r="M465">
        <v>2.7</v>
      </c>
      <c r="N465">
        <v>2.9</v>
      </c>
      <c r="O465">
        <v>0.2</v>
      </c>
      <c r="P465">
        <v>7</v>
      </c>
      <c r="Q465">
        <v>0.1</v>
      </c>
      <c r="R465">
        <v>0</v>
      </c>
      <c r="S465">
        <v>0.05</v>
      </c>
      <c r="T465" t="s">
        <v>33</v>
      </c>
      <c r="U465">
        <v>2.8</v>
      </c>
      <c r="V465">
        <v>71</v>
      </c>
      <c r="W465">
        <v>0</v>
      </c>
      <c r="X465">
        <v>71</v>
      </c>
      <c r="Y465">
        <v>0</v>
      </c>
      <c r="Z465">
        <v>0</v>
      </c>
      <c r="AA465">
        <v>0</v>
      </c>
      <c r="AB465" t="s">
        <v>36</v>
      </c>
      <c r="AC465">
        <v>71</v>
      </c>
      <c r="AD465">
        <v>-1.1000000000000001</v>
      </c>
    </row>
    <row r="466" spans="1:30" x14ac:dyDescent="0.25">
      <c r="A466" s="1">
        <v>44784.15351851852</v>
      </c>
      <c r="B466" s="1">
        <v>44784.152002314811</v>
      </c>
      <c r="C466">
        <v>151702</v>
      </c>
      <c r="D466" t="s">
        <v>37</v>
      </c>
      <c r="E466" t="s">
        <v>31</v>
      </c>
      <c r="F466">
        <v>7</v>
      </c>
      <c r="G466">
        <v>43.118609999999997</v>
      </c>
      <c r="H466">
        <v>-71.61618</v>
      </c>
      <c r="I466">
        <v>885</v>
      </c>
      <c r="J466">
        <v>0</v>
      </c>
      <c r="K466">
        <v>0</v>
      </c>
      <c r="L466" s="1">
        <v>44784.153495370374</v>
      </c>
      <c r="M466">
        <v>3.8</v>
      </c>
      <c r="N466">
        <v>3.6</v>
      </c>
      <c r="O466">
        <v>0.2</v>
      </c>
      <c r="P466">
        <v>5</v>
      </c>
      <c r="Q466">
        <v>0</v>
      </c>
      <c r="R466">
        <v>0</v>
      </c>
      <c r="S466">
        <v>0</v>
      </c>
      <c r="T466" t="s">
        <v>33</v>
      </c>
      <c r="U466">
        <v>3.7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">
        <v>38</v>
      </c>
    </row>
    <row r="467" spans="1:30" x14ac:dyDescent="0.25">
      <c r="A467" s="1">
        <v>44784.15351851852</v>
      </c>
      <c r="B467" s="1">
        <v>44784.151886574073</v>
      </c>
      <c r="C467">
        <v>151700</v>
      </c>
      <c r="D467" t="s">
        <v>30</v>
      </c>
      <c r="E467" t="s">
        <v>31</v>
      </c>
      <c r="F467">
        <v>7</v>
      </c>
      <c r="G467">
        <v>43.19211</v>
      </c>
      <c r="H467">
        <v>-71.541460000000001</v>
      </c>
      <c r="I467">
        <v>286</v>
      </c>
      <c r="J467">
        <v>71</v>
      </c>
      <c r="K467">
        <v>0</v>
      </c>
      <c r="L467" s="1">
        <v>44784.153495370374</v>
      </c>
      <c r="M467">
        <v>2.7</v>
      </c>
      <c r="N467">
        <v>3.1</v>
      </c>
      <c r="O467">
        <v>0.4</v>
      </c>
      <c r="P467">
        <v>14</v>
      </c>
      <c r="Q467">
        <v>0</v>
      </c>
      <c r="R467">
        <v>0.1</v>
      </c>
      <c r="S467">
        <v>0.05</v>
      </c>
      <c r="T467" t="s">
        <v>33</v>
      </c>
      <c r="U467">
        <v>2.9</v>
      </c>
      <c r="V467">
        <v>67</v>
      </c>
      <c r="W467">
        <v>0</v>
      </c>
      <c r="X467">
        <v>67</v>
      </c>
      <c r="Y467">
        <v>1</v>
      </c>
      <c r="Z467">
        <v>0</v>
      </c>
      <c r="AA467">
        <v>1</v>
      </c>
      <c r="AB467" t="s">
        <v>36</v>
      </c>
      <c r="AC467">
        <v>67</v>
      </c>
      <c r="AD467">
        <v>-0.76</v>
      </c>
    </row>
    <row r="468" spans="1:30" x14ac:dyDescent="0.25">
      <c r="A468" s="1">
        <v>44784.15353009259</v>
      </c>
      <c r="B468" s="1">
        <v>44784.152291666665</v>
      </c>
      <c r="C468">
        <v>135984</v>
      </c>
      <c r="D468" t="s">
        <v>39</v>
      </c>
      <c r="E468" t="s">
        <v>31</v>
      </c>
      <c r="F468">
        <v>7</v>
      </c>
      <c r="G468">
        <v>43.565852999999997</v>
      </c>
      <c r="H468">
        <v>-71.496129999999994</v>
      </c>
      <c r="I468">
        <v>708</v>
      </c>
      <c r="J468">
        <v>68</v>
      </c>
      <c r="K468">
        <v>0</v>
      </c>
      <c r="L468" s="1">
        <v>44784.153495370374</v>
      </c>
      <c r="M468">
        <v>4.9000000000000004</v>
      </c>
      <c r="N468">
        <v>4</v>
      </c>
      <c r="O468">
        <v>0.9</v>
      </c>
      <c r="P468">
        <v>20</v>
      </c>
      <c r="Q468">
        <v>0.1</v>
      </c>
      <c r="R468">
        <v>0.1</v>
      </c>
      <c r="S468">
        <v>0.1</v>
      </c>
      <c r="T468" t="s">
        <v>33</v>
      </c>
      <c r="U468">
        <v>4.45</v>
      </c>
      <c r="V468">
        <v>91</v>
      </c>
      <c r="W468">
        <v>0</v>
      </c>
      <c r="X468">
        <v>91</v>
      </c>
      <c r="Y468">
        <v>0</v>
      </c>
      <c r="Z468">
        <v>0</v>
      </c>
      <c r="AA468">
        <v>0</v>
      </c>
      <c r="AB468" t="s">
        <v>36</v>
      </c>
      <c r="AC468">
        <v>91</v>
      </c>
      <c r="AD468">
        <v>-1.5</v>
      </c>
    </row>
    <row r="469" spans="1:30" x14ac:dyDescent="0.25">
      <c r="A469" s="1">
        <v>44784.15353009259</v>
      </c>
      <c r="B469" s="1">
        <v>44780.394780092596</v>
      </c>
      <c r="C469">
        <v>151712</v>
      </c>
      <c r="D469" t="s">
        <v>40</v>
      </c>
      <c r="E469" t="s">
        <v>31</v>
      </c>
      <c r="F469">
        <v>7</v>
      </c>
      <c r="G469">
        <v>43.289763999999998</v>
      </c>
      <c r="H469">
        <v>-71.564260000000004</v>
      </c>
      <c r="I469">
        <v>370</v>
      </c>
      <c r="J469">
        <v>86</v>
      </c>
      <c r="K469">
        <v>0</v>
      </c>
      <c r="L469" s="1">
        <v>44784.153495370374</v>
      </c>
      <c r="M469">
        <v>14</v>
      </c>
      <c r="N469">
        <v>13.2</v>
      </c>
      <c r="O469">
        <v>0.8</v>
      </c>
      <c r="P469">
        <v>6</v>
      </c>
      <c r="Q469">
        <v>0</v>
      </c>
      <c r="R469">
        <v>0</v>
      </c>
      <c r="S469">
        <v>0</v>
      </c>
      <c r="T469" t="s">
        <v>32</v>
      </c>
      <c r="V469">
        <v>59</v>
      </c>
      <c r="W469">
        <v>0</v>
      </c>
      <c r="X469">
        <v>59</v>
      </c>
      <c r="Y469">
        <v>0</v>
      </c>
      <c r="Z469">
        <v>0</v>
      </c>
      <c r="AA469">
        <v>0</v>
      </c>
      <c r="AB469" t="s">
        <v>36</v>
      </c>
      <c r="AC469">
        <v>59</v>
      </c>
    </row>
    <row r="470" spans="1:30" x14ac:dyDescent="0.25">
      <c r="A470" s="1">
        <v>44784.15353009259</v>
      </c>
      <c r="B470" s="1">
        <v>44784.151574074072</v>
      </c>
      <c r="C470">
        <v>151710</v>
      </c>
      <c r="D470" t="s">
        <v>41</v>
      </c>
      <c r="E470" t="s">
        <v>31</v>
      </c>
      <c r="F470">
        <v>7</v>
      </c>
      <c r="G470">
        <v>43.132477000000002</v>
      </c>
      <c r="H470">
        <v>-71.458374000000006</v>
      </c>
      <c r="I470">
        <v>230</v>
      </c>
      <c r="J470">
        <v>69</v>
      </c>
      <c r="K470">
        <v>0</v>
      </c>
      <c r="L470" s="1">
        <v>44784.153495370374</v>
      </c>
      <c r="M470">
        <v>4.9000000000000004</v>
      </c>
      <c r="N470">
        <v>4</v>
      </c>
      <c r="O470">
        <v>0.9</v>
      </c>
      <c r="P470">
        <v>20</v>
      </c>
      <c r="Q470">
        <v>0</v>
      </c>
      <c r="R470">
        <v>0.1</v>
      </c>
      <c r="S470">
        <v>0.05</v>
      </c>
      <c r="T470" t="s">
        <v>33</v>
      </c>
      <c r="U470">
        <v>4.45</v>
      </c>
      <c r="V470">
        <v>69</v>
      </c>
      <c r="W470">
        <v>0</v>
      </c>
      <c r="X470">
        <v>69</v>
      </c>
      <c r="Y470">
        <v>1</v>
      </c>
      <c r="Z470">
        <v>0</v>
      </c>
      <c r="AA470">
        <v>1</v>
      </c>
      <c r="AB470" t="s">
        <v>36</v>
      </c>
      <c r="AC470">
        <v>69</v>
      </c>
      <c r="AD470">
        <v>0.04</v>
      </c>
    </row>
    <row r="471" spans="1:30" x14ac:dyDescent="0.25">
      <c r="A471" s="1">
        <v>44784.153541666667</v>
      </c>
      <c r="B471" s="1">
        <v>44784.152662037035</v>
      </c>
      <c r="C471">
        <v>151706</v>
      </c>
      <c r="D471" t="s">
        <v>42</v>
      </c>
      <c r="E471" t="s">
        <v>31</v>
      </c>
      <c r="F471">
        <v>7</v>
      </c>
      <c r="G471">
        <v>43.004080000000002</v>
      </c>
      <c r="H471">
        <v>-71.177040000000005</v>
      </c>
      <c r="I471">
        <v>194</v>
      </c>
      <c r="J471">
        <v>70</v>
      </c>
      <c r="K471">
        <v>0</v>
      </c>
      <c r="L471" s="1">
        <v>44784.153495370374</v>
      </c>
      <c r="M471">
        <v>2.2999999999999998</v>
      </c>
      <c r="N471">
        <v>0</v>
      </c>
      <c r="O471">
        <v>2.2999999999999998</v>
      </c>
      <c r="P471">
        <v>200</v>
      </c>
      <c r="Q471">
        <v>0.1</v>
      </c>
      <c r="R471">
        <v>0</v>
      </c>
      <c r="S471">
        <v>0.05</v>
      </c>
      <c r="T471" t="s">
        <v>43</v>
      </c>
      <c r="V471">
        <v>68</v>
      </c>
      <c r="W471">
        <v>0</v>
      </c>
      <c r="X471">
        <v>68</v>
      </c>
      <c r="Y471">
        <v>0</v>
      </c>
      <c r="Z471">
        <v>0</v>
      </c>
      <c r="AA471">
        <v>0</v>
      </c>
      <c r="AB471" t="s">
        <v>36</v>
      </c>
      <c r="AC471">
        <v>68</v>
      </c>
    </row>
    <row r="472" spans="1:30" x14ac:dyDescent="0.25">
      <c r="A472" s="1">
        <v>44784.153541666667</v>
      </c>
      <c r="B472" s="1">
        <v>44784.152361111112</v>
      </c>
      <c r="C472">
        <v>12212</v>
      </c>
      <c r="D472" t="s">
        <v>44</v>
      </c>
      <c r="E472" t="s">
        <v>35</v>
      </c>
      <c r="F472">
        <v>7</v>
      </c>
      <c r="G472">
        <v>42.930529999999997</v>
      </c>
      <c r="H472">
        <v>-72.272350000000003</v>
      </c>
      <c r="I472">
        <v>476</v>
      </c>
      <c r="J472">
        <v>76</v>
      </c>
      <c r="K472">
        <v>0</v>
      </c>
      <c r="L472" s="1">
        <v>44784.153495370374</v>
      </c>
      <c r="M472">
        <v>3.8</v>
      </c>
      <c r="N472">
        <v>3.2</v>
      </c>
      <c r="O472">
        <v>0.6</v>
      </c>
      <c r="P472">
        <v>17</v>
      </c>
      <c r="Q472">
        <v>0.1</v>
      </c>
      <c r="R472">
        <v>0.1</v>
      </c>
      <c r="S472">
        <v>0.1</v>
      </c>
      <c r="T472" t="s">
        <v>33</v>
      </c>
      <c r="U472">
        <v>3.5</v>
      </c>
      <c r="V472">
        <v>87</v>
      </c>
      <c r="W472">
        <v>0</v>
      </c>
      <c r="X472">
        <v>87</v>
      </c>
      <c r="Y472">
        <v>2</v>
      </c>
      <c r="Z472">
        <v>0</v>
      </c>
      <c r="AA472">
        <v>2</v>
      </c>
      <c r="AB472" t="s">
        <v>36</v>
      </c>
      <c r="AC472">
        <v>87</v>
      </c>
      <c r="AD472">
        <v>-1.8</v>
      </c>
    </row>
    <row r="473" spans="1:30" x14ac:dyDescent="0.25">
      <c r="A473" s="1">
        <v>44784.153541666667</v>
      </c>
      <c r="B473" s="1">
        <v>44769.376736111109</v>
      </c>
      <c r="C473">
        <v>12178</v>
      </c>
      <c r="D473" t="s">
        <v>45</v>
      </c>
      <c r="E473" t="s">
        <v>35</v>
      </c>
      <c r="F473">
        <v>7</v>
      </c>
      <c r="G473">
        <v>42.899563000000001</v>
      </c>
      <c r="H473">
        <v>-71.464650000000006</v>
      </c>
      <c r="I473">
        <v>301</v>
      </c>
      <c r="J473">
        <v>85</v>
      </c>
      <c r="K473">
        <v>0</v>
      </c>
      <c r="L473" s="1">
        <v>44784.153495370374</v>
      </c>
      <c r="M473">
        <v>3.8</v>
      </c>
      <c r="N473">
        <v>3.1</v>
      </c>
      <c r="O473">
        <v>0.7</v>
      </c>
      <c r="P473">
        <v>20</v>
      </c>
      <c r="Q473">
        <v>0</v>
      </c>
      <c r="R473">
        <v>0</v>
      </c>
      <c r="S473">
        <v>0</v>
      </c>
      <c r="T473" t="s">
        <v>32</v>
      </c>
      <c r="V473">
        <v>35</v>
      </c>
      <c r="W473">
        <v>0</v>
      </c>
      <c r="X473">
        <v>35</v>
      </c>
      <c r="Y473">
        <v>0</v>
      </c>
      <c r="Z473">
        <v>0</v>
      </c>
      <c r="AA473">
        <v>0</v>
      </c>
      <c r="AB473" t="s">
        <v>36</v>
      </c>
      <c r="AC473">
        <v>35</v>
      </c>
    </row>
    <row r="474" spans="1:30" x14ac:dyDescent="0.25">
      <c r="A474" s="1">
        <v>44784.153541666667</v>
      </c>
      <c r="B474" s="1">
        <v>44784.151712962965</v>
      </c>
      <c r="C474">
        <v>75981</v>
      </c>
      <c r="D474" t="s">
        <v>46</v>
      </c>
      <c r="E474" t="s">
        <v>35</v>
      </c>
      <c r="F474">
        <v>7</v>
      </c>
      <c r="G474">
        <v>42.97</v>
      </c>
      <c r="H474">
        <v>-71.06</v>
      </c>
      <c r="I474">
        <v>136</v>
      </c>
      <c r="J474">
        <v>75</v>
      </c>
      <c r="K474">
        <v>0</v>
      </c>
      <c r="L474" s="1">
        <v>44784.153495370374</v>
      </c>
      <c r="M474">
        <v>3.5</v>
      </c>
      <c r="N474">
        <v>3.3</v>
      </c>
      <c r="O474">
        <v>0.2</v>
      </c>
      <c r="P474">
        <v>6</v>
      </c>
      <c r="Q474">
        <v>0.2</v>
      </c>
      <c r="R474">
        <v>0.1</v>
      </c>
      <c r="S474">
        <v>0.15</v>
      </c>
      <c r="T474" t="s">
        <v>33</v>
      </c>
      <c r="U474">
        <v>3.4</v>
      </c>
      <c r="V474">
        <v>62</v>
      </c>
      <c r="W474">
        <v>0</v>
      </c>
      <c r="X474">
        <v>62</v>
      </c>
      <c r="Y474">
        <v>0</v>
      </c>
      <c r="Z474">
        <v>0</v>
      </c>
      <c r="AA474">
        <v>0</v>
      </c>
      <c r="AB474" t="s">
        <v>36</v>
      </c>
      <c r="AC474">
        <v>62</v>
      </c>
      <c r="AD474">
        <v>-0.11</v>
      </c>
    </row>
    <row r="475" spans="1:30" x14ac:dyDescent="0.25">
      <c r="A475" s="1">
        <v>44784.153553240743</v>
      </c>
      <c r="B475" s="1">
        <v>44784.152245370373</v>
      </c>
      <c r="C475">
        <v>115703</v>
      </c>
      <c r="D475" t="s">
        <v>47</v>
      </c>
      <c r="E475" t="s">
        <v>35</v>
      </c>
      <c r="F475">
        <v>7</v>
      </c>
      <c r="G475">
        <v>43.953625000000002</v>
      </c>
      <c r="H475">
        <v>-71.508859999999999</v>
      </c>
      <c r="I475">
        <v>1493</v>
      </c>
      <c r="J475">
        <v>63</v>
      </c>
      <c r="K475">
        <v>0</v>
      </c>
      <c r="L475" s="1">
        <v>44784.153495370374</v>
      </c>
      <c r="M475">
        <v>0</v>
      </c>
      <c r="N475">
        <v>300.89999999999998</v>
      </c>
      <c r="O475">
        <v>300.89999999999998</v>
      </c>
      <c r="P475">
        <v>200</v>
      </c>
      <c r="Q475">
        <v>0</v>
      </c>
      <c r="R475">
        <v>0</v>
      </c>
      <c r="S475">
        <v>0</v>
      </c>
      <c r="T475" t="s">
        <v>48</v>
      </c>
      <c r="V475">
        <v>68</v>
      </c>
      <c r="W475">
        <v>0</v>
      </c>
      <c r="X475">
        <v>68</v>
      </c>
      <c r="Y475">
        <v>0</v>
      </c>
      <c r="Z475">
        <v>0</v>
      </c>
      <c r="AA475">
        <v>0</v>
      </c>
      <c r="AB475" t="s">
        <v>36</v>
      </c>
      <c r="AC475">
        <v>68</v>
      </c>
    </row>
    <row r="476" spans="1:30" x14ac:dyDescent="0.25">
      <c r="A476" s="1">
        <v>44784.153553240743</v>
      </c>
      <c r="B476" s="1">
        <v>44784.151655092595</v>
      </c>
      <c r="C476">
        <v>12050</v>
      </c>
      <c r="D476" t="s">
        <v>49</v>
      </c>
      <c r="E476" t="s">
        <v>35</v>
      </c>
      <c r="F476">
        <v>7</v>
      </c>
      <c r="G476">
        <v>44.220573000000002</v>
      </c>
      <c r="H476">
        <v>-71.732315</v>
      </c>
      <c r="I476">
        <v>999</v>
      </c>
      <c r="J476">
        <v>69</v>
      </c>
      <c r="K476">
        <v>0</v>
      </c>
      <c r="L476" s="1">
        <v>44784.153495370374</v>
      </c>
      <c r="M476">
        <v>2.8</v>
      </c>
      <c r="N476">
        <v>2.9</v>
      </c>
      <c r="O476">
        <v>0.1</v>
      </c>
      <c r="P476">
        <v>4</v>
      </c>
      <c r="Q476">
        <v>0</v>
      </c>
      <c r="R476">
        <v>0</v>
      </c>
      <c r="S476">
        <v>0</v>
      </c>
      <c r="T476" t="s">
        <v>33</v>
      </c>
      <c r="U476">
        <v>2.85</v>
      </c>
      <c r="V476">
        <v>58</v>
      </c>
      <c r="W476">
        <v>0</v>
      </c>
      <c r="X476">
        <v>58</v>
      </c>
      <c r="Y476">
        <v>0</v>
      </c>
      <c r="Z476">
        <v>0</v>
      </c>
      <c r="AA476">
        <v>0</v>
      </c>
      <c r="AB476" t="s">
        <v>36</v>
      </c>
      <c r="AC476">
        <v>58</v>
      </c>
      <c r="AD476">
        <v>-0.16</v>
      </c>
    </row>
    <row r="477" spans="1:30" x14ac:dyDescent="0.25">
      <c r="A477" s="1">
        <v>44784.153553240743</v>
      </c>
      <c r="B477" s="1">
        <v>44784.151759259257</v>
      </c>
      <c r="C477">
        <v>23443</v>
      </c>
      <c r="D477" t="s">
        <v>50</v>
      </c>
      <c r="E477" t="s">
        <v>35</v>
      </c>
      <c r="F477">
        <v>7</v>
      </c>
      <c r="G477">
        <v>43.556139999999999</v>
      </c>
      <c r="H477">
        <v>-72.370990000000006</v>
      </c>
      <c r="I477">
        <v>523</v>
      </c>
      <c r="J477">
        <v>69</v>
      </c>
      <c r="K477">
        <v>0</v>
      </c>
      <c r="L477" s="1">
        <v>44784.153495370374</v>
      </c>
      <c r="M477">
        <v>3.7</v>
      </c>
      <c r="N477">
        <v>3.2</v>
      </c>
      <c r="O477">
        <v>0.5</v>
      </c>
      <c r="P477">
        <v>14</v>
      </c>
      <c r="Q477">
        <v>0</v>
      </c>
      <c r="R477">
        <v>0.1</v>
      </c>
      <c r="S477">
        <v>0.05</v>
      </c>
      <c r="T477" t="s">
        <v>33</v>
      </c>
      <c r="U477">
        <v>3.45</v>
      </c>
      <c r="V477">
        <v>66</v>
      </c>
      <c r="W477">
        <v>0</v>
      </c>
      <c r="X477">
        <v>66</v>
      </c>
      <c r="Y477">
        <v>0</v>
      </c>
      <c r="Z477">
        <v>0</v>
      </c>
      <c r="AA477">
        <v>0</v>
      </c>
      <c r="AB477" t="s">
        <v>36</v>
      </c>
      <c r="AC477">
        <v>66</v>
      </c>
      <c r="AD477">
        <v>-0.36</v>
      </c>
    </row>
    <row r="478" spans="1:30" x14ac:dyDescent="0.25">
      <c r="A478" s="1">
        <v>44784.153553240743</v>
      </c>
      <c r="B478" s="1">
        <v>44784.15185185185</v>
      </c>
      <c r="C478">
        <v>58135</v>
      </c>
      <c r="D478" t="s">
        <v>51</v>
      </c>
      <c r="E478" t="s">
        <v>35</v>
      </c>
      <c r="F478">
        <v>7</v>
      </c>
      <c r="G478">
        <v>42.883873000000001</v>
      </c>
      <c r="H478">
        <v>-71.972915999999998</v>
      </c>
      <c r="I478">
        <v>808</v>
      </c>
      <c r="J478">
        <v>70</v>
      </c>
      <c r="K478">
        <v>0</v>
      </c>
      <c r="L478" s="1">
        <v>44784.153495370374</v>
      </c>
      <c r="M478">
        <v>7.5</v>
      </c>
      <c r="N478">
        <v>5.2</v>
      </c>
      <c r="O478">
        <v>2.2999999999999998</v>
      </c>
      <c r="P478">
        <v>36</v>
      </c>
      <c r="Q478">
        <v>0</v>
      </c>
      <c r="R478">
        <v>0.1</v>
      </c>
      <c r="S478">
        <v>0.05</v>
      </c>
      <c r="T478" t="s">
        <v>33</v>
      </c>
      <c r="U478">
        <v>6.35</v>
      </c>
      <c r="V478">
        <v>73</v>
      </c>
      <c r="W478">
        <v>0</v>
      </c>
      <c r="X478">
        <v>73</v>
      </c>
      <c r="Y478">
        <v>1</v>
      </c>
      <c r="Z478">
        <v>0</v>
      </c>
      <c r="AA478">
        <v>1</v>
      </c>
      <c r="AB478" t="s">
        <v>36</v>
      </c>
      <c r="AC478">
        <v>73</v>
      </c>
      <c r="AD478">
        <v>0.92</v>
      </c>
    </row>
    <row r="479" spans="1:30" x14ac:dyDescent="0.25">
      <c r="A479" s="1">
        <v>44784.153564814813</v>
      </c>
      <c r="B479" s="1">
        <v>44784.151909722219</v>
      </c>
      <c r="C479">
        <v>148555</v>
      </c>
      <c r="D479" t="s">
        <v>52</v>
      </c>
      <c r="E479" t="s">
        <v>53</v>
      </c>
      <c r="F479">
        <v>7</v>
      </c>
      <c r="G479">
        <v>42.904949999999999</v>
      </c>
      <c r="H479">
        <v>-71.386764999999997</v>
      </c>
      <c r="I479">
        <v>363</v>
      </c>
      <c r="J479">
        <v>0</v>
      </c>
      <c r="K479">
        <v>0</v>
      </c>
      <c r="L479" s="1">
        <v>44784.153495370374</v>
      </c>
      <c r="M479">
        <v>1.8</v>
      </c>
      <c r="N479">
        <v>2.4</v>
      </c>
      <c r="O479">
        <v>0.6</v>
      </c>
      <c r="P479">
        <v>29</v>
      </c>
      <c r="Q479">
        <v>0</v>
      </c>
      <c r="R479">
        <v>0.1</v>
      </c>
      <c r="S479">
        <v>0.05</v>
      </c>
      <c r="T479" t="s">
        <v>33</v>
      </c>
      <c r="U479">
        <v>2.1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 t="s">
        <v>38</v>
      </c>
    </row>
    <row r="480" spans="1:30" x14ac:dyDescent="0.25">
      <c r="A480" s="1">
        <v>44784.153564814813</v>
      </c>
      <c r="B480" s="1">
        <v>44784.15283564815</v>
      </c>
      <c r="C480">
        <v>146644</v>
      </c>
      <c r="D480" t="s">
        <v>54</v>
      </c>
      <c r="E480" t="s">
        <v>53</v>
      </c>
      <c r="F480">
        <v>7</v>
      </c>
      <c r="G480">
        <v>43.06015</v>
      </c>
      <c r="H480">
        <v>-70.758930000000007</v>
      </c>
      <c r="I480">
        <v>35</v>
      </c>
      <c r="J480">
        <v>69</v>
      </c>
      <c r="K480">
        <v>71</v>
      </c>
      <c r="L480" s="1">
        <v>44784.153495370374</v>
      </c>
      <c r="M480">
        <v>7</v>
      </c>
      <c r="N480">
        <v>5.6</v>
      </c>
      <c r="O480">
        <v>1.4</v>
      </c>
      <c r="P480">
        <v>22</v>
      </c>
      <c r="Q480">
        <v>0.3</v>
      </c>
      <c r="R480">
        <v>0.3</v>
      </c>
      <c r="S480">
        <v>0.3</v>
      </c>
      <c r="T480" t="s">
        <v>33</v>
      </c>
      <c r="U480">
        <v>6.3</v>
      </c>
      <c r="V480">
        <v>67</v>
      </c>
      <c r="W480">
        <v>72</v>
      </c>
      <c r="X480">
        <v>5</v>
      </c>
      <c r="Y480">
        <v>1</v>
      </c>
      <c r="Z480">
        <v>1</v>
      </c>
      <c r="AA480">
        <v>0</v>
      </c>
      <c r="AB480" t="s">
        <v>33</v>
      </c>
      <c r="AC480">
        <v>69.5</v>
      </c>
      <c r="AD480">
        <v>1.1399999999999999</v>
      </c>
    </row>
    <row r="481" spans="1:30" x14ac:dyDescent="0.25">
      <c r="A481" s="1">
        <v>44784.153564814813</v>
      </c>
      <c r="B481" s="1">
        <v>43755.283437500002</v>
      </c>
      <c r="C481">
        <v>12188</v>
      </c>
      <c r="D481" t="s">
        <v>55</v>
      </c>
      <c r="E481" t="s">
        <v>35</v>
      </c>
      <c r="F481">
        <v>4.1100000000000003</v>
      </c>
      <c r="G481">
        <v>42.927050000000001</v>
      </c>
      <c r="H481">
        <v>-72.279610000000005</v>
      </c>
      <c r="I481">
        <v>475</v>
      </c>
      <c r="J481">
        <v>95</v>
      </c>
      <c r="K481">
        <v>0</v>
      </c>
      <c r="L481" s="1">
        <v>44784.153495370374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 t="s">
        <v>32</v>
      </c>
      <c r="V481">
        <v>77</v>
      </c>
      <c r="W481">
        <v>0</v>
      </c>
      <c r="X481">
        <v>77</v>
      </c>
      <c r="Y481">
        <v>0</v>
      </c>
      <c r="Z481">
        <v>0</v>
      </c>
      <c r="AA481">
        <v>0</v>
      </c>
      <c r="AB481" t="s">
        <v>36</v>
      </c>
      <c r="AC481">
        <v>77</v>
      </c>
    </row>
    <row r="482" spans="1:30" x14ac:dyDescent="0.25">
      <c r="A482" s="1">
        <v>44784.153564814813</v>
      </c>
      <c r="B482" s="1">
        <v>44784.151759259257</v>
      </c>
      <c r="C482">
        <v>1224</v>
      </c>
      <c r="D482" t="s">
        <v>56</v>
      </c>
      <c r="E482" t="s">
        <v>35</v>
      </c>
      <c r="F482" t="s">
        <v>57</v>
      </c>
      <c r="G482">
        <v>42.938034000000002</v>
      </c>
      <c r="H482">
        <v>-72.259299999999996</v>
      </c>
      <c r="I482">
        <v>792</v>
      </c>
      <c r="J482">
        <v>75</v>
      </c>
      <c r="K482">
        <v>0</v>
      </c>
      <c r="L482" s="1">
        <v>44784.153495370374</v>
      </c>
      <c r="M482">
        <v>2.7</v>
      </c>
      <c r="N482">
        <v>0</v>
      </c>
      <c r="O482">
        <v>2.7</v>
      </c>
      <c r="P482">
        <v>200</v>
      </c>
      <c r="Q482">
        <v>0.2</v>
      </c>
      <c r="R482">
        <v>0</v>
      </c>
      <c r="S482">
        <v>0.1</v>
      </c>
      <c r="T482" t="s">
        <v>43</v>
      </c>
      <c r="V482">
        <v>85</v>
      </c>
      <c r="W482">
        <v>0</v>
      </c>
      <c r="X482">
        <v>85</v>
      </c>
      <c r="Y482">
        <v>1</v>
      </c>
      <c r="Z482">
        <v>0</v>
      </c>
      <c r="AA482">
        <v>1</v>
      </c>
      <c r="AB482" t="s">
        <v>36</v>
      </c>
      <c r="AC482">
        <v>85</v>
      </c>
    </row>
    <row r="483" spans="1:30" x14ac:dyDescent="0.25">
      <c r="A483" s="1">
        <v>44784.15357638889</v>
      </c>
      <c r="B483" s="1">
        <v>44784.152592592596</v>
      </c>
      <c r="C483">
        <v>1202</v>
      </c>
      <c r="D483" t="s">
        <v>58</v>
      </c>
      <c r="E483" t="s">
        <v>35</v>
      </c>
      <c r="F483" t="s">
        <v>57</v>
      </c>
      <c r="G483">
        <v>42.936554000000001</v>
      </c>
      <c r="H483">
        <v>-72.271019999999993</v>
      </c>
      <c r="I483">
        <v>488</v>
      </c>
      <c r="J483">
        <v>0</v>
      </c>
      <c r="K483">
        <v>0</v>
      </c>
      <c r="L483" s="1">
        <v>44784.153495370374</v>
      </c>
      <c r="M483">
        <v>3.6</v>
      </c>
      <c r="N483">
        <v>3.4</v>
      </c>
      <c r="O483">
        <v>0.2</v>
      </c>
      <c r="P483">
        <v>6</v>
      </c>
      <c r="Q483">
        <v>0.3</v>
      </c>
      <c r="R483">
        <v>0.2</v>
      </c>
      <c r="S483">
        <v>0.25</v>
      </c>
      <c r="T483" t="s">
        <v>33</v>
      </c>
      <c r="U483">
        <v>3.5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 t="s">
        <v>38</v>
      </c>
    </row>
    <row r="484" spans="1:30" x14ac:dyDescent="0.25">
      <c r="A484" s="1">
        <v>44784.15357638889</v>
      </c>
      <c r="B484" s="1">
        <v>44612.080023148148</v>
      </c>
      <c r="C484">
        <v>25985</v>
      </c>
      <c r="D484" t="s">
        <v>59</v>
      </c>
      <c r="E484" t="s">
        <v>35</v>
      </c>
      <c r="F484">
        <v>6.01</v>
      </c>
      <c r="G484">
        <v>42.927326000000001</v>
      </c>
      <c r="H484">
        <v>-72.279979999999995</v>
      </c>
      <c r="I484">
        <v>477</v>
      </c>
      <c r="J484">
        <v>78</v>
      </c>
      <c r="K484">
        <v>0</v>
      </c>
      <c r="L484" s="1">
        <v>44784.153495370374</v>
      </c>
      <c r="M484">
        <v>1.1000000000000001</v>
      </c>
      <c r="N484">
        <v>1</v>
      </c>
      <c r="O484">
        <v>0.1</v>
      </c>
      <c r="P484">
        <v>10</v>
      </c>
      <c r="Q484">
        <v>0</v>
      </c>
      <c r="R484">
        <v>0</v>
      </c>
      <c r="S484">
        <v>0</v>
      </c>
      <c r="T484" t="s">
        <v>32</v>
      </c>
      <c r="V484">
        <v>22</v>
      </c>
      <c r="W484">
        <v>0</v>
      </c>
      <c r="X484">
        <v>22</v>
      </c>
      <c r="Y484">
        <v>0</v>
      </c>
      <c r="Z484">
        <v>0</v>
      </c>
      <c r="AA484">
        <v>0</v>
      </c>
      <c r="AB484" t="s">
        <v>36</v>
      </c>
      <c r="AC484">
        <v>22</v>
      </c>
    </row>
    <row r="485" spans="1:30" x14ac:dyDescent="0.25">
      <c r="A485" s="1">
        <v>44784.160451388889</v>
      </c>
      <c r="B485" s="1">
        <v>44775.701319444444</v>
      </c>
      <c r="C485">
        <v>151708</v>
      </c>
      <c r="D485" t="s">
        <v>30</v>
      </c>
      <c r="E485" t="s">
        <v>31</v>
      </c>
      <c r="F485">
        <v>7</v>
      </c>
      <c r="G485">
        <v>43.192042999999998</v>
      </c>
      <c r="H485">
        <v>-71.541579999999996</v>
      </c>
      <c r="I485">
        <v>291</v>
      </c>
      <c r="J485">
        <v>93</v>
      </c>
      <c r="K485">
        <v>94</v>
      </c>
      <c r="L485" s="1">
        <v>44784.160439814812</v>
      </c>
      <c r="M485">
        <v>7.9</v>
      </c>
      <c r="N485">
        <v>7.6</v>
      </c>
      <c r="O485">
        <v>0.3</v>
      </c>
      <c r="P485">
        <v>4</v>
      </c>
      <c r="Q485">
        <v>0</v>
      </c>
      <c r="R485">
        <v>0</v>
      </c>
      <c r="S485">
        <v>0</v>
      </c>
      <c r="T485" t="s">
        <v>32</v>
      </c>
      <c r="V485">
        <v>42</v>
      </c>
      <c r="W485">
        <v>41</v>
      </c>
      <c r="X485">
        <v>1</v>
      </c>
      <c r="Y485">
        <v>0</v>
      </c>
      <c r="Z485">
        <v>0</v>
      </c>
      <c r="AA485">
        <v>0</v>
      </c>
      <c r="AB485" t="s">
        <v>33</v>
      </c>
      <c r="AC485">
        <v>41.5</v>
      </c>
    </row>
    <row r="486" spans="1:30" x14ac:dyDescent="0.25">
      <c r="A486" s="1">
        <v>44784.160462962966</v>
      </c>
      <c r="B486" s="1">
        <v>44784.158750000002</v>
      </c>
      <c r="C486">
        <v>143456</v>
      </c>
      <c r="D486" t="s">
        <v>34</v>
      </c>
      <c r="E486" t="s">
        <v>35</v>
      </c>
      <c r="F486">
        <v>7</v>
      </c>
      <c r="G486">
        <v>43.08963</v>
      </c>
      <c r="H486">
        <v>-71.502440000000007</v>
      </c>
      <c r="I486">
        <v>619</v>
      </c>
      <c r="J486">
        <v>69</v>
      </c>
      <c r="K486">
        <v>0</v>
      </c>
      <c r="L486" s="1">
        <v>44784.160439814812</v>
      </c>
      <c r="M486">
        <v>2.7</v>
      </c>
      <c r="N486">
        <v>2.9</v>
      </c>
      <c r="O486">
        <v>0.2</v>
      </c>
      <c r="P486">
        <v>7</v>
      </c>
      <c r="Q486">
        <v>0</v>
      </c>
      <c r="R486">
        <v>0</v>
      </c>
      <c r="S486">
        <v>0</v>
      </c>
      <c r="T486" t="s">
        <v>33</v>
      </c>
      <c r="U486">
        <v>2.8</v>
      </c>
      <c r="V486">
        <v>72</v>
      </c>
      <c r="W486">
        <v>0</v>
      </c>
      <c r="X486">
        <v>72</v>
      </c>
      <c r="Y486">
        <v>1</v>
      </c>
      <c r="Z486">
        <v>0</v>
      </c>
      <c r="AA486">
        <v>1</v>
      </c>
      <c r="AB486" t="s">
        <v>36</v>
      </c>
      <c r="AC486">
        <v>72</v>
      </c>
      <c r="AD486">
        <v>-1.17</v>
      </c>
    </row>
    <row r="487" spans="1:30" x14ac:dyDescent="0.25">
      <c r="A487" s="1">
        <v>44784.160462962966</v>
      </c>
      <c r="B487" s="1">
        <v>44784.158946759257</v>
      </c>
      <c r="C487">
        <v>151702</v>
      </c>
      <c r="D487" t="s">
        <v>37</v>
      </c>
      <c r="E487" t="s">
        <v>31</v>
      </c>
      <c r="F487">
        <v>7</v>
      </c>
      <c r="G487">
        <v>43.118609999999997</v>
      </c>
      <c r="H487">
        <v>-71.61618</v>
      </c>
      <c r="I487">
        <v>885</v>
      </c>
      <c r="J487">
        <v>0</v>
      </c>
      <c r="K487">
        <v>0</v>
      </c>
      <c r="L487" s="1">
        <v>44784.160439814812</v>
      </c>
      <c r="M487">
        <v>3.8</v>
      </c>
      <c r="N487">
        <v>3.7</v>
      </c>
      <c r="O487">
        <v>0.1</v>
      </c>
      <c r="P487">
        <v>3</v>
      </c>
      <c r="Q487">
        <v>0</v>
      </c>
      <c r="R487">
        <v>0.1</v>
      </c>
      <c r="S487">
        <v>0.05</v>
      </c>
      <c r="T487" t="s">
        <v>33</v>
      </c>
      <c r="U487">
        <v>3.75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 t="s">
        <v>38</v>
      </c>
    </row>
    <row r="488" spans="1:30" x14ac:dyDescent="0.25">
      <c r="A488" s="1">
        <v>44784.160462962966</v>
      </c>
      <c r="B488" s="1">
        <v>44784.158831018518</v>
      </c>
      <c r="C488">
        <v>151700</v>
      </c>
      <c r="D488" t="s">
        <v>30</v>
      </c>
      <c r="E488" t="s">
        <v>31</v>
      </c>
      <c r="F488">
        <v>7</v>
      </c>
      <c r="G488">
        <v>43.19211</v>
      </c>
      <c r="H488">
        <v>-71.541460000000001</v>
      </c>
      <c r="I488">
        <v>286</v>
      </c>
      <c r="J488">
        <v>72</v>
      </c>
      <c r="K488">
        <v>0</v>
      </c>
      <c r="L488" s="1">
        <v>44784.160439814812</v>
      </c>
      <c r="M488">
        <v>2.6</v>
      </c>
      <c r="N488">
        <v>3.1</v>
      </c>
      <c r="O488">
        <v>0.5</v>
      </c>
      <c r="P488">
        <v>18</v>
      </c>
      <c r="Q488">
        <v>0.1</v>
      </c>
      <c r="R488">
        <v>0</v>
      </c>
      <c r="S488">
        <v>0.05</v>
      </c>
      <c r="T488" t="s">
        <v>33</v>
      </c>
      <c r="U488">
        <v>2.85</v>
      </c>
      <c r="V488">
        <v>66</v>
      </c>
      <c r="W488">
        <v>0</v>
      </c>
      <c r="X488">
        <v>66</v>
      </c>
      <c r="Y488">
        <v>1</v>
      </c>
      <c r="Z488">
        <v>0</v>
      </c>
      <c r="AA488">
        <v>1</v>
      </c>
      <c r="AB488" t="s">
        <v>36</v>
      </c>
      <c r="AC488">
        <v>66</v>
      </c>
      <c r="AD488">
        <v>-0.72</v>
      </c>
    </row>
    <row r="489" spans="1:30" x14ac:dyDescent="0.25">
      <c r="A489" s="1">
        <v>44784.160474537035</v>
      </c>
      <c r="B489" s="1">
        <v>44784.159236111111</v>
      </c>
      <c r="C489">
        <v>135984</v>
      </c>
      <c r="D489" t="s">
        <v>39</v>
      </c>
      <c r="E489" t="s">
        <v>31</v>
      </c>
      <c r="F489">
        <v>7</v>
      </c>
      <c r="G489">
        <v>43.565852999999997</v>
      </c>
      <c r="H489">
        <v>-71.496129999999994</v>
      </c>
      <c r="I489">
        <v>708</v>
      </c>
      <c r="J489">
        <v>68</v>
      </c>
      <c r="K489">
        <v>0</v>
      </c>
      <c r="L489" s="1">
        <v>44784.160439814812</v>
      </c>
      <c r="M489">
        <v>4.8</v>
      </c>
      <c r="N489">
        <v>4</v>
      </c>
      <c r="O489">
        <v>0.8</v>
      </c>
      <c r="P489">
        <v>18</v>
      </c>
      <c r="Q489">
        <v>0.1</v>
      </c>
      <c r="R489">
        <v>0</v>
      </c>
      <c r="S489">
        <v>0.05</v>
      </c>
      <c r="T489" t="s">
        <v>33</v>
      </c>
      <c r="U489">
        <v>4.4000000000000004</v>
      </c>
      <c r="V489">
        <v>91</v>
      </c>
      <c r="W489">
        <v>0</v>
      </c>
      <c r="X489">
        <v>91</v>
      </c>
      <c r="Y489">
        <v>0</v>
      </c>
      <c r="Z489">
        <v>0</v>
      </c>
      <c r="AA489">
        <v>0</v>
      </c>
      <c r="AB489" t="s">
        <v>36</v>
      </c>
      <c r="AC489">
        <v>91</v>
      </c>
      <c r="AD489">
        <v>-1.53</v>
      </c>
    </row>
    <row r="490" spans="1:30" x14ac:dyDescent="0.25">
      <c r="A490" s="1">
        <v>44784.160474537035</v>
      </c>
      <c r="B490" s="1">
        <v>44780.394780092596</v>
      </c>
      <c r="C490">
        <v>151712</v>
      </c>
      <c r="D490" t="s">
        <v>40</v>
      </c>
      <c r="E490" t="s">
        <v>31</v>
      </c>
      <c r="F490">
        <v>7</v>
      </c>
      <c r="G490">
        <v>43.289763999999998</v>
      </c>
      <c r="H490">
        <v>-71.564260000000004</v>
      </c>
      <c r="I490">
        <v>370</v>
      </c>
      <c r="J490">
        <v>86</v>
      </c>
      <c r="K490">
        <v>0</v>
      </c>
      <c r="L490" s="1">
        <v>44784.160439814812</v>
      </c>
      <c r="M490">
        <v>14</v>
      </c>
      <c r="N490">
        <v>13.2</v>
      </c>
      <c r="O490">
        <v>0.8</v>
      </c>
      <c r="P490">
        <v>6</v>
      </c>
      <c r="Q490">
        <v>0</v>
      </c>
      <c r="R490">
        <v>0</v>
      </c>
      <c r="S490">
        <v>0</v>
      </c>
      <c r="T490" t="s">
        <v>32</v>
      </c>
      <c r="V490">
        <v>59</v>
      </c>
      <c r="W490">
        <v>0</v>
      </c>
      <c r="X490">
        <v>59</v>
      </c>
      <c r="Y490">
        <v>0</v>
      </c>
      <c r="Z490">
        <v>0</v>
      </c>
      <c r="AA490">
        <v>0</v>
      </c>
      <c r="AB490" t="s">
        <v>36</v>
      </c>
      <c r="AC490">
        <v>59</v>
      </c>
    </row>
    <row r="491" spans="1:30" x14ac:dyDescent="0.25">
      <c r="A491" s="1">
        <v>44784.160474537035</v>
      </c>
      <c r="B491" s="1">
        <v>44784.158530092594</v>
      </c>
      <c r="C491">
        <v>151710</v>
      </c>
      <c r="D491" t="s">
        <v>41</v>
      </c>
      <c r="E491" t="s">
        <v>31</v>
      </c>
      <c r="F491">
        <v>7</v>
      </c>
      <c r="G491">
        <v>43.132477000000002</v>
      </c>
      <c r="H491">
        <v>-71.458374000000006</v>
      </c>
      <c r="I491">
        <v>230</v>
      </c>
      <c r="J491">
        <v>69</v>
      </c>
      <c r="K491">
        <v>0</v>
      </c>
      <c r="L491" s="1">
        <v>44784.160439814812</v>
      </c>
      <c r="M491">
        <v>5.3</v>
      </c>
      <c r="N491">
        <v>4.0999999999999996</v>
      </c>
      <c r="O491">
        <v>1.2</v>
      </c>
      <c r="P491">
        <v>26</v>
      </c>
      <c r="Q491">
        <v>0.4</v>
      </c>
      <c r="R491">
        <v>0.1</v>
      </c>
      <c r="S491">
        <v>0.25</v>
      </c>
      <c r="T491" t="s">
        <v>33</v>
      </c>
      <c r="U491">
        <v>4.7</v>
      </c>
      <c r="V491">
        <v>69</v>
      </c>
      <c r="W491">
        <v>0</v>
      </c>
      <c r="X491">
        <v>69</v>
      </c>
      <c r="Y491">
        <v>0</v>
      </c>
      <c r="Z491">
        <v>0</v>
      </c>
      <c r="AA491">
        <v>0</v>
      </c>
      <c r="AB491" t="s">
        <v>36</v>
      </c>
      <c r="AC491">
        <v>69</v>
      </c>
      <c r="AD491">
        <v>0.2</v>
      </c>
    </row>
    <row r="492" spans="1:30" x14ac:dyDescent="0.25">
      <c r="A492" s="1">
        <v>44784.160474537035</v>
      </c>
      <c r="B492" s="1">
        <v>44784.15960648148</v>
      </c>
      <c r="C492">
        <v>151706</v>
      </c>
      <c r="D492" t="s">
        <v>42</v>
      </c>
      <c r="E492" t="s">
        <v>31</v>
      </c>
      <c r="F492">
        <v>7</v>
      </c>
      <c r="G492">
        <v>43.004080000000002</v>
      </c>
      <c r="H492">
        <v>-71.177040000000005</v>
      </c>
      <c r="I492">
        <v>194</v>
      </c>
      <c r="J492">
        <v>70</v>
      </c>
      <c r="K492">
        <v>0</v>
      </c>
      <c r="L492" s="1">
        <v>44784.160439814812</v>
      </c>
      <c r="M492">
        <v>2.2999999999999998</v>
      </c>
      <c r="N492">
        <v>0</v>
      </c>
      <c r="O492">
        <v>2.2999999999999998</v>
      </c>
      <c r="P492">
        <v>200</v>
      </c>
      <c r="Q492">
        <v>0</v>
      </c>
      <c r="R492">
        <v>0</v>
      </c>
      <c r="S492">
        <v>0</v>
      </c>
      <c r="T492" t="s">
        <v>43</v>
      </c>
      <c r="V492">
        <v>68</v>
      </c>
      <c r="W492">
        <v>0</v>
      </c>
      <c r="X492">
        <v>68</v>
      </c>
      <c r="Y492">
        <v>0</v>
      </c>
      <c r="Z492">
        <v>0</v>
      </c>
      <c r="AA492">
        <v>0</v>
      </c>
      <c r="AB492" t="s">
        <v>36</v>
      </c>
      <c r="AC492">
        <v>68</v>
      </c>
    </row>
    <row r="493" spans="1:30" x14ac:dyDescent="0.25">
      <c r="A493" s="1">
        <v>44784.160486111112</v>
      </c>
      <c r="B493" s="1">
        <v>44784.159317129626</v>
      </c>
      <c r="C493">
        <v>12212</v>
      </c>
      <c r="D493" t="s">
        <v>44</v>
      </c>
      <c r="E493" t="s">
        <v>35</v>
      </c>
      <c r="F493">
        <v>7</v>
      </c>
      <c r="G493">
        <v>42.930529999999997</v>
      </c>
      <c r="H493">
        <v>-72.272350000000003</v>
      </c>
      <c r="I493">
        <v>476</v>
      </c>
      <c r="J493">
        <v>76</v>
      </c>
      <c r="K493">
        <v>0</v>
      </c>
      <c r="L493" s="1">
        <v>44784.160439814812</v>
      </c>
      <c r="M493">
        <v>3.7</v>
      </c>
      <c r="N493">
        <v>3.1</v>
      </c>
      <c r="O493">
        <v>0.6</v>
      </c>
      <c r="P493">
        <v>18</v>
      </c>
      <c r="Q493">
        <v>0.1</v>
      </c>
      <c r="R493">
        <v>0.1</v>
      </c>
      <c r="S493">
        <v>0.1</v>
      </c>
      <c r="T493" t="s">
        <v>33</v>
      </c>
      <c r="U493">
        <v>3.4</v>
      </c>
      <c r="V493">
        <v>86</v>
      </c>
      <c r="W493">
        <v>0</v>
      </c>
      <c r="X493">
        <v>86</v>
      </c>
      <c r="Y493">
        <v>1</v>
      </c>
      <c r="Z493">
        <v>0</v>
      </c>
      <c r="AA493">
        <v>1</v>
      </c>
      <c r="AB493" t="s">
        <v>36</v>
      </c>
      <c r="AC493">
        <v>86</v>
      </c>
      <c r="AD493">
        <v>-1.79</v>
      </c>
    </row>
    <row r="494" spans="1:30" x14ac:dyDescent="0.25">
      <c r="A494" s="1">
        <v>44784.160486111112</v>
      </c>
      <c r="B494" s="1">
        <v>44769.376736111109</v>
      </c>
      <c r="C494">
        <v>12178</v>
      </c>
      <c r="D494" t="s">
        <v>45</v>
      </c>
      <c r="E494" t="s">
        <v>35</v>
      </c>
      <c r="F494">
        <v>7</v>
      </c>
      <c r="G494">
        <v>42.899563000000001</v>
      </c>
      <c r="H494">
        <v>-71.464650000000006</v>
      </c>
      <c r="I494">
        <v>301</v>
      </c>
      <c r="J494">
        <v>85</v>
      </c>
      <c r="K494">
        <v>0</v>
      </c>
      <c r="L494" s="1">
        <v>44784.160439814812</v>
      </c>
      <c r="M494">
        <v>3.8</v>
      </c>
      <c r="N494">
        <v>3.1</v>
      </c>
      <c r="O494">
        <v>0.7</v>
      </c>
      <c r="P494">
        <v>20</v>
      </c>
      <c r="Q494">
        <v>0</v>
      </c>
      <c r="R494">
        <v>0</v>
      </c>
      <c r="S494">
        <v>0</v>
      </c>
      <c r="T494" t="s">
        <v>32</v>
      </c>
      <c r="V494">
        <v>35</v>
      </c>
      <c r="W494">
        <v>0</v>
      </c>
      <c r="X494">
        <v>35</v>
      </c>
      <c r="Y494">
        <v>0</v>
      </c>
      <c r="Z494">
        <v>0</v>
      </c>
      <c r="AA494">
        <v>0</v>
      </c>
      <c r="AB494" t="s">
        <v>36</v>
      </c>
      <c r="AC494">
        <v>35</v>
      </c>
    </row>
    <row r="495" spans="1:30" x14ac:dyDescent="0.25">
      <c r="A495" s="1">
        <v>44784.160486111112</v>
      </c>
      <c r="B495" s="1">
        <v>44784.15865740741</v>
      </c>
      <c r="C495">
        <v>75981</v>
      </c>
      <c r="D495" t="s">
        <v>46</v>
      </c>
      <c r="E495" t="s">
        <v>35</v>
      </c>
      <c r="F495">
        <v>7</v>
      </c>
      <c r="G495">
        <v>42.97</v>
      </c>
      <c r="H495">
        <v>-71.06</v>
      </c>
      <c r="I495">
        <v>136</v>
      </c>
      <c r="J495">
        <v>75</v>
      </c>
      <c r="K495">
        <v>0</v>
      </c>
      <c r="L495" s="1">
        <v>44784.160439814812</v>
      </c>
      <c r="M495">
        <v>3.5</v>
      </c>
      <c r="N495">
        <v>3.3</v>
      </c>
      <c r="O495">
        <v>0.2</v>
      </c>
      <c r="P495">
        <v>6</v>
      </c>
      <c r="Q495">
        <v>0</v>
      </c>
      <c r="R495">
        <v>0</v>
      </c>
      <c r="S495">
        <v>0</v>
      </c>
      <c r="T495" t="s">
        <v>33</v>
      </c>
      <c r="U495">
        <v>3.4</v>
      </c>
      <c r="V495">
        <v>62</v>
      </c>
      <c r="W495">
        <v>0</v>
      </c>
      <c r="X495">
        <v>62</v>
      </c>
      <c r="Y495">
        <v>0</v>
      </c>
      <c r="Z495">
        <v>0</v>
      </c>
      <c r="AA495">
        <v>0</v>
      </c>
      <c r="AB495" t="s">
        <v>36</v>
      </c>
      <c r="AC495">
        <v>62</v>
      </c>
      <c r="AD495">
        <v>-0.11</v>
      </c>
    </row>
    <row r="496" spans="1:30" x14ac:dyDescent="0.25">
      <c r="A496" s="1">
        <v>44784.160486111112</v>
      </c>
      <c r="B496" s="1">
        <v>44784.159189814818</v>
      </c>
      <c r="C496">
        <v>115703</v>
      </c>
      <c r="D496" t="s">
        <v>47</v>
      </c>
      <c r="E496" t="s">
        <v>35</v>
      </c>
      <c r="F496">
        <v>7</v>
      </c>
      <c r="G496">
        <v>43.953625000000002</v>
      </c>
      <c r="H496">
        <v>-71.508859999999999</v>
      </c>
      <c r="I496">
        <v>1493</v>
      </c>
      <c r="J496">
        <v>63</v>
      </c>
      <c r="K496">
        <v>0</v>
      </c>
      <c r="L496" s="1">
        <v>44784.160439814812</v>
      </c>
      <c r="M496">
        <v>0</v>
      </c>
      <c r="N496">
        <v>300.89999999999998</v>
      </c>
      <c r="O496">
        <v>300.89999999999998</v>
      </c>
      <c r="P496">
        <v>200</v>
      </c>
      <c r="Q496">
        <v>0</v>
      </c>
      <c r="R496">
        <v>0</v>
      </c>
      <c r="S496">
        <v>0</v>
      </c>
      <c r="T496" t="s">
        <v>48</v>
      </c>
      <c r="V496">
        <v>68</v>
      </c>
      <c r="W496">
        <v>0</v>
      </c>
      <c r="X496">
        <v>68</v>
      </c>
      <c r="Y496">
        <v>0</v>
      </c>
      <c r="Z496">
        <v>0</v>
      </c>
      <c r="AA496">
        <v>0</v>
      </c>
      <c r="AB496" t="s">
        <v>36</v>
      </c>
      <c r="AC496">
        <v>68</v>
      </c>
    </row>
    <row r="497" spans="1:30" x14ac:dyDescent="0.25">
      <c r="A497" s="1">
        <v>44784.160497685189</v>
      </c>
      <c r="B497" s="1">
        <v>44784.158599537041</v>
      </c>
      <c r="C497">
        <v>12050</v>
      </c>
      <c r="D497" t="s">
        <v>49</v>
      </c>
      <c r="E497" t="s">
        <v>35</v>
      </c>
      <c r="F497">
        <v>7</v>
      </c>
      <c r="G497">
        <v>44.220573000000002</v>
      </c>
      <c r="H497">
        <v>-71.732315</v>
      </c>
      <c r="I497">
        <v>999</v>
      </c>
      <c r="J497">
        <v>69</v>
      </c>
      <c r="K497">
        <v>0</v>
      </c>
      <c r="L497" s="1">
        <v>44784.160439814812</v>
      </c>
      <c r="M497">
        <v>2.7</v>
      </c>
      <c r="N497">
        <v>2.8</v>
      </c>
      <c r="O497">
        <v>0.1</v>
      </c>
      <c r="P497">
        <v>4</v>
      </c>
      <c r="Q497">
        <v>0.1</v>
      </c>
      <c r="R497">
        <v>0.1</v>
      </c>
      <c r="S497">
        <v>0.1</v>
      </c>
      <c r="T497" t="s">
        <v>33</v>
      </c>
      <c r="U497">
        <v>2.75</v>
      </c>
      <c r="V497">
        <v>58</v>
      </c>
      <c r="W497">
        <v>0</v>
      </c>
      <c r="X497">
        <v>58</v>
      </c>
      <c r="Y497">
        <v>0</v>
      </c>
      <c r="Z497">
        <v>0</v>
      </c>
      <c r="AA497">
        <v>0</v>
      </c>
      <c r="AB497" t="s">
        <v>36</v>
      </c>
      <c r="AC497">
        <v>58</v>
      </c>
      <c r="AD497">
        <v>-0.22</v>
      </c>
    </row>
    <row r="498" spans="1:30" x14ac:dyDescent="0.25">
      <c r="A498" s="1">
        <v>44784.160497685189</v>
      </c>
      <c r="B498" s="1">
        <v>44784.158703703702</v>
      </c>
      <c r="C498">
        <v>23443</v>
      </c>
      <c r="D498" t="s">
        <v>50</v>
      </c>
      <c r="E498" t="s">
        <v>35</v>
      </c>
      <c r="F498">
        <v>7</v>
      </c>
      <c r="G498">
        <v>43.556139999999999</v>
      </c>
      <c r="H498">
        <v>-72.370990000000006</v>
      </c>
      <c r="I498">
        <v>523</v>
      </c>
      <c r="J498">
        <v>69</v>
      </c>
      <c r="K498">
        <v>0</v>
      </c>
      <c r="L498" s="1">
        <v>44784.160439814812</v>
      </c>
      <c r="M498">
        <v>3.8</v>
      </c>
      <c r="N498">
        <v>3.3</v>
      </c>
      <c r="O498">
        <v>0.5</v>
      </c>
      <c r="P498">
        <v>14</v>
      </c>
      <c r="Q498">
        <v>0.1</v>
      </c>
      <c r="R498">
        <v>0.1</v>
      </c>
      <c r="S498">
        <v>0.1</v>
      </c>
      <c r="T498" t="s">
        <v>33</v>
      </c>
      <c r="U498">
        <v>3.55</v>
      </c>
      <c r="V498">
        <v>66</v>
      </c>
      <c r="W498">
        <v>0</v>
      </c>
      <c r="X498">
        <v>66</v>
      </c>
      <c r="Y498">
        <v>0</v>
      </c>
      <c r="Z498">
        <v>0</v>
      </c>
      <c r="AA498">
        <v>0</v>
      </c>
      <c r="AB498" t="s">
        <v>36</v>
      </c>
      <c r="AC498">
        <v>66</v>
      </c>
      <c r="AD498">
        <v>-0.28999999999999998</v>
      </c>
    </row>
    <row r="499" spans="1:30" x14ac:dyDescent="0.25">
      <c r="A499" s="1">
        <v>44784.160497685189</v>
      </c>
      <c r="B499" s="1">
        <v>44784.158796296295</v>
      </c>
      <c r="C499">
        <v>58135</v>
      </c>
      <c r="D499" t="s">
        <v>51</v>
      </c>
      <c r="E499" t="s">
        <v>35</v>
      </c>
      <c r="F499">
        <v>7</v>
      </c>
      <c r="G499">
        <v>42.883873000000001</v>
      </c>
      <c r="H499">
        <v>-71.972915999999998</v>
      </c>
      <c r="I499">
        <v>808</v>
      </c>
      <c r="J499">
        <v>70</v>
      </c>
      <c r="K499">
        <v>0</v>
      </c>
      <c r="L499" s="1">
        <v>44784.160439814812</v>
      </c>
      <c r="M499">
        <v>7.6</v>
      </c>
      <c r="N499">
        <v>5.2</v>
      </c>
      <c r="O499">
        <v>2.4</v>
      </c>
      <c r="P499">
        <v>37</v>
      </c>
      <c r="Q499">
        <v>0.1</v>
      </c>
      <c r="R499">
        <v>0</v>
      </c>
      <c r="S499">
        <v>0.05</v>
      </c>
      <c r="T499" t="s">
        <v>33</v>
      </c>
      <c r="U499">
        <v>6.4</v>
      </c>
      <c r="V499">
        <v>72</v>
      </c>
      <c r="W499">
        <v>0</v>
      </c>
      <c r="X499">
        <v>72</v>
      </c>
      <c r="Y499">
        <v>1</v>
      </c>
      <c r="Z499">
        <v>0</v>
      </c>
      <c r="AA499">
        <v>1</v>
      </c>
      <c r="AB499" t="s">
        <v>36</v>
      </c>
      <c r="AC499">
        <v>72</v>
      </c>
      <c r="AD499">
        <v>1.02</v>
      </c>
    </row>
    <row r="500" spans="1:30" x14ac:dyDescent="0.25">
      <c r="A500" s="1">
        <v>44784.160509259258</v>
      </c>
      <c r="B500" s="1">
        <v>44784.158854166664</v>
      </c>
      <c r="C500">
        <v>148555</v>
      </c>
      <c r="D500" t="s">
        <v>52</v>
      </c>
      <c r="E500" t="s">
        <v>53</v>
      </c>
      <c r="F500">
        <v>7</v>
      </c>
      <c r="G500">
        <v>42.904949999999999</v>
      </c>
      <c r="H500">
        <v>-71.386764999999997</v>
      </c>
      <c r="I500">
        <v>363</v>
      </c>
      <c r="J500">
        <v>0</v>
      </c>
      <c r="K500">
        <v>0</v>
      </c>
      <c r="L500" s="1">
        <v>44784.160439814812</v>
      </c>
      <c r="M500">
        <v>1.9</v>
      </c>
      <c r="N500">
        <v>2.4</v>
      </c>
      <c r="O500">
        <v>0.5</v>
      </c>
      <c r="P500">
        <v>23</v>
      </c>
      <c r="Q500">
        <v>0.1</v>
      </c>
      <c r="R500">
        <v>0</v>
      </c>
      <c r="S500">
        <v>0.05</v>
      </c>
      <c r="T500" t="s">
        <v>33</v>
      </c>
      <c r="U500">
        <v>2.15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 t="s">
        <v>38</v>
      </c>
    </row>
    <row r="501" spans="1:30" x14ac:dyDescent="0.25">
      <c r="A501" s="1">
        <v>44784.160509259258</v>
      </c>
      <c r="B501" s="1">
        <v>44784.159780092596</v>
      </c>
      <c r="C501">
        <v>146644</v>
      </c>
      <c r="D501" t="s">
        <v>54</v>
      </c>
      <c r="E501" t="s">
        <v>53</v>
      </c>
      <c r="F501">
        <v>7</v>
      </c>
      <c r="G501">
        <v>43.06015</v>
      </c>
      <c r="H501">
        <v>-70.758930000000007</v>
      </c>
      <c r="I501">
        <v>35</v>
      </c>
      <c r="J501">
        <v>70</v>
      </c>
      <c r="K501">
        <v>71</v>
      </c>
      <c r="L501" s="1">
        <v>44784.160439814812</v>
      </c>
      <c r="M501">
        <v>6.7</v>
      </c>
      <c r="N501">
        <v>5.3</v>
      </c>
      <c r="O501">
        <v>1.4</v>
      </c>
      <c r="P501">
        <v>23</v>
      </c>
      <c r="Q501">
        <v>0.3</v>
      </c>
      <c r="R501">
        <v>0.3</v>
      </c>
      <c r="S501">
        <v>0.3</v>
      </c>
      <c r="T501" t="s">
        <v>33</v>
      </c>
      <c r="U501">
        <v>6</v>
      </c>
      <c r="V501">
        <v>68</v>
      </c>
      <c r="W501">
        <v>72</v>
      </c>
      <c r="X501">
        <v>4</v>
      </c>
      <c r="Y501">
        <v>1</v>
      </c>
      <c r="Z501">
        <v>0</v>
      </c>
      <c r="AA501">
        <v>1</v>
      </c>
      <c r="AB501" t="s">
        <v>33</v>
      </c>
      <c r="AC501">
        <v>70</v>
      </c>
      <c r="AD501">
        <v>0.92</v>
      </c>
    </row>
    <row r="502" spans="1:30" x14ac:dyDescent="0.25">
      <c r="A502" s="1">
        <v>44784.160509259258</v>
      </c>
      <c r="B502" s="1">
        <v>43755.283437500002</v>
      </c>
      <c r="C502">
        <v>12188</v>
      </c>
      <c r="D502" t="s">
        <v>55</v>
      </c>
      <c r="E502" t="s">
        <v>35</v>
      </c>
      <c r="F502">
        <v>4.1100000000000003</v>
      </c>
      <c r="G502">
        <v>42.927050000000001</v>
      </c>
      <c r="H502">
        <v>-72.279610000000005</v>
      </c>
      <c r="I502">
        <v>475</v>
      </c>
      <c r="J502">
        <v>95</v>
      </c>
      <c r="K502">
        <v>0</v>
      </c>
      <c r="L502" s="1">
        <v>44784.160439814812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 t="s">
        <v>32</v>
      </c>
      <c r="V502">
        <v>77</v>
      </c>
      <c r="W502">
        <v>0</v>
      </c>
      <c r="X502">
        <v>77</v>
      </c>
      <c r="Y502">
        <v>0</v>
      </c>
      <c r="Z502">
        <v>0</v>
      </c>
      <c r="AA502">
        <v>0</v>
      </c>
      <c r="AB502" t="s">
        <v>36</v>
      </c>
      <c r="AC502">
        <v>77</v>
      </c>
    </row>
    <row r="503" spans="1:30" x14ac:dyDescent="0.25">
      <c r="A503" s="1">
        <v>44784.160509259258</v>
      </c>
      <c r="B503" s="1">
        <v>44784.158703703702</v>
      </c>
      <c r="C503">
        <v>1224</v>
      </c>
      <c r="D503" t="s">
        <v>56</v>
      </c>
      <c r="E503" t="s">
        <v>35</v>
      </c>
      <c r="F503" t="s">
        <v>57</v>
      </c>
      <c r="G503">
        <v>42.938034000000002</v>
      </c>
      <c r="H503">
        <v>-72.259299999999996</v>
      </c>
      <c r="I503">
        <v>792</v>
      </c>
      <c r="J503">
        <v>75</v>
      </c>
      <c r="K503">
        <v>0</v>
      </c>
      <c r="L503" s="1">
        <v>44784.160439814812</v>
      </c>
      <c r="M503">
        <v>2.7</v>
      </c>
      <c r="N503">
        <v>0</v>
      </c>
      <c r="O503">
        <v>2.7</v>
      </c>
      <c r="P503">
        <v>200</v>
      </c>
      <c r="Q503">
        <v>0</v>
      </c>
      <c r="R503">
        <v>0</v>
      </c>
      <c r="S503">
        <v>0</v>
      </c>
      <c r="T503" t="s">
        <v>43</v>
      </c>
      <c r="V503">
        <v>85</v>
      </c>
      <c r="W503">
        <v>0</v>
      </c>
      <c r="X503">
        <v>85</v>
      </c>
      <c r="Y503">
        <v>0</v>
      </c>
      <c r="Z503">
        <v>0</v>
      </c>
      <c r="AA503">
        <v>0</v>
      </c>
      <c r="AB503" t="s">
        <v>36</v>
      </c>
      <c r="AC503">
        <v>85</v>
      </c>
    </row>
    <row r="504" spans="1:30" x14ac:dyDescent="0.25">
      <c r="A504" s="1">
        <v>44784.160520833335</v>
      </c>
      <c r="B504" s="1">
        <v>44784.159537037034</v>
      </c>
      <c r="C504">
        <v>1202</v>
      </c>
      <c r="D504" t="s">
        <v>58</v>
      </c>
      <c r="E504" t="s">
        <v>35</v>
      </c>
      <c r="F504" t="s">
        <v>57</v>
      </c>
      <c r="G504">
        <v>42.936554000000001</v>
      </c>
      <c r="H504">
        <v>-72.271019999999993</v>
      </c>
      <c r="I504">
        <v>488</v>
      </c>
      <c r="J504">
        <v>0</v>
      </c>
      <c r="K504">
        <v>0</v>
      </c>
      <c r="L504" s="1">
        <v>44784.160439814812</v>
      </c>
      <c r="M504">
        <v>4</v>
      </c>
      <c r="N504">
        <v>3.7</v>
      </c>
      <c r="O504">
        <v>0.3</v>
      </c>
      <c r="P504">
        <v>8</v>
      </c>
      <c r="Q504">
        <v>0.4</v>
      </c>
      <c r="R504">
        <v>0.3</v>
      </c>
      <c r="S504">
        <v>0.35</v>
      </c>
      <c r="T504" t="s">
        <v>33</v>
      </c>
      <c r="U504">
        <v>3.85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 t="s">
        <v>38</v>
      </c>
    </row>
    <row r="505" spans="1:30" x14ac:dyDescent="0.25">
      <c r="A505" s="1">
        <v>44784.160520833335</v>
      </c>
      <c r="B505" s="1">
        <v>44612.080023148148</v>
      </c>
      <c r="C505">
        <v>25985</v>
      </c>
      <c r="D505" t="s">
        <v>59</v>
      </c>
      <c r="E505" t="s">
        <v>35</v>
      </c>
      <c r="F505">
        <v>6.01</v>
      </c>
      <c r="G505">
        <v>42.927326000000001</v>
      </c>
      <c r="H505">
        <v>-72.279979999999995</v>
      </c>
      <c r="I505">
        <v>477</v>
      </c>
      <c r="J505">
        <v>78</v>
      </c>
      <c r="K505">
        <v>0</v>
      </c>
      <c r="L505" s="1">
        <v>44784.160439814812</v>
      </c>
      <c r="M505">
        <v>1.1000000000000001</v>
      </c>
      <c r="N505">
        <v>1</v>
      </c>
      <c r="O505">
        <v>0.1</v>
      </c>
      <c r="P505">
        <v>10</v>
      </c>
      <c r="Q505">
        <v>0</v>
      </c>
      <c r="R505">
        <v>0</v>
      </c>
      <c r="S505">
        <v>0</v>
      </c>
      <c r="T505" t="s">
        <v>32</v>
      </c>
      <c r="V505">
        <v>22</v>
      </c>
      <c r="W505">
        <v>0</v>
      </c>
      <c r="X505">
        <v>22</v>
      </c>
      <c r="Y505">
        <v>0</v>
      </c>
      <c r="Z505">
        <v>0</v>
      </c>
      <c r="AA505">
        <v>0</v>
      </c>
      <c r="AB505" t="s">
        <v>36</v>
      </c>
      <c r="AC505">
        <v>22</v>
      </c>
    </row>
    <row r="506" spans="1:30" x14ac:dyDescent="0.25">
      <c r="A506" s="1">
        <v>44784.167407407411</v>
      </c>
      <c r="B506" s="1">
        <v>44775.701319444444</v>
      </c>
      <c r="C506">
        <v>151708</v>
      </c>
      <c r="D506" t="s">
        <v>30</v>
      </c>
      <c r="E506" t="s">
        <v>31</v>
      </c>
      <c r="F506">
        <v>7</v>
      </c>
      <c r="G506">
        <v>43.192042999999998</v>
      </c>
      <c r="H506">
        <v>-71.541579999999996</v>
      </c>
      <c r="I506">
        <v>291</v>
      </c>
      <c r="J506">
        <v>93</v>
      </c>
      <c r="K506">
        <v>94</v>
      </c>
      <c r="L506" s="1">
        <v>44784.167384259257</v>
      </c>
      <c r="M506">
        <v>7.9</v>
      </c>
      <c r="N506">
        <v>7.6</v>
      </c>
      <c r="O506">
        <v>0.3</v>
      </c>
      <c r="P506">
        <v>4</v>
      </c>
      <c r="Q506">
        <v>0</v>
      </c>
      <c r="R506">
        <v>0</v>
      </c>
      <c r="S506">
        <v>0</v>
      </c>
      <c r="T506" t="s">
        <v>32</v>
      </c>
      <c r="V506">
        <v>42</v>
      </c>
      <c r="W506">
        <v>41</v>
      </c>
      <c r="X506">
        <v>1</v>
      </c>
      <c r="Y506">
        <v>0</v>
      </c>
      <c r="Z506">
        <v>0</v>
      </c>
      <c r="AA506">
        <v>0</v>
      </c>
      <c r="AB506" t="s">
        <v>33</v>
      </c>
      <c r="AC506">
        <v>41.5</v>
      </c>
    </row>
    <row r="507" spans="1:30" x14ac:dyDescent="0.25">
      <c r="A507" s="1">
        <v>44784.167407407411</v>
      </c>
      <c r="B507" s="1">
        <v>44784.167083333334</v>
      </c>
      <c r="C507">
        <v>143456</v>
      </c>
      <c r="D507" t="s">
        <v>34</v>
      </c>
      <c r="E507" t="s">
        <v>35</v>
      </c>
      <c r="F507">
        <v>7</v>
      </c>
      <c r="G507">
        <v>43.08963</v>
      </c>
      <c r="H507">
        <v>-71.502440000000007</v>
      </c>
      <c r="I507">
        <v>619</v>
      </c>
      <c r="J507">
        <v>69</v>
      </c>
      <c r="K507">
        <v>0</v>
      </c>
      <c r="L507" s="1">
        <v>44784.167384259257</v>
      </c>
      <c r="M507">
        <v>2.8</v>
      </c>
      <c r="N507">
        <v>3</v>
      </c>
      <c r="O507">
        <v>0.2</v>
      </c>
      <c r="P507">
        <v>7</v>
      </c>
      <c r="Q507">
        <v>0.1</v>
      </c>
      <c r="R507">
        <v>0.1</v>
      </c>
      <c r="S507">
        <v>0.1</v>
      </c>
      <c r="T507" t="s">
        <v>33</v>
      </c>
      <c r="U507">
        <v>2.9</v>
      </c>
      <c r="V507">
        <v>72</v>
      </c>
      <c r="W507">
        <v>0</v>
      </c>
      <c r="X507">
        <v>72</v>
      </c>
      <c r="Y507">
        <v>0</v>
      </c>
      <c r="Z507">
        <v>0</v>
      </c>
      <c r="AA507">
        <v>0</v>
      </c>
      <c r="AB507" t="s">
        <v>36</v>
      </c>
      <c r="AC507">
        <v>72</v>
      </c>
      <c r="AD507">
        <v>-1.1100000000000001</v>
      </c>
    </row>
    <row r="508" spans="1:30" x14ac:dyDescent="0.25">
      <c r="A508" s="1">
        <v>44784.167407407411</v>
      </c>
      <c r="B508" s="1">
        <v>44784.165891203702</v>
      </c>
      <c r="C508">
        <v>151702</v>
      </c>
      <c r="D508" t="s">
        <v>37</v>
      </c>
      <c r="E508" t="s">
        <v>31</v>
      </c>
      <c r="F508">
        <v>7</v>
      </c>
      <c r="G508">
        <v>43.118609999999997</v>
      </c>
      <c r="H508">
        <v>-71.61618</v>
      </c>
      <c r="I508">
        <v>885</v>
      </c>
      <c r="J508">
        <v>0</v>
      </c>
      <c r="K508">
        <v>0</v>
      </c>
      <c r="L508" s="1">
        <v>44784.167384259257</v>
      </c>
      <c r="M508">
        <v>3.9</v>
      </c>
      <c r="N508">
        <v>3.8</v>
      </c>
      <c r="O508">
        <v>0.1</v>
      </c>
      <c r="P508">
        <v>3</v>
      </c>
      <c r="Q508">
        <v>0.1</v>
      </c>
      <c r="R508">
        <v>0.1</v>
      </c>
      <c r="S508">
        <v>0.1</v>
      </c>
      <c r="T508" t="s">
        <v>33</v>
      </c>
      <c r="U508">
        <v>3.85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 t="s">
        <v>38</v>
      </c>
    </row>
    <row r="509" spans="1:30" x14ac:dyDescent="0.25">
      <c r="A509" s="1">
        <v>44784.167407407411</v>
      </c>
      <c r="B509" s="1">
        <v>44784.167164351849</v>
      </c>
      <c r="C509">
        <v>151700</v>
      </c>
      <c r="D509" t="s">
        <v>30</v>
      </c>
      <c r="E509" t="s">
        <v>31</v>
      </c>
      <c r="F509">
        <v>7</v>
      </c>
      <c r="G509">
        <v>43.19211</v>
      </c>
      <c r="H509">
        <v>-71.541460000000001</v>
      </c>
      <c r="I509">
        <v>286</v>
      </c>
      <c r="J509">
        <v>71</v>
      </c>
      <c r="K509">
        <v>0</v>
      </c>
      <c r="L509" s="1">
        <v>44784.167384259257</v>
      </c>
      <c r="M509">
        <v>2.7</v>
      </c>
      <c r="N509">
        <v>3.3</v>
      </c>
      <c r="O509">
        <v>0.6</v>
      </c>
      <c r="P509">
        <v>20</v>
      </c>
      <c r="Q509">
        <v>0.1</v>
      </c>
      <c r="R509">
        <v>0.2</v>
      </c>
      <c r="S509">
        <v>0.15</v>
      </c>
      <c r="T509" t="s">
        <v>33</v>
      </c>
      <c r="U509">
        <v>3</v>
      </c>
      <c r="V509">
        <v>66</v>
      </c>
      <c r="W509">
        <v>0</v>
      </c>
      <c r="X509">
        <v>66</v>
      </c>
      <c r="Y509">
        <v>0</v>
      </c>
      <c r="Z509">
        <v>0</v>
      </c>
      <c r="AA509">
        <v>0</v>
      </c>
      <c r="AB509" t="s">
        <v>36</v>
      </c>
      <c r="AC509">
        <v>66</v>
      </c>
      <c r="AD509">
        <v>-0.63</v>
      </c>
    </row>
    <row r="510" spans="1:30" x14ac:dyDescent="0.25">
      <c r="A510" s="1">
        <v>44784.167407407411</v>
      </c>
      <c r="B510" s="1">
        <v>44784.166180555556</v>
      </c>
      <c r="C510">
        <v>135984</v>
      </c>
      <c r="D510" t="s">
        <v>39</v>
      </c>
      <c r="E510" t="s">
        <v>31</v>
      </c>
      <c r="F510">
        <v>7</v>
      </c>
      <c r="G510">
        <v>43.565852999999997</v>
      </c>
      <c r="H510">
        <v>-71.496129999999994</v>
      </c>
      <c r="I510">
        <v>708</v>
      </c>
      <c r="J510">
        <v>68</v>
      </c>
      <c r="K510">
        <v>0</v>
      </c>
      <c r="L510" s="1">
        <v>44784.167384259257</v>
      </c>
      <c r="M510">
        <v>4.9000000000000004</v>
      </c>
      <c r="N510">
        <v>4</v>
      </c>
      <c r="O510">
        <v>0.9</v>
      </c>
      <c r="P510">
        <v>20</v>
      </c>
      <c r="Q510">
        <v>0.1</v>
      </c>
      <c r="R510">
        <v>0</v>
      </c>
      <c r="S510">
        <v>0.05</v>
      </c>
      <c r="T510" t="s">
        <v>33</v>
      </c>
      <c r="U510">
        <v>4.45</v>
      </c>
      <c r="V510">
        <v>90</v>
      </c>
      <c r="W510">
        <v>0</v>
      </c>
      <c r="X510">
        <v>90</v>
      </c>
      <c r="Y510">
        <v>1</v>
      </c>
      <c r="Z510">
        <v>0</v>
      </c>
      <c r="AA510">
        <v>1</v>
      </c>
      <c r="AB510" t="s">
        <v>36</v>
      </c>
      <c r="AC510">
        <v>90</v>
      </c>
      <c r="AD510">
        <v>-1.43</v>
      </c>
    </row>
    <row r="511" spans="1:30" x14ac:dyDescent="0.25">
      <c r="A511" s="1">
        <v>44784.16741898148</v>
      </c>
      <c r="B511" s="1">
        <v>44780.394780092596</v>
      </c>
      <c r="C511">
        <v>151712</v>
      </c>
      <c r="D511" t="s">
        <v>40</v>
      </c>
      <c r="E511" t="s">
        <v>31</v>
      </c>
      <c r="F511">
        <v>7</v>
      </c>
      <c r="G511">
        <v>43.289763999999998</v>
      </c>
      <c r="H511">
        <v>-71.564260000000004</v>
      </c>
      <c r="I511">
        <v>370</v>
      </c>
      <c r="J511">
        <v>86</v>
      </c>
      <c r="K511">
        <v>0</v>
      </c>
      <c r="L511" s="1">
        <v>44784.167384259257</v>
      </c>
      <c r="M511">
        <v>14</v>
      </c>
      <c r="N511">
        <v>13.2</v>
      </c>
      <c r="O511">
        <v>0.8</v>
      </c>
      <c r="P511">
        <v>6</v>
      </c>
      <c r="Q511">
        <v>0</v>
      </c>
      <c r="R511">
        <v>0</v>
      </c>
      <c r="S511">
        <v>0</v>
      </c>
      <c r="T511" t="s">
        <v>32</v>
      </c>
      <c r="V511">
        <v>59</v>
      </c>
      <c r="W511">
        <v>0</v>
      </c>
      <c r="X511">
        <v>59</v>
      </c>
      <c r="Y511">
        <v>0</v>
      </c>
      <c r="Z511">
        <v>0</v>
      </c>
      <c r="AA511">
        <v>0</v>
      </c>
      <c r="AB511" t="s">
        <v>36</v>
      </c>
      <c r="AC511">
        <v>59</v>
      </c>
    </row>
    <row r="512" spans="1:30" x14ac:dyDescent="0.25">
      <c r="A512" s="1">
        <v>44784.16741898148</v>
      </c>
      <c r="B512" s="1">
        <v>44784.166863425926</v>
      </c>
      <c r="C512">
        <v>151710</v>
      </c>
      <c r="D512" t="s">
        <v>41</v>
      </c>
      <c r="E512" t="s">
        <v>31</v>
      </c>
      <c r="F512">
        <v>7</v>
      </c>
      <c r="G512">
        <v>43.132477000000002</v>
      </c>
      <c r="H512">
        <v>-71.458374000000006</v>
      </c>
      <c r="I512">
        <v>230</v>
      </c>
      <c r="J512">
        <v>69</v>
      </c>
      <c r="K512">
        <v>0</v>
      </c>
      <c r="L512" s="1">
        <v>44784.167384259257</v>
      </c>
      <c r="M512">
        <v>5.8</v>
      </c>
      <c r="N512">
        <v>4.2</v>
      </c>
      <c r="O512">
        <v>1.6</v>
      </c>
      <c r="P512">
        <v>32</v>
      </c>
      <c r="Q512">
        <v>0.5</v>
      </c>
      <c r="R512">
        <v>0.1</v>
      </c>
      <c r="S512">
        <v>0.3</v>
      </c>
      <c r="T512" t="s">
        <v>33</v>
      </c>
      <c r="U512">
        <v>5</v>
      </c>
      <c r="V512">
        <v>70</v>
      </c>
      <c r="W512">
        <v>0</v>
      </c>
      <c r="X512">
        <v>70</v>
      </c>
      <c r="Y512">
        <v>1</v>
      </c>
      <c r="Z512">
        <v>0</v>
      </c>
      <c r="AA512">
        <v>1</v>
      </c>
      <c r="AB512" t="s">
        <v>36</v>
      </c>
      <c r="AC512">
        <v>70</v>
      </c>
      <c r="AD512">
        <v>0.31</v>
      </c>
    </row>
    <row r="513" spans="1:30" x14ac:dyDescent="0.25">
      <c r="A513" s="1">
        <v>44784.16741898148</v>
      </c>
      <c r="B513" s="1">
        <v>44784.166550925926</v>
      </c>
      <c r="C513">
        <v>151706</v>
      </c>
      <c r="D513" t="s">
        <v>42</v>
      </c>
      <c r="E513" t="s">
        <v>31</v>
      </c>
      <c r="F513">
        <v>7</v>
      </c>
      <c r="G513">
        <v>43.004080000000002</v>
      </c>
      <c r="H513">
        <v>-71.177040000000005</v>
      </c>
      <c r="I513">
        <v>194</v>
      </c>
      <c r="J513">
        <v>70</v>
      </c>
      <c r="K513">
        <v>0</v>
      </c>
      <c r="L513" s="1">
        <v>44784.167384259257</v>
      </c>
      <c r="M513">
        <v>2.5</v>
      </c>
      <c r="N513">
        <v>0</v>
      </c>
      <c r="O513">
        <v>2.5</v>
      </c>
      <c r="P513">
        <v>200</v>
      </c>
      <c r="Q513">
        <v>0.2</v>
      </c>
      <c r="R513">
        <v>0</v>
      </c>
      <c r="S513">
        <v>0.1</v>
      </c>
      <c r="T513" t="s">
        <v>43</v>
      </c>
      <c r="V513">
        <v>68</v>
      </c>
      <c r="W513">
        <v>0</v>
      </c>
      <c r="X513">
        <v>68</v>
      </c>
      <c r="Y513">
        <v>0</v>
      </c>
      <c r="Z513">
        <v>0</v>
      </c>
      <c r="AA513">
        <v>0</v>
      </c>
      <c r="AB513" t="s">
        <v>36</v>
      </c>
      <c r="AC513">
        <v>68</v>
      </c>
    </row>
    <row r="514" spans="1:30" x14ac:dyDescent="0.25">
      <c r="A514" s="1">
        <v>44784.167430555557</v>
      </c>
      <c r="B514" s="1">
        <v>44784.166250000002</v>
      </c>
      <c r="C514">
        <v>12212</v>
      </c>
      <c r="D514" t="s">
        <v>44</v>
      </c>
      <c r="E514" t="s">
        <v>35</v>
      </c>
      <c r="F514">
        <v>7</v>
      </c>
      <c r="G514">
        <v>42.930529999999997</v>
      </c>
      <c r="H514">
        <v>-72.272350000000003</v>
      </c>
      <c r="I514">
        <v>476</v>
      </c>
      <c r="J514">
        <v>75</v>
      </c>
      <c r="K514">
        <v>0</v>
      </c>
      <c r="L514" s="1">
        <v>44784.167384259257</v>
      </c>
      <c r="M514">
        <v>3.7</v>
      </c>
      <c r="N514">
        <v>3.1</v>
      </c>
      <c r="O514">
        <v>0.6</v>
      </c>
      <c r="P514">
        <v>18</v>
      </c>
      <c r="Q514">
        <v>0</v>
      </c>
      <c r="R514">
        <v>0</v>
      </c>
      <c r="S514">
        <v>0</v>
      </c>
      <c r="T514" t="s">
        <v>33</v>
      </c>
      <c r="U514">
        <v>3.4</v>
      </c>
      <c r="V514">
        <v>86</v>
      </c>
      <c r="W514">
        <v>0</v>
      </c>
      <c r="X514">
        <v>86</v>
      </c>
      <c r="Y514">
        <v>0</v>
      </c>
      <c r="Z514">
        <v>0</v>
      </c>
      <c r="AA514">
        <v>0</v>
      </c>
      <c r="AB514" t="s">
        <v>36</v>
      </c>
      <c r="AC514">
        <v>86</v>
      </c>
      <c r="AD514">
        <v>-1.79</v>
      </c>
    </row>
    <row r="515" spans="1:30" x14ac:dyDescent="0.25">
      <c r="A515" s="1">
        <v>44784.167430555557</v>
      </c>
      <c r="B515" s="1">
        <v>44769.376736111109</v>
      </c>
      <c r="C515">
        <v>12178</v>
      </c>
      <c r="D515" t="s">
        <v>45</v>
      </c>
      <c r="E515" t="s">
        <v>35</v>
      </c>
      <c r="F515">
        <v>7</v>
      </c>
      <c r="G515">
        <v>42.899563000000001</v>
      </c>
      <c r="H515">
        <v>-71.464650000000006</v>
      </c>
      <c r="I515">
        <v>301</v>
      </c>
      <c r="J515">
        <v>85</v>
      </c>
      <c r="K515">
        <v>0</v>
      </c>
      <c r="L515" s="1">
        <v>44784.167384259257</v>
      </c>
      <c r="M515">
        <v>3.8</v>
      </c>
      <c r="N515">
        <v>3.1</v>
      </c>
      <c r="O515">
        <v>0.7</v>
      </c>
      <c r="P515">
        <v>20</v>
      </c>
      <c r="Q515">
        <v>0</v>
      </c>
      <c r="R515">
        <v>0</v>
      </c>
      <c r="S515">
        <v>0</v>
      </c>
      <c r="T515" t="s">
        <v>32</v>
      </c>
      <c r="V515">
        <v>35</v>
      </c>
      <c r="W515">
        <v>0</v>
      </c>
      <c r="X515">
        <v>35</v>
      </c>
      <c r="Y515">
        <v>0</v>
      </c>
      <c r="Z515">
        <v>0</v>
      </c>
      <c r="AA515">
        <v>0</v>
      </c>
      <c r="AB515" t="s">
        <v>36</v>
      </c>
      <c r="AC515">
        <v>35</v>
      </c>
    </row>
    <row r="516" spans="1:30" x14ac:dyDescent="0.25">
      <c r="A516" s="1">
        <v>44784.167430555557</v>
      </c>
      <c r="B516" s="1">
        <v>44784.165601851855</v>
      </c>
      <c r="C516">
        <v>75981</v>
      </c>
      <c r="D516" t="s">
        <v>46</v>
      </c>
      <c r="E516" t="s">
        <v>35</v>
      </c>
      <c r="F516">
        <v>7</v>
      </c>
      <c r="G516">
        <v>42.97</v>
      </c>
      <c r="H516">
        <v>-71.06</v>
      </c>
      <c r="I516">
        <v>136</v>
      </c>
      <c r="J516">
        <v>75</v>
      </c>
      <c r="K516">
        <v>0</v>
      </c>
      <c r="L516" s="1">
        <v>44784.167384259257</v>
      </c>
      <c r="M516">
        <v>3.5</v>
      </c>
      <c r="N516">
        <v>3.4</v>
      </c>
      <c r="O516">
        <v>0.1</v>
      </c>
      <c r="P516">
        <v>3</v>
      </c>
      <c r="Q516">
        <v>0</v>
      </c>
      <c r="R516">
        <v>0.1</v>
      </c>
      <c r="S516">
        <v>0.05</v>
      </c>
      <c r="T516" t="s">
        <v>33</v>
      </c>
      <c r="U516">
        <v>3.45</v>
      </c>
      <c r="V516">
        <v>61</v>
      </c>
      <c r="W516">
        <v>0</v>
      </c>
      <c r="X516">
        <v>61</v>
      </c>
      <c r="Y516">
        <v>1</v>
      </c>
      <c r="Z516">
        <v>0</v>
      </c>
      <c r="AA516">
        <v>1</v>
      </c>
      <c r="AB516" t="s">
        <v>36</v>
      </c>
      <c r="AC516">
        <v>61</v>
      </c>
      <c r="AD516">
        <v>-0.01</v>
      </c>
    </row>
    <row r="517" spans="1:30" x14ac:dyDescent="0.25">
      <c r="A517" s="1">
        <v>44784.167430555557</v>
      </c>
      <c r="B517" s="1">
        <v>44784.166134259256</v>
      </c>
      <c r="C517">
        <v>115703</v>
      </c>
      <c r="D517" t="s">
        <v>47</v>
      </c>
      <c r="E517" t="s">
        <v>35</v>
      </c>
      <c r="F517">
        <v>7</v>
      </c>
      <c r="G517">
        <v>43.953625000000002</v>
      </c>
      <c r="H517">
        <v>-71.508859999999999</v>
      </c>
      <c r="I517">
        <v>1493</v>
      </c>
      <c r="J517">
        <v>63</v>
      </c>
      <c r="K517">
        <v>0</v>
      </c>
      <c r="L517" s="1">
        <v>44784.167384259257</v>
      </c>
      <c r="M517">
        <v>0</v>
      </c>
      <c r="N517">
        <v>300.89999999999998</v>
      </c>
      <c r="O517">
        <v>300.89999999999998</v>
      </c>
      <c r="P517">
        <v>200</v>
      </c>
      <c r="Q517">
        <v>0</v>
      </c>
      <c r="R517">
        <v>0</v>
      </c>
      <c r="S517">
        <v>0</v>
      </c>
      <c r="T517" t="s">
        <v>48</v>
      </c>
      <c r="V517">
        <v>68</v>
      </c>
      <c r="W517">
        <v>0</v>
      </c>
      <c r="X517">
        <v>68</v>
      </c>
      <c r="Y517">
        <v>0</v>
      </c>
      <c r="Z517">
        <v>0</v>
      </c>
      <c r="AA517">
        <v>0</v>
      </c>
      <c r="AB517" t="s">
        <v>36</v>
      </c>
      <c r="AC517">
        <v>68</v>
      </c>
    </row>
    <row r="518" spans="1:30" x14ac:dyDescent="0.25">
      <c r="A518" s="1">
        <v>44784.167442129627</v>
      </c>
      <c r="B518" s="1">
        <v>44784.166932870372</v>
      </c>
      <c r="C518">
        <v>12050</v>
      </c>
      <c r="D518" t="s">
        <v>49</v>
      </c>
      <c r="E518" t="s">
        <v>35</v>
      </c>
      <c r="F518">
        <v>7</v>
      </c>
      <c r="G518">
        <v>44.220573000000002</v>
      </c>
      <c r="H518">
        <v>-71.732315</v>
      </c>
      <c r="I518">
        <v>999</v>
      </c>
      <c r="J518">
        <v>69</v>
      </c>
      <c r="K518">
        <v>0</v>
      </c>
      <c r="L518" s="1">
        <v>44784.167384259257</v>
      </c>
      <c r="M518">
        <v>2.7</v>
      </c>
      <c r="N518">
        <v>2.8</v>
      </c>
      <c r="O518">
        <v>0.1</v>
      </c>
      <c r="P518">
        <v>4</v>
      </c>
      <c r="Q518">
        <v>0</v>
      </c>
      <c r="R518">
        <v>0</v>
      </c>
      <c r="S518">
        <v>0</v>
      </c>
      <c r="T518" t="s">
        <v>33</v>
      </c>
      <c r="U518">
        <v>2.75</v>
      </c>
      <c r="V518">
        <v>58</v>
      </c>
      <c r="W518">
        <v>0</v>
      </c>
      <c r="X518">
        <v>58</v>
      </c>
      <c r="Y518">
        <v>0</v>
      </c>
      <c r="Z518">
        <v>0</v>
      </c>
      <c r="AA518">
        <v>0</v>
      </c>
      <c r="AB518" t="s">
        <v>36</v>
      </c>
      <c r="AC518">
        <v>58</v>
      </c>
      <c r="AD518">
        <v>-0.22</v>
      </c>
    </row>
    <row r="519" spans="1:30" x14ac:dyDescent="0.25">
      <c r="A519" s="1">
        <v>44784.167442129627</v>
      </c>
      <c r="B519" s="1">
        <v>44784.167037037034</v>
      </c>
      <c r="C519">
        <v>23443</v>
      </c>
      <c r="D519" t="s">
        <v>50</v>
      </c>
      <c r="E519" t="s">
        <v>35</v>
      </c>
      <c r="F519">
        <v>7</v>
      </c>
      <c r="G519">
        <v>43.556139999999999</v>
      </c>
      <c r="H519">
        <v>-72.370990000000006</v>
      </c>
      <c r="I519">
        <v>523</v>
      </c>
      <c r="J519">
        <v>69</v>
      </c>
      <c r="K519">
        <v>0</v>
      </c>
      <c r="L519" s="1">
        <v>44784.167384259257</v>
      </c>
      <c r="M519">
        <v>3.9</v>
      </c>
      <c r="N519">
        <v>3.5</v>
      </c>
      <c r="O519">
        <v>0.4</v>
      </c>
      <c r="P519">
        <v>11</v>
      </c>
      <c r="Q519">
        <v>0.1</v>
      </c>
      <c r="R519">
        <v>0.2</v>
      </c>
      <c r="S519">
        <v>0.15</v>
      </c>
      <c r="T519" t="s">
        <v>33</v>
      </c>
      <c r="U519">
        <v>3.7</v>
      </c>
      <c r="V519">
        <v>67</v>
      </c>
      <c r="W519">
        <v>0</v>
      </c>
      <c r="X519">
        <v>67</v>
      </c>
      <c r="Y519">
        <v>1</v>
      </c>
      <c r="Z519">
        <v>0</v>
      </c>
      <c r="AA519">
        <v>1</v>
      </c>
      <c r="AB519" t="s">
        <v>36</v>
      </c>
      <c r="AC519">
        <v>67</v>
      </c>
      <c r="AD519">
        <v>-0.27</v>
      </c>
    </row>
    <row r="520" spans="1:30" x14ac:dyDescent="0.25">
      <c r="A520" s="1">
        <v>44784.167442129627</v>
      </c>
      <c r="B520" s="1">
        <v>44784.167129629626</v>
      </c>
      <c r="C520">
        <v>58135</v>
      </c>
      <c r="D520" t="s">
        <v>51</v>
      </c>
      <c r="E520" t="s">
        <v>35</v>
      </c>
      <c r="F520">
        <v>7</v>
      </c>
      <c r="G520">
        <v>42.883873000000001</v>
      </c>
      <c r="H520">
        <v>-71.972915999999998</v>
      </c>
      <c r="I520">
        <v>808</v>
      </c>
      <c r="J520">
        <v>70</v>
      </c>
      <c r="K520">
        <v>0</v>
      </c>
      <c r="L520" s="1">
        <v>44784.167384259257</v>
      </c>
      <c r="M520">
        <v>8</v>
      </c>
      <c r="N520">
        <v>5.2</v>
      </c>
      <c r="O520">
        <v>2.8</v>
      </c>
      <c r="P520">
        <v>42</v>
      </c>
      <c r="Q520">
        <v>0.4</v>
      </c>
      <c r="R520">
        <v>0</v>
      </c>
      <c r="S520">
        <v>0.2</v>
      </c>
      <c r="T520" t="s">
        <v>33</v>
      </c>
      <c r="U520">
        <v>6.6</v>
      </c>
      <c r="V520">
        <v>72</v>
      </c>
      <c r="W520">
        <v>0</v>
      </c>
      <c r="X520">
        <v>72</v>
      </c>
      <c r="Y520">
        <v>0</v>
      </c>
      <c r="Z520">
        <v>0</v>
      </c>
      <c r="AA520">
        <v>0</v>
      </c>
      <c r="AB520" t="s">
        <v>36</v>
      </c>
      <c r="AC520">
        <v>72</v>
      </c>
      <c r="AD520">
        <v>1.1499999999999999</v>
      </c>
    </row>
    <row r="521" spans="1:30" x14ac:dyDescent="0.25">
      <c r="A521" s="1">
        <v>44784.167442129627</v>
      </c>
      <c r="B521" s="1">
        <v>44784.165798611109</v>
      </c>
      <c r="C521">
        <v>148555</v>
      </c>
      <c r="D521" t="s">
        <v>52</v>
      </c>
      <c r="E521" t="s">
        <v>53</v>
      </c>
      <c r="F521">
        <v>7</v>
      </c>
      <c r="G521">
        <v>42.904949999999999</v>
      </c>
      <c r="H521">
        <v>-71.386764999999997</v>
      </c>
      <c r="I521">
        <v>363</v>
      </c>
      <c r="J521">
        <v>0</v>
      </c>
      <c r="K521">
        <v>0</v>
      </c>
      <c r="L521" s="1">
        <v>44784.167384259257</v>
      </c>
      <c r="M521">
        <v>1.9</v>
      </c>
      <c r="N521">
        <v>2.5</v>
      </c>
      <c r="O521">
        <v>0.6</v>
      </c>
      <c r="P521">
        <v>27</v>
      </c>
      <c r="Q521">
        <v>0</v>
      </c>
      <c r="R521">
        <v>0.1</v>
      </c>
      <c r="S521">
        <v>0.05</v>
      </c>
      <c r="T521" t="s">
        <v>33</v>
      </c>
      <c r="U521">
        <v>2.2000000000000002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 t="s">
        <v>38</v>
      </c>
    </row>
    <row r="522" spans="1:30" x14ac:dyDescent="0.25">
      <c r="A522" s="1">
        <v>44784.167453703703</v>
      </c>
      <c r="B522" s="1">
        <v>44784.166724537034</v>
      </c>
      <c r="C522">
        <v>146644</v>
      </c>
      <c r="D522" t="s">
        <v>54</v>
      </c>
      <c r="E522" t="s">
        <v>53</v>
      </c>
      <c r="F522">
        <v>7</v>
      </c>
      <c r="G522">
        <v>43.06015</v>
      </c>
      <c r="H522">
        <v>-70.758930000000007</v>
      </c>
      <c r="I522">
        <v>35</v>
      </c>
      <c r="J522">
        <v>69</v>
      </c>
      <c r="K522">
        <v>71</v>
      </c>
      <c r="L522" s="1">
        <v>44784.167384259257</v>
      </c>
      <c r="M522">
        <v>6.3</v>
      </c>
      <c r="N522">
        <v>5.2</v>
      </c>
      <c r="O522">
        <v>1.1000000000000001</v>
      </c>
      <c r="P522">
        <v>19</v>
      </c>
      <c r="Q522">
        <v>0.4</v>
      </c>
      <c r="R522">
        <v>0.1</v>
      </c>
      <c r="S522">
        <v>0.25</v>
      </c>
      <c r="T522" t="s">
        <v>33</v>
      </c>
      <c r="U522">
        <v>5.75</v>
      </c>
      <c r="V522">
        <v>68</v>
      </c>
      <c r="W522">
        <v>72</v>
      </c>
      <c r="X522">
        <v>4</v>
      </c>
      <c r="Y522">
        <v>0</v>
      </c>
      <c r="Z522">
        <v>0</v>
      </c>
      <c r="AA522">
        <v>0</v>
      </c>
      <c r="AB522" t="s">
        <v>33</v>
      </c>
      <c r="AC522">
        <v>70</v>
      </c>
      <c r="AD522">
        <v>0.77</v>
      </c>
    </row>
    <row r="523" spans="1:30" x14ac:dyDescent="0.25">
      <c r="A523" s="1">
        <v>44784.167453703703</v>
      </c>
      <c r="B523" s="1">
        <v>43755.283437500002</v>
      </c>
      <c r="C523">
        <v>12188</v>
      </c>
      <c r="D523" t="s">
        <v>55</v>
      </c>
      <c r="E523" t="s">
        <v>35</v>
      </c>
      <c r="F523">
        <v>4.1100000000000003</v>
      </c>
      <c r="G523">
        <v>42.927050000000001</v>
      </c>
      <c r="H523">
        <v>-72.279610000000005</v>
      </c>
      <c r="I523">
        <v>475</v>
      </c>
      <c r="J523">
        <v>95</v>
      </c>
      <c r="K523">
        <v>0</v>
      </c>
      <c r="L523" s="1">
        <v>44784.167384259257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 t="s">
        <v>32</v>
      </c>
      <c r="V523">
        <v>77</v>
      </c>
      <c r="W523">
        <v>0</v>
      </c>
      <c r="X523">
        <v>77</v>
      </c>
      <c r="Y523">
        <v>0</v>
      </c>
      <c r="Z523">
        <v>0</v>
      </c>
      <c r="AA523">
        <v>0</v>
      </c>
      <c r="AB523" t="s">
        <v>36</v>
      </c>
      <c r="AC523">
        <v>77</v>
      </c>
    </row>
    <row r="524" spans="1:30" x14ac:dyDescent="0.25">
      <c r="A524" s="1">
        <v>44784.167453703703</v>
      </c>
      <c r="B524" s="1">
        <v>44784.165648148148</v>
      </c>
      <c r="C524">
        <v>1224</v>
      </c>
      <c r="D524" t="s">
        <v>56</v>
      </c>
      <c r="E524" t="s">
        <v>35</v>
      </c>
      <c r="F524" t="s">
        <v>57</v>
      </c>
      <c r="G524">
        <v>42.938034000000002</v>
      </c>
      <c r="H524">
        <v>-72.259299999999996</v>
      </c>
      <c r="I524">
        <v>792</v>
      </c>
      <c r="J524">
        <v>75</v>
      </c>
      <c r="K524">
        <v>0</v>
      </c>
      <c r="L524" s="1">
        <v>44784.167384259257</v>
      </c>
      <c r="M524">
        <v>2.8</v>
      </c>
      <c r="N524">
        <v>0</v>
      </c>
      <c r="O524">
        <v>2.8</v>
      </c>
      <c r="P524">
        <v>200</v>
      </c>
      <c r="Q524">
        <v>0.1</v>
      </c>
      <c r="R524">
        <v>0</v>
      </c>
      <c r="S524">
        <v>0.05</v>
      </c>
      <c r="T524" t="s">
        <v>43</v>
      </c>
      <c r="V524">
        <v>86</v>
      </c>
      <c r="W524">
        <v>0</v>
      </c>
      <c r="X524">
        <v>86</v>
      </c>
      <c r="Y524">
        <v>1</v>
      </c>
      <c r="Z524">
        <v>0</v>
      </c>
      <c r="AA524">
        <v>1</v>
      </c>
      <c r="AB524" t="s">
        <v>36</v>
      </c>
      <c r="AC524">
        <v>86</v>
      </c>
    </row>
    <row r="525" spans="1:30" x14ac:dyDescent="0.25">
      <c r="A525" s="1">
        <v>44784.167453703703</v>
      </c>
      <c r="B525" s="1">
        <v>44784.166504629633</v>
      </c>
      <c r="C525">
        <v>1202</v>
      </c>
      <c r="D525" t="s">
        <v>58</v>
      </c>
      <c r="E525" t="s">
        <v>35</v>
      </c>
      <c r="F525" t="s">
        <v>57</v>
      </c>
      <c r="G525">
        <v>42.936554000000001</v>
      </c>
      <c r="H525">
        <v>-72.271019999999993</v>
      </c>
      <c r="I525">
        <v>488</v>
      </c>
      <c r="J525">
        <v>0</v>
      </c>
      <c r="K525">
        <v>0</v>
      </c>
      <c r="L525" s="1">
        <v>44784.167384259257</v>
      </c>
      <c r="M525">
        <v>4.5999999999999996</v>
      </c>
      <c r="N525">
        <v>4.4000000000000004</v>
      </c>
      <c r="O525">
        <v>0.2</v>
      </c>
      <c r="P525">
        <v>4</v>
      </c>
      <c r="Q525">
        <v>0.6</v>
      </c>
      <c r="R525">
        <v>0.7</v>
      </c>
      <c r="S525">
        <v>0.64999999999999902</v>
      </c>
      <c r="T525" t="s">
        <v>33</v>
      </c>
      <c r="U525">
        <v>4.5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t="s">
        <v>38</v>
      </c>
    </row>
    <row r="526" spans="1:30" x14ac:dyDescent="0.25">
      <c r="A526" s="1">
        <v>44784.167453703703</v>
      </c>
      <c r="B526" s="1">
        <v>44612.080023148148</v>
      </c>
      <c r="C526">
        <v>25985</v>
      </c>
      <c r="D526" t="s">
        <v>59</v>
      </c>
      <c r="E526" t="s">
        <v>35</v>
      </c>
      <c r="F526">
        <v>6.01</v>
      </c>
      <c r="G526">
        <v>42.927326000000001</v>
      </c>
      <c r="H526">
        <v>-72.279979999999995</v>
      </c>
      <c r="I526">
        <v>477</v>
      </c>
      <c r="J526">
        <v>78</v>
      </c>
      <c r="K526">
        <v>0</v>
      </c>
      <c r="L526" s="1">
        <v>44784.167384259257</v>
      </c>
      <c r="M526">
        <v>1.1000000000000001</v>
      </c>
      <c r="N526">
        <v>1</v>
      </c>
      <c r="O526">
        <v>0.1</v>
      </c>
      <c r="P526">
        <v>10</v>
      </c>
      <c r="Q526">
        <v>0</v>
      </c>
      <c r="R526">
        <v>0</v>
      </c>
      <c r="S526">
        <v>0</v>
      </c>
      <c r="T526" t="s">
        <v>32</v>
      </c>
      <c r="V526">
        <v>22</v>
      </c>
      <c r="W526">
        <v>0</v>
      </c>
      <c r="X526">
        <v>22</v>
      </c>
      <c r="Y526">
        <v>0</v>
      </c>
      <c r="Z526">
        <v>0</v>
      </c>
      <c r="AA526">
        <v>0</v>
      </c>
      <c r="AB526" t="s">
        <v>36</v>
      </c>
      <c r="AC526">
        <v>22</v>
      </c>
    </row>
    <row r="527" spans="1:30" x14ac:dyDescent="0.25">
      <c r="A527" s="1">
        <v>44784.174351851849</v>
      </c>
      <c r="B527" s="1">
        <v>44775.701319444444</v>
      </c>
      <c r="C527">
        <v>151708</v>
      </c>
      <c r="D527" t="s">
        <v>30</v>
      </c>
      <c r="E527" t="s">
        <v>31</v>
      </c>
      <c r="F527">
        <v>7</v>
      </c>
      <c r="G527">
        <v>43.192042999999998</v>
      </c>
      <c r="H527">
        <v>-71.541579999999996</v>
      </c>
      <c r="I527">
        <v>291</v>
      </c>
      <c r="J527">
        <v>93</v>
      </c>
      <c r="K527">
        <v>94</v>
      </c>
      <c r="L527" s="1">
        <v>44784.174328703702</v>
      </c>
      <c r="M527">
        <v>7.9</v>
      </c>
      <c r="N527">
        <v>7.6</v>
      </c>
      <c r="O527">
        <v>0.3</v>
      </c>
      <c r="P527">
        <v>4</v>
      </c>
      <c r="Q527">
        <v>0</v>
      </c>
      <c r="R527">
        <v>0</v>
      </c>
      <c r="S527">
        <v>0</v>
      </c>
      <c r="T527" t="s">
        <v>32</v>
      </c>
      <c r="V527">
        <v>42</v>
      </c>
      <c r="W527">
        <v>41</v>
      </c>
      <c r="X527">
        <v>1</v>
      </c>
      <c r="Y527">
        <v>0</v>
      </c>
      <c r="Z527">
        <v>0</v>
      </c>
      <c r="AA527">
        <v>0</v>
      </c>
      <c r="AB527" t="s">
        <v>33</v>
      </c>
      <c r="AC527">
        <v>41.5</v>
      </c>
    </row>
    <row r="528" spans="1:30" x14ac:dyDescent="0.25">
      <c r="A528" s="1">
        <v>44784.174351851849</v>
      </c>
      <c r="B528" s="1">
        <v>44784.172638888886</v>
      </c>
      <c r="C528">
        <v>143456</v>
      </c>
      <c r="D528" t="s">
        <v>34</v>
      </c>
      <c r="E528" t="s">
        <v>35</v>
      </c>
      <c r="F528">
        <v>7</v>
      </c>
      <c r="G528">
        <v>43.08963</v>
      </c>
      <c r="H528">
        <v>-71.502440000000007</v>
      </c>
      <c r="I528">
        <v>619</v>
      </c>
      <c r="J528">
        <v>68</v>
      </c>
      <c r="K528">
        <v>0</v>
      </c>
      <c r="L528" s="1">
        <v>44784.174328703702</v>
      </c>
      <c r="M528">
        <v>2.8</v>
      </c>
      <c r="N528">
        <v>3.1</v>
      </c>
      <c r="O528">
        <v>0.3</v>
      </c>
      <c r="P528">
        <v>10</v>
      </c>
      <c r="Q528">
        <v>0</v>
      </c>
      <c r="R528">
        <v>0.1</v>
      </c>
      <c r="S528">
        <v>0.05</v>
      </c>
      <c r="T528" t="s">
        <v>33</v>
      </c>
      <c r="U528">
        <v>2.95</v>
      </c>
      <c r="V528">
        <v>73</v>
      </c>
      <c r="W528">
        <v>0</v>
      </c>
      <c r="X528">
        <v>73</v>
      </c>
      <c r="Y528">
        <v>1</v>
      </c>
      <c r="Z528">
        <v>0</v>
      </c>
      <c r="AA528">
        <v>1</v>
      </c>
      <c r="AB528" t="s">
        <v>36</v>
      </c>
      <c r="AC528">
        <v>73</v>
      </c>
      <c r="AD528">
        <v>-1.1499999999999999</v>
      </c>
    </row>
    <row r="529" spans="1:30" x14ac:dyDescent="0.25">
      <c r="A529" s="1">
        <v>44784.174363425926</v>
      </c>
      <c r="B529" s="1">
        <v>44784.172835648147</v>
      </c>
      <c r="C529">
        <v>151702</v>
      </c>
      <c r="D529" t="s">
        <v>37</v>
      </c>
      <c r="E529" t="s">
        <v>31</v>
      </c>
      <c r="F529">
        <v>7</v>
      </c>
      <c r="G529">
        <v>43.118609999999997</v>
      </c>
      <c r="H529">
        <v>-71.61618</v>
      </c>
      <c r="I529">
        <v>885</v>
      </c>
      <c r="J529">
        <v>0</v>
      </c>
      <c r="K529">
        <v>0</v>
      </c>
      <c r="L529" s="1">
        <v>44784.174328703702</v>
      </c>
      <c r="M529">
        <v>4</v>
      </c>
      <c r="N529">
        <v>3.9</v>
      </c>
      <c r="O529">
        <v>0.1</v>
      </c>
      <c r="P529">
        <v>3</v>
      </c>
      <c r="Q529">
        <v>0.1</v>
      </c>
      <c r="R529">
        <v>0.1</v>
      </c>
      <c r="S529">
        <v>0.1</v>
      </c>
      <c r="T529" t="s">
        <v>33</v>
      </c>
      <c r="U529">
        <v>3.95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 t="s">
        <v>38</v>
      </c>
    </row>
    <row r="530" spans="1:30" x14ac:dyDescent="0.25">
      <c r="A530" s="1">
        <v>44784.174363425926</v>
      </c>
      <c r="B530" s="1">
        <v>44784.172719907408</v>
      </c>
      <c r="C530">
        <v>151700</v>
      </c>
      <c r="D530" t="s">
        <v>30</v>
      </c>
      <c r="E530" t="s">
        <v>31</v>
      </c>
      <c r="F530">
        <v>7</v>
      </c>
      <c r="G530">
        <v>43.19211</v>
      </c>
      <c r="H530">
        <v>-71.541460000000001</v>
      </c>
      <c r="I530">
        <v>286</v>
      </c>
      <c r="J530">
        <v>71</v>
      </c>
      <c r="K530">
        <v>0</v>
      </c>
      <c r="L530" s="1">
        <v>44784.174328703702</v>
      </c>
      <c r="M530">
        <v>2.8</v>
      </c>
      <c r="N530">
        <v>3.3</v>
      </c>
      <c r="O530">
        <v>0.5</v>
      </c>
      <c r="P530">
        <v>16</v>
      </c>
      <c r="Q530">
        <v>0.1</v>
      </c>
      <c r="R530">
        <v>0</v>
      </c>
      <c r="S530">
        <v>0.05</v>
      </c>
      <c r="T530" t="s">
        <v>33</v>
      </c>
      <c r="U530">
        <v>3.05</v>
      </c>
      <c r="V530">
        <v>66</v>
      </c>
      <c r="W530">
        <v>0</v>
      </c>
      <c r="X530">
        <v>66</v>
      </c>
      <c r="Y530">
        <v>0</v>
      </c>
      <c r="Z530">
        <v>0</v>
      </c>
      <c r="AA530">
        <v>0</v>
      </c>
      <c r="AB530" t="s">
        <v>36</v>
      </c>
      <c r="AC530">
        <v>66</v>
      </c>
      <c r="AD530">
        <v>-0.6</v>
      </c>
    </row>
    <row r="531" spans="1:30" x14ac:dyDescent="0.25">
      <c r="A531" s="1">
        <v>44784.174363425926</v>
      </c>
      <c r="B531" s="1">
        <v>44784.173125000001</v>
      </c>
      <c r="C531">
        <v>135984</v>
      </c>
      <c r="D531" t="s">
        <v>39</v>
      </c>
      <c r="E531" t="s">
        <v>31</v>
      </c>
      <c r="F531">
        <v>7</v>
      </c>
      <c r="G531">
        <v>43.565852999999997</v>
      </c>
      <c r="H531">
        <v>-71.496129999999994</v>
      </c>
      <c r="I531">
        <v>708</v>
      </c>
      <c r="J531">
        <v>69</v>
      </c>
      <c r="K531">
        <v>0</v>
      </c>
      <c r="L531" s="1">
        <v>44784.174328703702</v>
      </c>
      <c r="M531">
        <v>4.9000000000000004</v>
      </c>
      <c r="N531">
        <v>3.9</v>
      </c>
      <c r="O531">
        <v>1</v>
      </c>
      <c r="P531">
        <v>23</v>
      </c>
      <c r="Q531">
        <v>0</v>
      </c>
      <c r="R531">
        <v>0.1</v>
      </c>
      <c r="S531">
        <v>0.05</v>
      </c>
      <c r="T531" t="s">
        <v>33</v>
      </c>
      <c r="U531">
        <v>4.4000000000000004</v>
      </c>
      <c r="V531">
        <v>90</v>
      </c>
      <c r="W531">
        <v>0</v>
      </c>
      <c r="X531">
        <v>90</v>
      </c>
      <c r="Y531">
        <v>0</v>
      </c>
      <c r="Z531">
        <v>0</v>
      </c>
      <c r="AA531">
        <v>0</v>
      </c>
      <c r="AB531" t="s">
        <v>36</v>
      </c>
      <c r="AC531">
        <v>90</v>
      </c>
      <c r="AD531">
        <v>-1.46</v>
      </c>
    </row>
    <row r="532" spans="1:30" x14ac:dyDescent="0.25">
      <c r="A532" s="1">
        <v>44784.174375000002</v>
      </c>
      <c r="B532" s="1">
        <v>44780.394780092596</v>
      </c>
      <c r="C532">
        <v>151712</v>
      </c>
      <c r="D532" t="s">
        <v>40</v>
      </c>
      <c r="E532" t="s">
        <v>31</v>
      </c>
      <c r="F532">
        <v>7</v>
      </c>
      <c r="G532">
        <v>43.289763999999998</v>
      </c>
      <c r="H532">
        <v>-71.564260000000004</v>
      </c>
      <c r="I532">
        <v>370</v>
      </c>
      <c r="J532">
        <v>86</v>
      </c>
      <c r="K532">
        <v>0</v>
      </c>
      <c r="L532" s="1">
        <v>44784.174328703702</v>
      </c>
      <c r="M532">
        <v>14</v>
      </c>
      <c r="N532">
        <v>13.2</v>
      </c>
      <c r="O532">
        <v>0.8</v>
      </c>
      <c r="P532">
        <v>6</v>
      </c>
      <c r="Q532">
        <v>0</v>
      </c>
      <c r="R532">
        <v>0</v>
      </c>
      <c r="S532">
        <v>0</v>
      </c>
      <c r="T532" t="s">
        <v>32</v>
      </c>
      <c r="V532">
        <v>59</v>
      </c>
      <c r="W532">
        <v>0</v>
      </c>
      <c r="X532">
        <v>59</v>
      </c>
      <c r="Y532">
        <v>0</v>
      </c>
      <c r="Z532">
        <v>0</v>
      </c>
      <c r="AA532">
        <v>0</v>
      </c>
      <c r="AB532" t="s">
        <v>36</v>
      </c>
      <c r="AC532">
        <v>59</v>
      </c>
    </row>
    <row r="533" spans="1:30" x14ac:dyDescent="0.25">
      <c r="A533" s="1">
        <v>44784.174375000002</v>
      </c>
      <c r="B533" s="1">
        <v>44784.173807870371</v>
      </c>
      <c r="C533">
        <v>151710</v>
      </c>
      <c r="D533" t="s">
        <v>41</v>
      </c>
      <c r="E533" t="s">
        <v>31</v>
      </c>
      <c r="F533">
        <v>7</v>
      </c>
      <c r="G533">
        <v>43.132477000000002</v>
      </c>
      <c r="H533">
        <v>-71.458374000000006</v>
      </c>
      <c r="I533">
        <v>230</v>
      </c>
      <c r="J533">
        <v>69</v>
      </c>
      <c r="K533">
        <v>0</v>
      </c>
      <c r="L533" s="1">
        <v>44784.174328703702</v>
      </c>
      <c r="M533">
        <v>5.5</v>
      </c>
      <c r="N533">
        <v>4.2</v>
      </c>
      <c r="O533">
        <v>1.3</v>
      </c>
      <c r="P533">
        <v>27</v>
      </c>
      <c r="Q533">
        <v>0.3</v>
      </c>
      <c r="R533">
        <v>0</v>
      </c>
      <c r="S533">
        <v>0.15</v>
      </c>
      <c r="T533" t="s">
        <v>33</v>
      </c>
      <c r="U533">
        <v>4.8499999999999996</v>
      </c>
      <c r="V533">
        <v>70</v>
      </c>
      <c r="W533">
        <v>0</v>
      </c>
      <c r="X533">
        <v>70</v>
      </c>
      <c r="Y533">
        <v>0</v>
      </c>
      <c r="Z533">
        <v>0</v>
      </c>
      <c r="AA533">
        <v>0</v>
      </c>
      <c r="AB533" t="s">
        <v>36</v>
      </c>
      <c r="AC533">
        <v>70</v>
      </c>
      <c r="AD533">
        <v>0.22</v>
      </c>
    </row>
    <row r="534" spans="1:30" x14ac:dyDescent="0.25">
      <c r="A534" s="1">
        <v>44784.174375000002</v>
      </c>
      <c r="B534" s="1">
        <v>44784.173506944448</v>
      </c>
      <c r="C534">
        <v>151706</v>
      </c>
      <c r="D534" t="s">
        <v>42</v>
      </c>
      <c r="E534" t="s">
        <v>31</v>
      </c>
      <c r="F534">
        <v>7</v>
      </c>
      <c r="G534">
        <v>43.004080000000002</v>
      </c>
      <c r="H534">
        <v>-71.177040000000005</v>
      </c>
      <c r="I534">
        <v>194</v>
      </c>
      <c r="J534">
        <v>70</v>
      </c>
      <c r="K534">
        <v>0</v>
      </c>
      <c r="L534" s="1">
        <v>44784.174328703702</v>
      </c>
      <c r="M534">
        <v>2.4</v>
      </c>
      <c r="N534">
        <v>0</v>
      </c>
      <c r="O534">
        <v>2.4</v>
      </c>
      <c r="P534">
        <v>200</v>
      </c>
      <c r="Q534">
        <v>0.1</v>
      </c>
      <c r="R534">
        <v>0</v>
      </c>
      <c r="S534">
        <v>0.05</v>
      </c>
      <c r="T534" t="s">
        <v>43</v>
      </c>
      <c r="V534">
        <v>69</v>
      </c>
      <c r="W534">
        <v>0</v>
      </c>
      <c r="X534">
        <v>69</v>
      </c>
      <c r="Y534">
        <v>1</v>
      </c>
      <c r="Z534">
        <v>0</v>
      </c>
      <c r="AA534">
        <v>1</v>
      </c>
      <c r="AB534" t="s">
        <v>36</v>
      </c>
      <c r="AC534">
        <v>69</v>
      </c>
    </row>
    <row r="535" spans="1:30" x14ac:dyDescent="0.25">
      <c r="A535" s="1">
        <v>44784.174375000002</v>
      </c>
      <c r="B535" s="1">
        <v>44784.173194444447</v>
      </c>
      <c r="C535">
        <v>12212</v>
      </c>
      <c r="D535" t="s">
        <v>44</v>
      </c>
      <c r="E535" t="s">
        <v>35</v>
      </c>
      <c r="F535">
        <v>7</v>
      </c>
      <c r="G535">
        <v>42.930529999999997</v>
      </c>
      <c r="H535">
        <v>-72.272350000000003</v>
      </c>
      <c r="I535">
        <v>476</v>
      </c>
      <c r="J535">
        <v>75</v>
      </c>
      <c r="K535">
        <v>0</v>
      </c>
      <c r="L535" s="1">
        <v>44784.174328703702</v>
      </c>
      <c r="M535">
        <v>3.9</v>
      </c>
      <c r="N535">
        <v>3.4</v>
      </c>
      <c r="O535">
        <v>0.5</v>
      </c>
      <c r="P535">
        <v>14</v>
      </c>
      <c r="Q535">
        <v>0.2</v>
      </c>
      <c r="R535">
        <v>0.3</v>
      </c>
      <c r="S535">
        <v>0.25</v>
      </c>
      <c r="T535" t="s">
        <v>33</v>
      </c>
      <c r="U535">
        <v>3.65</v>
      </c>
      <c r="V535">
        <v>88</v>
      </c>
      <c r="W535">
        <v>0</v>
      </c>
      <c r="X535">
        <v>88</v>
      </c>
      <c r="Y535">
        <v>2</v>
      </c>
      <c r="Z535">
        <v>0</v>
      </c>
      <c r="AA535">
        <v>2</v>
      </c>
      <c r="AB535" t="s">
        <v>36</v>
      </c>
      <c r="AC535">
        <v>88</v>
      </c>
      <c r="AD535">
        <v>-1.77</v>
      </c>
    </row>
    <row r="536" spans="1:30" x14ac:dyDescent="0.25">
      <c r="A536" s="1">
        <v>44784.174386574072</v>
      </c>
      <c r="B536" s="1">
        <v>44769.376736111109</v>
      </c>
      <c r="C536">
        <v>12178</v>
      </c>
      <c r="D536" t="s">
        <v>45</v>
      </c>
      <c r="E536" t="s">
        <v>35</v>
      </c>
      <c r="F536">
        <v>7</v>
      </c>
      <c r="G536">
        <v>42.899563000000001</v>
      </c>
      <c r="H536">
        <v>-71.464650000000006</v>
      </c>
      <c r="I536">
        <v>301</v>
      </c>
      <c r="J536">
        <v>85</v>
      </c>
      <c r="K536">
        <v>0</v>
      </c>
      <c r="L536" s="1">
        <v>44784.174328703702</v>
      </c>
      <c r="M536">
        <v>3.8</v>
      </c>
      <c r="N536">
        <v>3.1</v>
      </c>
      <c r="O536">
        <v>0.7</v>
      </c>
      <c r="P536">
        <v>20</v>
      </c>
      <c r="Q536">
        <v>0</v>
      </c>
      <c r="R536">
        <v>0</v>
      </c>
      <c r="S536">
        <v>0</v>
      </c>
      <c r="T536" t="s">
        <v>32</v>
      </c>
      <c r="V536">
        <v>35</v>
      </c>
      <c r="W536">
        <v>0</v>
      </c>
      <c r="X536">
        <v>35</v>
      </c>
      <c r="Y536">
        <v>0</v>
      </c>
      <c r="Z536">
        <v>0</v>
      </c>
      <c r="AA536">
        <v>0</v>
      </c>
      <c r="AB536" t="s">
        <v>36</v>
      </c>
      <c r="AC536">
        <v>35</v>
      </c>
    </row>
    <row r="537" spans="1:30" x14ac:dyDescent="0.25">
      <c r="A537" s="1">
        <v>44784.174386574072</v>
      </c>
      <c r="B537" s="1">
        <v>44784.172546296293</v>
      </c>
      <c r="C537">
        <v>75981</v>
      </c>
      <c r="D537" t="s">
        <v>46</v>
      </c>
      <c r="E537" t="s">
        <v>35</v>
      </c>
      <c r="F537">
        <v>7</v>
      </c>
      <c r="G537">
        <v>42.97</v>
      </c>
      <c r="H537">
        <v>-71.06</v>
      </c>
      <c r="I537">
        <v>136</v>
      </c>
      <c r="J537">
        <v>75</v>
      </c>
      <c r="K537">
        <v>0</v>
      </c>
      <c r="L537" s="1">
        <v>44784.174328703702</v>
      </c>
      <c r="M537">
        <v>3.6</v>
      </c>
      <c r="N537">
        <v>3.3</v>
      </c>
      <c r="O537">
        <v>0.3</v>
      </c>
      <c r="P537">
        <v>9</v>
      </c>
      <c r="Q537">
        <v>0.1</v>
      </c>
      <c r="R537">
        <v>0.1</v>
      </c>
      <c r="S537">
        <v>0.1</v>
      </c>
      <c r="T537" t="s">
        <v>33</v>
      </c>
      <c r="U537">
        <v>3.45</v>
      </c>
      <c r="V537">
        <v>61</v>
      </c>
      <c r="W537">
        <v>0</v>
      </c>
      <c r="X537">
        <v>61</v>
      </c>
      <c r="Y537">
        <v>0</v>
      </c>
      <c r="Z537">
        <v>0</v>
      </c>
      <c r="AA537">
        <v>0</v>
      </c>
      <c r="AB537" t="s">
        <v>36</v>
      </c>
      <c r="AC537">
        <v>61</v>
      </c>
      <c r="AD537">
        <v>-0.01</v>
      </c>
    </row>
    <row r="538" spans="1:30" x14ac:dyDescent="0.25">
      <c r="A538" s="1">
        <v>44784.174386574072</v>
      </c>
      <c r="B538" s="1">
        <v>44784.173078703701</v>
      </c>
      <c r="C538">
        <v>115703</v>
      </c>
      <c r="D538" t="s">
        <v>47</v>
      </c>
      <c r="E538" t="s">
        <v>35</v>
      </c>
      <c r="F538">
        <v>7</v>
      </c>
      <c r="G538">
        <v>43.953625000000002</v>
      </c>
      <c r="H538">
        <v>-71.508859999999999</v>
      </c>
      <c r="I538">
        <v>1493</v>
      </c>
      <c r="J538">
        <v>63</v>
      </c>
      <c r="K538">
        <v>0</v>
      </c>
      <c r="L538" s="1">
        <v>44784.174328703702</v>
      </c>
      <c r="M538">
        <v>0</v>
      </c>
      <c r="N538">
        <v>300.89999999999998</v>
      </c>
      <c r="O538">
        <v>300.89999999999998</v>
      </c>
      <c r="P538">
        <v>200</v>
      </c>
      <c r="Q538">
        <v>0</v>
      </c>
      <c r="R538">
        <v>0</v>
      </c>
      <c r="S538">
        <v>0</v>
      </c>
      <c r="T538" t="s">
        <v>48</v>
      </c>
      <c r="V538">
        <v>68</v>
      </c>
      <c r="W538">
        <v>0</v>
      </c>
      <c r="X538">
        <v>68</v>
      </c>
      <c r="Y538">
        <v>0</v>
      </c>
      <c r="Z538">
        <v>0</v>
      </c>
      <c r="AA538">
        <v>0</v>
      </c>
      <c r="AB538" t="s">
        <v>36</v>
      </c>
      <c r="AC538">
        <v>68</v>
      </c>
    </row>
    <row r="539" spans="1:30" x14ac:dyDescent="0.25">
      <c r="A539" s="1">
        <v>44784.174386574072</v>
      </c>
      <c r="B539" s="1">
        <v>44784.173888888887</v>
      </c>
      <c r="C539">
        <v>12050</v>
      </c>
      <c r="D539" t="s">
        <v>49</v>
      </c>
      <c r="E539" t="s">
        <v>35</v>
      </c>
      <c r="F539">
        <v>7</v>
      </c>
      <c r="G539">
        <v>44.220573000000002</v>
      </c>
      <c r="H539">
        <v>-71.732315</v>
      </c>
      <c r="I539">
        <v>999</v>
      </c>
      <c r="J539">
        <v>69</v>
      </c>
      <c r="K539">
        <v>0</v>
      </c>
      <c r="L539" s="1">
        <v>44784.174328703702</v>
      </c>
      <c r="M539">
        <v>2.8</v>
      </c>
      <c r="N539">
        <v>2.8</v>
      </c>
      <c r="O539">
        <v>0</v>
      </c>
      <c r="P539">
        <v>0</v>
      </c>
      <c r="Q539">
        <v>0.1</v>
      </c>
      <c r="R539">
        <v>0</v>
      </c>
      <c r="S539">
        <v>0.05</v>
      </c>
      <c r="T539" t="s">
        <v>33</v>
      </c>
      <c r="U539">
        <v>2.8</v>
      </c>
      <c r="V539">
        <v>58</v>
      </c>
      <c r="W539">
        <v>0</v>
      </c>
      <c r="X539">
        <v>58</v>
      </c>
      <c r="Y539">
        <v>0</v>
      </c>
      <c r="Z539">
        <v>0</v>
      </c>
      <c r="AA539">
        <v>0</v>
      </c>
      <c r="AB539" t="s">
        <v>36</v>
      </c>
      <c r="AC539">
        <v>58</v>
      </c>
      <c r="AD539">
        <v>-0.19</v>
      </c>
    </row>
    <row r="540" spans="1:30" x14ac:dyDescent="0.25">
      <c r="A540" s="1">
        <v>44784.174398148149</v>
      </c>
      <c r="B540" s="1">
        <v>44784.173981481479</v>
      </c>
      <c r="C540">
        <v>23443</v>
      </c>
      <c r="D540" t="s">
        <v>50</v>
      </c>
      <c r="E540" t="s">
        <v>35</v>
      </c>
      <c r="F540">
        <v>7</v>
      </c>
      <c r="G540">
        <v>43.556139999999999</v>
      </c>
      <c r="H540">
        <v>-72.370990000000006</v>
      </c>
      <c r="I540">
        <v>523</v>
      </c>
      <c r="J540">
        <v>69</v>
      </c>
      <c r="K540">
        <v>0</v>
      </c>
      <c r="L540" s="1">
        <v>44784.174328703702</v>
      </c>
      <c r="M540">
        <v>3.9</v>
      </c>
      <c r="N540">
        <v>3.5</v>
      </c>
      <c r="O540">
        <v>0.4</v>
      </c>
      <c r="P540">
        <v>11</v>
      </c>
      <c r="Q540">
        <v>0</v>
      </c>
      <c r="R540">
        <v>0</v>
      </c>
      <c r="S540">
        <v>0</v>
      </c>
      <c r="T540" t="s">
        <v>33</v>
      </c>
      <c r="U540">
        <v>3.7</v>
      </c>
      <c r="V540">
        <v>67</v>
      </c>
      <c r="W540">
        <v>0</v>
      </c>
      <c r="X540">
        <v>67</v>
      </c>
      <c r="Y540">
        <v>0</v>
      </c>
      <c r="Z540">
        <v>0</v>
      </c>
      <c r="AA540">
        <v>0</v>
      </c>
      <c r="AB540" t="s">
        <v>36</v>
      </c>
      <c r="AC540">
        <v>67</v>
      </c>
      <c r="AD540">
        <v>-0.27</v>
      </c>
    </row>
    <row r="541" spans="1:30" x14ac:dyDescent="0.25">
      <c r="A541" s="1">
        <v>44784.174398148149</v>
      </c>
      <c r="B541" s="1">
        <v>44784.174074074072</v>
      </c>
      <c r="C541">
        <v>58135</v>
      </c>
      <c r="D541" t="s">
        <v>51</v>
      </c>
      <c r="E541" t="s">
        <v>35</v>
      </c>
      <c r="F541">
        <v>7</v>
      </c>
      <c r="G541">
        <v>42.883873000000001</v>
      </c>
      <c r="H541">
        <v>-71.972915999999998</v>
      </c>
      <c r="I541">
        <v>808</v>
      </c>
      <c r="J541">
        <v>70</v>
      </c>
      <c r="K541">
        <v>0</v>
      </c>
      <c r="L541" s="1">
        <v>44784.174328703702</v>
      </c>
      <c r="M541">
        <v>8</v>
      </c>
      <c r="N541">
        <v>5.3</v>
      </c>
      <c r="O541">
        <v>2.7</v>
      </c>
      <c r="P541">
        <v>41</v>
      </c>
      <c r="Q541">
        <v>0</v>
      </c>
      <c r="R541">
        <v>0.1</v>
      </c>
      <c r="S541">
        <v>0.05</v>
      </c>
      <c r="T541" t="s">
        <v>33</v>
      </c>
      <c r="U541">
        <v>6.65</v>
      </c>
      <c r="V541">
        <v>72</v>
      </c>
      <c r="W541">
        <v>0</v>
      </c>
      <c r="X541">
        <v>72</v>
      </c>
      <c r="Y541">
        <v>0</v>
      </c>
      <c r="Z541">
        <v>0</v>
      </c>
      <c r="AA541">
        <v>0</v>
      </c>
      <c r="AB541" t="s">
        <v>36</v>
      </c>
      <c r="AC541">
        <v>72</v>
      </c>
      <c r="AD541">
        <v>1.18</v>
      </c>
    </row>
    <row r="542" spans="1:30" x14ac:dyDescent="0.25">
      <c r="A542" s="1">
        <v>44784.174398148149</v>
      </c>
      <c r="B542" s="1">
        <v>44784.172743055555</v>
      </c>
      <c r="C542">
        <v>148555</v>
      </c>
      <c r="D542" t="s">
        <v>52</v>
      </c>
      <c r="E542" t="s">
        <v>53</v>
      </c>
      <c r="F542">
        <v>7</v>
      </c>
      <c r="G542">
        <v>42.904949999999999</v>
      </c>
      <c r="H542">
        <v>-71.386764999999997</v>
      </c>
      <c r="I542">
        <v>363</v>
      </c>
      <c r="J542">
        <v>0</v>
      </c>
      <c r="K542">
        <v>0</v>
      </c>
      <c r="L542" s="1">
        <v>44784.174328703702</v>
      </c>
      <c r="M542">
        <v>2</v>
      </c>
      <c r="N542">
        <v>2.6</v>
      </c>
      <c r="O542">
        <v>0.6</v>
      </c>
      <c r="P542">
        <v>26</v>
      </c>
      <c r="Q542">
        <v>0.1</v>
      </c>
      <c r="R542">
        <v>0.1</v>
      </c>
      <c r="S542">
        <v>0.1</v>
      </c>
      <c r="T542" t="s">
        <v>33</v>
      </c>
      <c r="U542">
        <v>2.2999999999999998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">
        <v>38</v>
      </c>
    </row>
    <row r="543" spans="1:30" x14ac:dyDescent="0.25">
      <c r="A543" s="1">
        <v>44784.174398148149</v>
      </c>
      <c r="B543" s="1">
        <v>44784.173668981479</v>
      </c>
      <c r="C543">
        <v>146644</v>
      </c>
      <c r="D543" t="s">
        <v>54</v>
      </c>
      <c r="E543" t="s">
        <v>53</v>
      </c>
      <c r="F543">
        <v>7</v>
      </c>
      <c r="G543">
        <v>43.06015</v>
      </c>
      <c r="H543">
        <v>-70.758930000000007</v>
      </c>
      <c r="I543">
        <v>35</v>
      </c>
      <c r="J543">
        <v>69</v>
      </c>
      <c r="K543">
        <v>71</v>
      </c>
      <c r="L543" s="1">
        <v>44784.174328703702</v>
      </c>
      <c r="M543">
        <v>6</v>
      </c>
      <c r="N543">
        <v>5.2</v>
      </c>
      <c r="O543">
        <v>0.8</v>
      </c>
      <c r="P543">
        <v>14</v>
      </c>
      <c r="Q543">
        <v>0.3</v>
      </c>
      <c r="R543">
        <v>0</v>
      </c>
      <c r="S543">
        <v>0.15</v>
      </c>
      <c r="T543" t="s">
        <v>33</v>
      </c>
      <c r="U543">
        <v>5.6</v>
      </c>
      <c r="V543">
        <v>68</v>
      </c>
      <c r="W543">
        <v>73</v>
      </c>
      <c r="X543">
        <v>5</v>
      </c>
      <c r="Y543">
        <v>0</v>
      </c>
      <c r="Z543">
        <v>1</v>
      </c>
      <c r="AA543">
        <v>1</v>
      </c>
      <c r="AB543" t="s">
        <v>33</v>
      </c>
      <c r="AC543">
        <v>70.5</v>
      </c>
      <c r="AD543">
        <v>0.64</v>
      </c>
    </row>
    <row r="544" spans="1:30" x14ac:dyDescent="0.25">
      <c r="A544" s="1">
        <v>44784.174409722225</v>
      </c>
      <c r="B544" s="1">
        <v>43755.283437500002</v>
      </c>
      <c r="C544">
        <v>12188</v>
      </c>
      <c r="D544" t="s">
        <v>55</v>
      </c>
      <c r="E544" t="s">
        <v>35</v>
      </c>
      <c r="F544">
        <v>4.1100000000000003</v>
      </c>
      <c r="G544">
        <v>42.927050000000001</v>
      </c>
      <c r="H544">
        <v>-72.279610000000005</v>
      </c>
      <c r="I544">
        <v>475</v>
      </c>
      <c r="J544">
        <v>95</v>
      </c>
      <c r="K544">
        <v>0</v>
      </c>
      <c r="L544" s="1">
        <v>44784.174328703702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 t="s">
        <v>32</v>
      </c>
      <c r="V544">
        <v>77</v>
      </c>
      <c r="W544">
        <v>0</v>
      </c>
      <c r="X544">
        <v>77</v>
      </c>
      <c r="Y544">
        <v>0</v>
      </c>
      <c r="Z544">
        <v>0</v>
      </c>
      <c r="AA544">
        <v>0</v>
      </c>
      <c r="AB544" t="s">
        <v>36</v>
      </c>
      <c r="AC544">
        <v>77</v>
      </c>
    </row>
    <row r="545" spans="1:30" x14ac:dyDescent="0.25">
      <c r="A545" s="1">
        <v>44784.174409722225</v>
      </c>
      <c r="B545" s="1">
        <v>44784.173981481479</v>
      </c>
      <c r="C545">
        <v>1224</v>
      </c>
      <c r="D545" t="s">
        <v>56</v>
      </c>
      <c r="E545" t="s">
        <v>35</v>
      </c>
      <c r="F545" t="s">
        <v>57</v>
      </c>
      <c r="G545">
        <v>42.938034000000002</v>
      </c>
      <c r="H545">
        <v>-72.259299999999996</v>
      </c>
      <c r="I545">
        <v>792</v>
      </c>
      <c r="J545">
        <v>75</v>
      </c>
      <c r="K545">
        <v>0</v>
      </c>
      <c r="L545" s="1">
        <v>44784.174328703702</v>
      </c>
      <c r="M545">
        <v>3</v>
      </c>
      <c r="N545">
        <v>0</v>
      </c>
      <c r="O545">
        <v>3</v>
      </c>
      <c r="P545">
        <v>200</v>
      </c>
      <c r="Q545">
        <v>0.2</v>
      </c>
      <c r="R545">
        <v>0</v>
      </c>
      <c r="S545">
        <v>0.1</v>
      </c>
      <c r="T545" t="s">
        <v>43</v>
      </c>
      <c r="V545">
        <v>86</v>
      </c>
      <c r="W545">
        <v>0</v>
      </c>
      <c r="X545">
        <v>86</v>
      </c>
      <c r="Y545">
        <v>0</v>
      </c>
      <c r="Z545">
        <v>0</v>
      </c>
      <c r="AA545">
        <v>0</v>
      </c>
      <c r="AB545" t="s">
        <v>36</v>
      </c>
      <c r="AC545">
        <v>86</v>
      </c>
    </row>
    <row r="546" spans="1:30" x14ac:dyDescent="0.25">
      <c r="A546" s="1">
        <v>44784.174409722225</v>
      </c>
      <c r="B546" s="1">
        <v>44784.173425925925</v>
      </c>
      <c r="C546">
        <v>1202</v>
      </c>
      <c r="D546" t="s">
        <v>58</v>
      </c>
      <c r="E546" t="s">
        <v>35</v>
      </c>
      <c r="F546" t="s">
        <v>57</v>
      </c>
      <c r="G546">
        <v>42.936554000000001</v>
      </c>
      <c r="H546">
        <v>-72.271019999999993</v>
      </c>
      <c r="I546">
        <v>488</v>
      </c>
      <c r="J546">
        <v>0</v>
      </c>
      <c r="K546">
        <v>0</v>
      </c>
      <c r="L546" s="1">
        <v>44784.174328703702</v>
      </c>
      <c r="M546">
        <v>4.9000000000000004</v>
      </c>
      <c r="N546">
        <v>4.8</v>
      </c>
      <c r="O546">
        <v>0.1</v>
      </c>
      <c r="P546">
        <v>2</v>
      </c>
      <c r="Q546">
        <v>0.3</v>
      </c>
      <c r="R546">
        <v>0.4</v>
      </c>
      <c r="S546">
        <v>0.35</v>
      </c>
      <c r="T546" t="s">
        <v>33</v>
      </c>
      <c r="U546">
        <v>4.8499999999999996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">
        <v>38</v>
      </c>
    </row>
    <row r="547" spans="1:30" x14ac:dyDescent="0.25">
      <c r="A547" s="1">
        <v>44784.174421296295</v>
      </c>
      <c r="B547" s="1">
        <v>44612.080023148148</v>
      </c>
      <c r="C547">
        <v>25985</v>
      </c>
      <c r="D547" t="s">
        <v>59</v>
      </c>
      <c r="E547" t="s">
        <v>35</v>
      </c>
      <c r="F547">
        <v>6.01</v>
      </c>
      <c r="G547">
        <v>42.927326000000001</v>
      </c>
      <c r="H547">
        <v>-72.279979999999995</v>
      </c>
      <c r="I547">
        <v>477</v>
      </c>
      <c r="J547">
        <v>78</v>
      </c>
      <c r="K547">
        <v>0</v>
      </c>
      <c r="L547" s="1">
        <v>44784.174328703702</v>
      </c>
      <c r="M547">
        <v>1.1000000000000001</v>
      </c>
      <c r="N547">
        <v>1</v>
      </c>
      <c r="O547">
        <v>0.1</v>
      </c>
      <c r="P547">
        <v>10</v>
      </c>
      <c r="Q547">
        <v>0</v>
      </c>
      <c r="R547">
        <v>0</v>
      </c>
      <c r="S547">
        <v>0</v>
      </c>
      <c r="T547" t="s">
        <v>32</v>
      </c>
      <c r="V547">
        <v>22</v>
      </c>
      <c r="W547">
        <v>0</v>
      </c>
      <c r="X547">
        <v>22</v>
      </c>
      <c r="Y547">
        <v>0</v>
      </c>
      <c r="Z547">
        <v>0</v>
      </c>
      <c r="AA547">
        <v>0</v>
      </c>
      <c r="AB547" t="s">
        <v>36</v>
      </c>
      <c r="AC547">
        <v>22</v>
      </c>
    </row>
    <row r="548" spans="1:30" x14ac:dyDescent="0.25">
      <c r="A548" s="1">
        <v>44784.188240740739</v>
      </c>
      <c r="B548" s="1">
        <v>44775.701319444444</v>
      </c>
      <c r="C548">
        <v>151708</v>
      </c>
      <c r="D548" t="s">
        <v>30</v>
      </c>
      <c r="E548" t="s">
        <v>31</v>
      </c>
      <c r="F548">
        <v>7</v>
      </c>
      <c r="G548">
        <v>43.192042999999998</v>
      </c>
      <c r="H548">
        <v>-71.541579999999996</v>
      </c>
      <c r="I548">
        <v>291</v>
      </c>
      <c r="J548">
        <v>93</v>
      </c>
      <c r="K548">
        <v>94</v>
      </c>
      <c r="L548" s="1">
        <v>44784.188217592593</v>
      </c>
      <c r="M548">
        <v>7.9</v>
      </c>
      <c r="N548">
        <v>7.6</v>
      </c>
      <c r="O548">
        <v>0.3</v>
      </c>
      <c r="P548">
        <v>4</v>
      </c>
      <c r="Q548">
        <v>0</v>
      </c>
      <c r="R548">
        <v>0</v>
      </c>
      <c r="S548">
        <v>0</v>
      </c>
      <c r="T548" t="s">
        <v>32</v>
      </c>
      <c r="V548">
        <v>42</v>
      </c>
      <c r="W548">
        <v>41</v>
      </c>
      <c r="X548">
        <v>1</v>
      </c>
      <c r="Y548">
        <v>0</v>
      </c>
      <c r="Z548">
        <v>0</v>
      </c>
      <c r="AA548">
        <v>0</v>
      </c>
      <c r="AB548" t="s">
        <v>33</v>
      </c>
      <c r="AC548">
        <v>41.5</v>
      </c>
    </row>
    <row r="549" spans="1:30" x14ac:dyDescent="0.25">
      <c r="A549" s="1">
        <v>44784.188240740739</v>
      </c>
      <c r="B549" s="1">
        <v>44784.186539351853</v>
      </c>
      <c r="C549">
        <v>143456</v>
      </c>
      <c r="D549" t="s">
        <v>34</v>
      </c>
      <c r="E549" t="s">
        <v>35</v>
      </c>
      <c r="F549">
        <v>7</v>
      </c>
      <c r="G549">
        <v>43.08963</v>
      </c>
      <c r="H549">
        <v>-71.502440000000007</v>
      </c>
      <c r="I549">
        <v>619</v>
      </c>
      <c r="J549">
        <v>68</v>
      </c>
      <c r="K549">
        <v>0</v>
      </c>
      <c r="L549" s="1">
        <v>44784.188217592593</v>
      </c>
      <c r="M549">
        <v>3</v>
      </c>
      <c r="N549">
        <v>3.6</v>
      </c>
      <c r="O549">
        <v>0.6</v>
      </c>
      <c r="P549">
        <v>18</v>
      </c>
      <c r="Q549">
        <v>0.2</v>
      </c>
      <c r="R549">
        <v>0.5</v>
      </c>
      <c r="S549">
        <v>0.35</v>
      </c>
      <c r="T549" t="s">
        <v>33</v>
      </c>
      <c r="U549">
        <v>3.3</v>
      </c>
      <c r="V549">
        <v>72</v>
      </c>
      <c r="W549">
        <v>0</v>
      </c>
      <c r="X549">
        <v>72</v>
      </c>
      <c r="Y549">
        <v>1</v>
      </c>
      <c r="Z549">
        <v>0</v>
      </c>
      <c r="AA549">
        <v>1</v>
      </c>
      <c r="AB549" t="s">
        <v>36</v>
      </c>
      <c r="AC549">
        <v>72</v>
      </c>
      <c r="AD549">
        <v>-0.87</v>
      </c>
    </row>
    <row r="550" spans="1:30" x14ac:dyDescent="0.25">
      <c r="A550" s="1">
        <v>44784.188240740739</v>
      </c>
      <c r="B550" s="1">
        <v>44784.188113425924</v>
      </c>
      <c r="C550">
        <v>151702</v>
      </c>
      <c r="D550" t="s">
        <v>37</v>
      </c>
      <c r="E550" t="s">
        <v>31</v>
      </c>
      <c r="F550">
        <v>7</v>
      </c>
      <c r="G550">
        <v>43.118609999999997</v>
      </c>
      <c r="H550">
        <v>-71.61618</v>
      </c>
      <c r="I550">
        <v>885</v>
      </c>
      <c r="J550">
        <v>0</v>
      </c>
      <c r="K550">
        <v>0</v>
      </c>
      <c r="L550" s="1">
        <v>44784.188217592593</v>
      </c>
      <c r="M550">
        <v>4.0999999999999996</v>
      </c>
      <c r="N550">
        <v>3.8</v>
      </c>
      <c r="O550">
        <v>0.3</v>
      </c>
      <c r="P550">
        <v>8</v>
      </c>
      <c r="Q550">
        <v>0.1</v>
      </c>
      <c r="R550">
        <v>0.1</v>
      </c>
      <c r="S550">
        <v>0.1</v>
      </c>
      <c r="T550" t="s">
        <v>33</v>
      </c>
      <c r="U550">
        <v>3.95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">
        <v>38</v>
      </c>
    </row>
    <row r="551" spans="1:30" x14ac:dyDescent="0.25">
      <c r="A551" s="1">
        <v>44784.188240740739</v>
      </c>
      <c r="B551" s="1">
        <v>44784.187997685185</v>
      </c>
      <c r="C551">
        <v>151700</v>
      </c>
      <c r="D551" t="s">
        <v>30</v>
      </c>
      <c r="E551" t="s">
        <v>31</v>
      </c>
      <c r="F551">
        <v>7</v>
      </c>
      <c r="G551">
        <v>43.19211</v>
      </c>
      <c r="H551">
        <v>-71.541460000000001</v>
      </c>
      <c r="I551">
        <v>286</v>
      </c>
      <c r="J551">
        <v>70</v>
      </c>
      <c r="K551">
        <v>0</v>
      </c>
      <c r="L551" s="1">
        <v>44784.188217592593</v>
      </c>
      <c r="M551">
        <v>3</v>
      </c>
      <c r="N551">
        <v>3.3</v>
      </c>
      <c r="O551">
        <v>0.3</v>
      </c>
      <c r="P551">
        <v>10</v>
      </c>
      <c r="Q551">
        <v>0.2</v>
      </c>
      <c r="R551">
        <v>0</v>
      </c>
      <c r="S551">
        <v>0.1</v>
      </c>
      <c r="T551" t="s">
        <v>33</v>
      </c>
      <c r="U551">
        <v>3.15</v>
      </c>
      <c r="V551">
        <v>68</v>
      </c>
      <c r="W551">
        <v>0</v>
      </c>
      <c r="X551">
        <v>68</v>
      </c>
      <c r="Y551">
        <v>2</v>
      </c>
      <c r="Z551">
        <v>0</v>
      </c>
      <c r="AA551">
        <v>2</v>
      </c>
      <c r="AB551" t="s">
        <v>36</v>
      </c>
      <c r="AC551">
        <v>68</v>
      </c>
      <c r="AD551">
        <v>-0.68</v>
      </c>
    </row>
    <row r="552" spans="1:30" x14ac:dyDescent="0.25">
      <c r="A552" s="1">
        <v>44784.188252314816</v>
      </c>
      <c r="B552" s="1">
        <v>44784.187013888892</v>
      </c>
      <c r="C552">
        <v>135984</v>
      </c>
      <c r="D552" t="s">
        <v>39</v>
      </c>
      <c r="E552" t="s">
        <v>31</v>
      </c>
      <c r="F552">
        <v>7</v>
      </c>
      <c r="G552">
        <v>43.565852999999997</v>
      </c>
      <c r="H552">
        <v>-71.496129999999994</v>
      </c>
      <c r="I552">
        <v>708</v>
      </c>
      <c r="J552">
        <v>69</v>
      </c>
      <c r="K552">
        <v>0</v>
      </c>
      <c r="L552" s="1">
        <v>44784.188217592593</v>
      </c>
      <c r="M552">
        <v>5</v>
      </c>
      <c r="N552">
        <v>3.8</v>
      </c>
      <c r="O552">
        <v>1.2</v>
      </c>
      <c r="P552">
        <v>27</v>
      </c>
      <c r="Q552">
        <v>0.1</v>
      </c>
      <c r="R552">
        <v>0.1</v>
      </c>
      <c r="S552">
        <v>0.1</v>
      </c>
      <c r="T552" t="s">
        <v>33</v>
      </c>
      <c r="U552">
        <v>4.4000000000000004</v>
      </c>
      <c r="V552">
        <v>91</v>
      </c>
      <c r="W552">
        <v>0</v>
      </c>
      <c r="X552">
        <v>91</v>
      </c>
      <c r="Y552">
        <v>1</v>
      </c>
      <c r="Z552">
        <v>0</v>
      </c>
      <c r="AA552">
        <v>1</v>
      </c>
      <c r="AB552" t="s">
        <v>36</v>
      </c>
      <c r="AC552">
        <v>91</v>
      </c>
      <c r="AD552">
        <v>-1.53</v>
      </c>
    </row>
    <row r="553" spans="1:30" x14ac:dyDescent="0.25">
      <c r="A553" s="1">
        <v>44784.188252314816</v>
      </c>
      <c r="B553" s="1">
        <v>44780.394780092596</v>
      </c>
      <c r="C553">
        <v>151712</v>
      </c>
      <c r="D553" t="s">
        <v>40</v>
      </c>
      <c r="E553" t="s">
        <v>31</v>
      </c>
      <c r="F553">
        <v>7</v>
      </c>
      <c r="G553">
        <v>43.289763999999998</v>
      </c>
      <c r="H553">
        <v>-71.564260000000004</v>
      </c>
      <c r="I553">
        <v>370</v>
      </c>
      <c r="J553">
        <v>86</v>
      </c>
      <c r="K553">
        <v>0</v>
      </c>
      <c r="L553" s="1">
        <v>44784.188217592593</v>
      </c>
      <c r="M553">
        <v>14</v>
      </c>
      <c r="N553">
        <v>13.2</v>
      </c>
      <c r="O553">
        <v>0.8</v>
      </c>
      <c r="P553">
        <v>6</v>
      </c>
      <c r="Q553">
        <v>0</v>
      </c>
      <c r="R553">
        <v>0</v>
      </c>
      <c r="S553">
        <v>0</v>
      </c>
      <c r="T553" t="s">
        <v>32</v>
      </c>
      <c r="V553">
        <v>59</v>
      </c>
      <c r="W553">
        <v>0</v>
      </c>
      <c r="X553">
        <v>59</v>
      </c>
      <c r="Y553">
        <v>0</v>
      </c>
      <c r="Z553">
        <v>0</v>
      </c>
      <c r="AA553">
        <v>0</v>
      </c>
      <c r="AB553" t="s">
        <v>36</v>
      </c>
      <c r="AC553">
        <v>59</v>
      </c>
    </row>
    <row r="554" spans="1:30" x14ac:dyDescent="0.25">
      <c r="A554" s="1">
        <v>44784.188252314816</v>
      </c>
      <c r="B554" s="1">
        <v>44784.187696759262</v>
      </c>
      <c r="C554">
        <v>151710</v>
      </c>
      <c r="D554" t="s">
        <v>41</v>
      </c>
      <c r="E554" t="s">
        <v>31</v>
      </c>
      <c r="F554">
        <v>7</v>
      </c>
      <c r="G554">
        <v>43.132477000000002</v>
      </c>
      <c r="H554">
        <v>-71.458374000000006</v>
      </c>
      <c r="I554">
        <v>230</v>
      </c>
      <c r="J554">
        <v>69</v>
      </c>
      <c r="K554">
        <v>0</v>
      </c>
      <c r="L554" s="1">
        <v>44784.188217592593</v>
      </c>
      <c r="M554">
        <v>5.6</v>
      </c>
      <c r="N554">
        <v>4.2</v>
      </c>
      <c r="O554">
        <v>1.4</v>
      </c>
      <c r="P554">
        <v>29</v>
      </c>
      <c r="Q554">
        <v>0.1</v>
      </c>
      <c r="R554">
        <v>0</v>
      </c>
      <c r="S554">
        <v>0.05</v>
      </c>
      <c r="T554" t="s">
        <v>33</v>
      </c>
      <c r="U554">
        <v>4.9000000000000004</v>
      </c>
      <c r="V554">
        <v>70</v>
      </c>
      <c r="W554">
        <v>0</v>
      </c>
      <c r="X554">
        <v>70</v>
      </c>
      <c r="Y554">
        <v>0</v>
      </c>
      <c r="Z554">
        <v>0</v>
      </c>
      <c r="AA554">
        <v>0</v>
      </c>
      <c r="AB554" t="s">
        <v>36</v>
      </c>
      <c r="AC554">
        <v>70</v>
      </c>
      <c r="AD554">
        <v>0.25</v>
      </c>
    </row>
    <row r="555" spans="1:30" x14ac:dyDescent="0.25">
      <c r="A555" s="1">
        <v>44784.188252314816</v>
      </c>
      <c r="B555" s="1">
        <v>44784.187395833331</v>
      </c>
      <c r="C555">
        <v>151706</v>
      </c>
      <c r="D555" t="s">
        <v>42</v>
      </c>
      <c r="E555" t="s">
        <v>31</v>
      </c>
      <c r="F555">
        <v>7</v>
      </c>
      <c r="G555">
        <v>43.004080000000002</v>
      </c>
      <c r="H555">
        <v>-71.177040000000005</v>
      </c>
      <c r="I555">
        <v>194</v>
      </c>
      <c r="J555">
        <v>69</v>
      </c>
      <c r="K555">
        <v>0</v>
      </c>
      <c r="L555" s="1">
        <v>44784.188217592593</v>
      </c>
      <c r="M555">
        <v>2.2999999999999998</v>
      </c>
      <c r="N555">
        <v>0</v>
      </c>
      <c r="O555">
        <v>2.2999999999999998</v>
      </c>
      <c r="P555">
        <v>200</v>
      </c>
      <c r="Q555">
        <v>0.1</v>
      </c>
      <c r="R555">
        <v>0</v>
      </c>
      <c r="S555">
        <v>0.05</v>
      </c>
      <c r="T555" t="s">
        <v>43</v>
      </c>
      <c r="V555">
        <v>69</v>
      </c>
      <c r="W555">
        <v>0</v>
      </c>
      <c r="X555">
        <v>69</v>
      </c>
      <c r="Y555">
        <v>0</v>
      </c>
      <c r="Z555">
        <v>0</v>
      </c>
      <c r="AA555">
        <v>0</v>
      </c>
      <c r="AB555" t="s">
        <v>36</v>
      </c>
      <c r="AC555">
        <v>69</v>
      </c>
    </row>
    <row r="556" spans="1:30" x14ac:dyDescent="0.25">
      <c r="A556" s="1">
        <v>44784.188252314816</v>
      </c>
      <c r="B556" s="1">
        <v>44784.187094907407</v>
      </c>
      <c r="C556">
        <v>12212</v>
      </c>
      <c r="D556" t="s">
        <v>44</v>
      </c>
      <c r="E556" t="s">
        <v>35</v>
      </c>
      <c r="F556">
        <v>7</v>
      </c>
      <c r="G556">
        <v>42.930529999999997</v>
      </c>
      <c r="H556">
        <v>-72.272350000000003</v>
      </c>
      <c r="I556">
        <v>476</v>
      </c>
      <c r="J556">
        <v>76</v>
      </c>
      <c r="K556">
        <v>0</v>
      </c>
      <c r="L556" s="1">
        <v>44784.188217592593</v>
      </c>
      <c r="M556">
        <v>4.7</v>
      </c>
      <c r="N556">
        <v>4</v>
      </c>
      <c r="O556">
        <v>0.7</v>
      </c>
      <c r="P556">
        <v>16</v>
      </c>
      <c r="Q556">
        <v>0.8</v>
      </c>
      <c r="R556">
        <v>0.6</v>
      </c>
      <c r="S556">
        <v>0.7</v>
      </c>
      <c r="T556" t="s">
        <v>33</v>
      </c>
      <c r="U556">
        <v>4.3499999999999996</v>
      </c>
      <c r="V556">
        <v>84</v>
      </c>
      <c r="W556">
        <v>0</v>
      </c>
      <c r="X556">
        <v>84</v>
      </c>
      <c r="Y556">
        <v>4</v>
      </c>
      <c r="Z556">
        <v>0</v>
      </c>
      <c r="AA556">
        <v>4</v>
      </c>
      <c r="AB556" t="s">
        <v>36</v>
      </c>
      <c r="AC556">
        <v>84</v>
      </c>
      <c r="AD556">
        <v>-1.07</v>
      </c>
    </row>
    <row r="557" spans="1:30" x14ac:dyDescent="0.25">
      <c r="A557" s="1">
        <v>44784.188263888886</v>
      </c>
      <c r="B557" s="1">
        <v>44769.376736111109</v>
      </c>
      <c r="C557">
        <v>12178</v>
      </c>
      <c r="D557" t="s">
        <v>45</v>
      </c>
      <c r="E557" t="s">
        <v>35</v>
      </c>
      <c r="F557">
        <v>7</v>
      </c>
      <c r="G557">
        <v>42.899563000000001</v>
      </c>
      <c r="H557">
        <v>-71.464650000000006</v>
      </c>
      <c r="I557">
        <v>301</v>
      </c>
      <c r="J557">
        <v>85</v>
      </c>
      <c r="K557">
        <v>0</v>
      </c>
      <c r="L557" s="1">
        <v>44784.188217592593</v>
      </c>
      <c r="M557">
        <v>3.8</v>
      </c>
      <c r="N557">
        <v>3.1</v>
      </c>
      <c r="O557">
        <v>0.7</v>
      </c>
      <c r="P557">
        <v>20</v>
      </c>
      <c r="Q557">
        <v>0</v>
      </c>
      <c r="R557">
        <v>0</v>
      </c>
      <c r="S557">
        <v>0</v>
      </c>
      <c r="T557" t="s">
        <v>32</v>
      </c>
      <c r="V557">
        <v>35</v>
      </c>
      <c r="W557">
        <v>0</v>
      </c>
      <c r="X557">
        <v>35</v>
      </c>
      <c r="Y557">
        <v>0</v>
      </c>
      <c r="Z557">
        <v>0</v>
      </c>
      <c r="AA557">
        <v>0</v>
      </c>
      <c r="AB557" t="s">
        <v>36</v>
      </c>
      <c r="AC557">
        <v>35</v>
      </c>
    </row>
    <row r="558" spans="1:30" x14ac:dyDescent="0.25">
      <c r="A558" s="1">
        <v>44784.188263888886</v>
      </c>
      <c r="B558" s="1">
        <v>44784.187835648147</v>
      </c>
      <c r="C558">
        <v>75981</v>
      </c>
      <c r="D558" t="s">
        <v>46</v>
      </c>
      <c r="E558" t="s">
        <v>35</v>
      </c>
      <c r="F558">
        <v>7</v>
      </c>
      <c r="G558">
        <v>42.97</v>
      </c>
      <c r="H558">
        <v>-71.06</v>
      </c>
      <c r="I558">
        <v>136</v>
      </c>
      <c r="J558">
        <v>74</v>
      </c>
      <c r="K558">
        <v>0</v>
      </c>
      <c r="L558" s="1">
        <v>44784.188217592593</v>
      </c>
      <c r="M558">
        <v>3.8</v>
      </c>
      <c r="N558">
        <v>3.4</v>
      </c>
      <c r="O558">
        <v>0.4</v>
      </c>
      <c r="P558">
        <v>11</v>
      </c>
      <c r="Q558">
        <v>0.2</v>
      </c>
      <c r="R558">
        <v>0.1</v>
      </c>
      <c r="S558">
        <v>0.15</v>
      </c>
      <c r="T558" t="s">
        <v>33</v>
      </c>
      <c r="U558">
        <v>3.6</v>
      </c>
      <c r="V558">
        <v>62</v>
      </c>
      <c r="W558">
        <v>0</v>
      </c>
      <c r="X558">
        <v>62</v>
      </c>
      <c r="Y558">
        <v>1</v>
      </c>
      <c r="Z558">
        <v>0</v>
      </c>
      <c r="AA558">
        <v>1</v>
      </c>
      <c r="AB558" t="s">
        <v>36</v>
      </c>
      <c r="AC558">
        <v>62</v>
      </c>
      <c r="AD558">
        <v>0.02</v>
      </c>
    </row>
    <row r="559" spans="1:30" x14ac:dyDescent="0.25">
      <c r="A559" s="1">
        <v>44784.188263888886</v>
      </c>
      <c r="B559" s="1">
        <v>44784.186967592592</v>
      </c>
      <c r="C559">
        <v>115703</v>
      </c>
      <c r="D559" t="s">
        <v>47</v>
      </c>
      <c r="E559" t="s">
        <v>35</v>
      </c>
      <c r="F559">
        <v>7</v>
      </c>
      <c r="G559">
        <v>43.953625000000002</v>
      </c>
      <c r="H559">
        <v>-71.508859999999999</v>
      </c>
      <c r="I559">
        <v>1493</v>
      </c>
      <c r="J559">
        <v>63</v>
      </c>
      <c r="K559">
        <v>0</v>
      </c>
      <c r="L559" s="1">
        <v>44784.188217592593</v>
      </c>
      <c r="M559">
        <v>0</v>
      </c>
      <c r="N559">
        <v>300.89999999999998</v>
      </c>
      <c r="O559">
        <v>300.89999999999998</v>
      </c>
      <c r="P559">
        <v>200</v>
      </c>
      <c r="Q559">
        <v>0</v>
      </c>
      <c r="R559">
        <v>0</v>
      </c>
      <c r="S559">
        <v>0</v>
      </c>
      <c r="T559" t="s">
        <v>48</v>
      </c>
      <c r="V559">
        <v>68</v>
      </c>
      <c r="W559">
        <v>0</v>
      </c>
      <c r="X559">
        <v>68</v>
      </c>
      <c r="Y559">
        <v>0</v>
      </c>
      <c r="Z559">
        <v>0</v>
      </c>
      <c r="AA559">
        <v>0</v>
      </c>
      <c r="AB559" t="s">
        <v>36</v>
      </c>
      <c r="AC559">
        <v>68</v>
      </c>
    </row>
    <row r="560" spans="1:30" x14ac:dyDescent="0.25">
      <c r="A560" s="1">
        <v>44784.188263888886</v>
      </c>
      <c r="B560" s="1">
        <v>44784.187777777777</v>
      </c>
      <c r="C560">
        <v>12050</v>
      </c>
      <c r="D560" t="s">
        <v>49</v>
      </c>
      <c r="E560" t="s">
        <v>35</v>
      </c>
      <c r="F560">
        <v>7</v>
      </c>
      <c r="G560">
        <v>44.220573000000002</v>
      </c>
      <c r="H560">
        <v>-71.732315</v>
      </c>
      <c r="I560">
        <v>999</v>
      </c>
      <c r="J560">
        <v>69</v>
      </c>
      <c r="K560">
        <v>0</v>
      </c>
      <c r="L560" s="1">
        <v>44784.188217592593</v>
      </c>
      <c r="M560">
        <v>2.7</v>
      </c>
      <c r="N560">
        <v>2.9</v>
      </c>
      <c r="O560">
        <v>0.2</v>
      </c>
      <c r="P560">
        <v>7</v>
      </c>
      <c r="Q560">
        <v>0.1</v>
      </c>
      <c r="R560">
        <v>0.1</v>
      </c>
      <c r="S560">
        <v>0.1</v>
      </c>
      <c r="T560" t="s">
        <v>33</v>
      </c>
      <c r="U560">
        <v>2.8</v>
      </c>
      <c r="V560">
        <v>59</v>
      </c>
      <c r="W560">
        <v>0</v>
      </c>
      <c r="X560">
        <v>59</v>
      </c>
      <c r="Y560">
        <v>1</v>
      </c>
      <c r="Z560">
        <v>0</v>
      </c>
      <c r="AA560">
        <v>1</v>
      </c>
      <c r="AB560" t="s">
        <v>36</v>
      </c>
      <c r="AC560">
        <v>59</v>
      </c>
      <c r="AD560">
        <v>-0.26</v>
      </c>
    </row>
    <row r="561" spans="1:30" x14ac:dyDescent="0.25">
      <c r="A561" s="1">
        <v>44784.188275462962</v>
      </c>
      <c r="B561" s="1">
        <v>44784.186481481483</v>
      </c>
      <c r="C561">
        <v>23443</v>
      </c>
      <c r="D561" t="s">
        <v>50</v>
      </c>
      <c r="E561" t="s">
        <v>35</v>
      </c>
      <c r="F561">
        <v>7</v>
      </c>
      <c r="G561">
        <v>43.556139999999999</v>
      </c>
      <c r="H561">
        <v>-72.370990000000006</v>
      </c>
      <c r="I561">
        <v>523</v>
      </c>
      <c r="J561">
        <v>69</v>
      </c>
      <c r="K561">
        <v>0</v>
      </c>
      <c r="L561" s="1">
        <v>44784.188217592593</v>
      </c>
      <c r="M561">
        <v>4.3</v>
      </c>
      <c r="N561">
        <v>3.7</v>
      </c>
      <c r="O561">
        <v>0.6</v>
      </c>
      <c r="P561">
        <v>15</v>
      </c>
      <c r="Q561">
        <v>0.4</v>
      </c>
      <c r="R561">
        <v>0.2</v>
      </c>
      <c r="S561">
        <v>0.3</v>
      </c>
      <c r="T561" t="s">
        <v>33</v>
      </c>
      <c r="U561">
        <v>4</v>
      </c>
      <c r="V561">
        <v>67</v>
      </c>
      <c r="W561">
        <v>0</v>
      </c>
      <c r="X561">
        <v>67</v>
      </c>
      <c r="Y561">
        <v>0</v>
      </c>
      <c r="Z561">
        <v>0</v>
      </c>
      <c r="AA561">
        <v>0</v>
      </c>
      <c r="AB561" t="s">
        <v>36</v>
      </c>
      <c r="AC561">
        <v>67</v>
      </c>
      <c r="AD561">
        <v>-0.09</v>
      </c>
    </row>
    <row r="562" spans="1:30" x14ac:dyDescent="0.25">
      <c r="A562" s="1">
        <v>44784.188275462962</v>
      </c>
      <c r="B562" s="1">
        <v>44784.186574074076</v>
      </c>
      <c r="C562">
        <v>58135</v>
      </c>
      <c r="D562" t="s">
        <v>51</v>
      </c>
      <c r="E562" t="s">
        <v>35</v>
      </c>
      <c r="F562">
        <v>7</v>
      </c>
      <c r="G562">
        <v>42.883873000000001</v>
      </c>
      <c r="H562">
        <v>-71.972915999999998</v>
      </c>
      <c r="I562">
        <v>808</v>
      </c>
      <c r="J562">
        <v>70</v>
      </c>
      <c r="K562">
        <v>0</v>
      </c>
      <c r="L562" s="1">
        <v>44784.188217592593</v>
      </c>
      <c r="M562">
        <v>8.1999999999999993</v>
      </c>
      <c r="N562">
        <v>5.5</v>
      </c>
      <c r="O562">
        <v>2.7</v>
      </c>
      <c r="P562">
        <v>39</v>
      </c>
      <c r="Q562">
        <v>0.2</v>
      </c>
      <c r="R562">
        <v>0.2</v>
      </c>
      <c r="S562">
        <v>0.2</v>
      </c>
      <c r="T562" t="s">
        <v>33</v>
      </c>
      <c r="U562">
        <v>6.85</v>
      </c>
      <c r="V562">
        <v>72</v>
      </c>
      <c r="W562">
        <v>0</v>
      </c>
      <c r="X562">
        <v>72</v>
      </c>
      <c r="Y562">
        <v>0</v>
      </c>
      <c r="Z562">
        <v>0</v>
      </c>
      <c r="AA562">
        <v>0</v>
      </c>
      <c r="AB562" t="s">
        <v>36</v>
      </c>
      <c r="AC562">
        <v>72</v>
      </c>
      <c r="AD562">
        <v>1.3</v>
      </c>
    </row>
    <row r="563" spans="1:30" x14ac:dyDescent="0.25">
      <c r="A563" s="1">
        <v>44784.188275462962</v>
      </c>
      <c r="B563" s="1">
        <v>44784.188020833331</v>
      </c>
      <c r="C563">
        <v>148555</v>
      </c>
      <c r="D563" t="s">
        <v>52</v>
      </c>
      <c r="E563" t="s">
        <v>53</v>
      </c>
      <c r="F563">
        <v>7</v>
      </c>
      <c r="G563">
        <v>42.904949999999999</v>
      </c>
      <c r="H563">
        <v>-71.386764999999997</v>
      </c>
      <c r="I563">
        <v>363</v>
      </c>
      <c r="J563">
        <v>0</v>
      </c>
      <c r="K563">
        <v>0</v>
      </c>
      <c r="L563" s="1">
        <v>44784.188217592593</v>
      </c>
      <c r="M563">
        <v>2</v>
      </c>
      <c r="N563">
        <v>2.8</v>
      </c>
      <c r="O563">
        <v>0.8</v>
      </c>
      <c r="P563">
        <v>33</v>
      </c>
      <c r="Q563">
        <v>0</v>
      </c>
      <c r="R563">
        <v>0.2</v>
      </c>
      <c r="S563">
        <v>0.1</v>
      </c>
      <c r="T563" t="s">
        <v>33</v>
      </c>
      <c r="U563">
        <v>2.4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 t="s">
        <v>38</v>
      </c>
    </row>
    <row r="564" spans="1:30" x14ac:dyDescent="0.25">
      <c r="A564" s="1">
        <v>44784.188275462962</v>
      </c>
      <c r="B564" s="1">
        <v>44784.187557870369</v>
      </c>
      <c r="C564">
        <v>146644</v>
      </c>
      <c r="D564" t="s">
        <v>54</v>
      </c>
      <c r="E564" t="s">
        <v>53</v>
      </c>
      <c r="F564">
        <v>7</v>
      </c>
      <c r="G564">
        <v>43.06015</v>
      </c>
      <c r="H564">
        <v>-70.758930000000007</v>
      </c>
      <c r="I564">
        <v>35</v>
      </c>
      <c r="J564">
        <v>69</v>
      </c>
      <c r="K564">
        <v>71</v>
      </c>
      <c r="L564" s="1">
        <v>44784.188217592593</v>
      </c>
      <c r="M564">
        <v>6.2</v>
      </c>
      <c r="N564">
        <v>5</v>
      </c>
      <c r="O564">
        <v>1.2</v>
      </c>
      <c r="P564">
        <v>21</v>
      </c>
      <c r="Q564">
        <v>0.2</v>
      </c>
      <c r="R564">
        <v>0.2</v>
      </c>
      <c r="S564">
        <v>0.2</v>
      </c>
      <c r="T564" t="s">
        <v>33</v>
      </c>
      <c r="U564">
        <v>5.6</v>
      </c>
      <c r="V564">
        <v>69</v>
      </c>
      <c r="W564">
        <v>73</v>
      </c>
      <c r="X564">
        <v>4</v>
      </c>
      <c r="Y564">
        <v>1</v>
      </c>
      <c r="Z564">
        <v>0</v>
      </c>
      <c r="AA564">
        <v>1</v>
      </c>
      <c r="AB564" t="s">
        <v>33</v>
      </c>
      <c r="AC564">
        <v>71</v>
      </c>
      <c r="AD564">
        <v>0.61</v>
      </c>
    </row>
    <row r="565" spans="1:30" x14ac:dyDescent="0.25">
      <c r="A565" s="1">
        <v>44784.188287037039</v>
      </c>
      <c r="B565" s="1">
        <v>43755.283437500002</v>
      </c>
      <c r="C565">
        <v>12188</v>
      </c>
      <c r="D565" t="s">
        <v>55</v>
      </c>
      <c r="E565" t="s">
        <v>35</v>
      </c>
      <c r="F565">
        <v>4.1100000000000003</v>
      </c>
      <c r="G565">
        <v>42.927050000000001</v>
      </c>
      <c r="H565">
        <v>-72.279610000000005</v>
      </c>
      <c r="I565">
        <v>475</v>
      </c>
      <c r="J565">
        <v>95</v>
      </c>
      <c r="K565">
        <v>0</v>
      </c>
      <c r="L565" s="1">
        <v>44784.188217592593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 t="s">
        <v>32</v>
      </c>
      <c r="V565">
        <v>77</v>
      </c>
      <c r="W565">
        <v>0</v>
      </c>
      <c r="X565">
        <v>77</v>
      </c>
      <c r="Y565">
        <v>0</v>
      </c>
      <c r="Z565">
        <v>0</v>
      </c>
      <c r="AA565">
        <v>0</v>
      </c>
      <c r="AB565" t="s">
        <v>36</v>
      </c>
      <c r="AC565">
        <v>77</v>
      </c>
    </row>
    <row r="566" spans="1:30" x14ac:dyDescent="0.25">
      <c r="A566" s="1">
        <v>44784.188287037039</v>
      </c>
      <c r="B566" s="1">
        <v>44784.186481481483</v>
      </c>
      <c r="C566">
        <v>1224</v>
      </c>
      <c r="D566" t="s">
        <v>56</v>
      </c>
      <c r="E566" t="s">
        <v>35</v>
      </c>
      <c r="F566" t="s">
        <v>57</v>
      </c>
      <c r="G566">
        <v>42.938034000000002</v>
      </c>
      <c r="H566">
        <v>-72.259299999999996</v>
      </c>
      <c r="I566">
        <v>792</v>
      </c>
      <c r="J566">
        <v>75</v>
      </c>
      <c r="K566">
        <v>0</v>
      </c>
      <c r="L566" s="1">
        <v>44784.188217592593</v>
      </c>
      <c r="M566">
        <v>4.0999999999999996</v>
      </c>
      <c r="N566">
        <v>0</v>
      </c>
      <c r="O566">
        <v>4.0999999999999996</v>
      </c>
      <c r="P566">
        <v>200</v>
      </c>
      <c r="Q566">
        <v>1.1000000000000001</v>
      </c>
      <c r="R566">
        <v>0</v>
      </c>
      <c r="S566">
        <v>0.55000000000000004</v>
      </c>
      <c r="T566" t="s">
        <v>43</v>
      </c>
      <c r="V566">
        <v>87</v>
      </c>
      <c r="W566">
        <v>0</v>
      </c>
      <c r="X566">
        <v>87</v>
      </c>
      <c r="Y566">
        <v>1</v>
      </c>
      <c r="Z566">
        <v>0</v>
      </c>
      <c r="AA566">
        <v>1</v>
      </c>
      <c r="AB566" t="s">
        <v>36</v>
      </c>
      <c r="AC566">
        <v>87</v>
      </c>
    </row>
    <row r="567" spans="1:30" x14ac:dyDescent="0.25">
      <c r="A567" s="1">
        <v>44784.188287037039</v>
      </c>
      <c r="B567" s="1">
        <v>44784.187314814815</v>
      </c>
      <c r="C567">
        <v>1202</v>
      </c>
      <c r="D567" t="s">
        <v>58</v>
      </c>
      <c r="E567" t="s">
        <v>35</v>
      </c>
      <c r="F567" t="s">
        <v>57</v>
      </c>
      <c r="G567">
        <v>42.936554000000001</v>
      </c>
      <c r="H567">
        <v>-72.271019999999993</v>
      </c>
      <c r="I567">
        <v>488</v>
      </c>
      <c r="J567">
        <v>0</v>
      </c>
      <c r="K567">
        <v>0</v>
      </c>
      <c r="L567" s="1">
        <v>44784.188217592593</v>
      </c>
      <c r="M567">
        <v>3.9</v>
      </c>
      <c r="N567">
        <v>3.9</v>
      </c>
      <c r="O567">
        <v>0</v>
      </c>
      <c r="P567">
        <v>0</v>
      </c>
      <c r="Q567">
        <v>1</v>
      </c>
      <c r="R567">
        <v>0.9</v>
      </c>
      <c r="S567">
        <v>0.95</v>
      </c>
      <c r="T567" t="s">
        <v>33</v>
      </c>
      <c r="U567">
        <v>3.9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 t="s">
        <v>38</v>
      </c>
    </row>
    <row r="568" spans="1:30" x14ac:dyDescent="0.25">
      <c r="A568" s="1">
        <v>44784.188287037039</v>
      </c>
      <c r="B568" s="1">
        <v>44612.080023148148</v>
      </c>
      <c r="C568">
        <v>25985</v>
      </c>
      <c r="D568" t="s">
        <v>59</v>
      </c>
      <c r="E568" t="s">
        <v>35</v>
      </c>
      <c r="F568">
        <v>6.01</v>
      </c>
      <c r="G568">
        <v>42.927326000000001</v>
      </c>
      <c r="H568">
        <v>-72.279979999999995</v>
      </c>
      <c r="I568">
        <v>477</v>
      </c>
      <c r="J568">
        <v>78</v>
      </c>
      <c r="K568">
        <v>0</v>
      </c>
      <c r="L568" s="1">
        <v>44784.188217592593</v>
      </c>
      <c r="M568">
        <v>1.1000000000000001</v>
      </c>
      <c r="N568">
        <v>1</v>
      </c>
      <c r="O568">
        <v>0.1</v>
      </c>
      <c r="P568">
        <v>10</v>
      </c>
      <c r="Q568">
        <v>0</v>
      </c>
      <c r="R568">
        <v>0</v>
      </c>
      <c r="S568">
        <v>0</v>
      </c>
      <c r="T568" t="s">
        <v>32</v>
      </c>
      <c r="V568">
        <v>22</v>
      </c>
      <c r="W568">
        <v>0</v>
      </c>
      <c r="X568">
        <v>22</v>
      </c>
      <c r="Y568">
        <v>0</v>
      </c>
      <c r="Z568">
        <v>0</v>
      </c>
      <c r="AA568">
        <v>0</v>
      </c>
      <c r="AB568" t="s">
        <v>36</v>
      </c>
      <c r="AC568">
        <v>22</v>
      </c>
    </row>
    <row r="569" spans="1:30" x14ac:dyDescent="0.25">
      <c r="A569" s="1">
        <v>44784.195185185185</v>
      </c>
      <c r="B569" s="1">
        <v>44775.701319444444</v>
      </c>
      <c r="C569">
        <v>151708</v>
      </c>
      <c r="D569" t="s">
        <v>30</v>
      </c>
      <c r="E569" t="s">
        <v>31</v>
      </c>
      <c r="F569">
        <v>7</v>
      </c>
      <c r="G569">
        <v>43.192042999999998</v>
      </c>
      <c r="H569">
        <v>-71.541579999999996</v>
      </c>
      <c r="I569">
        <v>291</v>
      </c>
      <c r="J569">
        <v>93</v>
      </c>
      <c r="K569">
        <v>94</v>
      </c>
      <c r="L569" s="1">
        <v>44784.195162037038</v>
      </c>
      <c r="M569">
        <v>7.9</v>
      </c>
      <c r="N569">
        <v>7.6</v>
      </c>
      <c r="O569">
        <v>0.3</v>
      </c>
      <c r="P569">
        <v>4</v>
      </c>
      <c r="Q569">
        <v>0</v>
      </c>
      <c r="R569">
        <v>0</v>
      </c>
      <c r="S569">
        <v>0</v>
      </c>
      <c r="T569" t="s">
        <v>32</v>
      </c>
      <c r="V569">
        <v>42</v>
      </c>
      <c r="W569">
        <v>41</v>
      </c>
      <c r="X569">
        <v>1</v>
      </c>
      <c r="Y569">
        <v>0</v>
      </c>
      <c r="Z569">
        <v>0</v>
      </c>
      <c r="AA569">
        <v>0</v>
      </c>
      <c r="AB569" t="s">
        <v>33</v>
      </c>
      <c r="AC569">
        <v>41.5</v>
      </c>
    </row>
    <row r="570" spans="1:30" x14ac:dyDescent="0.25">
      <c r="A570" s="1">
        <v>44784.195185185185</v>
      </c>
      <c r="B570" s="1">
        <v>44784.193483796298</v>
      </c>
      <c r="C570">
        <v>143456</v>
      </c>
      <c r="D570" t="s">
        <v>34</v>
      </c>
      <c r="E570" t="s">
        <v>35</v>
      </c>
      <c r="F570">
        <v>7</v>
      </c>
      <c r="G570">
        <v>43.08963</v>
      </c>
      <c r="H570">
        <v>-71.502440000000007</v>
      </c>
      <c r="I570">
        <v>619</v>
      </c>
      <c r="J570">
        <v>68</v>
      </c>
      <c r="K570">
        <v>0</v>
      </c>
      <c r="L570" s="1">
        <v>44784.195162037038</v>
      </c>
      <c r="M570">
        <v>3.1</v>
      </c>
      <c r="N570">
        <v>3.5</v>
      </c>
      <c r="O570">
        <v>0.4</v>
      </c>
      <c r="P570">
        <v>12</v>
      </c>
      <c r="Q570">
        <v>0.1</v>
      </c>
      <c r="R570">
        <v>0.1</v>
      </c>
      <c r="S570">
        <v>0.1</v>
      </c>
      <c r="T570" t="s">
        <v>33</v>
      </c>
      <c r="U570">
        <v>3.3</v>
      </c>
      <c r="V570">
        <v>72</v>
      </c>
      <c r="W570">
        <v>0</v>
      </c>
      <c r="X570">
        <v>72</v>
      </c>
      <c r="Y570">
        <v>0</v>
      </c>
      <c r="Z570">
        <v>0</v>
      </c>
      <c r="AA570">
        <v>0</v>
      </c>
      <c r="AB570" t="s">
        <v>36</v>
      </c>
      <c r="AC570">
        <v>72</v>
      </c>
      <c r="AD570">
        <v>-0.87</v>
      </c>
    </row>
    <row r="571" spans="1:30" x14ac:dyDescent="0.25">
      <c r="A571" s="1">
        <v>44784.195185185185</v>
      </c>
      <c r="B571" s="1">
        <v>44784.193668981483</v>
      </c>
      <c r="C571">
        <v>151702</v>
      </c>
      <c r="D571" t="s">
        <v>37</v>
      </c>
      <c r="E571" t="s">
        <v>31</v>
      </c>
      <c r="F571">
        <v>7</v>
      </c>
      <c r="G571">
        <v>43.118609999999997</v>
      </c>
      <c r="H571">
        <v>-71.61618</v>
      </c>
      <c r="I571">
        <v>885</v>
      </c>
      <c r="J571">
        <v>0</v>
      </c>
      <c r="K571">
        <v>0</v>
      </c>
      <c r="L571" s="1">
        <v>44784.195162037038</v>
      </c>
      <c r="M571">
        <v>4.2</v>
      </c>
      <c r="N571">
        <v>3.8</v>
      </c>
      <c r="O571">
        <v>0.4</v>
      </c>
      <c r="P571">
        <v>10</v>
      </c>
      <c r="Q571">
        <v>0.1</v>
      </c>
      <c r="R571">
        <v>0</v>
      </c>
      <c r="S571">
        <v>0.05</v>
      </c>
      <c r="T571" t="s">
        <v>33</v>
      </c>
      <c r="U571">
        <v>4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 t="s">
        <v>38</v>
      </c>
    </row>
    <row r="572" spans="1:30" x14ac:dyDescent="0.25">
      <c r="A572" s="1">
        <v>44784.195185185185</v>
      </c>
      <c r="B572" s="1">
        <v>44784.193553240744</v>
      </c>
      <c r="C572">
        <v>151700</v>
      </c>
      <c r="D572" t="s">
        <v>30</v>
      </c>
      <c r="E572" t="s">
        <v>31</v>
      </c>
      <c r="F572">
        <v>7</v>
      </c>
      <c r="G572">
        <v>43.19211</v>
      </c>
      <c r="H572">
        <v>-71.541460000000001</v>
      </c>
      <c r="I572">
        <v>286</v>
      </c>
      <c r="J572">
        <v>70</v>
      </c>
      <c r="K572">
        <v>0</v>
      </c>
      <c r="L572" s="1">
        <v>44784.195162037038</v>
      </c>
      <c r="M572">
        <v>3</v>
      </c>
      <c r="N572">
        <v>3.3</v>
      </c>
      <c r="O572">
        <v>0.3</v>
      </c>
      <c r="P572">
        <v>10</v>
      </c>
      <c r="Q572">
        <v>0</v>
      </c>
      <c r="R572">
        <v>0</v>
      </c>
      <c r="S572">
        <v>0</v>
      </c>
      <c r="T572" t="s">
        <v>33</v>
      </c>
      <c r="U572">
        <v>3.15</v>
      </c>
      <c r="V572">
        <v>68</v>
      </c>
      <c r="W572">
        <v>0</v>
      </c>
      <c r="X572">
        <v>68</v>
      </c>
      <c r="Y572">
        <v>0</v>
      </c>
      <c r="Z572">
        <v>0</v>
      </c>
      <c r="AA572">
        <v>0</v>
      </c>
      <c r="AB572" t="s">
        <v>36</v>
      </c>
      <c r="AC572">
        <v>68</v>
      </c>
      <c r="AD572">
        <v>-0.68</v>
      </c>
    </row>
    <row r="573" spans="1:30" x14ac:dyDescent="0.25">
      <c r="A573" s="1">
        <v>44784.195196759261</v>
      </c>
      <c r="B573" s="1">
        <v>44784.193958333337</v>
      </c>
      <c r="C573">
        <v>135984</v>
      </c>
      <c r="D573" t="s">
        <v>39</v>
      </c>
      <c r="E573" t="s">
        <v>31</v>
      </c>
      <c r="F573">
        <v>7</v>
      </c>
      <c r="G573">
        <v>43.565852999999997</v>
      </c>
      <c r="H573">
        <v>-71.496129999999994</v>
      </c>
      <c r="I573">
        <v>708</v>
      </c>
      <c r="J573">
        <v>69</v>
      </c>
      <c r="K573">
        <v>0</v>
      </c>
      <c r="L573" s="1">
        <v>44784.195162037038</v>
      </c>
      <c r="M573">
        <v>4.8</v>
      </c>
      <c r="N573">
        <v>3.9</v>
      </c>
      <c r="O573">
        <v>0.9</v>
      </c>
      <c r="P573">
        <v>21</v>
      </c>
      <c r="Q573">
        <v>0.2</v>
      </c>
      <c r="R573">
        <v>0.1</v>
      </c>
      <c r="S573">
        <v>0.15</v>
      </c>
      <c r="T573" t="s">
        <v>33</v>
      </c>
      <c r="U573">
        <v>4.3499999999999996</v>
      </c>
      <c r="V573">
        <v>91</v>
      </c>
      <c r="W573">
        <v>0</v>
      </c>
      <c r="X573">
        <v>91</v>
      </c>
      <c r="Y573">
        <v>0</v>
      </c>
      <c r="Z573">
        <v>0</v>
      </c>
      <c r="AA573">
        <v>0</v>
      </c>
      <c r="AB573" t="s">
        <v>36</v>
      </c>
      <c r="AC573">
        <v>91</v>
      </c>
      <c r="AD573">
        <v>-1.56</v>
      </c>
    </row>
    <row r="574" spans="1:30" x14ac:dyDescent="0.25">
      <c r="A574" s="1">
        <v>44784.195196759261</v>
      </c>
      <c r="B574" s="1">
        <v>44780.394780092596</v>
      </c>
      <c r="C574">
        <v>151712</v>
      </c>
      <c r="D574" t="s">
        <v>40</v>
      </c>
      <c r="E574" t="s">
        <v>31</v>
      </c>
      <c r="F574">
        <v>7</v>
      </c>
      <c r="G574">
        <v>43.289763999999998</v>
      </c>
      <c r="H574">
        <v>-71.564260000000004</v>
      </c>
      <c r="I574">
        <v>370</v>
      </c>
      <c r="J574">
        <v>86</v>
      </c>
      <c r="K574">
        <v>0</v>
      </c>
      <c r="L574" s="1">
        <v>44784.195162037038</v>
      </c>
      <c r="M574">
        <v>14</v>
      </c>
      <c r="N574">
        <v>13.2</v>
      </c>
      <c r="O574">
        <v>0.8</v>
      </c>
      <c r="P574">
        <v>6</v>
      </c>
      <c r="Q574">
        <v>0</v>
      </c>
      <c r="R574">
        <v>0</v>
      </c>
      <c r="S574">
        <v>0</v>
      </c>
      <c r="T574" t="s">
        <v>32</v>
      </c>
      <c r="V574">
        <v>59</v>
      </c>
      <c r="W574">
        <v>0</v>
      </c>
      <c r="X574">
        <v>59</v>
      </c>
      <c r="Y574">
        <v>0</v>
      </c>
      <c r="Z574">
        <v>0</v>
      </c>
      <c r="AA574">
        <v>0</v>
      </c>
      <c r="AB574" t="s">
        <v>36</v>
      </c>
      <c r="AC574">
        <v>59</v>
      </c>
    </row>
    <row r="575" spans="1:30" x14ac:dyDescent="0.25">
      <c r="A575" s="1">
        <v>44784.195196759261</v>
      </c>
      <c r="B575" s="1">
        <v>44784.194641203707</v>
      </c>
      <c r="C575">
        <v>151710</v>
      </c>
      <c r="D575" t="s">
        <v>41</v>
      </c>
      <c r="E575" t="s">
        <v>31</v>
      </c>
      <c r="F575">
        <v>7</v>
      </c>
      <c r="G575">
        <v>43.132477000000002</v>
      </c>
      <c r="H575">
        <v>-71.458374000000006</v>
      </c>
      <c r="I575">
        <v>230</v>
      </c>
      <c r="J575">
        <v>68</v>
      </c>
      <c r="K575">
        <v>0</v>
      </c>
      <c r="L575" s="1">
        <v>44784.195162037038</v>
      </c>
      <c r="M575">
        <v>5.9</v>
      </c>
      <c r="N575">
        <v>4.5999999999999996</v>
      </c>
      <c r="O575">
        <v>1.3</v>
      </c>
      <c r="P575">
        <v>25</v>
      </c>
      <c r="Q575">
        <v>0.3</v>
      </c>
      <c r="R575">
        <v>0.4</v>
      </c>
      <c r="S575">
        <v>0.35</v>
      </c>
      <c r="T575" t="s">
        <v>33</v>
      </c>
      <c r="U575">
        <v>5.25</v>
      </c>
      <c r="V575">
        <v>70</v>
      </c>
      <c r="W575">
        <v>0</v>
      </c>
      <c r="X575">
        <v>70</v>
      </c>
      <c r="Y575">
        <v>0</v>
      </c>
      <c r="Z575">
        <v>0</v>
      </c>
      <c r="AA575">
        <v>0</v>
      </c>
      <c r="AB575" t="s">
        <v>36</v>
      </c>
      <c r="AC575">
        <v>70</v>
      </c>
      <c r="AD575">
        <v>0.46</v>
      </c>
    </row>
    <row r="576" spans="1:30" x14ac:dyDescent="0.25">
      <c r="A576" s="1">
        <v>44784.195196759261</v>
      </c>
      <c r="B576" s="1">
        <v>44784.194340277776</v>
      </c>
      <c r="C576">
        <v>151706</v>
      </c>
      <c r="D576" t="s">
        <v>42</v>
      </c>
      <c r="E576" t="s">
        <v>31</v>
      </c>
      <c r="F576">
        <v>7</v>
      </c>
      <c r="G576">
        <v>43.004080000000002</v>
      </c>
      <c r="H576">
        <v>-71.177040000000005</v>
      </c>
      <c r="I576">
        <v>194</v>
      </c>
      <c r="J576">
        <v>69</v>
      </c>
      <c r="K576">
        <v>0</v>
      </c>
      <c r="L576" s="1">
        <v>44784.195162037038</v>
      </c>
      <c r="M576">
        <v>2.5</v>
      </c>
      <c r="N576">
        <v>0</v>
      </c>
      <c r="O576">
        <v>2.5</v>
      </c>
      <c r="P576">
        <v>200</v>
      </c>
      <c r="Q576">
        <v>0.2</v>
      </c>
      <c r="R576">
        <v>0</v>
      </c>
      <c r="S576">
        <v>0.1</v>
      </c>
      <c r="T576" t="s">
        <v>43</v>
      </c>
      <c r="V576">
        <v>70</v>
      </c>
      <c r="W576">
        <v>0</v>
      </c>
      <c r="X576">
        <v>70</v>
      </c>
      <c r="Y576">
        <v>1</v>
      </c>
      <c r="Z576">
        <v>0</v>
      </c>
      <c r="AA576">
        <v>1</v>
      </c>
      <c r="AB576" t="s">
        <v>36</v>
      </c>
      <c r="AC576">
        <v>70</v>
      </c>
    </row>
    <row r="577" spans="1:30" x14ac:dyDescent="0.25">
      <c r="A577" s="1">
        <v>44784.195208333331</v>
      </c>
      <c r="B577" s="1">
        <v>44784.194050925929</v>
      </c>
      <c r="C577">
        <v>12212</v>
      </c>
      <c r="D577" t="s">
        <v>44</v>
      </c>
      <c r="E577" t="s">
        <v>35</v>
      </c>
      <c r="F577">
        <v>7</v>
      </c>
      <c r="G577">
        <v>42.930529999999997</v>
      </c>
      <c r="H577">
        <v>-72.272350000000003</v>
      </c>
      <c r="I577">
        <v>476</v>
      </c>
      <c r="J577">
        <v>75</v>
      </c>
      <c r="K577">
        <v>0</v>
      </c>
      <c r="L577" s="1">
        <v>44784.195162037038</v>
      </c>
      <c r="M577">
        <v>4.7</v>
      </c>
      <c r="N577">
        <v>4</v>
      </c>
      <c r="O577">
        <v>0.7</v>
      </c>
      <c r="P577">
        <v>16</v>
      </c>
      <c r="Q577">
        <v>0</v>
      </c>
      <c r="R577">
        <v>0</v>
      </c>
      <c r="S577">
        <v>0</v>
      </c>
      <c r="T577" t="s">
        <v>33</v>
      </c>
      <c r="U577">
        <v>4.3499999999999996</v>
      </c>
      <c r="V577">
        <v>85</v>
      </c>
      <c r="W577">
        <v>0</v>
      </c>
      <c r="X577">
        <v>85</v>
      </c>
      <c r="Y577">
        <v>1</v>
      </c>
      <c r="Z577">
        <v>0</v>
      </c>
      <c r="AA577">
        <v>1</v>
      </c>
      <c r="AB577" t="s">
        <v>36</v>
      </c>
      <c r="AC577">
        <v>85</v>
      </c>
      <c r="AD577">
        <v>-1.1399999999999999</v>
      </c>
    </row>
    <row r="578" spans="1:30" x14ac:dyDescent="0.25">
      <c r="A578" s="1">
        <v>44784.195208333331</v>
      </c>
      <c r="B578" s="1">
        <v>44769.376736111109</v>
      </c>
      <c r="C578">
        <v>12178</v>
      </c>
      <c r="D578" t="s">
        <v>45</v>
      </c>
      <c r="E578" t="s">
        <v>35</v>
      </c>
      <c r="F578">
        <v>7</v>
      </c>
      <c r="G578">
        <v>42.899563000000001</v>
      </c>
      <c r="H578">
        <v>-71.464650000000006</v>
      </c>
      <c r="I578">
        <v>301</v>
      </c>
      <c r="J578">
        <v>85</v>
      </c>
      <c r="K578">
        <v>0</v>
      </c>
      <c r="L578" s="1">
        <v>44784.195162037038</v>
      </c>
      <c r="M578">
        <v>3.8</v>
      </c>
      <c r="N578">
        <v>3.1</v>
      </c>
      <c r="O578">
        <v>0.7</v>
      </c>
      <c r="P578">
        <v>20</v>
      </c>
      <c r="Q578">
        <v>0</v>
      </c>
      <c r="R578">
        <v>0</v>
      </c>
      <c r="S578">
        <v>0</v>
      </c>
      <c r="T578" t="s">
        <v>32</v>
      </c>
      <c r="V578">
        <v>35</v>
      </c>
      <c r="W578">
        <v>0</v>
      </c>
      <c r="X578">
        <v>35</v>
      </c>
      <c r="Y578">
        <v>0</v>
      </c>
      <c r="Z578">
        <v>0</v>
      </c>
      <c r="AA578">
        <v>0</v>
      </c>
      <c r="AB578" t="s">
        <v>36</v>
      </c>
      <c r="AC578">
        <v>35</v>
      </c>
    </row>
    <row r="579" spans="1:30" x14ac:dyDescent="0.25">
      <c r="A579" s="1">
        <v>44784.195208333331</v>
      </c>
      <c r="B579" s="1">
        <v>44784.194768518515</v>
      </c>
      <c r="C579">
        <v>75981</v>
      </c>
      <c r="D579" t="s">
        <v>46</v>
      </c>
      <c r="E579" t="s">
        <v>35</v>
      </c>
      <c r="F579">
        <v>7</v>
      </c>
      <c r="G579">
        <v>42.97</v>
      </c>
      <c r="H579">
        <v>-71.06</v>
      </c>
      <c r="I579">
        <v>136</v>
      </c>
      <c r="J579">
        <v>73</v>
      </c>
      <c r="K579">
        <v>0</v>
      </c>
      <c r="L579" s="1">
        <v>44784.195162037038</v>
      </c>
      <c r="M579">
        <v>3.9</v>
      </c>
      <c r="N579">
        <v>3.6</v>
      </c>
      <c r="O579">
        <v>0.3</v>
      </c>
      <c r="P579">
        <v>8</v>
      </c>
      <c r="Q579">
        <v>0.1</v>
      </c>
      <c r="R579">
        <v>0.2</v>
      </c>
      <c r="S579">
        <v>0.15</v>
      </c>
      <c r="T579" t="s">
        <v>33</v>
      </c>
      <c r="U579">
        <v>3.75</v>
      </c>
      <c r="V579">
        <v>61</v>
      </c>
      <c r="W579">
        <v>0</v>
      </c>
      <c r="X579">
        <v>61</v>
      </c>
      <c r="Y579">
        <v>1</v>
      </c>
      <c r="Z579">
        <v>0</v>
      </c>
      <c r="AA579">
        <v>1</v>
      </c>
      <c r="AB579" t="s">
        <v>36</v>
      </c>
      <c r="AC579">
        <v>61</v>
      </c>
      <c r="AD579">
        <v>0.18</v>
      </c>
    </row>
    <row r="580" spans="1:30" x14ac:dyDescent="0.25">
      <c r="A580" s="1">
        <v>44784.195208333331</v>
      </c>
      <c r="B580" s="1">
        <v>44784.193912037037</v>
      </c>
      <c r="C580">
        <v>115703</v>
      </c>
      <c r="D580" t="s">
        <v>47</v>
      </c>
      <c r="E580" t="s">
        <v>35</v>
      </c>
      <c r="F580">
        <v>7</v>
      </c>
      <c r="G580">
        <v>43.953625000000002</v>
      </c>
      <c r="H580">
        <v>-71.508859999999999</v>
      </c>
      <c r="I580">
        <v>1493</v>
      </c>
      <c r="J580">
        <v>62</v>
      </c>
      <c r="K580">
        <v>0</v>
      </c>
      <c r="L580" s="1">
        <v>44784.195162037038</v>
      </c>
      <c r="M580">
        <v>0</v>
      </c>
      <c r="N580">
        <v>300.89999999999998</v>
      </c>
      <c r="O580">
        <v>300.89999999999998</v>
      </c>
      <c r="P580">
        <v>200</v>
      </c>
      <c r="Q580">
        <v>0</v>
      </c>
      <c r="R580">
        <v>0</v>
      </c>
      <c r="S580">
        <v>0</v>
      </c>
      <c r="T580" t="s">
        <v>48</v>
      </c>
      <c r="V580">
        <v>68</v>
      </c>
      <c r="W580">
        <v>0</v>
      </c>
      <c r="X580">
        <v>68</v>
      </c>
      <c r="Y580">
        <v>0</v>
      </c>
      <c r="Z580">
        <v>0</v>
      </c>
      <c r="AA580">
        <v>0</v>
      </c>
      <c r="AB580" t="s">
        <v>36</v>
      </c>
      <c r="AC580">
        <v>68</v>
      </c>
    </row>
    <row r="581" spans="1:30" x14ac:dyDescent="0.25">
      <c r="A581" s="1">
        <v>44784.195219907408</v>
      </c>
      <c r="B581" s="1">
        <v>44784.194722222222</v>
      </c>
      <c r="C581">
        <v>12050</v>
      </c>
      <c r="D581" t="s">
        <v>49</v>
      </c>
      <c r="E581" t="s">
        <v>35</v>
      </c>
      <c r="F581">
        <v>7</v>
      </c>
      <c r="G581">
        <v>44.220573000000002</v>
      </c>
      <c r="H581">
        <v>-71.732315</v>
      </c>
      <c r="I581">
        <v>999</v>
      </c>
      <c r="J581">
        <v>69</v>
      </c>
      <c r="K581">
        <v>0</v>
      </c>
      <c r="L581" s="1">
        <v>44784.195162037038</v>
      </c>
      <c r="M581">
        <v>2.8</v>
      </c>
      <c r="N581">
        <v>3</v>
      </c>
      <c r="O581">
        <v>0.2</v>
      </c>
      <c r="P581">
        <v>7</v>
      </c>
      <c r="Q581">
        <v>0.1</v>
      </c>
      <c r="R581">
        <v>0.1</v>
      </c>
      <c r="S581">
        <v>0.1</v>
      </c>
      <c r="T581" t="s">
        <v>33</v>
      </c>
      <c r="U581">
        <v>2.9</v>
      </c>
      <c r="V581">
        <v>58</v>
      </c>
      <c r="W581">
        <v>0</v>
      </c>
      <c r="X581">
        <v>58</v>
      </c>
      <c r="Y581">
        <v>1</v>
      </c>
      <c r="Z581">
        <v>0</v>
      </c>
      <c r="AA581">
        <v>1</v>
      </c>
      <c r="AB581" t="s">
        <v>36</v>
      </c>
      <c r="AC581">
        <v>58</v>
      </c>
      <c r="AD581">
        <v>-0.13</v>
      </c>
    </row>
    <row r="582" spans="1:30" x14ac:dyDescent="0.25">
      <c r="A582" s="1">
        <v>44784.195219907408</v>
      </c>
      <c r="B582" s="1">
        <v>44784.193425925929</v>
      </c>
      <c r="C582">
        <v>23443</v>
      </c>
      <c r="D582" t="s">
        <v>50</v>
      </c>
      <c r="E582" t="s">
        <v>35</v>
      </c>
      <c r="F582">
        <v>7</v>
      </c>
      <c r="G582">
        <v>43.556139999999999</v>
      </c>
      <c r="H582">
        <v>-72.370990000000006</v>
      </c>
      <c r="I582">
        <v>523</v>
      </c>
      <c r="J582">
        <v>69</v>
      </c>
      <c r="K582">
        <v>0</v>
      </c>
      <c r="L582" s="1">
        <v>44784.195162037038</v>
      </c>
      <c r="M582">
        <v>4.2</v>
      </c>
      <c r="N582">
        <v>3.7</v>
      </c>
      <c r="O582">
        <v>0.5</v>
      </c>
      <c r="P582">
        <v>13</v>
      </c>
      <c r="Q582">
        <v>0.1</v>
      </c>
      <c r="R582">
        <v>0</v>
      </c>
      <c r="S582">
        <v>0.05</v>
      </c>
      <c r="T582" t="s">
        <v>33</v>
      </c>
      <c r="U582">
        <v>3.95</v>
      </c>
      <c r="V582">
        <v>67</v>
      </c>
      <c r="W582">
        <v>0</v>
      </c>
      <c r="X582">
        <v>67</v>
      </c>
      <c r="Y582">
        <v>0</v>
      </c>
      <c r="Z582">
        <v>0</v>
      </c>
      <c r="AA582">
        <v>0</v>
      </c>
      <c r="AB582" t="s">
        <v>36</v>
      </c>
      <c r="AC582">
        <v>67</v>
      </c>
      <c r="AD582">
        <v>-0.12</v>
      </c>
    </row>
    <row r="583" spans="1:30" x14ac:dyDescent="0.25">
      <c r="A583" s="1">
        <v>44784.195219907408</v>
      </c>
      <c r="B583" s="1">
        <v>44784.193530092591</v>
      </c>
      <c r="C583">
        <v>58135</v>
      </c>
      <c r="D583" t="s">
        <v>51</v>
      </c>
      <c r="E583" t="s">
        <v>35</v>
      </c>
      <c r="F583">
        <v>7</v>
      </c>
      <c r="G583">
        <v>42.883873000000001</v>
      </c>
      <c r="H583">
        <v>-71.972915999999998</v>
      </c>
      <c r="I583">
        <v>808</v>
      </c>
      <c r="J583">
        <v>70</v>
      </c>
      <c r="K583">
        <v>0</v>
      </c>
      <c r="L583" s="1">
        <v>44784.195162037038</v>
      </c>
      <c r="M583">
        <v>8.1</v>
      </c>
      <c r="N583">
        <v>5.4</v>
      </c>
      <c r="O583">
        <v>2.7</v>
      </c>
      <c r="P583">
        <v>40</v>
      </c>
      <c r="Q583">
        <v>0.1</v>
      </c>
      <c r="R583">
        <v>0.1</v>
      </c>
      <c r="S583">
        <v>0.1</v>
      </c>
      <c r="T583" t="s">
        <v>33</v>
      </c>
      <c r="U583">
        <v>6.75</v>
      </c>
      <c r="V583">
        <v>72</v>
      </c>
      <c r="W583">
        <v>0</v>
      </c>
      <c r="X583">
        <v>72</v>
      </c>
      <c r="Y583">
        <v>0</v>
      </c>
      <c r="Z583">
        <v>0</v>
      </c>
      <c r="AA583">
        <v>0</v>
      </c>
      <c r="AB583" t="s">
        <v>36</v>
      </c>
      <c r="AC583">
        <v>72</v>
      </c>
      <c r="AD583">
        <v>1.24</v>
      </c>
    </row>
    <row r="584" spans="1:30" x14ac:dyDescent="0.25">
      <c r="A584" s="1">
        <v>44784.195231481484</v>
      </c>
      <c r="B584" s="1">
        <v>44784.193576388891</v>
      </c>
      <c r="C584">
        <v>148555</v>
      </c>
      <c r="D584" t="s">
        <v>52</v>
      </c>
      <c r="E584" t="s">
        <v>53</v>
      </c>
      <c r="F584">
        <v>7</v>
      </c>
      <c r="G584">
        <v>42.904949999999999</v>
      </c>
      <c r="H584">
        <v>-71.386764999999997</v>
      </c>
      <c r="I584">
        <v>363</v>
      </c>
      <c r="J584">
        <v>0</v>
      </c>
      <c r="K584">
        <v>0</v>
      </c>
      <c r="L584" s="1">
        <v>44784.195162037038</v>
      </c>
      <c r="M584">
        <v>2.1</v>
      </c>
      <c r="N584">
        <v>2.8</v>
      </c>
      <c r="O584">
        <v>0.7</v>
      </c>
      <c r="P584">
        <v>29</v>
      </c>
      <c r="Q584">
        <v>0.1</v>
      </c>
      <c r="R584">
        <v>0</v>
      </c>
      <c r="S584">
        <v>0.05</v>
      </c>
      <c r="T584" t="s">
        <v>33</v>
      </c>
      <c r="U584">
        <v>2.4500000000000002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 t="s">
        <v>38</v>
      </c>
    </row>
    <row r="585" spans="1:30" x14ac:dyDescent="0.25">
      <c r="A585" s="1">
        <v>44784.195231481484</v>
      </c>
      <c r="B585" s="1">
        <v>44784.194502314815</v>
      </c>
      <c r="C585">
        <v>146644</v>
      </c>
      <c r="D585" t="s">
        <v>54</v>
      </c>
      <c r="E585" t="s">
        <v>53</v>
      </c>
      <c r="F585">
        <v>7</v>
      </c>
      <c r="G585">
        <v>43.06015</v>
      </c>
      <c r="H585">
        <v>-70.758930000000007</v>
      </c>
      <c r="I585">
        <v>35</v>
      </c>
      <c r="J585">
        <v>69</v>
      </c>
      <c r="K585">
        <v>71</v>
      </c>
      <c r="L585" s="1">
        <v>44784.195162037038</v>
      </c>
      <c r="M585">
        <v>6.1</v>
      </c>
      <c r="N585">
        <v>5.0999999999999996</v>
      </c>
      <c r="O585">
        <v>1</v>
      </c>
      <c r="P585">
        <v>18</v>
      </c>
      <c r="Q585">
        <v>0.1</v>
      </c>
      <c r="R585">
        <v>0.1</v>
      </c>
      <c r="S585">
        <v>0.1</v>
      </c>
      <c r="T585" t="s">
        <v>33</v>
      </c>
      <c r="U585">
        <v>5.6</v>
      </c>
      <c r="V585">
        <v>69</v>
      </c>
      <c r="W585">
        <v>73</v>
      </c>
      <c r="X585">
        <v>4</v>
      </c>
      <c r="Y585">
        <v>0</v>
      </c>
      <c r="Z585">
        <v>0</v>
      </c>
      <c r="AA585">
        <v>0</v>
      </c>
      <c r="AB585" t="s">
        <v>33</v>
      </c>
      <c r="AC585">
        <v>71</v>
      </c>
      <c r="AD585">
        <v>0.61</v>
      </c>
    </row>
    <row r="586" spans="1:30" x14ac:dyDescent="0.25">
      <c r="A586" s="1">
        <v>44784.195231481484</v>
      </c>
      <c r="B586" s="1">
        <v>43755.283437500002</v>
      </c>
      <c r="C586">
        <v>12188</v>
      </c>
      <c r="D586" t="s">
        <v>55</v>
      </c>
      <c r="E586" t="s">
        <v>35</v>
      </c>
      <c r="F586">
        <v>4.1100000000000003</v>
      </c>
      <c r="G586">
        <v>42.927050000000001</v>
      </c>
      <c r="H586">
        <v>-72.279610000000005</v>
      </c>
      <c r="I586">
        <v>475</v>
      </c>
      <c r="J586">
        <v>95</v>
      </c>
      <c r="K586">
        <v>0</v>
      </c>
      <c r="L586" s="1">
        <v>44784.195162037038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 t="s">
        <v>32</v>
      </c>
      <c r="V586">
        <v>77</v>
      </c>
      <c r="W586">
        <v>0</v>
      </c>
      <c r="X586">
        <v>77</v>
      </c>
      <c r="Y586">
        <v>0</v>
      </c>
      <c r="Z586">
        <v>0</v>
      </c>
      <c r="AA586">
        <v>0</v>
      </c>
      <c r="AB586" t="s">
        <v>36</v>
      </c>
      <c r="AC586">
        <v>77</v>
      </c>
    </row>
    <row r="587" spans="1:30" x14ac:dyDescent="0.25">
      <c r="A587" s="1">
        <v>44784.195231481484</v>
      </c>
      <c r="B587" s="1">
        <v>44784.193425925929</v>
      </c>
      <c r="C587">
        <v>1224</v>
      </c>
      <c r="D587" t="s">
        <v>56</v>
      </c>
      <c r="E587" t="s">
        <v>35</v>
      </c>
      <c r="F587" t="s">
        <v>57</v>
      </c>
      <c r="G587">
        <v>42.938034000000002</v>
      </c>
      <c r="H587">
        <v>-72.259299999999996</v>
      </c>
      <c r="I587">
        <v>792</v>
      </c>
      <c r="J587">
        <v>75</v>
      </c>
      <c r="K587">
        <v>0</v>
      </c>
      <c r="L587" s="1">
        <v>44784.195162037038</v>
      </c>
      <c r="M587">
        <v>4.5999999999999996</v>
      </c>
      <c r="N587">
        <v>0</v>
      </c>
      <c r="O587">
        <v>4.5999999999999996</v>
      </c>
      <c r="P587">
        <v>200</v>
      </c>
      <c r="Q587">
        <v>0.5</v>
      </c>
      <c r="R587">
        <v>0</v>
      </c>
      <c r="S587">
        <v>0.25</v>
      </c>
      <c r="T587" t="s">
        <v>43</v>
      </c>
      <c r="V587">
        <v>87</v>
      </c>
      <c r="W587">
        <v>0</v>
      </c>
      <c r="X587">
        <v>87</v>
      </c>
      <c r="Y587">
        <v>0</v>
      </c>
      <c r="Z587">
        <v>0</v>
      </c>
      <c r="AA587">
        <v>0</v>
      </c>
      <c r="AB587" t="s">
        <v>36</v>
      </c>
      <c r="AC587">
        <v>87</v>
      </c>
    </row>
    <row r="588" spans="1:30" x14ac:dyDescent="0.25">
      <c r="A588" s="1">
        <v>44784.195243055554</v>
      </c>
      <c r="B588" s="1">
        <v>44784.19425925926</v>
      </c>
      <c r="C588">
        <v>1202</v>
      </c>
      <c r="D588" t="s">
        <v>58</v>
      </c>
      <c r="E588" t="s">
        <v>35</v>
      </c>
      <c r="F588" t="s">
        <v>57</v>
      </c>
      <c r="G588">
        <v>42.936554000000001</v>
      </c>
      <c r="H588">
        <v>-72.271019999999993</v>
      </c>
      <c r="I588">
        <v>488</v>
      </c>
      <c r="J588">
        <v>0</v>
      </c>
      <c r="K588">
        <v>0</v>
      </c>
      <c r="L588" s="1">
        <v>44784.195162037038</v>
      </c>
      <c r="M588">
        <v>3.7</v>
      </c>
      <c r="N588">
        <v>3.5</v>
      </c>
      <c r="O588">
        <v>0.2</v>
      </c>
      <c r="P588">
        <v>6</v>
      </c>
      <c r="Q588">
        <v>0.2</v>
      </c>
      <c r="R588">
        <v>0.4</v>
      </c>
      <c r="S588">
        <v>0.3</v>
      </c>
      <c r="T588" t="s">
        <v>33</v>
      </c>
      <c r="U588">
        <v>3.6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 t="s">
        <v>38</v>
      </c>
    </row>
    <row r="589" spans="1:30" x14ac:dyDescent="0.25">
      <c r="A589" s="1">
        <v>44784.195243055554</v>
      </c>
      <c r="B589" s="1">
        <v>44612.080023148148</v>
      </c>
      <c r="C589">
        <v>25985</v>
      </c>
      <c r="D589" t="s">
        <v>59</v>
      </c>
      <c r="E589" t="s">
        <v>35</v>
      </c>
      <c r="F589">
        <v>6.01</v>
      </c>
      <c r="G589">
        <v>42.927326000000001</v>
      </c>
      <c r="H589">
        <v>-72.279979999999995</v>
      </c>
      <c r="I589">
        <v>477</v>
      </c>
      <c r="J589">
        <v>78</v>
      </c>
      <c r="K589">
        <v>0</v>
      </c>
      <c r="L589" s="1">
        <v>44784.195162037038</v>
      </c>
      <c r="M589">
        <v>1.1000000000000001</v>
      </c>
      <c r="N589">
        <v>1</v>
      </c>
      <c r="O589">
        <v>0.1</v>
      </c>
      <c r="P589">
        <v>10</v>
      </c>
      <c r="Q589">
        <v>0</v>
      </c>
      <c r="R589">
        <v>0</v>
      </c>
      <c r="S589">
        <v>0</v>
      </c>
      <c r="T589" t="s">
        <v>32</v>
      </c>
      <c r="V589">
        <v>22</v>
      </c>
      <c r="W589">
        <v>0</v>
      </c>
      <c r="X589">
        <v>22</v>
      </c>
      <c r="Y589">
        <v>0</v>
      </c>
      <c r="Z589">
        <v>0</v>
      </c>
      <c r="AA589">
        <v>0</v>
      </c>
      <c r="AB589" t="s">
        <v>36</v>
      </c>
      <c r="AC589">
        <v>22</v>
      </c>
    </row>
    <row r="590" spans="1:30" x14ac:dyDescent="0.25">
      <c r="A590" s="1">
        <v>44784.202141203707</v>
      </c>
      <c r="B590" s="1">
        <v>44775.701319444444</v>
      </c>
      <c r="C590">
        <v>151708</v>
      </c>
      <c r="D590" t="s">
        <v>30</v>
      </c>
      <c r="E590" t="s">
        <v>31</v>
      </c>
      <c r="F590">
        <v>7</v>
      </c>
      <c r="G590">
        <v>43.192042999999998</v>
      </c>
      <c r="H590">
        <v>-71.541579999999996</v>
      </c>
      <c r="I590">
        <v>291</v>
      </c>
      <c r="J590">
        <v>93</v>
      </c>
      <c r="K590">
        <v>94</v>
      </c>
      <c r="L590" s="1">
        <v>44784.20212962963</v>
      </c>
      <c r="M590">
        <v>7.9</v>
      </c>
      <c r="N590">
        <v>7.6</v>
      </c>
      <c r="O590">
        <v>0.3</v>
      </c>
      <c r="P590">
        <v>4</v>
      </c>
      <c r="Q590">
        <v>0</v>
      </c>
      <c r="R590">
        <v>0</v>
      </c>
      <c r="S590">
        <v>0</v>
      </c>
      <c r="T590" t="s">
        <v>32</v>
      </c>
      <c r="V590">
        <v>42</v>
      </c>
      <c r="W590">
        <v>41</v>
      </c>
      <c r="X590">
        <v>1</v>
      </c>
      <c r="Y590">
        <v>0</v>
      </c>
      <c r="Z590">
        <v>0</v>
      </c>
      <c r="AA590">
        <v>0</v>
      </c>
      <c r="AB590" t="s">
        <v>33</v>
      </c>
      <c r="AC590">
        <v>41.5</v>
      </c>
    </row>
    <row r="591" spans="1:30" x14ac:dyDescent="0.25">
      <c r="A591" s="1">
        <v>44784.202141203707</v>
      </c>
      <c r="B591" s="1">
        <v>44784.201817129629</v>
      </c>
      <c r="C591">
        <v>143456</v>
      </c>
      <c r="D591" t="s">
        <v>34</v>
      </c>
      <c r="E591" t="s">
        <v>35</v>
      </c>
      <c r="F591">
        <v>7</v>
      </c>
      <c r="G591">
        <v>43.08963</v>
      </c>
      <c r="H591">
        <v>-71.502440000000007</v>
      </c>
      <c r="I591">
        <v>619</v>
      </c>
      <c r="J591">
        <v>68</v>
      </c>
      <c r="K591">
        <v>0</v>
      </c>
      <c r="L591" s="1">
        <v>44784.20212962963</v>
      </c>
      <c r="M591">
        <v>3.3</v>
      </c>
      <c r="N591">
        <v>3.6</v>
      </c>
      <c r="O591">
        <v>0.3</v>
      </c>
      <c r="P591">
        <v>9</v>
      </c>
      <c r="Q591">
        <v>0.2</v>
      </c>
      <c r="R591">
        <v>0.1</v>
      </c>
      <c r="S591">
        <v>0.15</v>
      </c>
      <c r="T591" t="s">
        <v>33</v>
      </c>
      <c r="U591">
        <v>3.45</v>
      </c>
      <c r="V591">
        <v>71</v>
      </c>
      <c r="W591">
        <v>0</v>
      </c>
      <c r="X591">
        <v>71</v>
      </c>
      <c r="Y591">
        <v>1</v>
      </c>
      <c r="Z591">
        <v>0</v>
      </c>
      <c r="AA591">
        <v>1</v>
      </c>
      <c r="AB591" t="s">
        <v>36</v>
      </c>
      <c r="AC591">
        <v>71</v>
      </c>
      <c r="AD591">
        <v>-0.71</v>
      </c>
    </row>
    <row r="592" spans="1:30" x14ac:dyDescent="0.25">
      <c r="A592" s="1">
        <v>44784.202141203707</v>
      </c>
      <c r="B592" s="1">
        <v>44784.202002314814</v>
      </c>
      <c r="C592">
        <v>151702</v>
      </c>
      <c r="D592" t="s">
        <v>37</v>
      </c>
      <c r="E592" t="s">
        <v>31</v>
      </c>
      <c r="F592">
        <v>7</v>
      </c>
      <c r="G592">
        <v>43.118609999999997</v>
      </c>
      <c r="H592">
        <v>-71.61618</v>
      </c>
      <c r="I592">
        <v>885</v>
      </c>
      <c r="J592">
        <v>0</v>
      </c>
      <c r="K592">
        <v>0</v>
      </c>
      <c r="L592" s="1">
        <v>44784.20212962963</v>
      </c>
      <c r="M592">
        <v>4.2</v>
      </c>
      <c r="N592">
        <v>3.9</v>
      </c>
      <c r="O592">
        <v>0.3</v>
      </c>
      <c r="P592">
        <v>7</v>
      </c>
      <c r="Q592">
        <v>0</v>
      </c>
      <c r="R592">
        <v>0.1</v>
      </c>
      <c r="S592">
        <v>0.05</v>
      </c>
      <c r="T592" t="s">
        <v>33</v>
      </c>
      <c r="U592">
        <v>4.05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 t="s">
        <v>38</v>
      </c>
    </row>
    <row r="593" spans="1:30" x14ac:dyDescent="0.25">
      <c r="A593" s="1">
        <v>44784.202152777776</v>
      </c>
      <c r="B593" s="1">
        <v>44784.201886574076</v>
      </c>
      <c r="C593">
        <v>151700</v>
      </c>
      <c r="D593" t="s">
        <v>30</v>
      </c>
      <c r="E593" t="s">
        <v>31</v>
      </c>
      <c r="F593">
        <v>7</v>
      </c>
      <c r="G593">
        <v>43.19211</v>
      </c>
      <c r="H593">
        <v>-71.541460000000001</v>
      </c>
      <c r="I593">
        <v>286</v>
      </c>
      <c r="J593">
        <v>70</v>
      </c>
      <c r="K593">
        <v>0</v>
      </c>
      <c r="L593" s="1">
        <v>44784.20212962963</v>
      </c>
      <c r="M593">
        <v>2.9</v>
      </c>
      <c r="N593">
        <v>3.3</v>
      </c>
      <c r="O593">
        <v>0.4</v>
      </c>
      <c r="P593">
        <v>13</v>
      </c>
      <c r="Q593">
        <v>0.1</v>
      </c>
      <c r="R593">
        <v>0</v>
      </c>
      <c r="S593">
        <v>0.05</v>
      </c>
      <c r="T593" t="s">
        <v>33</v>
      </c>
      <c r="U593">
        <v>3.1</v>
      </c>
      <c r="V593">
        <v>68</v>
      </c>
      <c r="W593">
        <v>0</v>
      </c>
      <c r="X593">
        <v>68</v>
      </c>
      <c r="Y593">
        <v>0</v>
      </c>
      <c r="Z593">
        <v>0</v>
      </c>
      <c r="AA593">
        <v>0</v>
      </c>
      <c r="AB593" t="s">
        <v>36</v>
      </c>
      <c r="AC593">
        <v>68</v>
      </c>
      <c r="AD593">
        <v>-0.71</v>
      </c>
    </row>
    <row r="594" spans="1:30" x14ac:dyDescent="0.25">
      <c r="A594" s="1">
        <v>44784.202152777776</v>
      </c>
      <c r="B594" s="1">
        <v>44784.200902777775</v>
      </c>
      <c r="C594">
        <v>135984</v>
      </c>
      <c r="D594" t="s">
        <v>39</v>
      </c>
      <c r="E594" t="s">
        <v>31</v>
      </c>
      <c r="F594">
        <v>7</v>
      </c>
      <c r="G594">
        <v>43.565852999999997</v>
      </c>
      <c r="H594">
        <v>-71.496129999999994</v>
      </c>
      <c r="I594">
        <v>708</v>
      </c>
      <c r="J594">
        <v>68</v>
      </c>
      <c r="K594">
        <v>0</v>
      </c>
      <c r="L594" s="1">
        <v>44784.20212962963</v>
      </c>
      <c r="M594">
        <v>4.7</v>
      </c>
      <c r="N594">
        <v>3.9</v>
      </c>
      <c r="O594">
        <v>0.8</v>
      </c>
      <c r="P594">
        <v>19</v>
      </c>
      <c r="Q594">
        <v>0.1</v>
      </c>
      <c r="R594">
        <v>0</v>
      </c>
      <c r="S594">
        <v>0.05</v>
      </c>
      <c r="T594" t="s">
        <v>33</v>
      </c>
      <c r="U594">
        <v>4.3</v>
      </c>
      <c r="V594">
        <v>91</v>
      </c>
      <c r="W594">
        <v>0</v>
      </c>
      <c r="X594">
        <v>91</v>
      </c>
      <c r="Y594">
        <v>0</v>
      </c>
      <c r="Z594">
        <v>0</v>
      </c>
      <c r="AA594">
        <v>0</v>
      </c>
      <c r="AB594" t="s">
        <v>36</v>
      </c>
      <c r="AC594">
        <v>91</v>
      </c>
      <c r="AD594">
        <v>-1.59</v>
      </c>
    </row>
    <row r="595" spans="1:30" x14ac:dyDescent="0.25">
      <c r="A595" s="1">
        <v>44784.202152777776</v>
      </c>
      <c r="B595" s="1">
        <v>44780.394780092596</v>
      </c>
      <c r="C595">
        <v>151712</v>
      </c>
      <c r="D595" t="s">
        <v>40</v>
      </c>
      <c r="E595" t="s">
        <v>31</v>
      </c>
      <c r="F595">
        <v>7</v>
      </c>
      <c r="G595">
        <v>43.289763999999998</v>
      </c>
      <c r="H595">
        <v>-71.564260000000004</v>
      </c>
      <c r="I595">
        <v>370</v>
      </c>
      <c r="J595">
        <v>86</v>
      </c>
      <c r="K595">
        <v>0</v>
      </c>
      <c r="L595" s="1">
        <v>44784.20212962963</v>
      </c>
      <c r="M595">
        <v>14</v>
      </c>
      <c r="N595">
        <v>13.2</v>
      </c>
      <c r="O595">
        <v>0.8</v>
      </c>
      <c r="P595">
        <v>6</v>
      </c>
      <c r="Q595">
        <v>0</v>
      </c>
      <c r="R595">
        <v>0</v>
      </c>
      <c r="S595">
        <v>0</v>
      </c>
      <c r="T595" t="s">
        <v>32</v>
      </c>
      <c r="V595">
        <v>59</v>
      </c>
      <c r="W595">
        <v>0</v>
      </c>
      <c r="X595">
        <v>59</v>
      </c>
      <c r="Y595">
        <v>0</v>
      </c>
      <c r="Z595">
        <v>0</v>
      </c>
      <c r="AA595">
        <v>0</v>
      </c>
      <c r="AB595" t="s">
        <v>36</v>
      </c>
      <c r="AC595">
        <v>59</v>
      </c>
    </row>
    <row r="596" spans="1:30" x14ac:dyDescent="0.25">
      <c r="A596" s="1">
        <v>44784.202152777776</v>
      </c>
      <c r="B596" s="1">
        <v>44784.201597222222</v>
      </c>
      <c r="C596">
        <v>151710</v>
      </c>
      <c r="D596" t="s">
        <v>41</v>
      </c>
      <c r="E596" t="s">
        <v>31</v>
      </c>
      <c r="F596">
        <v>7</v>
      </c>
      <c r="G596">
        <v>43.132477000000002</v>
      </c>
      <c r="H596">
        <v>-71.458374000000006</v>
      </c>
      <c r="I596">
        <v>230</v>
      </c>
      <c r="J596">
        <v>68</v>
      </c>
      <c r="K596">
        <v>0</v>
      </c>
      <c r="L596" s="1">
        <v>44784.20212962963</v>
      </c>
      <c r="M596">
        <v>5.9</v>
      </c>
      <c r="N596">
        <v>4.7</v>
      </c>
      <c r="O596">
        <v>1.2</v>
      </c>
      <c r="P596">
        <v>23</v>
      </c>
      <c r="Q596">
        <v>0</v>
      </c>
      <c r="R596">
        <v>0.1</v>
      </c>
      <c r="S596">
        <v>0.05</v>
      </c>
      <c r="T596" t="s">
        <v>33</v>
      </c>
      <c r="U596">
        <v>5.3</v>
      </c>
      <c r="V596">
        <v>72</v>
      </c>
      <c r="W596">
        <v>0</v>
      </c>
      <c r="X596">
        <v>72</v>
      </c>
      <c r="Y596">
        <v>2</v>
      </c>
      <c r="Z596">
        <v>0</v>
      </c>
      <c r="AA596">
        <v>2</v>
      </c>
      <c r="AB596" t="s">
        <v>36</v>
      </c>
      <c r="AC596">
        <v>72</v>
      </c>
      <c r="AD596">
        <v>0.35</v>
      </c>
    </row>
    <row r="597" spans="1:30" x14ac:dyDescent="0.25">
      <c r="A597" s="1">
        <v>44784.202164351853</v>
      </c>
      <c r="B597" s="1">
        <v>44784.201284722221</v>
      </c>
      <c r="C597">
        <v>151706</v>
      </c>
      <c r="D597" t="s">
        <v>42</v>
      </c>
      <c r="E597" t="s">
        <v>31</v>
      </c>
      <c r="F597">
        <v>7</v>
      </c>
      <c r="G597">
        <v>43.004080000000002</v>
      </c>
      <c r="H597">
        <v>-71.177040000000005</v>
      </c>
      <c r="I597">
        <v>194</v>
      </c>
      <c r="J597">
        <v>69</v>
      </c>
      <c r="K597">
        <v>0</v>
      </c>
      <c r="L597" s="1">
        <v>44784.20212962963</v>
      </c>
      <c r="M597">
        <v>2.6</v>
      </c>
      <c r="N597">
        <v>0</v>
      </c>
      <c r="O597">
        <v>2.6</v>
      </c>
      <c r="P597">
        <v>200</v>
      </c>
      <c r="Q597">
        <v>0.1</v>
      </c>
      <c r="R597">
        <v>0</v>
      </c>
      <c r="S597">
        <v>0.05</v>
      </c>
      <c r="T597" t="s">
        <v>43</v>
      </c>
      <c r="V597">
        <v>69</v>
      </c>
      <c r="W597">
        <v>0</v>
      </c>
      <c r="X597">
        <v>69</v>
      </c>
      <c r="Y597">
        <v>1</v>
      </c>
      <c r="Z597">
        <v>0</v>
      </c>
      <c r="AA597">
        <v>1</v>
      </c>
      <c r="AB597" t="s">
        <v>36</v>
      </c>
      <c r="AC597">
        <v>69</v>
      </c>
    </row>
    <row r="598" spans="1:30" x14ac:dyDescent="0.25">
      <c r="A598" s="1">
        <v>44784.202164351853</v>
      </c>
      <c r="B598" s="1">
        <v>44784.200995370367</v>
      </c>
      <c r="C598">
        <v>12212</v>
      </c>
      <c r="D598" t="s">
        <v>44</v>
      </c>
      <c r="E598" t="s">
        <v>35</v>
      </c>
      <c r="F598">
        <v>7</v>
      </c>
      <c r="G598">
        <v>42.930529999999997</v>
      </c>
      <c r="H598">
        <v>-72.272350000000003</v>
      </c>
      <c r="I598">
        <v>476</v>
      </c>
      <c r="J598">
        <v>75</v>
      </c>
      <c r="K598">
        <v>0</v>
      </c>
      <c r="L598" s="1">
        <v>44784.20212962963</v>
      </c>
      <c r="M598">
        <v>4.9000000000000004</v>
      </c>
      <c r="N598">
        <v>4.0999999999999996</v>
      </c>
      <c r="O598">
        <v>0.8</v>
      </c>
      <c r="P598">
        <v>18</v>
      </c>
      <c r="Q598">
        <v>0.2</v>
      </c>
      <c r="R598">
        <v>0.1</v>
      </c>
      <c r="S598">
        <v>0.15</v>
      </c>
      <c r="T598" t="s">
        <v>33</v>
      </c>
      <c r="U598">
        <v>4.5</v>
      </c>
      <c r="V598">
        <v>85</v>
      </c>
      <c r="W598">
        <v>0</v>
      </c>
      <c r="X598">
        <v>85</v>
      </c>
      <c r="Y598">
        <v>0</v>
      </c>
      <c r="Z598">
        <v>0</v>
      </c>
      <c r="AA598">
        <v>0</v>
      </c>
      <c r="AB598" t="s">
        <v>36</v>
      </c>
      <c r="AC598">
        <v>85</v>
      </c>
      <c r="AD598">
        <v>-1.04</v>
      </c>
    </row>
    <row r="599" spans="1:30" x14ac:dyDescent="0.25">
      <c r="A599" s="1">
        <v>44784.202164351853</v>
      </c>
      <c r="B599" s="1">
        <v>44769.376736111109</v>
      </c>
      <c r="C599">
        <v>12178</v>
      </c>
      <c r="D599" t="s">
        <v>45</v>
      </c>
      <c r="E599" t="s">
        <v>35</v>
      </c>
      <c r="F599">
        <v>7</v>
      </c>
      <c r="G599">
        <v>42.899563000000001</v>
      </c>
      <c r="H599">
        <v>-71.464650000000006</v>
      </c>
      <c r="I599">
        <v>301</v>
      </c>
      <c r="J599">
        <v>85</v>
      </c>
      <c r="K599">
        <v>0</v>
      </c>
      <c r="L599" s="1">
        <v>44784.20212962963</v>
      </c>
      <c r="M599">
        <v>3.8</v>
      </c>
      <c r="N599">
        <v>3.1</v>
      </c>
      <c r="O599">
        <v>0.7</v>
      </c>
      <c r="P599">
        <v>20</v>
      </c>
      <c r="Q599">
        <v>0</v>
      </c>
      <c r="R599">
        <v>0</v>
      </c>
      <c r="S599">
        <v>0</v>
      </c>
      <c r="T599" t="s">
        <v>32</v>
      </c>
      <c r="V599">
        <v>35</v>
      </c>
      <c r="W599">
        <v>0</v>
      </c>
      <c r="X599">
        <v>35</v>
      </c>
      <c r="Y599">
        <v>0</v>
      </c>
      <c r="Z599">
        <v>0</v>
      </c>
      <c r="AA599">
        <v>0</v>
      </c>
      <c r="AB599" t="s">
        <v>36</v>
      </c>
      <c r="AC599">
        <v>35</v>
      </c>
    </row>
    <row r="600" spans="1:30" x14ac:dyDescent="0.25">
      <c r="A600" s="1">
        <v>44784.202164351853</v>
      </c>
      <c r="B600" s="1">
        <v>44784.200324074074</v>
      </c>
      <c r="C600">
        <v>75981</v>
      </c>
      <c r="D600" t="s">
        <v>46</v>
      </c>
      <c r="E600" t="s">
        <v>35</v>
      </c>
      <c r="F600">
        <v>7</v>
      </c>
      <c r="G600">
        <v>42.97</v>
      </c>
      <c r="H600">
        <v>-71.06</v>
      </c>
      <c r="I600">
        <v>136</v>
      </c>
      <c r="J600">
        <v>74</v>
      </c>
      <c r="K600">
        <v>0</v>
      </c>
      <c r="L600" s="1">
        <v>44784.20212962963</v>
      </c>
      <c r="M600">
        <v>3.9</v>
      </c>
      <c r="N600">
        <v>3.5</v>
      </c>
      <c r="O600">
        <v>0.4</v>
      </c>
      <c r="P600">
        <v>11</v>
      </c>
      <c r="Q600">
        <v>0</v>
      </c>
      <c r="R600">
        <v>0.1</v>
      </c>
      <c r="S600">
        <v>0.05</v>
      </c>
      <c r="T600" t="s">
        <v>33</v>
      </c>
      <c r="U600">
        <v>3.7</v>
      </c>
      <c r="V600">
        <v>62</v>
      </c>
      <c r="W600">
        <v>0</v>
      </c>
      <c r="X600">
        <v>62</v>
      </c>
      <c r="Y600">
        <v>1</v>
      </c>
      <c r="Z600">
        <v>0</v>
      </c>
      <c r="AA600">
        <v>1</v>
      </c>
      <c r="AB600" t="s">
        <v>36</v>
      </c>
      <c r="AC600">
        <v>62</v>
      </c>
      <c r="AD600">
        <v>0.08</v>
      </c>
    </row>
    <row r="601" spans="1:30" x14ac:dyDescent="0.25">
      <c r="A601" s="1">
        <v>44784.202175925922</v>
      </c>
      <c r="B601" s="1">
        <v>44784.200856481482</v>
      </c>
      <c r="C601">
        <v>115703</v>
      </c>
      <c r="D601" t="s">
        <v>47</v>
      </c>
      <c r="E601" t="s">
        <v>35</v>
      </c>
      <c r="F601">
        <v>7</v>
      </c>
      <c r="G601">
        <v>43.953625000000002</v>
      </c>
      <c r="H601">
        <v>-71.508859999999999</v>
      </c>
      <c r="I601">
        <v>1493</v>
      </c>
      <c r="J601">
        <v>62</v>
      </c>
      <c r="K601">
        <v>0</v>
      </c>
      <c r="L601" s="1">
        <v>44784.20212962963</v>
      </c>
      <c r="M601">
        <v>0</v>
      </c>
      <c r="N601">
        <v>300.89999999999998</v>
      </c>
      <c r="O601">
        <v>300.89999999999998</v>
      </c>
      <c r="P601">
        <v>200</v>
      </c>
      <c r="Q601">
        <v>0</v>
      </c>
      <c r="R601">
        <v>0</v>
      </c>
      <c r="S601">
        <v>0</v>
      </c>
      <c r="T601" t="s">
        <v>48</v>
      </c>
      <c r="V601">
        <v>68</v>
      </c>
      <c r="W601">
        <v>0</v>
      </c>
      <c r="X601">
        <v>68</v>
      </c>
      <c r="Y601">
        <v>0</v>
      </c>
      <c r="Z601">
        <v>0</v>
      </c>
      <c r="AA601">
        <v>0</v>
      </c>
      <c r="AB601" t="s">
        <v>36</v>
      </c>
      <c r="AC601">
        <v>68</v>
      </c>
    </row>
    <row r="602" spans="1:30" x14ac:dyDescent="0.25">
      <c r="A602" s="1">
        <v>44784.202175925922</v>
      </c>
      <c r="B602" s="1">
        <v>44784.201666666668</v>
      </c>
      <c r="C602">
        <v>12050</v>
      </c>
      <c r="D602" t="s">
        <v>49</v>
      </c>
      <c r="E602" t="s">
        <v>35</v>
      </c>
      <c r="F602">
        <v>7</v>
      </c>
      <c r="G602">
        <v>44.220573000000002</v>
      </c>
      <c r="H602">
        <v>-71.732315</v>
      </c>
      <c r="I602">
        <v>999</v>
      </c>
      <c r="J602">
        <v>68</v>
      </c>
      <c r="K602">
        <v>0</v>
      </c>
      <c r="L602" s="1">
        <v>44784.20212962963</v>
      </c>
      <c r="M602">
        <v>2.9</v>
      </c>
      <c r="N602">
        <v>2.9</v>
      </c>
      <c r="O602">
        <v>0</v>
      </c>
      <c r="P602">
        <v>0</v>
      </c>
      <c r="Q602">
        <v>0.1</v>
      </c>
      <c r="R602">
        <v>0.1</v>
      </c>
      <c r="S602">
        <v>0.1</v>
      </c>
      <c r="T602" t="s">
        <v>33</v>
      </c>
      <c r="U602">
        <v>2.9</v>
      </c>
      <c r="V602">
        <v>58</v>
      </c>
      <c r="W602">
        <v>0</v>
      </c>
      <c r="X602">
        <v>58</v>
      </c>
      <c r="Y602">
        <v>0</v>
      </c>
      <c r="Z602">
        <v>0</v>
      </c>
      <c r="AA602">
        <v>0</v>
      </c>
      <c r="AB602" t="s">
        <v>36</v>
      </c>
      <c r="AC602">
        <v>58</v>
      </c>
      <c r="AD602">
        <v>-0.13</v>
      </c>
    </row>
    <row r="603" spans="1:30" x14ac:dyDescent="0.25">
      <c r="A603" s="1">
        <v>44784.202175925922</v>
      </c>
      <c r="B603" s="1">
        <v>44784.200381944444</v>
      </c>
      <c r="C603">
        <v>23443</v>
      </c>
      <c r="D603" t="s">
        <v>50</v>
      </c>
      <c r="E603" t="s">
        <v>35</v>
      </c>
      <c r="F603">
        <v>7</v>
      </c>
      <c r="G603">
        <v>43.556139999999999</v>
      </c>
      <c r="H603">
        <v>-72.370990000000006</v>
      </c>
      <c r="I603">
        <v>523</v>
      </c>
      <c r="J603">
        <v>69</v>
      </c>
      <c r="K603">
        <v>0</v>
      </c>
      <c r="L603" s="1">
        <v>44784.20212962963</v>
      </c>
      <c r="M603">
        <v>4.3</v>
      </c>
      <c r="N603">
        <v>3.6</v>
      </c>
      <c r="O603">
        <v>0.7</v>
      </c>
      <c r="P603">
        <v>18</v>
      </c>
      <c r="Q603">
        <v>0.1</v>
      </c>
      <c r="R603">
        <v>0.1</v>
      </c>
      <c r="S603">
        <v>0.1</v>
      </c>
      <c r="T603" t="s">
        <v>33</v>
      </c>
      <c r="U603">
        <v>3.95</v>
      </c>
      <c r="V603">
        <v>67</v>
      </c>
      <c r="W603">
        <v>0</v>
      </c>
      <c r="X603">
        <v>67</v>
      </c>
      <c r="Y603">
        <v>0</v>
      </c>
      <c r="Z603">
        <v>0</v>
      </c>
      <c r="AA603">
        <v>0</v>
      </c>
      <c r="AB603" t="s">
        <v>36</v>
      </c>
      <c r="AC603">
        <v>67</v>
      </c>
      <c r="AD603">
        <v>-0.12</v>
      </c>
    </row>
    <row r="604" spans="1:30" x14ac:dyDescent="0.25">
      <c r="A604" s="1">
        <v>44784.202175925922</v>
      </c>
      <c r="B604" s="1">
        <v>44784.201863425929</v>
      </c>
      <c r="C604">
        <v>58135</v>
      </c>
      <c r="D604" t="s">
        <v>51</v>
      </c>
      <c r="E604" t="s">
        <v>35</v>
      </c>
      <c r="F604">
        <v>7</v>
      </c>
      <c r="G604">
        <v>42.883873000000001</v>
      </c>
      <c r="H604">
        <v>-71.972915999999998</v>
      </c>
      <c r="I604">
        <v>808</v>
      </c>
      <c r="J604">
        <v>70</v>
      </c>
      <c r="K604">
        <v>0</v>
      </c>
      <c r="L604" s="1">
        <v>44784.20212962963</v>
      </c>
      <c r="M604">
        <v>8.3000000000000007</v>
      </c>
      <c r="N604">
        <v>5.5</v>
      </c>
      <c r="O604">
        <v>2.8</v>
      </c>
      <c r="P604">
        <v>41</v>
      </c>
      <c r="Q604">
        <v>0.2</v>
      </c>
      <c r="R604">
        <v>0.1</v>
      </c>
      <c r="S604">
        <v>0.15</v>
      </c>
      <c r="T604" t="s">
        <v>33</v>
      </c>
      <c r="U604">
        <v>6.9</v>
      </c>
      <c r="V604">
        <v>73</v>
      </c>
      <c r="W604">
        <v>0</v>
      </c>
      <c r="X604">
        <v>73</v>
      </c>
      <c r="Y604">
        <v>1</v>
      </c>
      <c r="Z604">
        <v>0</v>
      </c>
      <c r="AA604">
        <v>1</v>
      </c>
      <c r="AB604" t="s">
        <v>36</v>
      </c>
      <c r="AC604">
        <v>73</v>
      </c>
      <c r="AD604">
        <v>1.26</v>
      </c>
    </row>
    <row r="605" spans="1:30" x14ac:dyDescent="0.25">
      <c r="A605" s="1">
        <v>44784.202187499999</v>
      </c>
      <c r="B605" s="1">
        <v>44784.201909722222</v>
      </c>
      <c r="C605">
        <v>148555</v>
      </c>
      <c r="D605" t="s">
        <v>52</v>
      </c>
      <c r="E605" t="s">
        <v>53</v>
      </c>
      <c r="F605">
        <v>7</v>
      </c>
      <c r="G605">
        <v>42.904949999999999</v>
      </c>
      <c r="H605">
        <v>-71.386764999999997</v>
      </c>
      <c r="I605">
        <v>363</v>
      </c>
      <c r="J605">
        <v>0</v>
      </c>
      <c r="K605">
        <v>0</v>
      </c>
      <c r="L605" s="1">
        <v>44784.20212962963</v>
      </c>
      <c r="M605">
        <v>2.1</v>
      </c>
      <c r="N605">
        <v>2.8</v>
      </c>
      <c r="O605">
        <v>0.7</v>
      </c>
      <c r="P605">
        <v>29</v>
      </c>
      <c r="Q605">
        <v>0</v>
      </c>
      <c r="R605">
        <v>0</v>
      </c>
      <c r="S605">
        <v>0</v>
      </c>
      <c r="T605" t="s">
        <v>33</v>
      </c>
      <c r="U605">
        <v>2.4500000000000002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 t="s">
        <v>38</v>
      </c>
    </row>
    <row r="606" spans="1:30" x14ac:dyDescent="0.25">
      <c r="A606" s="1">
        <v>44784.202187499999</v>
      </c>
      <c r="B606" s="1">
        <v>44784.20144675926</v>
      </c>
      <c r="C606">
        <v>146644</v>
      </c>
      <c r="D606" t="s">
        <v>54</v>
      </c>
      <c r="E606" t="s">
        <v>53</v>
      </c>
      <c r="F606">
        <v>7</v>
      </c>
      <c r="G606">
        <v>43.06015</v>
      </c>
      <c r="H606">
        <v>-70.758930000000007</v>
      </c>
      <c r="I606">
        <v>35</v>
      </c>
      <c r="J606">
        <v>69</v>
      </c>
      <c r="K606">
        <v>71</v>
      </c>
      <c r="L606" s="1">
        <v>44784.20212962963</v>
      </c>
      <c r="M606">
        <v>6</v>
      </c>
      <c r="N606">
        <v>5.0999999999999996</v>
      </c>
      <c r="O606">
        <v>0.9</v>
      </c>
      <c r="P606">
        <v>16</v>
      </c>
      <c r="Q606">
        <v>0.1</v>
      </c>
      <c r="R606">
        <v>0</v>
      </c>
      <c r="S606">
        <v>0.05</v>
      </c>
      <c r="T606" t="s">
        <v>33</v>
      </c>
      <c r="U606">
        <v>5.55</v>
      </c>
      <c r="V606">
        <v>69</v>
      </c>
      <c r="W606">
        <v>73</v>
      </c>
      <c r="X606">
        <v>4</v>
      </c>
      <c r="Y606">
        <v>0</v>
      </c>
      <c r="Z606">
        <v>0</v>
      </c>
      <c r="AA606">
        <v>0</v>
      </c>
      <c r="AB606" t="s">
        <v>33</v>
      </c>
      <c r="AC606">
        <v>71</v>
      </c>
      <c r="AD606">
        <v>0.57999999999999996</v>
      </c>
    </row>
    <row r="607" spans="1:30" x14ac:dyDescent="0.25">
      <c r="A607" s="1">
        <v>44784.202187499999</v>
      </c>
      <c r="B607" s="1">
        <v>43755.283437500002</v>
      </c>
      <c r="C607">
        <v>12188</v>
      </c>
      <c r="D607" t="s">
        <v>55</v>
      </c>
      <c r="E607" t="s">
        <v>35</v>
      </c>
      <c r="F607">
        <v>4.1100000000000003</v>
      </c>
      <c r="G607">
        <v>42.927050000000001</v>
      </c>
      <c r="H607">
        <v>-72.279610000000005</v>
      </c>
      <c r="I607">
        <v>475</v>
      </c>
      <c r="J607">
        <v>95</v>
      </c>
      <c r="K607">
        <v>0</v>
      </c>
      <c r="L607" s="1">
        <v>44784.20212962963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 t="s">
        <v>32</v>
      </c>
      <c r="V607">
        <v>77</v>
      </c>
      <c r="W607">
        <v>0</v>
      </c>
      <c r="X607">
        <v>77</v>
      </c>
      <c r="Y607">
        <v>0</v>
      </c>
      <c r="Z607">
        <v>0</v>
      </c>
      <c r="AA607">
        <v>0</v>
      </c>
      <c r="AB607" t="s">
        <v>36</v>
      </c>
      <c r="AC607">
        <v>77</v>
      </c>
    </row>
    <row r="608" spans="1:30" x14ac:dyDescent="0.25">
      <c r="A608" s="1">
        <v>44784.202187499999</v>
      </c>
      <c r="B608" s="1">
        <v>44784.200381944444</v>
      </c>
      <c r="C608">
        <v>1224</v>
      </c>
      <c r="D608" t="s">
        <v>56</v>
      </c>
      <c r="E608" t="s">
        <v>35</v>
      </c>
      <c r="F608" t="s">
        <v>57</v>
      </c>
      <c r="G608">
        <v>42.938034000000002</v>
      </c>
      <c r="H608">
        <v>-72.259299999999996</v>
      </c>
      <c r="I608">
        <v>792</v>
      </c>
      <c r="J608">
        <v>75</v>
      </c>
      <c r="K608">
        <v>0</v>
      </c>
      <c r="L608" s="1">
        <v>44784.20212962963</v>
      </c>
      <c r="M608">
        <v>4.9000000000000004</v>
      </c>
      <c r="N608">
        <v>0</v>
      </c>
      <c r="O608">
        <v>4.9000000000000004</v>
      </c>
      <c r="P608">
        <v>200</v>
      </c>
      <c r="Q608">
        <v>0.3</v>
      </c>
      <c r="R608">
        <v>0</v>
      </c>
      <c r="S608">
        <v>0.15</v>
      </c>
      <c r="T608" t="s">
        <v>43</v>
      </c>
      <c r="V608">
        <v>86</v>
      </c>
      <c r="W608">
        <v>0</v>
      </c>
      <c r="X608">
        <v>86</v>
      </c>
      <c r="Y608">
        <v>1</v>
      </c>
      <c r="Z608">
        <v>0</v>
      </c>
      <c r="AA608">
        <v>1</v>
      </c>
      <c r="AB608" t="s">
        <v>36</v>
      </c>
      <c r="AC608">
        <v>86</v>
      </c>
    </row>
    <row r="609" spans="1:30" x14ac:dyDescent="0.25">
      <c r="A609" s="1">
        <v>44784.202199074076</v>
      </c>
      <c r="B609" s="1">
        <v>44784.201203703706</v>
      </c>
      <c r="C609">
        <v>1202</v>
      </c>
      <c r="D609" t="s">
        <v>58</v>
      </c>
      <c r="E609" t="s">
        <v>35</v>
      </c>
      <c r="F609" t="s">
        <v>57</v>
      </c>
      <c r="G609">
        <v>42.936554000000001</v>
      </c>
      <c r="H609">
        <v>-72.271019999999993</v>
      </c>
      <c r="I609">
        <v>488</v>
      </c>
      <c r="J609">
        <v>0</v>
      </c>
      <c r="K609">
        <v>0</v>
      </c>
      <c r="L609" s="1">
        <v>44784.20212962963</v>
      </c>
      <c r="M609">
        <v>3.6</v>
      </c>
      <c r="N609">
        <v>3.4</v>
      </c>
      <c r="O609">
        <v>0.2</v>
      </c>
      <c r="P609">
        <v>6</v>
      </c>
      <c r="Q609">
        <v>0.1</v>
      </c>
      <c r="R609">
        <v>0.1</v>
      </c>
      <c r="S609">
        <v>0.1</v>
      </c>
      <c r="T609" t="s">
        <v>33</v>
      </c>
      <c r="U609">
        <v>3.5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 t="s">
        <v>38</v>
      </c>
    </row>
    <row r="610" spans="1:30" x14ac:dyDescent="0.25">
      <c r="A610" s="1">
        <v>44784.202199074076</v>
      </c>
      <c r="B610" s="1">
        <v>44612.080023148148</v>
      </c>
      <c r="C610">
        <v>25985</v>
      </c>
      <c r="D610" t="s">
        <v>59</v>
      </c>
      <c r="E610" t="s">
        <v>35</v>
      </c>
      <c r="F610">
        <v>6.01</v>
      </c>
      <c r="G610">
        <v>42.927326000000001</v>
      </c>
      <c r="H610">
        <v>-72.279979999999995</v>
      </c>
      <c r="I610">
        <v>477</v>
      </c>
      <c r="J610">
        <v>78</v>
      </c>
      <c r="K610">
        <v>0</v>
      </c>
      <c r="L610" s="1">
        <v>44784.20212962963</v>
      </c>
      <c r="M610">
        <v>1.1000000000000001</v>
      </c>
      <c r="N610">
        <v>1</v>
      </c>
      <c r="O610">
        <v>0.1</v>
      </c>
      <c r="P610">
        <v>10</v>
      </c>
      <c r="Q610">
        <v>0</v>
      </c>
      <c r="R610">
        <v>0</v>
      </c>
      <c r="S610">
        <v>0</v>
      </c>
      <c r="T610" t="s">
        <v>32</v>
      </c>
      <c r="V610">
        <v>22</v>
      </c>
      <c r="W610">
        <v>0</v>
      </c>
      <c r="X610">
        <v>22</v>
      </c>
      <c r="Y610">
        <v>0</v>
      </c>
      <c r="Z610">
        <v>0</v>
      </c>
      <c r="AA610">
        <v>0</v>
      </c>
      <c r="AB610" t="s">
        <v>36</v>
      </c>
      <c r="AC610">
        <v>22</v>
      </c>
    </row>
    <row r="611" spans="1:30" x14ac:dyDescent="0.25">
      <c r="A611" s="1">
        <v>44784.209074074075</v>
      </c>
      <c r="B611" s="1">
        <v>44775.701319444444</v>
      </c>
      <c r="C611">
        <v>151708</v>
      </c>
      <c r="D611" t="s">
        <v>30</v>
      </c>
      <c r="E611" t="s">
        <v>31</v>
      </c>
      <c r="F611">
        <v>7</v>
      </c>
      <c r="G611">
        <v>43.192042999999998</v>
      </c>
      <c r="H611">
        <v>-71.541579999999996</v>
      </c>
      <c r="I611">
        <v>291</v>
      </c>
      <c r="J611">
        <v>93</v>
      </c>
      <c r="K611">
        <v>94</v>
      </c>
      <c r="L611" s="1">
        <v>44784.209050925929</v>
      </c>
      <c r="M611">
        <v>7.9</v>
      </c>
      <c r="N611">
        <v>7.6</v>
      </c>
      <c r="O611">
        <v>0.3</v>
      </c>
      <c r="P611">
        <v>4</v>
      </c>
      <c r="Q611">
        <v>0</v>
      </c>
      <c r="R611">
        <v>0</v>
      </c>
      <c r="S611">
        <v>0</v>
      </c>
      <c r="T611" t="s">
        <v>32</v>
      </c>
      <c r="V611">
        <v>42</v>
      </c>
      <c r="W611">
        <v>41</v>
      </c>
      <c r="X611">
        <v>1</v>
      </c>
      <c r="Y611">
        <v>0</v>
      </c>
      <c r="Z611">
        <v>0</v>
      </c>
      <c r="AA611">
        <v>0</v>
      </c>
      <c r="AB611" t="s">
        <v>33</v>
      </c>
      <c r="AC611">
        <v>41.5</v>
      </c>
    </row>
    <row r="612" spans="1:30" x14ac:dyDescent="0.25">
      <c r="A612" s="1">
        <v>44784.209074074075</v>
      </c>
      <c r="B612" s="1">
        <v>44784.207372685189</v>
      </c>
      <c r="C612">
        <v>143456</v>
      </c>
      <c r="D612" t="s">
        <v>34</v>
      </c>
      <c r="E612" t="s">
        <v>35</v>
      </c>
      <c r="F612">
        <v>7</v>
      </c>
      <c r="G612">
        <v>43.08963</v>
      </c>
      <c r="H612">
        <v>-71.502440000000007</v>
      </c>
      <c r="I612">
        <v>619</v>
      </c>
      <c r="J612">
        <v>68</v>
      </c>
      <c r="K612">
        <v>0</v>
      </c>
      <c r="L612" s="1">
        <v>44784.209050925929</v>
      </c>
      <c r="M612">
        <v>3.3</v>
      </c>
      <c r="N612">
        <v>3.7</v>
      </c>
      <c r="O612">
        <v>0.4</v>
      </c>
      <c r="P612">
        <v>11</v>
      </c>
      <c r="Q612">
        <v>0</v>
      </c>
      <c r="R612">
        <v>0.1</v>
      </c>
      <c r="S612">
        <v>0.05</v>
      </c>
      <c r="T612" t="s">
        <v>33</v>
      </c>
      <c r="U612">
        <v>3.5</v>
      </c>
      <c r="V612">
        <v>72</v>
      </c>
      <c r="W612">
        <v>0</v>
      </c>
      <c r="X612">
        <v>72</v>
      </c>
      <c r="Y612">
        <v>1</v>
      </c>
      <c r="Z612">
        <v>0</v>
      </c>
      <c r="AA612">
        <v>1</v>
      </c>
      <c r="AB612" t="s">
        <v>36</v>
      </c>
      <c r="AC612">
        <v>72</v>
      </c>
      <c r="AD612">
        <v>-0.75</v>
      </c>
    </row>
    <row r="613" spans="1:30" x14ac:dyDescent="0.25">
      <c r="A613" s="1">
        <v>44784.209074074075</v>
      </c>
      <c r="B613" s="1">
        <v>44784.207557870373</v>
      </c>
      <c r="C613">
        <v>151702</v>
      </c>
      <c r="D613" t="s">
        <v>37</v>
      </c>
      <c r="E613" t="s">
        <v>31</v>
      </c>
      <c r="F613">
        <v>7</v>
      </c>
      <c r="G613">
        <v>43.118609999999997</v>
      </c>
      <c r="H613">
        <v>-71.61618</v>
      </c>
      <c r="I613">
        <v>885</v>
      </c>
      <c r="J613">
        <v>0</v>
      </c>
      <c r="K613">
        <v>0</v>
      </c>
      <c r="L613" s="1">
        <v>44784.209050925929</v>
      </c>
      <c r="M613">
        <v>4.0999999999999996</v>
      </c>
      <c r="N613">
        <v>4</v>
      </c>
      <c r="O613">
        <v>0.1</v>
      </c>
      <c r="P613">
        <v>2</v>
      </c>
      <c r="Q613">
        <v>0.1</v>
      </c>
      <c r="R613">
        <v>0.1</v>
      </c>
      <c r="S613">
        <v>0.1</v>
      </c>
      <c r="T613" t="s">
        <v>33</v>
      </c>
      <c r="U613">
        <v>4.05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 t="s">
        <v>38</v>
      </c>
    </row>
    <row r="614" spans="1:30" x14ac:dyDescent="0.25">
      <c r="A614" s="1">
        <v>44784.209074074075</v>
      </c>
      <c r="B614" s="1">
        <v>44784.207442129627</v>
      </c>
      <c r="C614">
        <v>151700</v>
      </c>
      <c r="D614" t="s">
        <v>30</v>
      </c>
      <c r="E614" t="s">
        <v>31</v>
      </c>
      <c r="F614">
        <v>7</v>
      </c>
      <c r="G614">
        <v>43.19211</v>
      </c>
      <c r="H614">
        <v>-71.541460000000001</v>
      </c>
      <c r="I614">
        <v>286</v>
      </c>
      <c r="J614">
        <v>70</v>
      </c>
      <c r="K614">
        <v>0</v>
      </c>
      <c r="L614" s="1">
        <v>44784.209050925929</v>
      </c>
      <c r="M614">
        <v>2.9</v>
      </c>
      <c r="N614">
        <v>3.4</v>
      </c>
      <c r="O614">
        <v>0.5</v>
      </c>
      <c r="P614">
        <v>16</v>
      </c>
      <c r="Q614">
        <v>0</v>
      </c>
      <c r="R614">
        <v>0.1</v>
      </c>
      <c r="S614">
        <v>0.05</v>
      </c>
      <c r="T614" t="s">
        <v>33</v>
      </c>
      <c r="U614">
        <v>3.15</v>
      </c>
      <c r="V614">
        <v>68</v>
      </c>
      <c r="W614">
        <v>0</v>
      </c>
      <c r="X614">
        <v>68</v>
      </c>
      <c r="Y614">
        <v>0</v>
      </c>
      <c r="Z614">
        <v>0</v>
      </c>
      <c r="AA614">
        <v>0</v>
      </c>
      <c r="AB614" t="s">
        <v>36</v>
      </c>
      <c r="AC614">
        <v>68</v>
      </c>
      <c r="AD614">
        <v>-0.68</v>
      </c>
    </row>
    <row r="615" spans="1:30" x14ac:dyDescent="0.25">
      <c r="A615" s="1">
        <v>44784.209085648145</v>
      </c>
      <c r="B615" s="1">
        <v>44784.20784722222</v>
      </c>
      <c r="C615">
        <v>135984</v>
      </c>
      <c r="D615" t="s">
        <v>39</v>
      </c>
      <c r="E615" t="s">
        <v>31</v>
      </c>
      <c r="F615">
        <v>7</v>
      </c>
      <c r="G615">
        <v>43.565852999999997</v>
      </c>
      <c r="H615">
        <v>-71.496129999999994</v>
      </c>
      <c r="I615">
        <v>708</v>
      </c>
      <c r="J615">
        <v>68</v>
      </c>
      <c r="K615">
        <v>0</v>
      </c>
      <c r="L615" s="1">
        <v>44784.209050925929</v>
      </c>
      <c r="M615">
        <v>4.8</v>
      </c>
      <c r="N615">
        <v>4</v>
      </c>
      <c r="O615">
        <v>0.8</v>
      </c>
      <c r="P615">
        <v>18</v>
      </c>
      <c r="Q615">
        <v>0.1</v>
      </c>
      <c r="R615">
        <v>0.1</v>
      </c>
      <c r="S615">
        <v>0.1</v>
      </c>
      <c r="T615" t="s">
        <v>33</v>
      </c>
      <c r="U615">
        <v>4.4000000000000004</v>
      </c>
      <c r="V615">
        <v>91</v>
      </c>
      <c r="W615">
        <v>0</v>
      </c>
      <c r="X615">
        <v>91</v>
      </c>
      <c r="Y615">
        <v>0</v>
      </c>
      <c r="Z615">
        <v>0</v>
      </c>
      <c r="AA615">
        <v>0</v>
      </c>
      <c r="AB615" t="s">
        <v>36</v>
      </c>
      <c r="AC615">
        <v>91</v>
      </c>
      <c r="AD615">
        <v>-1.53</v>
      </c>
    </row>
    <row r="616" spans="1:30" x14ac:dyDescent="0.25">
      <c r="A616" s="1">
        <v>44784.209085648145</v>
      </c>
      <c r="B616" s="1">
        <v>44780.394780092596</v>
      </c>
      <c r="C616">
        <v>151712</v>
      </c>
      <c r="D616" t="s">
        <v>40</v>
      </c>
      <c r="E616" t="s">
        <v>31</v>
      </c>
      <c r="F616">
        <v>7</v>
      </c>
      <c r="G616">
        <v>43.289763999999998</v>
      </c>
      <c r="H616">
        <v>-71.564260000000004</v>
      </c>
      <c r="I616">
        <v>370</v>
      </c>
      <c r="J616">
        <v>86</v>
      </c>
      <c r="K616">
        <v>0</v>
      </c>
      <c r="L616" s="1">
        <v>44784.209050925929</v>
      </c>
      <c r="M616">
        <v>14</v>
      </c>
      <c r="N616">
        <v>13.2</v>
      </c>
      <c r="O616">
        <v>0.8</v>
      </c>
      <c r="P616">
        <v>6</v>
      </c>
      <c r="Q616">
        <v>0</v>
      </c>
      <c r="R616">
        <v>0</v>
      </c>
      <c r="S616">
        <v>0</v>
      </c>
      <c r="T616" t="s">
        <v>32</v>
      </c>
      <c r="V616">
        <v>59</v>
      </c>
      <c r="W616">
        <v>0</v>
      </c>
      <c r="X616">
        <v>59</v>
      </c>
      <c r="Y616">
        <v>0</v>
      </c>
      <c r="Z616">
        <v>0</v>
      </c>
      <c r="AA616">
        <v>0</v>
      </c>
      <c r="AB616" t="s">
        <v>36</v>
      </c>
      <c r="AC616">
        <v>59</v>
      </c>
    </row>
    <row r="617" spans="1:30" x14ac:dyDescent="0.25">
      <c r="A617" s="1">
        <v>44784.209085648145</v>
      </c>
      <c r="B617" s="1">
        <v>44784.208541666667</v>
      </c>
      <c r="C617">
        <v>151710</v>
      </c>
      <c r="D617" t="s">
        <v>41</v>
      </c>
      <c r="E617" t="s">
        <v>31</v>
      </c>
      <c r="F617">
        <v>7</v>
      </c>
      <c r="G617">
        <v>43.132477000000002</v>
      </c>
      <c r="H617">
        <v>-71.458374000000006</v>
      </c>
      <c r="I617">
        <v>230</v>
      </c>
      <c r="J617">
        <v>68</v>
      </c>
      <c r="K617">
        <v>0</v>
      </c>
      <c r="L617" s="1">
        <v>44784.209050925929</v>
      </c>
      <c r="M617">
        <v>5.7</v>
      </c>
      <c r="N617">
        <v>4.7</v>
      </c>
      <c r="O617">
        <v>1</v>
      </c>
      <c r="P617">
        <v>19</v>
      </c>
      <c r="Q617">
        <v>0.2</v>
      </c>
      <c r="R617">
        <v>0</v>
      </c>
      <c r="S617">
        <v>0.1</v>
      </c>
      <c r="T617" t="s">
        <v>33</v>
      </c>
      <c r="U617">
        <v>5.2</v>
      </c>
      <c r="V617">
        <v>72</v>
      </c>
      <c r="W617">
        <v>0</v>
      </c>
      <c r="X617">
        <v>72</v>
      </c>
      <c r="Y617">
        <v>0</v>
      </c>
      <c r="Z617">
        <v>0</v>
      </c>
      <c r="AA617">
        <v>0</v>
      </c>
      <c r="AB617" t="s">
        <v>36</v>
      </c>
      <c r="AC617">
        <v>72</v>
      </c>
      <c r="AD617">
        <v>0.28999999999999998</v>
      </c>
    </row>
    <row r="618" spans="1:30" x14ac:dyDescent="0.25">
      <c r="A618" s="1">
        <v>44784.209085648145</v>
      </c>
      <c r="B618" s="1">
        <v>44784.208229166667</v>
      </c>
      <c r="C618">
        <v>151706</v>
      </c>
      <c r="D618" t="s">
        <v>42</v>
      </c>
      <c r="E618" t="s">
        <v>31</v>
      </c>
      <c r="F618">
        <v>7</v>
      </c>
      <c r="G618">
        <v>43.004080000000002</v>
      </c>
      <c r="H618">
        <v>-71.177040000000005</v>
      </c>
      <c r="I618">
        <v>194</v>
      </c>
      <c r="J618">
        <v>68</v>
      </c>
      <c r="K618">
        <v>0</v>
      </c>
      <c r="L618" s="1">
        <v>44784.209050925929</v>
      </c>
      <c r="M618">
        <v>2.6</v>
      </c>
      <c r="N618">
        <v>0</v>
      </c>
      <c r="O618">
        <v>2.6</v>
      </c>
      <c r="P618">
        <v>200</v>
      </c>
      <c r="Q618">
        <v>0</v>
      </c>
      <c r="R618">
        <v>0</v>
      </c>
      <c r="S618">
        <v>0</v>
      </c>
      <c r="T618" t="s">
        <v>43</v>
      </c>
      <c r="V618">
        <v>70</v>
      </c>
      <c r="W618">
        <v>0</v>
      </c>
      <c r="X618">
        <v>70</v>
      </c>
      <c r="Y618">
        <v>1</v>
      </c>
      <c r="Z618">
        <v>0</v>
      </c>
      <c r="AA618">
        <v>1</v>
      </c>
      <c r="AB618" t="s">
        <v>36</v>
      </c>
      <c r="AC618">
        <v>70</v>
      </c>
    </row>
    <row r="619" spans="1:30" x14ac:dyDescent="0.25">
      <c r="A619" s="1">
        <v>44784.209097222221</v>
      </c>
      <c r="B619" s="1">
        <v>44784.207928240743</v>
      </c>
      <c r="C619">
        <v>12212</v>
      </c>
      <c r="D619" t="s">
        <v>44</v>
      </c>
      <c r="E619" t="s">
        <v>35</v>
      </c>
      <c r="F619">
        <v>7</v>
      </c>
      <c r="G619">
        <v>42.930529999999997</v>
      </c>
      <c r="H619">
        <v>-72.272350000000003</v>
      </c>
      <c r="I619">
        <v>476</v>
      </c>
      <c r="J619">
        <v>75</v>
      </c>
      <c r="K619">
        <v>0</v>
      </c>
      <c r="L619" s="1">
        <v>44784.209050925929</v>
      </c>
      <c r="M619">
        <v>4.8</v>
      </c>
      <c r="N619">
        <v>3.9</v>
      </c>
      <c r="O619">
        <v>0.9</v>
      </c>
      <c r="P619">
        <v>21</v>
      </c>
      <c r="Q619">
        <v>0.1</v>
      </c>
      <c r="R619">
        <v>0.2</v>
      </c>
      <c r="S619">
        <v>0.15</v>
      </c>
      <c r="T619" t="s">
        <v>33</v>
      </c>
      <c r="U619">
        <v>4.3499999999999996</v>
      </c>
      <c r="V619">
        <v>86</v>
      </c>
      <c r="W619">
        <v>0</v>
      </c>
      <c r="X619">
        <v>86</v>
      </c>
      <c r="Y619">
        <v>1</v>
      </c>
      <c r="Z619">
        <v>0</v>
      </c>
      <c r="AA619">
        <v>1</v>
      </c>
      <c r="AB619" t="s">
        <v>36</v>
      </c>
      <c r="AC619">
        <v>86</v>
      </c>
      <c r="AD619">
        <v>-1.21</v>
      </c>
    </row>
    <row r="620" spans="1:30" x14ac:dyDescent="0.25">
      <c r="A620" s="1">
        <v>44784.209097222221</v>
      </c>
      <c r="B620" s="1">
        <v>44769.376736111109</v>
      </c>
      <c r="C620">
        <v>12178</v>
      </c>
      <c r="D620" t="s">
        <v>45</v>
      </c>
      <c r="E620" t="s">
        <v>35</v>
      </c>
      <c r="F620">
        <v>7</v>
      </c>
      <c r="G620">
        <v>42.899563000000001</v>
      </c>
      <c r="H620">
        <v>-71.464650000000006</v>
      </c>
      <c r="I620">
        <v>301</v>
      </c>
      <c r="J620">
        <v>85</v>
      </c>
      <c r="K620">
        <v>0</v>
      </c>
      <c r="L620" s="1">
        <v>44784.209050925929</v>
      </c>
      <c r="M620">
        <v>3.8</v>
      </c>
      <c r="N620">
        <v>3.1</v>
      </c>
      <c r="O620">
        <v>0.7</v>
      </c>
      <c r="P620">
        <v>20</v>
      </c>
      <c r="Q620">
        <v>0</v>
      </c>
      <c r="R620">
        <v>0</v>
      </c>
      <c r="S620">
        <v>0</v>
      </c>
      <c r="T620" t="s">
        <v>32</v>
      </c>
      <c r="V620">
        <v>35</v>
      </c>
      <c r="W620">
        <v>0</v>
      </c>
      <c r="X620">
        <v>35</v>
      </c>
      <c r="Y620">
        <v>0</v>
      </c>
      <c r="Z620">
        <v>0</v>
      </c>
      <c r="AA620">
        <v>0</v>
      </c>
      <c r="AB620" t="s">
        <v>36</v>
      </c>
      <c r="AC620">
        <v>35</v>
      </c>
    </row>
    <row r="621" spans="1:30" x14ac:dyDescent="0.25">
      <c r="A621" s="1">
        <v>44784.209097222221</v>
      </c>
      <c r="B621" s="1">
        <v>44784.208668981482</v>
      </c>
      <c r="C621">
        <v>75981</v>
      </c>
      <c r="D621" t="s">
        <v>46</v>
      </c>
      <c r="E621" t="s">
        <v>35</v>
      </c>
      <c r="F621">
        <v>7</v>
      </c>
      <c r="G621">
        <v>42.97</v>
      </c>
      <c r="H621">
        <v>-71.06</v>
      </c>
      <c r="I621">
        <v>136</v>
      </c>
      <c r="J621">
        <v>74</v>
      </c>
      <c r="K621">
        <v>0</v>
      </c>
      <c r="L621" s="1">
        <v>44784.209050925929</v>
      </c>
      <c r="M621">
        <v>4</v>
      </c>
      <c r="N621">
        <v>3.5</v>
      </c>
      <c r="O621">
        <v>0.5</v>
      </c>
      <c r="P621">
        <v>13</v>
      </c>
      <c r="Q621">
        <v>0.1</v>
      </c>
      <c r="R621">
        <v>0</v>
      </c>
      <c r="S621">
        <v>0.05</v>
      </c>
      <c r="T621" t="s">
        <v>33</v>
      </c>
      <c r="U621">
        <v>3.75</v>
      </c>
      <c r="V621">
        <v>62</v>
      </c>
      <c r="W621">
        <v>0</v>
      </c>
      <c r="X621">
        <v>62</v>
      </c>
      <c r="Y621">
        <v>0</v>
      </c>
      <c r="Z621">
        <v>0</v>
      </c>
      <c r="AA621">
        <v>0</v>
      </c>
      <c r="AB621" t="s">
        <v>36</v>
      </c>
      <c r="AC621">
        <v>62</v>
      </c>
      <c r="AD621">
        <v>0.11</v>
      </c>
    </row>
    <row r="622" spans="1:30" x14ac:dyDescent="0.25">
      <c r="A622" s="1">
        <v>44784.209097222221</v>
      </c>
      <c r="B622" s="1">
        <v>44784.207800925928</v>
      </c>
      <c r="C622">
        <v>115703</v>
      </c>
      <c r="D622" t="s">
        <v>47</v>
      </c>
      <c r="E622" t="s">
        <v>35</v>
      </c>
      <c r="F622">
        <v>7</v>
      </c>
      <c r="G622">
        <v>43.953625000000002</v>
      </c>
      <c r="H622">
        <v>-71.508859999999999</v>
      </c>
      <c r="I622">
        <v>1493</v>
      </c>
      <c r="J622">
        <v>62</v>
      </c>
      <c r="K622">
        <v>0</v>
      </c>
      <c r="L622" s="1">
        <v>44784.209050925929</v>
      </c>
      <c r="M622">
        <v>0</v>
      </c>
      <c r="N622">
        <v>300.89999999999998</v>
      </c>
      <c r="O622">
        <v>300.89999999999998</v>
      </c>
      <c r="P622">
        <v>200</v>
      </c>
      <c r="Q622">
        <v>0</v>
      </c>
      <c r="R622">
        <v>0</v>
      </c>
      <c r="S622">
        <v>0</v>
      </c>
      <c r="T622" t="s">
        <v>48</v>
      </c>
      <c r="V622">
        <v>68</v>
      </c>
      <c r="W622">
        <v>0</v>
      </c>
      <c r="X622">
        <v>68</v>
      </c>
      <c r="Y622">
        <v>0</v>
      </c>
      <c r="Z622">
        <v>0</v>
      </c>
      <c r="AA622">
        <v>0</v>
      </c>
      <c r="AB622" t="s">
        <v>36</v>
      </c>
      <c r="AC622">
        <v>68</v>
      </c>
    </row>
    <row r="623" spans="1:30" x14ac:dyDescent="0.25">
      <c r="A623" s="1">
        <v>44784.209097222221</v>
      </c>
      <c r="B623" s="1">
        <v>44784.20722222222</v>
      </c>
      <c r="C623">
        <v>12050</v>
      </c>
      <c r="D623" t="s">
        <v>49</v>
      </c>
      <c r="E623" t="s">
        <v>35</v>
      </c>
      <c r="F623">
        <v>7</v>
      </c>
      <c r="G623">
        <v>44.220573000000002</v>
      </c>
      <c r="H623">
        <v>-71.732315</v>
      </c>
      <c r="I623">
        <v>999</v>
      </c>
      <c r="J623">
        <v>68</v>
      </c>
      <c r="K623">
        <v>0</v>
      </c>
      <c r="L623" s="1">
        <v>44784.209050925929</v>
      </c>
      <c r="M623">
        <v>2.9</v>
      </c>
      <c r="N623">
        <v>3</v>
      </c>
      <c r="O623">
        <v>0.1</v>
      </c>
      <c r="P623">
        <v>3</v>
      </c>
      <c r="Q623">
        <v>0</v>
      </c>
      <c r="R623">
        <v>0.1</v>
      </c>
      <c r="S623">
        <v>0.05</v>
      </c>
      <c r="T623" t="s">
        <v>33</v>
      </c>
      <c r="U623">
        <v>2.95</v>
      </c>
      <c r="V623">
        <v>58</v>
      </c>
      <c r="W623">
        <v>0</v>
      </c>
      <c r="X623">
        <v>58</v>
      </c>
      <c r="Y623">
        <v>0</v>
      </c>
      <c r="Z623">
        <v>0</v>
      </c>
      <c r="AA623">
        <v>0</v>
      </c>
      <c r="AB623" t="s">
        <v>36</v>
      </c>
      <c r="AC623">
        <v>58</v>
      </c>
      <c r="AD623">
        <v>-0.1</v>
      </c>
    </row>
    <row r="624" spans="1:30" x14ac:dyDescent="0.25">
      <c r="A624" s="1">
        <v>44784.209108796298</v>
      </c>
      <c r="B624" s="1">
        <v>44784.207326388889</v>
      </c>
      <c r="C624">
        <v>23443</v>
      </c>
      <c r="D624" t="s">
        <v>50</v>
      </c>
      <c r="E624" t="s">
        <v>35</v>
      </c>
      <c r="F624">
        <v>7</v>
      </c>
      <c r="G624">
        <v>43.556139999999999</v>
      </c>
      <c r="H624">
        <v>-72.370990000000006</v>
      </c>
      <c r="I624">
        <v>523</v>
      </c>
      <c r="J624">
        <v>69</v>
      </c>
      <c r="K624">
        <v>0</v>
      </c>
      <c r="L624" s="1">
        <v>44784.209050925929</v>
      </c>
      <c r="M624">
        <v>4.3</v>
      </c>
      <c r="N624">
        <v>3.6</v>
      </c>
      <c r="O624">
        <v>0.7</v>
      </c>
      <c r="P624">
        <v>18</v>
      </c>
      <c r="Q624">
        <v>0</v>
      </c>
      <c r="R624">
        <v>0</v>
      </c>
      <c r="S624">
        <v>0</v>
      </c>
      <c r="T624" t="s">
        <v>33</v>
      </c>
      <c r="U624">
        <v>3.95</v>
      </c>
      <c r="V624">
        <v>67</v>
      </c>
      <c r="W624">
        <v>0</v>
      </c>
      <c r="X624">
        <v>67</v>
      </c>
      <c r="Y624">
        <v>0</v>
      </c>
      <c r="Z624">
        <v>0</v>
      </c>
      <c r="AA624">
        <v>0</v>
      </c>
      <c r="AB624" t="s">
        <v>36</v>
      </c>
      <c r="AC624">
        <v>67</v>
      </c>
      <c r="AD624">
        <v>-0.12</v>
      </c>
    </row>
    <row r="625" spans="1:30" x14ac:dyDescent="0.25">
      <c r="A625" s="1">
        <v>44784.209108796298</v>
      </c>
      <c r="B625" s="1">
        <v>44784.208807870367</v>
      </c>
      <c r="C625">
        <v>58135</v>
      </c>
      <c r="D625" t="s">
        <v>51</v>
      </c>
      <c r="E625" t="s">
        <v>35</v>
      </c>
      <c r="F625">
        <v>7</v>
      </c>
      <c r="G625">
        <v>42.883873000000001</v>
      </c>
      <c r="H625">
        <v>-71.972915999999998</v>
      </c>
      <c r="I625">
        <v>808</v>
      </c>
      <c r="J625">
        <v>70</v>
      </c>
      <c r="K625">
        <v>0</v>
      </c>
      <c r="L625" s="1">
        <v>44784.209050925929</v>
      </c>
      <c r="M625">
        <v>8.5</v>
      </c>
      <c r="N625">
        <v>5.7</v>
      </c>
      <c r="O625">
        <v>2.8</v>
      </c>
      <c r="P625">
        <v>39</v>
      </c>
      <c r="Q625">
        <v>0.2</v>
      </c>
      <c r="R625">
        <v>0.2</v>
      </c>
      <c r="S625">
        <v>0.2</v>
      </c>
      <c r="T625" t="s">
        <v>33</v>
      </c>
      <c r="U625">
        <v>7.1</v>
      </c>
      <c r="V625">
        <v>73</v>
      </c>
      <c r="W625">
        <v>0</v>
      </c>
      <c r="X625">
        <v>73</v>
      </c>
      <c r="Y625">
        <v>0</v>
      </c>
      <c r="Z625">
        <v>0</v>
      </c>
      <c r="AA625">
        <v>0</v>
      </c>
      <c r="AB625" t="s">
        <v>36</v>
      </c>
      <c r="AC625">
        <v>73</v>
      </c>
      <c r="AD625">
        <v>1.38</v>
      </c>
    </row>
    <row r="626" spans="1:30" x14ac:dyDescent="0.25">
      <c r="A626" s="1">
        <v>44784.209108796298</v>
      </c>
      <c r="B626" s="1">
        <v>44784.208854166667</v>
      </c>
      <c r="C626">
        <v>148555</v>
      </c>
      <c r="D626" t="s">
        <v>52</v>
      </c>
      <c r="E626" t="s">
        <v>53</v>
      </c>
      <c r="F626">
        <v>7</v>
      </c>
      <c r="G626">
        <v>42.904949999999999</v>
      </c>
      <c r="H626">
        <v>-71.386764999999997</v>
      </c>
      <c r="I626">
        <v>363</v>
      </c>
      <c r="J626">
        <v>0</v>
      </c>
      <c r="K626">
        <v>0</v>
      </c>
      <c r="L626" s="1">
        <v>44784.209050925929</v>
      </c>
      <c r="M626">
        <v>2.2000000000000002</v>
      </c>
      <c r="N626">
        <v>2.9</v>
      </c>
      <c r="O626">
        <v>0.7</v>
      </c>
      <c r="P626">
        <v>27</v>
      </c>
      <c r="Q626">
        <v>0.1</v>
      </c>
      <c r="R626">
        <v>0.1</v>
      </c>
      <c r="S626">
        <v>0.1</v>
      </c>
      <c r="T626" t="s">
        <v>33</v>
      </c>
      <c r="U626">
        <v>2.5499999999999998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 t="s">
        <v>38</v>
      </c>
    </row>
    <row r="627" spans="1:30" x14ac:dyDescent="0.25">
      <c r="A627" s="1">
        <v>44784.209108796298</v>
      </c>
      <c r="B627" s="1">
        <v>44784.208391203705</v>
      </c>
      <c r="C627">
        <v>146644</v>
      </c>
      <c r="D627" t="s">
        <v>54</v>
      </c>
      <c r="E627" t="s">
        <v>53</v>
      </c>
      <c r="F627">
        <v>7</v>
      </c>
      <c r="G627">
        <v>43.06015</v>
      </c>
      <c r="H627">
        <v>-70.758930000000007</v>
      </c>
      <c r="I627">
        <v>35</v>
      </c>
      <c r="J627">
        <v>69</v>
      </c>
      <c r="K627">
        <v>70</v>
      </c>
      <c r="L627" s="1">
        <v>44784.209050925929</v>
      </c>
      <c r="M627">
        <v>5.9</v>
      </c>
      <c r="N627">
        <v>5</v>
      </c>
      <c r="O627">
        <v>0.9</v>
      </c>
      <c r="P627">
        <v>17</v>
      </c>
      <c r="Q627">
        <v>0.1</v>
      </c>
      <c r="R627">
        <v>0.1</v>
      </c>
      <c r="S627">
        <v>0.1</v>
      </c>
      <c r="T627" t="s">
        <v>33</v>
      </c>
      <c r="U627">
        <v>5.45</v>
      </c>
      <c r="V627">
        <v>69</v>
      </c>
      <c r="W627">
        <v>73</v>
      </c>
      <c r="X627">
        <v>4</v>
      </c>
      <c r="Y627">
        <v>0</v>
      </c>
      <c r="Z627">
        <v>0</v>
      </c>
      <c r="AA627">
        <v>0</v>
      </c>
      <c r="AB627" t="s">
        <v>33</v>
      </c>
      <c r="AC627">
        <v>71</v>
      </c>
      <c r="AD627">
        <v>0.51</v>
      </c>
    </row>
    <row r="628" spans="1:30" x14ac:dyDescent="0.25">
      <c r="A628" s="1">
        <v>44784.209120370368</v>
      </c>
      <c r="B628" s="1">
        <v>43755.283437500002</v>
      </c>
      <c r="C628">
        <v>12188</v>
      </c>
      <c r="D628" t="s">
        <v>55</v>
      </c>
      <c r="E628" t="s">
        <v>35</v>
      </c>
      <c r="F628">
        <v>4.1100000000000003</v>
      </c>
      <c r="G628">
        <v>42.927050000000001</v>
      </c>
      <c r="H628">
        <v>-72.279610000000005</v>
      </c>
      <c r="I628">
        <v>475</v>
      </c>
      <c r="J628">
        <v>95</v>
      </c>
      <c r="K628">
        <v>0</v>
      </c>
      <c r="L628" s="1">
        <v>44784.209050925929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 t="s">
        <v>32</v>
      </c>
      <c r="V628">
        <v>77</v>
      </c>
      <c r="W628">
        <v>0</v>
      </c>
      <c r="X628">
        <v>77</v>
      </c>
      <c r="Y628">
        <v>0</v>
      </c>
      <c r="Z628">
        <v>0</v>
      </c>
      <c r="AA628">
        <v>0</v>
      </c>
      <c r="AB628" t="s">
        <v>36</v>
      </c>
      <c r="AC628">
        <v>77</v>
      </c>
    </row>
    <row r="629" spans="1:30" x14ac:dyDescent="0.25">
      <c r="A629" s="1">
        <v>44784.209120370368</v>
      </c>
      <c r="B629" s="1">
        <v>44784.208715277775</v>
      </c>
      <c r="C629">
        <v>1224</v>
      </c>
      <c r="D629" t="s">
        <v>56</v>
      </c>
      <c r="E629" t="s">
        <v>35</v>
      </c>
      <c r="F629" t="s">
        <v>57</v>
      </c>
      <c r="G629">
        <v>42.938034000000002</v>
      </c>
      <c r="H629">
        <v>-72.259299999999996</v>
      </c>
      <c r="I629">
        <v>792</v>
      </c>
      <c r="J629">
        <v>75</v>
      </c>
      <c r="K629">
        <v>0</v>
      </c>
      <c r="L629" s="1">
        <v>44784.209050925929</v>
      </c>
      <c r="M629">
        <v>4.8</v>
      </c>
      <c r="N629">
        <v>0</v>
      </c>
      <c r="O629">
        <v>4.8</v>
      </c>
      <c r="P629">
        <v>200</v>
      </c>
      <c r="Q629">
        <v>0.1</v>
      </c>
      <c r="R629">
        <v>0</v>
      </c>
      <c r="S629">
        <v>0.05</v>
      </c>
      <c r="T629" t="s">
        <v>43</v>
      </c>
      <c r="V629">
        <v>87</v>
      </c>
      <c r="W629">
        <v>0</v>
      </c>
      <c r="X629">
        <v>87</v>
      </c>
      <c r="Y629">
        <v>1</v>
      </c>
      <c r="Z629">
        <v>0</v>
      </c>
      <c r="AA629">
        <v>1</v>
      </c>
      <c r="AB629" t="s">
        <v>36</v>
      </c>
      <c r="AC629">
        <v>87</v>
      </c>
    </row>
    <row r="630" spans="1:30" x14ac:dyDescent="0.25">
      <c r="A630" s="1">
        <v>44784.209120370368</v>
      </c>
      <c r="B630" s="1">
        <v>44784.208148148151</v>
      </c>
      <c r="C630">
        <v>1202</v>
      </c>
      <c r="D630" t="s">
        <v>58</v>
      </c>
      <c r="E630" t="s">
        <v>35</v>
      </c>
      <c r="F630" t="s">
        <v>57</v>
      </c>
      <c r="G630">
        <v>42.936554000000001</v>
      </c>
      <c r="H630">
        <v>-72.271019999999993</v>
      </c>
      <c r="I630">
        <v>488</v>
      </c>
      <c r="J630">
        <v>0</v>
      </c>
      <c r="K630">
        <v>0</v>
      </c>
      <c r="L630" s="1">
        <v>44784.209050925929</v>
      </c>
      <c r="M630">
        <v>3.5</v>
      </c>
      <c r="N630">
        <v>3.3</v>
      </c>
      <c r="O630">
        <v>0.2</v>
      </c>
      <c r="P630">
        <v>6</v>
      </c>
      <c r="Q630">
        <v>0.1</v>
      </c>
      <c r="R630">
        <v>0.1</v>
      </c>
      <c r="S630">
        <v>0.1</v>
      </c>
      <c r="T630" t="s">
        <v>33</v>
      </c>
      <c r="U630">
        <v>3.4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 t="s">
        <v>38</v>
      </c>
    </row>
    <row r="631" spans="1:30" x14ac:dyDescent="0.25">
      <c r="A631" s="1">
        <v>44784.209120370368</v>
      </c>
      <c r="B631" s="1">
        <v>44612.080023148148</v>
      </c>
      <c r="C631">
        <v>25985</v>
      </c>
      <c r="D631" t="s">
        <v>59</v>
      </c>
      <c r="E631" t="s">
        <v>35</v>
      </c>
      <c r="F631">
        <v>6.01</v>
      </c>
      <c r="G631">
        <v>42.927326000000001</v>
      </c>
      <c r="H631">
        <v>-72.279979999999995</v>
      </c>
      <c r="I631">
        <v>477</v>
      </c>
      <c r="J631">
        <v>78</v>
      </c>
      <c r="K631">
        <v>0</v>
      </c>
      <c r="L631" s="1">
        <v>44784.209050925929</v>
      </c>
      <c r="M631">
        <v>1.1000000000000001</v>
      </c>
      <c r="N631">
        <v>1</v>
      </c>
      <c r="O631">
        <v>0.1</v>
      </c>
      <c r="P631">
        <v>10</v>
      </c>
      <c r="Q631">
        <v>0</v>
      </c>
      <c r="R631">
        <v>0</v>
      </c>
      <c r="S631">
        <v>0</v>
      </c>
      <c r="T631" t="s">
        <v>32</v>
      </c>
      <c r="V631">
        <v>22</v>
      </c>
      <c r="W631">
        <v>0</v>
      </c>
      <c r="X631">
        <v>22</v>
      </c>
      <c r="Y631">
        <v>0</v>
      </c>
      <c r="Z631">
        <v>0</v>
      </c>
      <c r="AA631">
        <v>0</v>
      </c>
      <c r="AB631" t="s">
        <v>36</v>
      </c>
      <c r="AC631">
        <v>22</v>
      </c>
    </row>
    <row r="632" spans="1:30" x14ac:dyDescent="0.25">
      <c r="A632" s="1">
        <v>44784.21601851852</v>
      </c>
      <c r="B632" s="1">
        <v>44775.701319444444</v>
      </c>
      <c r="C632">
        <v>151708</v>
      </c>
      <c r="D632" t="s">
        <v>30</v>
      </c>
      <c r="E632" t="s">
        <v>31</v>
      </c>
      <c r="F632">
        <v>7</v>
      </c>
      <c r="G632">
        <v>43.192042999999998</v>
      </c>
      <c r="H632">
        <v>-71.541579999999996</v>
      </c>
      <c r="I632">
        <v>291</v>
      </c>
      <c r="J632">
        <v>93</v>
      </c>
      <c r="K632">
        <v>94</v>
      </c>
      <c r="L632" s="1">
        <v>44784.215995370374</v>
      </c>
      <c r="M632">
        <v>7.9</v>
      </c>
      <c r="N632">
        <v>7.6</v>
      </c>
      <c r="O632">
        <v>0.3</v>
      </c>
      <c r="P632">
        <v>4</v>
      </c>
      <c r="Q632">
        <v>0</v>
      </c>
      <c r="R632">
        <v>0</v>
      </c>
      <c r="S632">
        <v>0</v>
      </c>
      <c r="T632" t="s">
        <v>32</v>
      </c>
      <c r="V632">
        <v>42</v>
      </c>
      <c r="W632">
        <v>41</v>
      </c>
      <c r="X632">
        <v>1</v>
      </c>
      <c r="Y632">
        <v>0</v>
      </c>
      <c r="Z632">
        <v>0</v>
      </c>
      <c r="AA632">
        <v>0</v>
      </c>
      <c r="AB632" t="s">
        <v>33</v>
      </c>
      <c r="AC632">
        <v>41.5</v>
      </c>
    </row>
    <row r="633" spans="1:30" x14ac:dyDescent="0.25">
      <c r="A633" s="1">
        <v>44784.21603009259</v>
      </c>
      <c r="B633" s="1">
        <v>44784.214317129627</v>
      </c>
      <c r="C633">
        <v>143456</v>
      </c>
      <c r="D633" t="s">
        <v>34</v>
      </c>
      <c r="E633" t="s">
        <v>35</v>
      </c>
      <c r="F633">
        <v>7</v>
      </c>
      <c r="G633">
        <v>43.08963</v>
      </c>
      <c r="H633">
        <v>-71.502440000000007</v>
      </c>
      <c r="I633">
        <v>619</v>
      </c>
      <c r="J633">
        <v>68</v>
      </c>
      <c r="K633">
        <v>0</v>
      </c>
      <c r="L633" s="1">
        <v>44784.215995370374</v>
      </c>
      <c r="M633">
        <v>3.3</v>
      </c>
      <c r="N633">
        <v>3.6</v>
      </c>
      <c r="O633">
        <v>0.3</v>
      </c>
      <c r="P633">
        <v>9</v>
      </c>
      <c r="Q633">
        <v>0</v>
      </c>
      <c r="R633">
        <v>0.1</v>
      </c>
      <c r="S633">
        <v>0.05</v>
      </c>
      <c r="T633" t="s">
        <v>33</v>
      </c>
      <c r="U633">
        <v>3.45</v>
      </c>
      <c r="V633">
        <v>72</v>
      </c>
      <c r="W633">
        <v>0</v>
      </c>
      <c r="X633">
        <v>72</v>
      </c>
      <c r="Y633">
        <v>0</v>
      </c>
      <c r="Z633">
        <v>0</v>
      </c>
      <c r="AA633">
        <v>0</v>
      </c>
      <c r="AB633" t="s">
        <v>36</v>
      </c>
      <c r="AC633">
        <v>72</v>
      </c>
      <c r="AD633">
        <v>-0.78</v>
      </c>
    </row>
    <row r="634" spans="1:30" x14ac:dyDescent="0.25">
      <c r="A634" s="1">
        <v>44784.21603009259</v>
      </c>
      <c r="B634" s="1">
        <v>44784.214502314811</v>
      </c>
      <c r="C634">
        <v>151702</v>
      </c>
      <c r="D634" t="s">
        <v>37</v>
      </c>
      <c r="E634" t="s">
        <v>31</v>
      </c>
      <c r="F634">
        <v>7</v>
      </c>
      <c r="G634">
        <v>43.118609999999997</v>
      </c>
      <c r="H634">
        <v>-71.61618</v>
      </c>
      <c r="I634">
        <v>885</v>
      </c>
      <c r="J634">
        <v>0</v>
      </c>
      <c r="K634">
        <v>0</v>
      </c>
      <c r="L634" s="1">
        <v>44784.215995370374</v>
      </c>
      <c r="M634">
        <v>4.3</v>
      </c>
      <c r="N634">
        <v>4.0999999999999996</v>
      </c>
      <c r="O634">
        <v>0.2</v>
      </c>
      <c r="P634">
        <v>5</v>
      </c>
      <c r="Q634">
        <v>0.2</v>
      </c>
      <c r="R634">
        <v>0.1</v>
      </c>
      <c r="S634">
        <v>0.15</v>
      </c>
      <c r="T634" t="s">
        <v>33</v>
      </c>
      <c r="U634">
        <v>4.2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 t="s">
        <v>38</v>
      </c>
    </row>
    <row r="635" spans="1:30" x14ac:dyDescent="0.25">
      <c r="A635" s="1">
        <v>44784.216041666667</v>
      </c>
      <c r="B635" s="1">
        <v>44784.214386574073</v>
      </c>
      <c r="C635">
        <v>151700</v>
      </c>
      <c r="D635" t="s">
        <v>30</v>
      </c>
      <c r="E635" t="s">
        <v>31</v>
      </c>
      <c r="F635">
        <v>7</v>
      </c>
      <c r="G635">
        <v>43.19211</v>
      </c>
      <c r="H635">
        <v>-71.541460000000001</v>
      </c>
      <c r="I635">
        <v>286</v>
      </c>
      <c r="J635">
        <v>71</v>
      </c>
      <c r="K635">
        <v>0</v>
      </c>
      <c r="L635" s="1">
        <v>44784.215995370374</v>
      </c>
      <c r="M635">
        <v>3</v>
      </c>
      <c r="N635">
        <v>3.4</v>
      </c>
      <c r="O635">
        <v>0.4</v>
      </c>
      <c r="P635">
        <v>12</v>
      </c>
      <c r="Q635">
        <v>0.1</v>
      </c>
      <c r="R635">
        <v>0</v>
      </c>
      <c r="S635">
        <v>0.05</v>
      </c>
      <c r="T635" t="s">
        <v>33</v>
      </c>
      <c r="U635">
        <v>3.2</v>
      </c>
      <c r="V635">
        <v>68</v>
      </c>
      <c r="W635">
        <v>0</v>
      </c>
      <c r="X635">
        <v>68</v>
      </c>
      <c r="Y635">
        <v>0</v>
      </c>
      <c r="Z635">
        <v>0</v>
      </c>
      <c r="AA635">
        <v>0</v>
      </c>
      <c r="AB635" t="s">
        <v>36</v>
      </c>
      <c r="AC635">
        <v>68</v>
      </c>
      <c r="AD635">
        <v>-0.65</v>
      </c>
    </row>
    <row r="636" spans="1:30" x14ac:dyDescent="0.25">
      <c r="A636" s="1">
        <v>44784.216041666667</v>
      </c>
      <c r="B636" s="1">
        <v>44784.214803240742</v>
      </c>
      <c r="C636">
        <v>135984</v>
      </c>
      <c r="D636" t="s">
        <v>39</v>
      </c>
      <c r="E636" t="s">
        <v>31</v>
      </c>
      <c r="F636">
        <v>7</v>
      </c>
      <c r="G636">
        <v>43.565852999999997</v>
      </c>
      <c r="H636">
        <v>-71.496129999999994</v>
      </c>
      <c r="I636">
        <v>708</v>
      </c>
      <c r="J636">
        <v>68</v>
      </c>
      <c r="K636">
        <v>0</v>
      </c>
      <c r="L636" s="1">
        <v>44784.215995370374</v>
      </c>
      <c r="M636">
        <v>4.8</v>
      </c>
      <c r="N636">
        <v>3.9</v>
      </c>
      <c r="O636">
        <v>0.9</v>
      </c>
      <c r="P636">
        <v>21</v>
      </c>
      <c r="Q636">
        <v>0</v>
      </c>
      <c r="R636">
        <v>0.1</v>
      </c>
      <c r="S636">
        <v>0.05</v>
      </c>
      <c r="T636" t="s">
        <v>33</v>
      </c>
      <c r="U636">
        <v>4.3499999999999996</v>
      </c>
      <c r="V636">
        <v>91</v>
      </c>
      <c r="W636">
        <v>0</v>
      </c>
      <c r="X636">
        <v>91</v>
      </c>
      <c r="Y636">
        <v>0</v>
      </c>
      <c r="Z636">
        <v>0</v>
      </c>
      <c r="AA636">
        <v>0</v>
      </c>
      <c r="AB636" t="s">
        <v>36</v>
      </c>
      <c r="AC636">
        <v>91</v>
      </c>
      <c r="AD636">
        <v>-1.56</v>
      </c>
    </row>
    <row r="637" spans="1:30" x14ac:dyDescent="0.25">
      <c r="A637" s="1">
        <v>44784.216041666667</v>
      </c>
      <c r="B637" s="1">
        <v>44780.394780092596</v>
      </c>
      <c r="C637">
        <v>151712</v>
      </c>
      <c r="D637" t="s">
        <v>40</v>
      </c>
      <c r="E637" t="s">
        <v>31</v>
      </c>
      <c r="F637">
        <v>7</v>
      </c>
      <c r="G637">
        <v>43.289763999999998</v>
      </c>
      <c r="H637">
        <v>-71.564260000000004</v>
      </c>
      <c r="I637">
        <v>370</v>
      </c>
      <c r="J637">
        <v>86</v>
      </c>
      <c r="K637">
        <v>0</v>
      </c>
      <c r="L637" s="1">
        <v>44784.215995370374</v>
      </c>
      <c r="M637">
        <v>14</v>
      </c>
      <c r="N637">
        <v>13.2</v>
      </c>
      <c r="O637">
        <v>0.8</v>
      </c>
      <c r="P637">
        <v>6</v>
      </c>
      <c r="Q637">
        <v>0</v>
      </c>
      <c r="R637">
        <v>0</v>
      </c>
      <c r="S637">
        <v>0</v>
      </c>
      <c r="T637" t="s">
        <v>32</v>
      </c>
      <c r="V637">
        <v>59</v>
      </c>
      <c r="W637">
        <v>0</v>
      </c>
      <c r="X637">
        <v>59</v>
      </c>
      <c r="Y637">
        <v>0</v>
      </c>
      <c r="Z637">
        <v>0</v>
      </c>
      <c r="AA637">
        <v>0</v>
      </c>
      <c r="AB637" t="s">
        <v>36</v>
      </c>
      <c r="AC637">
        <v>59</v>
      </c>
    </row>
    <row r="638" spans="1:30" x14ac:dyDescent="0.25">
      <c r="A638" s="1">
        <v>44784.216053240743</v>
      </c>
      <c r="B638" s="1">
        <v>44784.214097222219</v>
      </c>
      <c r="C638">
        <v>151710</v>
      </c>
      <c r="D638" t="s">
        <v>41</v>
      </c>
      <c r="E638" t="s">
        <v>31</v>
      </c>
      <c r="F638">
        <v>7</v>
      </c>
      <c r="G638">
        <v>43.132477000000002</v>
      </c>
      <c r="H638">
        <v>-71.458374000000006</v>
      </c>
      <c r="I638">
        <v>230</v>
      </c>
      <c r="J638">
        <v>67</v>
      </c>
      <c r="K638">
        <v>0</v>
      </c>
      <c r="L638" s="1">
        <v>44784.215995370374</v>
      </c>
      <c r="M638">
        <v>5.5</v>
      </c>
      <c r="N638">
        <v>4.8</v>
      </c>
      <c r="O638">
        <v>0.7</v>
      </c>
      <c r="P638">
        <v>14</v>
      </c>
      <c r="Q638">
        <v>0.2</v>
      </c>
      <c r="R638">
        <v>0.1</v>
      </c>
      <c r="S638">
        <v>0.15</v>
      </c>
      <c r="T638" t="s">
        <v>33</v>
      </c>
      <c r="U638">
        <v>5.15</v>
      </c>
      <c r="V638">
        <v>72</v>
      </c>
      <c r="W638">
        <v>0</v>
      </c>
      <c r="X638">
        <v>72</v>
      </c>
      <c r="Y638">
        <v>0</v>
      </c>
      <c r="Z638">
        <v>0</v>
      </c>
      <c r="AA638">
        <v>0</v>
      </c>
      <c r="AB638" t="s">
        <v>36</v>
      </c>
      <c r="AC638">
        <v>72</v>
      </c>
      <c r="AD638">
        <v>0.26</v>
      </c>
    </row>
    <row r="639" spans="1:30" x14ac:dyDescent="0.25">
      <c r="A639" s="1">
        <v>44784.216053240743</v>
      </c>
      <c r="B639" s="1">
        <v>44784.215173611112</v>
      </c>
      <c r="C639">
        <v>151706</v>
      </c>
      <c r="D639" t="s">
        <v>42</v>
      </c>
      <c r="E639" t="s">
        <v>31</v>
      </c>
      <c r="F639">
        <v>7</v>
      </c>
      <c r="G639">
        <v>43.004080000000002</v>
      </c>
      <c r="H639">
        <v>-71.177040000000005</v>
      </c>
      <c r="I639">
        <v>194</v>
      </c>
      <c r="J639">
        <v>68</v>
      </c>
      <c r="K639">
        <v>0</v>
      </c>
      <c r="L639" s="1">
        <v>44784.215995370374</v>
      </c>
      <c r="M639">
        <v>2.7</v>
      </c>
      <c r="N639">
        <v>0</v>
      </c>
      <c r="O639">
        <v>2.7</v>
      </c>
      <c r="P639">
        <v>200</v>
      </c>
      <c r="Q639">
        <v>0.1</v>
      </c>
      <c r="R639">
        <v>0</v>
      </c>
      <c r="S639">
        <v>0.05</v>
      </c>
      <c r="T639" t="s">
        <v>43</v>
      </c>
      <c r="V639">
        <v>70</v>
      </c>
      <c r="W639">
        <v>0</v>
      </c>
      <c r="X639">
        <v>70</v>
      </c>
      <c r="Y639">
        <v>0</v>
      </c>
      <c r="Z639">
        <v>0</v>
      </c>
      <c r="AA639">
        <v>0</v>
      </c>
      <c r="AB639" t="s">
        <v>36</v>
      </c>
      <c r="AC639">
        <v>70</v>
      </c>
    </row>
    <row r="640" spans="1:30" x14ac:dyDescent="0.25">
      <c r="A640" s="1">
        <v>44784.216053240743</v>
      </c>
      <c r="B640" s="1">
        <v>44784.214872685188</v>
      </c>
      <c r="C640">
        <v>12212</v>
      </c>
      <c r="D640" t="s">
        <v>44</v>
      </c>
      <c r="E640" t="s">
        <v>35</v>
      </c>
      <c r="F640">
        <v>7</v>
      </c>
      <c r="G640">
        <v>42.930529999999997</v>
      </c>
      <c r="H640">
        <v>-72.272350000000003</v>
      </c>
      <c r="I640">
        <v>476</v>
      </c>
      <c r="J640">
        <v>75</v>
      </c>
      <c r="K640">
        <v>0</v>
      </c>
      <c r="L640" s="1">
        <v>44784.215995370374</v>
      </c>
      <c r="M640">
        <v>5.2</v>
      </c>
      <c r="N640">
        <v>4.0999999999999996</v>
      </c>
      <c r="O640">
        <v>1.1000000000000001</v>
      </c>
      <c r="P640">
        <v>24</v>
      </c>
      <c r="Q640">
        <v>0.4</v>
      </c>
      <c r="R640">
        <v>0.2</v>
      </c>
      <c r="S640">
        <v>0.3</v>
      </c>
      <c r="T640" t="s">
        <v>33</v>
      </c>
      <c r="U640">
        <v>4.6500000000000004</v>
      </c>
      <c r="V640">
        <v>86</v>
      </c>
      <c r="W640">
        <v>0</v>
      </c>
      <c r="X640">
        <v>86</v>
      </c>
      <c r="Y640">
        <v>0</v>
      </c>
      <c r="Z640">
        <v>0</v>
      </c>
      <c r="AA640">
        <v>0</v>
      </c>
      <c r="AB640" t="s">
        <v>36</v>
      </c>
      <c r="AC640">
        <v>86</v>
      </c>
      <c r="AD640">
        <v>-1.02</v>
      </c>
    </row>
    <row r="641" spans="1:30" x14ac:dyDescent="0.25">
      <c r="A641" s="1">
        <v>44784.216064814813</v>
      </c>
      <c r="B641" s="1">
        <v>44769.376736111109</v>
      </c>
      <c r="C641">
        <v>12178</v>
      </c>
      <c r="D641" t="s">
        <v>45</v>
      </c>
      <c r="E641" t="s">
        <v>35</v>
      </c>
      <c r="F641">
        <v>7</v>
      </c>
      <c r="G641">
        <v>42.899563000000001</v>
      </c>
      <c r="H641">
        <v>-71.464650000000006</v>
      </c>
      <c r="I641">
        <v>301</v>
      </c>
      <c r="J641">
        <v>85</v>
      </c>
      <c r="K641">
        <v>0</v>
      </c>
      <c r="L641" s="1">
        <v>44784.215995370374</v>
      </c>
      <c r="M641">
        <v>3.8</v>
      </c>
      <c r="N641">
        <v>3.1</v>
      </c>
      <c r="O641">
        <v>0.7</v>
      </c>
      <c r="P641">
        <v>20</v>
      </c>
      <c r="Q641">
        <v>0</v>
      </c>
      <c r="R641">
        <v>0</v>
      </c>
      <c r="S641">
        <v>0</v>
      </c>
      <c r="T641" t="s">
        <v>32</v>
      </c>
      <c r="V641">
        <v>35</v>
      </c>
      <c r="W641">
        <v>0</v>
      </c>
      <c r="X641">
        <v>35</v>
      </c>
      <c r="Y641">
        <v>0</v>
      </c>
      <c r="Z641">
        <v>0</v>
      </c>
      <c r="AA641">
        <v>0</v>
      </c>
      <c r="AB641" t="s">
        <v>36</v>
      </c>
      <c r="AC641">
        <v>35</v>
      </c>
    </row>
    <row r="642" spans="1:30" x14ac:dyDescent="0.25">
      <c r="A642" s="1">
        <v>44784.216064814813</v>
      </c>
      <c r="B642" s="1">
        <v>44784.214224537034</v>
      </c>
      <c r="C642">
        <v>75981</v>
      </c>
      <c r="D642" t="s">
        <v>46</v>
      </c>
      <c r="E642" t="s">
        <v>35</v>
      </c>
      <c r="F642">
        <v>7</v>
      </c>
      <c r="G642">
        <v>42.97</v>
      </c>
      <c r="H642">
        <v>-71.06</v>
      </c>
      <c r="I642">
        <v>136</v>
      </c>
      <c r="J642">
        <v>74</v>
      </c>
      <c r="K642">
        <v>0</v>
      </c>
      <c r="L642" s="1">
        <v>44784.215995370374</v>
      </c>
      <c r="M642">
        <v>3.9</v>
      </c>
      <c r="N642">
        <v>3.7</v>
      </c>
      <c r="O642">
        <v>0.2</v>
      </c>
      <c r="P642">
        <v>5</v>
      </c>
      <c r="Q642">
        <v>0.1</v>
      </c>
      <c r="R642">
        <v>0.2</v>
      </c>
      <c r="S642">
        <v>0.15</v>
      </c>
      <c r="T642" t="s">
        <v>33</v>
      </c>
      <c r="U642">
        <v>3.8</v>
      </c>
      <c r="V642">
        <v>62</v>
      </c>
      <c r="W642">
        <v>0</v>
      </c>
      <c r="X642">
        <v>62</v>
      </c>
      <c r="Y642">
        <v>0</v>
      </c>
      <c r="Z642">
        <v>0</v>
      </c>
      <c r="AA642">
        <v>0</v>
      </c>
      <c r="AB642" t="s">
        <v>36</v>
      </c>
      <c r="AC642">
        <v>62</v>
      </c>
      <c r="AD642">
        <v>0.14000000000000001</v>
      </c>
    </row>
    <row r="643" spans="1:30" x14ac:dyDescent="0.25">
      <c r="A643" s="1">
        <v>44784.216134259259</v>
      </c>
      <c r="B643" s="1">
        <v>44784.214745370373</v>
      </c>
      <c r="C643">
        <v>115703</v>
      </c>
      <c r="D643" t="s">
        <v>47</v>
      </c>
      <c r="E643" t="s">
        <v>35</v>
      </c>
      <c r="F643">
        <v>7</v>
      </c>
      <c r="G643">
        <v>43.953625000000002</v>
      </c>
      <c r="H643">
        <v>-71.508859999999999</v>
      </c>
      <c r="I643">
        <v>1493</v>
      </c>
      <c r="J643">
        <v>62</v>
      </c>
      <c r="K643">
        <v>0</v>
      </c>
      <c r="L643" s="1">
        <v>44784.215995370374</v>
      </c>
      <c r="M643">
        <v>0</v>
      </c>
      <c r="N643">
        <v>300.89999999999998</v>
      </c>
      <c r="O643">
        <v>300.89999999999998</v>
      </c>
      <c r="P643">
        <v>200</v>
      </c>
      <c r="Q643">
        <v>0</v>
      </c>
      <c r="R643">
        <v>0</v>
      </c>
      <c r="S643">
        <v>0</v>
      </c>
      <c r="T643" t="s">
        <v>48</v>
      </c>
      <c r="V643">
        <v>68</v>
      </c>
      <c r="W643">
        <v>0</v>
      </c>
      <c r="X643">
        <v>68</v>
      </c>
      <c r="Y643">
        <v>0</v>
      </c>
      <c r="Z643">
        <v>0</v>
      </c>
      <c r="AA643">
        <v>0</v>
      </c>
      <c r="AB643" t="s">
        <v>36</v>
      </c>
      <c r="AC643">
        <v>68</v>
      </c>
    </row>
    <row r="644" spans="1:30" x14ac:dyDescent="0.25">
      <c r="A644" s="1">
        <v>44784.216134259259</v>
      </c>
      <c r="B644" s="1">
        <v>44784.215555555558</v>
      </c>
      <c r="C644">
        <v>12050</v>
      </c>
      <c r="D644" t="s">
        <v>49</v>
      </c>
      <c r="E644" t="s">
        <v>35</v>
      </c>
      <c r="F644">
        <v>7</v>
      </c>
      <c r="G644">
        <v>44.220573000000002</v>
      </c>
      <c r="H644">
        <v>-71.732315</v>
      </c>
      <c r="I644">
        <v>999</v>
      </c>
      <c r="J644">
        <v>68</v>
      </c>
      <c r="K644">
        <v>0</v>
      </c>
      <c r="L644" s="1">
        <v>44784.215995370374</v>
      </c>
      <c r="M644">
        <v>2.9</v>
      </c>
      <c r="N644">
        <v>3.1</v>
      </c>
      <c r="O644">
        <v>0.2</v>
      </c>
      <c r="P644">
        <v>7</v>
      </c>
      <c r="Q644">
        <v>0</v>
      </c>
      <c r="R644">
        <v>0.1</v>
      </c>
      <c r="S644">
        <v>0.05</v>
      </c>
      <c r="T644" t="s">
        <v>33</v>
      </c>
      <c r="U644">
        <v>3</v>
      </c>
      <c r="V644">
        <v>58</v>
      </c>
      <c r="W644">
        <v>0</v>
      </c>
      <c r="X644">
        <v>58</v>
      </c>
      <c r="Y644">
        <v>0</v>
      </c>
      <c r="Z644">
        <v>0</v>
      </c>
      <c r="AA644">
        <v>0</v>
      </c>
      <c r="AB644" t="s">
        <v>36</v>
      </c>
      <c r="AC644">
        <v>58</v>
      </c>
      <c r="AD644">
        <v>-7.0000000000000007E-2</v>
      </c>
    </row>
    <row r="645" spans="1:30" x14ac:dyDescent="0.25">
      <c r="A645" s="1">
        <v>44784.216145833336</v>
      </c>
      <c r="B645" s="1">
        <v>44784.21565972222</v>
      </c>
      <c r="C645">
        <v>23443</v>
      </c>
      <c r="D645" t="s">
        <v>50</v>
      </c>
      <c r="E645" t="s">
        <v>35</v>
      </c>
      <c r="F645">
        <v>7</v>
      </c>
      <c r="G645">
        <v>43.556139999999999</v>
      </c>
      <c r="H645">
        <v>-72.370990000000006</v>
      </c>
      <c r="I645">
        <v>523</v>
      </c>
      <c r="J645">
        <v>69</v>
      </c>
      <c r="K645">
        <v>0</v>
      </c>
      <c r="L645" s="1">
        <v>44784.215995370374</v>
      </c>
      <c r="M645">
        <v>4.2</v>
      </c>
      <c r="N645">
        <v>3.7</v>
      </c>
      <c r="O645">
        <v>0.5</v>
      </c>
      <c r="P645">
        <v>13</v>
      </c>
      <c r="Q645">
        <v>0.1</v>
      </c>
      <c r="R645">
        <v>0.1</v>
      </c>
      <c r="S645">
        <v>0.1</v>
      </c>
      <c r="T645" t="s">
        <v>33</v>
      </c>
      <c r="U645">
        <v>3.95</v>
      </c>
      <c r="V645">
        <v>67</v>
      </c>
      <c r="W645">
        <v>0</v>
      </c>
      <c r="X645">
        <v>67</v>
      </c>
      <c r="Y645">
        <v>0</v>
      </c>
      <c r="Z645">
        <v>0</v>
      </c>
      <c r="AA645">
        <v>0</v>
      </c>
      <c r="AB645" t="s">
        <v>36</v>
      </c>
      <c r="AC645">
        <v>67</v>
      </c>
      <c r="AD645">
        <v>-0.12</v>
      </c>
    </row>
    <row r="646" spans="1:30" x14ac:dyDescent="0.25">
      <c r="A646" s="1">
        <v>44784.216145833336</v>
      </c>
      <c r="B646" s="1">
        <v>44784.215752314813</v>
      </c>
      <c r="C646">
        <v>58135</v>
      </c>
      <c r="D646" t="s">
        <v>51</v>
      </c>
      <c r="E646" t="s">
        <v>35</v>
      </c>
      <c r="F646">
        <v>7</v>
      </c>
      <c r="G646">
        <v>42.883873000000001</v>
      </c>
      <c r="H646">
        <v>-71.972915999999998</v>
      </c>
      <c r="I646">
        <v>808</v>
      </c>
      <c r="J646">
        <v>69</v>
      </c>
      <c r="K646">
        <v>0</v>
      </c>
      <c r="L646" s="1">
        <v>44784.215995370374</v>
      </c>
      <c r="M646">
        <v>8.6</v>
      </c>
      <c r="N646">
        <v>5.9</v>
      </c>
      <c r="O646">
        <v>2.7</v>
      </c>
      <c r="P646">
        <v>37</v>
      </c>
      <c r="Q646">
        <v>0.1</v>
      </c>
      <c r="R646">
        <v>0.2</v>
      </c>
      <c r="S646">
        <v>0.15</v>
      </c>
      <c r="T646" t="s">
        <v>33</v>
      </c>
      <c r="U646">
        <v>7.25</v>
      </c>
      <c r="V646">
        <v>73</v>
      </c>
      <c r="W646">
        <v>0</v>
      </c>
      <c r="X646">
        <v>73</v>
      </c>
      <c r="Y646">
        <v>0</v>
      </c>
      <c r="Z646">
        <v>0</v>
      </c>
      <c r="AA646">
        <v>0</v>
      </c>
      <c r="AB646" t="s">
        <v>36</v>
      </c>
      <c r="AC646">
        <v>73</v>
      </c>
      <c r="AD646">
        <v>1.47</v>
      </c>
    </row>
    <row r="647" spans="1:30" x14ac:dyDescent="0.25">
      <c r="A647" s="1">
        <v>44784.216145833336</v>
      </c>
      <c r="B647" s="1">
        <v>44784.215798611112</v>
      </c>
      <c r="C647">
        <v>148555</v>
      </c>
      <c r="D647" t="s">
        <v>52</v>
      </c>
      <c r="E647" t="s">
        <v>53</v>
      </c>
      <c r="F647">
        <v>7</v>
      </c>
      <c r="G647">
        <v>42.904949999999999</v>
      </c>
      <c r="H647">
        <v>-71.386764999999997</v>
      </c>
      <c r="I647">
        <v>363</v>
      </c>
      <c r="J647">
        <v>0</v>
      </c>
      <c r="K647">
        <v>0</v>
      </c>
      <c r="L647" s="1">
        <v>44784.215995370374</v>
      </c>
      <c r="M647">
        <v>2.1</v>
      </c>
      <c r="N647">
        <v>2.9</v>
      </c>
      <c r="O647">
        <v>0.8</v>
      </c>
      <c r="P647">
        <v>32</v>
      </c>
      <c r="Q647">
        <v>0.1</v>
      </c>
      <c r="R647">
        <v>0</v>
      </c>
      <c r="S647">
        <v>0.05</v>
      </c>
      <c r="T647" t="s">
        <v>33</v>
      </c>
      <c r="U647">
        <v>2.5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 t="s">
        <v>38</v>
      </c>
    </row>
    <row r="648" spans="1:30" x14ac:dyDescent="0.25">
      <c r="A648" s="1">
        <v>44784.216157407405</v>
      </c>
      <c r="B648" s="1">
        <v>44784.21533564815</v>
      </c>
      <c r="C648">
        <v>146644</v>
      </c>
      <c r="D648" t="s">
        <v>54</v>
      </c>
      <c r="E648" t="s">
        <v>53</v>
      </c>
      <c r="F648">
        <v>7</v>
      </c>
      <c r="G648">
        <v>43.06015</v>
      </c>
      <c r="H648">
        <v>-70.758930000000007</v>
      </c>
      <c r="I648">
        <v>35</v>
      </c>
      <c r="J648">
        <v>69</v>
      </c>
      <c r="K648">
        <v>70</v>
      </c>
      <c r="L648" s="1">
        <v>44784.215995370374</v>
      </c>
      <c r="M648">
        <v>6</v>
      </c>
      <c r="N648">
        <v>4.9000000000000004</v>
      </c>
      <c r="O648">
        <v>1.1000000000000001</v>
      </c>
      <c r="P648">
        <v>20</v>
      </c>
      <c r="Q648">
        <v>0.1</v>
      </c>
      <c r="R648">
        <v>0.1</v>
      </c>
      <c r="S648">
        <v>0.1</v>
      </c>
      <c r="T648" t="s">
        <v>33</v>
      </c>
      <c r="U648">
        <v>5.45</v>
      </c>
      <c r="V648">
        <v>70</v>
      </c>
      <c r="W648">
        <v>74</v>
      </c>
      <c r="X648">
        <v>4</v>
      </c>
      <c r="Y648">
        <v>1</v>
      </c>
      <c r="Z648">
        <v>1</v>
      </c>
      <c r="AA648">
        <v>0</v>
      </c>
      <c r="AB648" t="s">
        <v>33</v>
      </c>
      <c r="AC648">
        <v>72</v>
      </c>
      <c r="AD648">
        <v>0.44</v>
      </c>
    </row>
    <row r="649" spans="1:30" x14ac:dyDescent="0.25">
      <c r="A649" s="1">
        <v>44784.216157407405</v>
      </c>
      <c r="B649" s="1">
        <v>43755.283437500002</v>
      </c>
      <c r="C649">
        <v>12188</v>
      </c>
      <c r="D649" t="s">
        <v>55</v>
      </c>
      <c r="E649" t="s">
        <v>35</v>
      </c>
      <c r="F649">
        <v>4.1100000000000003</v>
      </c>
      <c r="G649">
        <v>42.927050000000001</v>
      </c>
      <c r="H649">
        <v>-72.279610000000005</v>
      </c>
      <c r="I649">
        <v>475</v>
      </c>
      <c r="J649">
        <v>95</v>
      </c>
      <c r="K649">
        <v>0</v>
      </c>
      <c r="L649" s="1">
        <v>44784.215995370374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 t="s">
        <v>32</v>
      </c>
      <c r="V649">
        <v>77</v>
      </c>
      <c r="W649">
        <v>0</v>
      </c>
      <c r="X649">
        <v>77</v>
      </c>
      <c r="Y649">
        <v>0</v>
      </c>
      <c r="Z649">
        <v>0</v>
      </c>
      <c r="AA649">
        <v>0</v>
      </c>
      <c r="AB649" t="s">
        <v>36</v>
      </c>
      <c r="AC649">
        <v>77</v>
      </c>
    </row>
    <row r="650" spans="1:30" x14ac:dyDescent="0.25">
      <c r="A650" s="1">
        <v>44784.216157407405</v>
      </c>
      <c r="B650" s="1">
        <v>44784.21565972222</v>
      </c>
      <c r="C650">
        <v>1224</v>
      </c>
      <c r="D650" t="s">
        <v>56</v>
      </c>
      <c r="E650" t="s">
        <v>35</v>
      </c>
      <c r="F650" t="s">
        <v>57</v>
      </c>
      <c r="G650">
        <v>42.938034000000002</v>
      </c>
      <c r="H650">
        <v>-72.259299999999996</v>
      </c>
      <c r="I650">
        <v>792</v>
      </c>
      <c r="J650">
        <v>75</v>
      </c>
      <c r="K650">
        <v>0</v>
      </c>
      <c r="L650" s="1">
        <v>44784.215995370374</v>
      </c>
      <c r="M650">
        <v>4.5999999999999996</v>
      </c>
      <c r="N650">
        <v>0</v>
      </c>
      <c r="O650">
        <v>4.5999999999999996</v>
      </c>
      <c r="P650">
        <v>200</v>
      </c>
      <c r="Q650">
        <v>0.2</v>
      </c>
      <c r="R650">
        <v>0</v>
      </c>
      <c r="S650">
        <v>0.1</v>
      </c>
      <c r="T650" t="s">
        <v>43</v>
      </c>
      <c r="V650">
        <v>88</v>
      </c>
      <c r="W650">
        <v>0</v>
      </c>
      <c r="X650">
        <v>88</v>
      </c>
      <c r="Y650">
        <v>1</v>
      </c>
      <c r="Z650">
        <v>0</v>
      </c>
      <c r="AA650">
        <v>1</v>
      </c>
      <c r="AB650" t="s">
        <v>36</v>
      </c>
      <c r="AC650">
        <v>88</v>
      </c>
    </row>
    <row r="651" spans="1:30" x14ac:dyDescent="0.25">
      <c r="A651" s="1">
        <v>44784.216157407405</v>
      </c>
      <c r="B651" s="1">
        <v>44784.215104166666</v>
      </c>
      <c r="C651">
        <v>1202</v>
      </c>
      <c r="D651" t="s">
        <v>58</v>
      </c>
      <c r="E651" t="s">
        <v>35</v>
      </c>
      <c r="F651" t="s">
        <v>57</v>
      </c>
      <c r="G651">
        <v>42.936554000000001</v>
      </c>
      <c r="H651">
        <v>-72.271019999999993</v>
      </c>
      <c r="I651">
        <v>488</v>
      </c>
      <c r="J651">
        <v>0</v>
      </c>
      <c r="K651">
        <v>0</v>
      </c>
      <c r="L651" s="1">
        <v>44784.215995370374</v>
      </c>
      <c r="M651">
        <v>3.6</v>
      </c>
      <c r="N651">
        <v>3.2</v>
      </c>
      <c r="O651">
        <v>0.4</v>
      </c>
      <c r="P651">
        <v>12</v>
      </c>
      <c r="Q651">
        <v>0.1</v>
      </c>
      <c r="R651">
        <v>0.1</v>
      </c>
      <c r="S651">
        <v>0.1</v>
      </c>
      <c r="T651" t="s">
        <v>33</v>
      </c>
      <c r="U651">
        <v>3.4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 t="s">
        <v>38</v>
      </c>
    </row>
    <row r="652" spans="1:30" x14ac:dyDescent="0.25">
      <c r="A652" s="1">
        <v>44784.216168981482</v>
      </c>
      <c r="B652" s="1">
        <v>44612.080023148148</v>
      </c>
      <c r="C652">
        <v>25985</v>
      </c>
      <c r="D652" t="s">
        <v>59</v>
      </c>
      <c r="E652" t="s">
        <v>35</v>
      </c>
      <c r="F652">
        <v>6.01</v>
      </c>
      <c r="G652">
        <v>42.927326000000001</v>
      </c>
      <c r="H652">
        <v>-72.279979999999995</v>
      </c>
      <c r="I652">
        <v>477</v>
      </c>
      <c r="J652">
        <v>78</v>
      </c>
      <c r="K652">
        <v>0</v>
      </c>
      <c r="L652" s="1">
        <v>44784.215995370374</v>
      </c>
      <c r="M652">
        <v>1.1000000000000001</v>
      </c>
      <c r="N652">
        <v>1</v>
      </c>
      <c r="O652">
        <v>0.1</v>
      </c>
      <c r="P652">
        <v>10</v>
      </c>
      <c r="Q652">
        <v>0</v>
      </c>
      <c r="R652">
        <v>0</v>
      </c>
      <c r="S652">
        <v>0</v>
      </c>
      <c r="T652" t="s">
        <v>32</v>
      </c>
      <c r="V652">
        <v>22</v>
      </c>
      <c r="W652">
        <v>0</v>
      </c>
      <c r="X652">
        <v>22</v>
      </c>
      <c r="Y652">
        <v>0</v>
      </c>
      <c r="Z652">
        <v>0</v>
      </c>
      <c r="AA652">
        <v>0</v>
      </c>
      <c r="AB652" t="s">
        <v>36</v>
      </c>
      <c r="AC652">
        <v>22</v>
      </c>
    </row>
    <row r="653" spans="1:30" x14ac:dyDescent="0.25">
      <c r="A653" s="1">
        <v>44784.222962962966</v>
      </c>
      <c r="B653" s="1">
        <v>44775.701319444444</v>
      </c>
      <c r="C653">
        <v>151708</v>
      </c>
      <c r="D653" t="s">
        <v>30</v>
      </c>
      <c r="E653" t="s">
        <v>31</v>
      </c>
      <c r="F653">
        <v>7</v>
      </c>
      <c r="G653">
        <v>43.192042999999998</v>
      </c>
      <c r="H653">
        <v>-71.541579999999996</v>
      </c>
      <c r="I653">
        <v>291</v>
      </c>
      <c r="J653">
        <v>93</v>
      </c>
      <c r="K653">
        <v>94</v>
      </c>
      <c r="L653" s="1">
        <v>44784.222939814812</v>
      </c>
      <c r="M653">
        <v>7.9</v>
      </c>
      <c r="N653">
        <v>7.6</v>
      </c>
      <c r="O653">
        <v>0.3</v>
      </c>
      <c r="P653">
        <v>4</v>
      </c>
      <c r="Q653">
        <v>0</v>
      </c>
      <c r="R653">
        <v>0</v>
      </c>
      <c r="S653">
        <v>0</v>
      </c>
      <c r="T653" t="s">
        <v>32</v>
      </c>
      <c r="V653">
        <v>42</v>
      </c>
      <c r="W653">
        <v>41</v>
      </c>
      <c r="X653">
        <v>1</v>
      </c>
      <c r="Y653">
        <v>0</v>
      </c>
      <c r="Z653">
        <v>0</v>
      </c>
      <c r="AA653">
        <v>0</v>
      </c>
      <c r="AB653" t="s">
        <v>33</v>
      </c>
      <c r="AC653">
        <v>41.5</v>
      </c>
    </row>
    <row r="654" spans="1:30" x14ac:dyDescent="0.25">
      <c r="A654" s="1">
        <v>44784.222962962966</v>
      </c>
      <c r="B654" s="1">
        <v>44784.221261574072</v>
      </c>
      <c r="C654">
        <v>143456</v>
      </c>
      <c r="D654" t="s">
        <v>34</v>
      </c>
      <c r="E654" t="s">
        <v>35</v>
      </c>
      <c r="F654">
        <v>7</v>
      </c>
      <c r="G654">
        <v>43.08963</v>
      </c>
      <c r="H654">
        <v>-71.502440000000007</v>
      </c>
      <c r="I654">
        <v>619</v>
      </c>
      <c r="J654">
        <v>68</v>
      </c>
      <c r="K654">
        <v>0</v>
      </c>
      <c r="L654" s="1">
        <v>44784.222939814812</v>
      </c>
      <c r="M654">
        <v>3.3</v>
      </c>
      <c r="N654">
        <v>3.7</v>
      </c>
      <c r="O654">
        <v>0.4</v>
      </c>
      <c r="P654">
        <v>11</v>
      </c>
      <c r="Q654">
        <v>0</v>
      </c>
      <c r="R654">
        <v>0.1</v>
      </c>
      <c r="S654">
        <v>0.05</v>
      </c>
      <c r="T654" t="s">
        <v>33</v>
      </c>
      <c r="U654">
        <v>3.5</v>
      </c>
      <c r="V654">
        <v>72</v>
      </c>
      <c r="W654">
        <v>0</v>
      </c>
      <c r="X654">
        <v>72</v>
      </c>
      <c r="Y654">
        <v>0</v>
      </c>
      <c r="Z654">
        <v>0</v>
      </c>
      <c r="AA654">
        <v>0</v>
      </c>
      <c r="AB654" t="s">
        <v>36</v>
      </c>
      <c r="AC654">
        <v>72</v>
      </c>
      <c r="AD654">
        <v>-0.75</v>
      </c>
    </row>
    <row r="655" spans="1:30" x14ac:dyDescent="0.25">
      <c r="A655" s="1">
        <v>44784.222962962966</v>
      </c>
      <c r="B655" s="1">
        <v>44784.22283564815</v>
      </c>
      <c r="C655">
        <v>151702</v>
      </c>
      <c r="D655" t="s">
        <v>37</v>
      </c>
      <c r="E655" t="s">
        <v>31</v>
      </c>
      <c r="F655">
        <v>7</v>
      </c>
      <c r="G655">
        <v>43.118609999999997</v>
      </c>
      <c r="H655">
        <v>-71.61618</v>
      </c>
      <c r="I655">
        <v>885</v>
      </c>
      <c r="J655">
        <v>0</v>
      </c>
      <c r="K655">
        <v>0</v>
      </c>
      <c r="L655" s="1">
        <v>44784.222939814812</v>
      </c>
      <c r="M655">
        <v>4.4000000000000004</v>
      </c>
      <c r="N655">
        <v>4.2</v>
      </c>
      <c r="O655">
        <v>0.2</v>
      </c>
      <c r="P655">
        <v>5</v>
      </c>
      <c r="Q655">
        <v>0.1</v>
      </c>
      <c r="R655">
        <v>0.1</v>
      </c>
      <c r="S655">
        <v>0.1</v>
      </c>
      <c r="T655" t="s">
        <v>33</v>
      </c>
      <c r="U655">
        <v>4.3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 t="s">
        <v>38</v>
      </c>
    </row>
    <row r="656" spans="1:30" x14ac:dyDescent="0.25">
      <c r="A656" s="1">
        <v>44784.222974537035</v>
      </c>
      <c r="B656" s="1">
        <v>44784.222719907404</v>
      </c>
      <c r="C656">
        <v>151700</v>
      </c>
      <c r="D656" t="s">
        <v>30</v>
      </c>
      <c r="E656" t="s">
        <v>31</v>
      </c>
      <c r="F656">
        <v>7</v>
      </c>
      <c r="G656">
        <v>43.19211</v>
      </c>
      <c r="H656">
        <v>-71.541460000000001</v>
      </c>
      <c r="I656">
        <v>286</v>
      </c>
      <c r="J656">
        <v>71</v>
      </c>
      <c r="K656">
        <v>0</v>
      </c>
      <c r="L656" s="1">
        <v>44784.222939814812</v>
      </c>
      <c r="M656">
        <v>3.1</v>
      </c>
      <c r="N656">
        <v>3.5</v>
      </c>
      <c r="O656">
        <v>0.4</v>
      </c>
      <c r="P656">
        <v>12</v>
      </c>
      <c r="Q656">
        <v>0.1</v>
      </c>
      <c r="R656">
        <v>0.1</v>
      </c>
      <c r="S656">
        <v>0.1</v>
      </c>
      <c r="T656" t="s">
        <v>33</v>
      </c>
      <c r="U656">
        <v>3.3</v>
      </c>
      <c r="V656">
        <v>68</v>
      </c>
      <c r="W656">
        <v>0</v>
      </c>
      <c r="X656">
        <v>68</v>
      </c>
      <c r="Y656">
        <v>0</v>
      </c>
      <c r="Z656">
        <v>0</v>
      </c>
      <c r="AA656">
        <v>0</v>
      </c>
      <c r="AB656" t="s">
        <v>36</v>
      </c>
      <c r="AC656">
        <v>68</v>
      </c>
      <c r="AD656">
        <v>-0.59</v>
      </c>
    </row>
    <row r="657" spans="1:30" x14ac:dyDescent="0.25">
      <c r="A657" s="1">
        <v>44784.222974537035</v>
      </c>
      <c r="B657" s="1">
        <v>44784.221747685187</v>
      </c>
      <c r="C657">
        <v>135984</v>
      </c>
      <c r="D657" t="s">
        <v>39</v>
      </c>
      <c r="E657" t="s">
        <v>31</v>
      </c>
      <c r="F657">
        <v>7</v>
      </c>
      <c r="G657">
        <v>43.565852999999997</v>
      </c>
      <c r="H657">
        <v>-71.496129999999994</v>
      </c>
      <c r="I657">
        <v>708</v>
      </c>
      <c r="J657">
        <v>68</v>
      </c>
      <c r="K657">
        <v>0</v>
      </c>
      <c r="L657" s="1">
        <v>44784.222939814812</v>
      </c>
      <c r="M657">
        <v>4.7</v>
      </c>
      <c r="N657">
        <v>4</v>
      </c>
      <c r="O657">
        <v>0.7</v>
      </c>
      <c r="P657">
        <v>16</v>
      </c>
      <c r="Q657">
        <v>0.1</v>
      </c>
      <c r="R657">
        <v>0.1</v>
      </c>
      <c r="S657">
        <v>0.1</v>
      </c>
      <c r="T657" t="s">
        <v>33</v>
      </c>
      <c r="U657">
        <v>4.3499999999999996</v>
      </c>
      <c r="V657">
        <v>91</v>
      </c>
      <c r="W657">
        <v>0</v>
      </c>
      <c r="X657">
        <v>91</v>
      </c>
      <c r="Y657">
        <v>0</v>
      </c>
      <c r="Z657">
        <v>0</v>
      </c>
      <c r="AA657">
        <v>0</v>
      </c>
      <c r="AB657" t="s">
        <v>36</v>
      </c>
      <c r="AC657">
        <v>91</v>
      </c>
      <c r="AD657">
        <v>-1.56</v>
      </c>
    </row>
    <row r="658" spans="1:30" x14ac:dyDescent="0.25">
      <c r="A658" s="1">
        <v>44784.222974537035</v>
      </c>
      <c r="B658" s="1">
        <v>44780.394780092596</v>
      </c>
      <c r="C658">
        <v>151712</v>
      </c>
      <c r="D658" t="s">
        <v>40</v>
      </c>
      <c r="E658" t="s">
        <v>31</v>
      </c>
      <c r="F658">
        <v>7</v>
      </c>
      <c r="G658">
        <v>43.289763999999998</v>
      </c>
      <c r="H658">
        <v>-71.564260000000004</v>
      </c>
      <c r="I658">
        <v>370</v>
      </c>
      <c r="J658">
        <v>86</v>
      </c>
      <c r="K658">
        <v>0</v>
      </c>
      <c r="L658" s="1">
        <v>44784.222939814812</v>
      </c>
      <c r="M658">
        <v>14</v>
      </c>
      <c r="N658">
        <v>13.2</v>
      </c>
      <c r="O658">
        <v>0.8</v>
      </c>
      <c r="P658">
        <v>6</v>
      </c>
      <c r="Q658">
        <v>0</v>
      </c>
      <c r="R658">
        <v>0</v>
      </c>
      <c r="S658">
        <v>0</v>
      </c>
      <c r="T658" t="s">
        <v>32</v>
      </c>
      <c r="V658">
        <v>59</v>
      </c>
      <c r="W658">
        <v>0</v>
      </c>
      <c r="X658">
        <v>59</v>
      </c>
      <c r="Y658">
        <v>0</v>
      </c>
      <c r="Z658">
        <v>0</v>
      </c>
      <c r="AA658">
        <v>0</v>
      </c>
      <c r="AB658" t="s">
        <v>36</v>
      </c>
      <c r="AC658">
        <v>59</v>
      </c>
    </row>
    <row r="659" spans="1:30" x14ac:dyDescent="0.25">
      <c r="A659" s="1">
        <v>44784.222986111112</v>
      </c>
      <c r="B659" s="1">
        <v>44784.222430555557</v>
      </c>
      <c r="C659">
        <v>151710</v>
      </c>
      <c r="D659" t="s">
        <v>41</v>
      </c>
      <c r="E659" t="s">
        <v>31</v>
      </c>
      <c r="F659">
        <v>7</v>
      </c>
      <c r="G659">
        <v>43.132477000000002</v>
      </c>
      <c r="H659">
        <v>-71.458374000000006</v>
      </c>
      <c r="I659">
        <v>230</v>
      </c>
      <c r="J659">
        <v>68</v>
      </c>
      <c r="K659">
        <v>0</v>
      </c>
      <c r="L659" s="1">
        <v>44784.222939814812</v>
      </c>
      <c r="M659">
        <v>6.2</v>
      </c>
      <c r="N659">
        <v>4.9000000000000004</v>
      </c>
      <c r="O659">
        <v>1.3</v>
      </c>
      <c r="P659">
        <v>23</v>
      </c>
      <c r="Q659">
        <v>0.7</v>
      </c>
      <c r="R659">
        <v>0.1</v>
      </c>
      <c r="S659">
        <v>0.39999999999999902</v>
      </c>
      <c r="T659" t="s">
        <v>33</v>
      </c>
      <c r="U659">
        <v>5.55</v>
      </c>
      <c r="V659">
        <v>71</v>
      </c>
      <c r="W659">
        <v>0</v>
      </c>
      <c r="X659">
        <v>71</v>
      </c>
      <c r="Y659">
        <v>1</v>
      </c>
      <c r="Z659">
        <v>0</v>
      </c>
      <c r="AA659">
        <v>1</v>
      </c>
      <c r="AB659" t="s">
        <v>36</v>
      </c>
      <c r="AC659">
        <v>71</v>
      </c>
      <c r="AD659">
        <v>0.57999999999999996</v>
      </c>
    </row>
    <row r="660" spans="1:30" x14ac:dyDescent="0.25">
      <c r="A660" s="1">
        <v>44784.222986111112</v>
      </c>
      <c r="B660" s="1">
        <v>44784.222118055557</v>
      </c>
      <c r="C660">
        <v>151706</v>
      </c>
      <c r="D660" t="s">
        <v>42</v>
      </c>
      <c r="E660" t="s">
        <v>31</v>
      </c>
      <c r="F660">
        <v>7</v>
      </c>
      <c r="G660">
        <v>43.004080000000002</v>
      </c>
      <c r="H660">
        <v>-71.177040000000005</v>
      </c>
      <c r="I660">
        <v>194</v>
      </c>
      <c r="J660">
        <v>68</v>
      </c>
      <c r="K660">
        <v>0</v>
      </c>
      <c r="L660" s="1">
        <v>44784.222939814812</v>
      </c>
      <c r="M660">
        <v>2.8</v>
      </c>
      <c r="N660">
        <v>0</v>
      </c>
      <c r="O660">
        <v>2.8</v>
      </c>
      <c r="P660">
        <v>200</v>
      </c>
      <c r="Q660">
        <v>0.1</v>
      </c>
      <c r="R660">
        <v>0</v>
      </c>
      <c r="S660">
        <v>0.05</v>
      </c>
      <c r="T660" t="s">
        <v>43</v>
      </c>
      <c r="V660">
        <v>70</v>
      </c>
      <c r="W660">
        <v>0</v>
      </c>
      <c r="X660">
        <v>70</v>
      </c>
      <c r="Y660">
        <v>0</v>
      </c>
      <c r="Z660">
        <v>0</v>
      </c>
      <c r="AA660">
        <v>0</v>
      </c>
      <c r="AB660" t="s">
        <v>36</v>
      </c>
      <c r="AC660">
        <v>70</v>
      </c>
    </row>
    <row r="661" spans="1:30" x14ac:dyDescent="0.25">
      <c r="A661" s="1">
        <v>44784.222986111112</v>
      </c>
      <c r="B661" s="1">
        <v>44784.221828703703</v>
      </c>
      <c r="C661">
        <v>12212</v>
      </c>
      <c r="D661" t="s">
        <v>44</v>
      </c>
      <c r="E661" t="s">
        <v>35</v>
      </c>
      <c r="F661">
        <v>7</v>
      </c>
      <c r="G661">
        <v>42.930529999999997</v>
      </c>
      <c r="H661">
        <v>-72.272350000000003</v>
      </c>
      <c r="I661">
        <v>476</v>
      </c>
      <c r="J661">
        <v>75</v>
      </c>
      <c r="K661">
        <v>0</v>
      </c>
      <c r="L661" s="1">
        <v>44784.222939814812</v>
      </c>
      <c r="M661">
        <v>5</v>
      </c>
      <c r="N661">
        <v>4.0999999999999996</v>
      </c>
      <c r="O661">
        <v>0.9</v>
      </c>
      <c r="P661">
        <v>20</v>
      </c>
      <c r="Q661">
        <v>0.2</v>
      </c>
      <c r="R661">
        <v>0</v>
      </c>
      <c r="S661">
        <v>0.1</v>
      </c>
      <c r="T661" t="s">
        <v>33</v>
      </c>
      <c r="U661">
        <v>4.55</v>
      </c>
      <c r="V661">
        <v>87</v>
      </c>
      <c r="W661">
        <v>0</v>
      </c>
      <c r="X661">
        <v>87</v>
      </c>
      <c r="Y661">
        <v>1</v>
      </c>
      <c r="Z661">
        <v>0</v>
      </c>
      <c r="AA661">
        <v>1</v>
      </c>
      <c r="AB661" t="s">
        <v>36</v>
      </c>
      <c r="AC661">
        <v>87</v>
      </c>
      <c r="AD661">
        <v>-1.1499999999999999</v>
      </c>
    </row>
    <row r="662" spans="1:30" x14ac:dyDescent="0.25">
      <c r="A662" s="1">
        <v>44784.222997685189</v>
      </c>
      <c r="B662" s="1">
        <v>44769.376736111109</v>
      </c>
      <c r="C662">
        <v>12178</v>
      </c>
      <c r="D662" t="s">
        <v>45</v>
      </c>
      <c r="E662" t="s">
        <v>35</v>
      </c>
      <c r="F662">
        <v>7</v>
      </c>
      <c r="G662">
        <v>42.899563000000001</v>
      </c>
      <c r="H662">
        <v>-71.464650000000006</v>
      </c>
      <c r="I662">
        <v>301</v>
      </c>
      <c r="J662">
        <v>85</v>
      </c>
      <c r="K662">
        <v>0</v>
      </c>
      <c r="L662" s="1">
        <v>44784.222939814812</v>
      </c>
      <c r="M662">
        <v>3.8</v>
      </c>
      <c r="N662">
        <v>3.1</v>
      </c>
      <c r="O662">
        <v>0.7</v>
      </c>
      <c r="P662">
        <v>20</v>
      </c>
      <c r="Q662">
        <v>0</v>
      </c>
      <c r="R662">
        <v>0</v>
      </c>
      <c r="S662">
        <v>0</v>
      </c>
      <c r="T662" t="s">
        <v>32</v>
      </c>
      <c r="V662">
        <v>35</v>
      </c>
      <c r="W662">
        <v>0</v>
      </c>
      <c r="X662">
        <v>35</v>
      </c>
      <c r="Y662">
        <v>0</v>
      </c>
      <c r="Z662">
        <v>0</v>
      </c>
      <c r="AA662">
        <v>0</v>
      </c>
      <c r="AB662" t="s">
        <v>36</v>
      </c>
      <c r="AC662">
        <v>35</v>
      </c>
    </row>
    <row r="663" spans="1:30" x14ac:dyDescent="0.25">
      <c r="A663" s="1">
        <v>44784.222997685189</v>
      </c>
      <c r="B663" s="1">
        <v>44784.222557870373</v>
      </c>
      <c r="C663">
        <v>75981</v>
      </c>
      <c r="D663" t="s">
        <v>46</v>
      </c>
      <c r="E663" t="s">
        <v>35</v>
      </c>
      <c r="F663">
        <v>7</v>
      </c>
      <c r="G663">
        <v>42.97</v>
      </c>
      <c r="H663">
        <v>-71.06</v>
      </c>
      <c r="I663">
        <v>136</v>
      </c>
      <c r="J663">
        <v>74</v>
      </c>
      <c r="K663">
        <v>0</v>
      </c>
      <c r="L663" s="1">
        <v>44784.222939814812</v>
      </c>
      <c r="M663">
        <v>3.9</v>
      </c>
      <c r="N663">
        <v>3.7</v>
      </c>
      <c r="O663">
        <v>0.2</v>
      </c>
      <c r="P663">
        <v>5</v>
      </c>
      <c r="Q663">
        <v>0</v>
      </c>
      <c r="R663">
        <v>0</v>
      </c>
      <c r="S663">
        <v>0</v>
      </c>
      <c r="T663" t="s">
        <v>33</v>
      </c>
      <c r="U663">
        <v>3.8</v>
      </c>
      <c r="V663">
        <v>62</v>
      </c>
      <c r="W663">
        <v>0</v>
      </c>
      <c r="X663">
        <v>62</v>
      </c>
      <c r="Y663">
        <v>0</v>
      </c>
      <c r="Z663">
        <v>0</v>
      </c>
      <c r="AA663">
        <v>0</v>
      </c>
      <c r="AB663" t="s">
        <v>36</v>
      </c>
      <c r="AC663">
        <v>62</v>
      </c>
      <c r="AD663">
        <v>0.14000000000000001</v>
      </c>
    </row>
    <row r="664" spans="1:30" x14ac:dyDescent="0.25">
      <c r="A664" s="1">
        <v>44784.222997685189</v>
      </c>
      <c r="B664" s="1">
        <v>44784.221689814818</v>
      </c>
      <c r="C664">
        <v>115703</v>
      </c>
      <c r="D664" t="s">
        <v>47</v>
      </c>
      <c r="E664" t="s">
        <v>35</v>
      </c>
      <c r="F664">
        <v>7</v>
      </c>
      <c r="G664">
        <v>43.953625000000002</v>
      </c>
      <c r="H664">
        <v>-71.508859999999999</v>
      </c>
      <c r="I664">
        <v>1493</v>
      </c>
      <c r="J664">
        <v>62</v>
      </c>
      <c r="K664">
        <v>0</v>
      </c>
      <c r="L664" s="1">
        <v>44784.222939814812</v>
      </c>
      <c r="M664">
        <v>0</v>
      </c>
      <c r="N664">
        <v>300.89999999999998</v>
      </c>
      <c r="O664">
        <v>300.89999999999998</v>
      </c>
      <c r="P664">
        <v>200</v>
      </c>
      <c r="Q664">
        <v>0</v>
      </c>
      <c r="R664">
        <v>0</v>
      </c>
      <c r="S664">
        <v>0</v>
      </c>
      <c r="T664" t="s">
        <v>48</v>
      </c>
      <c r="V664">
        <v>68</v>
      </c>
      <c r="W664">
        <v>0</v>
      </c>
      <c r="X664">
        <v>68</v>
      </c>
      <c r="Y664">
        <v>0</v>
      </c>
      <c r="Z664">
        <v>0</v>
      </c>
      <c r="AA664">
        <v>0</v>
      </c>
      <c r="AB664" t="s">
        <v>36</v>
      </c>
      <c r="AC664">
        <v>68</v>
      </c>
    </row>
    <row r="665" spans="1:30" x14ac:dyDescent="0.25">
      <c r="A665" s="1">
        <v>44784.222997685189</v>
      </c>
      <c r="B665" s="1">
        <v>44784.222500000003</v>
      </c>
      <c r="C665">
        <v>12050</v>
      </c>
      <c r="D665" t="s">
        <v>49</v>
      </c>
      <c r="E665" t="s">
        <v>35</v>
      </c>
      <c r="F665">
        <v>7</v>
      </c>
      <c r="G665">
        <v>44.220573000000002</v>
      </c>
      <c r="H665">
        <v>-71.732315</v>
      </c>
      <c r="I665">
        <v>999</v>
      </c>
      <c r="J665">
        <v>68</v>
      </c>
      <c r="K665">
        <v>0</v>
      </c>
      <c r="L665" s="1">
        <v>44784.222939814812</v>
      </c>
      <c r="M665">
        <v>2.9</v>
      </c>
      <c r="N665">
        <v>3.1</v>
      </c>
      <c r="O665">
        <v>0.2</v>
      </c>
      <c r="P665">
        <v>7</v>
      </c>
      <c r="Q665">
        <v>0</v>
      </c>
      <c r="R665">
        <v>0</v>
      </c>
      <c r="S665">
        <v>0</v>
      </c>
      <c r="T665" t="s">
        <v>33</v>
      </c>
      <c r="U665">
        <v>3</v>
      </c>
      <c r="V665">
        <v>58</v>
      </c>
      <c r="W665">
        <v>0</v>
      </c>
      <c r="X665">
        <v>58</v>
      </c>
      <c r="Y665">
        <v>0</v>
      </c>
      <c r="Z665">
        <v>0</v>
      </c>
      <c r="AA665">
        <v>0</v>
      </c>
      <c r="AB665" t="s">
        <v>36</v>
      </c>
      <c r="AC665">
        <v>58</v>
      </c>
      <c r="AD665">
        <v>-7.0000000000000007E-2</v>
      </c>
    </row>
    <row r="666" spans="1:30" x14ac:dyDescent="0.25">
      <c r="A666" s="1">
        <v>44784.223009259258</v>
      </c>
      <c r="B666" s="1">
        <v>44784.222604166665</v>
      </c>
      <c r="C666">
        <v>23443</v>
      </c>
      <c r="D666" t="s">
        <v>50</v>
      </c>
      <c r="E666" t="s">
        <v>35</v>
      </c>
      <c r="F666">
        <v>7</v>
      </c>
      <c r="G666">
        <v>43.556139999999999</v>
      </c>
      <c r="H666">
        <v>-72.370990000000006</v>
      </c>
      <c r="I666">
        <v>523</v>
      </c>
      <c r="J666">
        <v>69</v>
      </c>
      <c r="K666">
        <v>0</v>
      </c>
      <c r="L666" s="1">
        <v>44784.222939814812</v>
      </c>
      <c r="M666">
        <v>4.2</v>
      </c>
      <c r="N666">
        <v>3.6</v>
      </c>
      <c r="O666">
        <v>0.6</v>
      </c>
      <c r="P666">
        <v>15</v>
      </c>
      <c r="Q666">
        <v>0</v>
      </c>
      <c r="R666">
        <v>0.1</v>
      </c>
      <c r="S666">
        <v>0.05</v>
      </c>
      <c r="T666" t="s">
        <v>33</v>
      </c>
      <c r="U666">
        <v>3.9</v>
      </c>
      <c r="V666">
        <v>67</v>
      </c>
      <c r="W666">
        <v>0</v>
      </c>
      <c r="X666">
        <v>67</v>
      </c>
      <c r="Y666">
        <v>0</v>
      </c>
      <c r="Z666">
        <v>0</v>
      </c>
      <c r="AA666">
        <v>0</v>
      </c>
      <c r="AB666" t="s">
        <v>36</v>
      </c>
      <c r="AC666">
        <v>67</v>
      </c>
      <c r="AD666">
        <v>-0.15</v>
      </c>
    </row>
    <row r="667" spans="1:30" x14ac:dyDescent="0.25">
      <c r="A667" s="1">
        <v>44784.223009259258</v>
      </c>
      <c r="B667" s="1">
        <v>44784.222696759258</v>
      </c>
      <c r="C667">
        <v>58135</v>
      </c>
      <c r="D667" t="s">
        <v>51</v>
      </c>
      <c r="E667" t="s">
        <v>35</v>
      </c>
      <c r="F667">
        <v>7</v>
      </c>
      <c r="G667">
        <v>42.883873000000001</v>
      </c>
      <c r="H667">
        <v>-71.972915999999998</v>
      </c>
      <c r="I667">
        <v>808</v>
      </c>
      <c r="J667">
        <v>70</v>
      </c>
      <c r="K667">
        <v>0</v>
      </c>
      <c r="L667" s="1">
        <v>44784.222939814812</v>
      </c>
      <c r="M667">
        <v>9</v>
      </c>
      <c r="N667">
        <v>5.9</v>
      </c>
      <c r="O667">
        <v>3.1</v>
      </c>
      <c r="P667">
        <v>42</v>
      </c>
      <c r="Q667">
        <v>0.4</v>
      </c>
      <c r="R667">
        <v>0</v>
      </c>
      <c r="S667">
        <v>0.2</v>
      </c>
      <c r="T667" t="s">
        <v>33</v>
      </c>
      <c r="U667">
        <v>7.45</v>
      </c>
      <c r="V667">
        <v>74</v>
      </c>
      <c r="W667">
        <v>0</v>
      </c>
      <c r="X667">
        <v>74</v>
      </c>
      <c r="Y667">
        <v>1</v>
      </c>
      <c r="Z667">
        <v>0</v>
      </c>
      <c r="AA667">
        <v>1</v>
      </c>
      <c r="AB667" t="s">
        <v>36</v>
      </c>
      <c r="AC667">
        <v>74</v>
      </c>
      <c r="AD667">
        <v>1.52</v>
      </c>
    </row>
    <row r="668" spans="1:30" x14ac:dyDescent="0.25">
      <c r="A668" s="1">
        <v>44784.223009259258</v>
      </c>
      <c r="B668" s="1">
        <v>44784.222754629627</v>
      </c>
      <c r="C668">
        <v>148555</v>
      </c>
      <c r="D668" t="s">
        <v>52</v>
      </c>
      <c r="E668" t="s">
        <v>53</v>
      </c>
      <c r="F668">
        <v>7</v>
      </c>
      <c r="G668">
        <v>42.904949999999999</v>
      </c>
      <c r="H668">
        <v>-71.386764999999997</v>
      </c>
      <c r="I668">
        <v>363</v>
      </c>
      <c r="J668">
        <v>0</v>
      </c>
      <c r="K668">
        <v>0</v>
      </c>
      <c r="L668" s="1">
        <v>44784.222939814812</v>
      </c>
      <c r="M668">
        <v>2.2000000000000002</v>
      </c>
      <c r="N668">
        <v>2.9</v>
      </c>
      <c r="O668">
        <v>0.7</v>
      </c>
      <c r="P668">
        <v>27</v>
      </c>
      <c r="Q668">
        <v>0.1</v>
      </c>
      <c r="R668">
        <v>0</v>
      </c>
      <c r="S668">
        <v>0.05</v>
      </c>
      <c r="T668" t="s">
        <v>33</v>
      </c>
      <c r="U668">
        <v>2.5499999999999998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 t="s">
        <v>38</v>
      </c>
    </row>
    <row r="669" spans="1:30" x14ac:dyDescent="0.25">
      <c r="A669" s="1">
        <v>44784.223009259258</v>
      </c>
      <c r="B669" s="1">
        <v>44784.222280092596</v>
      </c>
      <c r="C669">
        <v>146644</v>
      </c>
      <c r="D669" t="s">
        <v>54</v>
      </c>
      <c r="E669" t="s">
        <v>53</v>
      </c>
      <c r="F669">
        <v>7</v>
      </c>
      <c r="G669">
        <v>43.06015</v>
      </c>
      <c r="H669">
        <v>-70.758930000000007</v>
      </c>
      <c r="I669">
        <v>35</v>
      </c>
      <c r="J669">
        <v>69</v>
      </c>
      <c r="K669">
        <v>71</v>
      </c>
      <c r="L669" s="1">
        <v>44784.222939814812</v>
      </c>
      <c r="M669">
        <v>5.9</v>
      </c>
      <c r="N669">
        <v>4.8</v>
      </c>
      <c r="O669">
        <v>1.1000000000000001</v>
      </c>
      <c r="P669">
        <v>21</v>
      </c>
      <c r="Q669">
        <v>0.1</v>
      </c>
      <c r="R669">
        <v>0.1</v>
      </c>
      <c r="S669">
        <v>0.1</v>
      </c>
      <c r="T669" t="s">
        <v>33</v>
      </c>
      <c r="U669">
        <v>5.35</v>
      </c>
      <c r="V669">
        <v>70</v>
      </c>
      <c r="W669">
        <v>74</v>
      </c>
      <c r="X669">
        <v>4</v>
      </c>
      <c r="Y669">
        <v>0</v>
      </c>
      <c r="Z669">
        <v>0</v>
      </c>
      <c r="AA669">
        <v>0</v>
      </c>
      <c r="AB669" t="s">
        <v>33</v>
      </c>
      <c r="AC669">
        <v>72</v>
      </c>
      <c r="AD669">
        <v>0.38</v>
      </c>
    </row>
    <row r="670" spans="1:30" x14ac:dyDescent="0.25">
      <c r="A670" s="1">
        <v>44784.223020833335</v>
      </c>
      <c r="B670" s="1">
        <v>43755.283437500002</v>
      </c>
      <c r="C670">
        <v>12188</v>
      </c>
      <c r="D670" t="s">
        <v>55</v>
      </c>
      <c r="E670" t="s">
        <v>35</v>
      </c>
      <c r="F670">
        <v>4.1100000000000003</v>
      </c>
      <c r="G670">
        <v>42.927050000000001</v>
      </c>
      <c r="H670">
        <v>-72.279610000000005</v>
      </c>
      <c r="I670">
        <v>475</v>
      </c>
      <c r="J670">
        <v>95</v>
      </c>
      <c r="K670">
        <v>0</v>
      </c>
      <c r="L670" s="1">
        <v>44784.222939814812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 t="s">
        <v>32</v>
      </c>
      <c r="V670">
        <v>77</v>
      </c>
      <c r="W670">
        <v>0</v>
      </c>
      <c r="X670">
        <v>77</v>
      </c>
      <c r="Y670">
        <v>0</v>
      </c>
      <c r="Z670">
        <v>0</v>
      </c>
      <c r="AA670">
        <v>0</v>
      </c>
      <c r="AB670" t="s">
        <v>36</v>
      </c>
      <c r="AC670">
        <v>77</v>
      </c>
    </row>
    <row r="671" spans="1:30" x14ac:dyDescent="0.25">
      <c r="A671" s="1">
        <v>44784.223020833335</v>
      </c>
      <c r="B671" s="1">
        <v>44784.222604166665</v>
      </c>
      <c r="C671">
        <v>1224</v>
      </c>
      <c r="D671" t="s">
        <v>56</v>
      </c>
      <c r="E671" t="s">
        <v>35</v>
      </c>
      <c r="F671" t="s">
        <v>57</v>
      </c>
      <c r="G671">
        <v>42.938034000000002</v>
      </c>
      <c r="H671">
        <v>-72.259299999999996</v>
      </c>
      <c r="I671">
        <v>792</v>
      </c>
      <c r="J671">
        <v>74</v>
      </c>
      <c r="K671">
        <v>0</v>
      </c>
      <c r="L671" s="1">
        <v>44784.222939814812</v>
      </c>
      <c r="M671">
        <v>4.5</v>
      </c>
      <c r="N671">
        <v>0</v>
      </c>
      <c r="O671">
        <v>4.5</v>
      </c>
      <c r="P671">
        <v>200</v>
      </c>
      <c r="Q671">
        <v>0.1</v>
      </c>
      <c r="R671">
        <v>0</v>
      </c>
      <c r="S671">
        <v>0.05</v>
      </c>
      <c r="T671" t="s">
        <v>43</v>
      </c>
      <c r="V671">
        <v>87</v>
      </c>
      <c r="W671">
        <v>0</v>
      </c>
      <c r="X671">
        <v>87</v>
      </c>
      <c r="Y671">
        <v>1</v>
      </c>
      <c r="Z671">
        <v>0</v>
      </c>
      <c r="AA671">
        <v>1</v>
      </c>
      <c r="AB671" t="s">
        <v>36</v>
      </c>
      <c r="AC671">
        <v>87</v>
      </c>
    </row>
    <row r="672" spans="1:30" x14ac:dyDescent="0.25">
      <c r="A672" s="1">
        <v>44784.223020833335</v>
      </c>
      <c r="B672" s="1">
        <v>44784.222048611111</v>
      </c>
      <c r="C672">
        <v>1202</v>
      </c>
      <c r="D672" t="s">
        <v>58</v>
      </c>
      <c r="E672" t="s">
        <v>35</v>
      </c>
      <c r="F672" t="s">
        <v>57</v>
      </c>
      <c r="G672">
        <v>42.936554000000001</v>
      </c>
      <c r="H672">
        <v>-72.271019999999993</v>
      </c>
      <c r="I672">
        <v>488</v>
      </c>
      <c r="J672">
        <v>0</v>
      </c>
      <c r="K672">
        <v>0</v>
      </c>
      <c r="L672" s="1">
        <v>44784.222939814812</v>
      </c>
      <c r="M672">
        <v>3.6</v>
      </c>
      <c r="N672">
        <v>3.2</v>
      </c>
      <c r="O672">
        <v>0.4</v>
      </c>
      <c r="P672">
        <v>12</v>
      </c>
      <c r="Q672">
        <v>0</v>
      </c>
      <c r="R672">
        <v>0</v>
      </c>
      <c r="S672">
        <v>0</v>
      </c>
      <c r="T672" t="s">
        <v>33</v>
      </c>
      <c r="U672">
        <v>3.4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 t="s">
        <v>38</v>
      </c>
    </row>
    <row r="673" spans="1:30" x14ac:dyDescent="0.25">
      <c r="A673" s="1">
        <v>44784.223020833335</v>
      </c>
      <c r="B673" s="1">
        <v>44612.080023148148</v>
      </c>
      <c r="C673">
        <v>25985</v>
      </c>
      <c r="D673" t="s">
        <v>59</v>
      </c>
      <c r="E673" t="s">
        <v>35</v>
      </c>
      <c r="F673">
        <v>6.01</v>
      </c>
      <c r="G673">
        <v>42.927326000000001</v>
      </c>
      <c r="H673">
        <v>-72.279979999999995</v>
      </c>
      <c r="I673">
        <v>477</v>
      </c>
      <c r="J673">
        <v>78</v>
      </c>
      <c r="K673">
        <v>0</v>
      </c>
      <c r="L673" s="1">
        <v>44784.222939814812</v>
      </c>
      <c r="M673">
        <v>1.1000000000000001</v>
      </c>
      <c r="N673">
        <v>1</v>
      </c>
      <c r="O673">
        <v>0.1</v>
      </c>
      <c r="P673">
        <v>10</v>
      </c>
      <c r="Q673">
        <v>0</v>
      </c>
      <c r="R673">
        <v>0</v>
      </c>
      <c r="S673">
        <v>0</v>
      </c>
      <c r="T673" t="s">
        <v>32</v>
      </c>
      <c r="V673">
        <v>22</v>
      </c>
      <c r="W673">
        <v>0</v>
      </c>
      <c r="X673">
        <v>22</v>
      </c>
      <c r="Y673">
        <v>0</v>
      </c>
      <c r="Z673">
        <v>0</v>
      </c>
      <c r="AA673">
        <v>0</v>
      </c>
      <c r="AB673" t="s">
        <v>36</v>
      </c>
      <c r="AC673">
        <v>22</v>
      </c>
    </row>
    <row r="674" spans="1:30" x14ac:dyDescent="0.25">
      <c r="A674" s="1">
        <v>44784.229907407411</v>
      </c>
      <c r="B674" s="1">
        <v>44775.701319444444</v>
      </c>
      <c r="C674">
        <v>151708</v>
      </c>
      <c r="D674" t="s">
        <v>30</v>
      </c>
      <c r="E674" t="s">
        <v>31</v>
      </c>
      <c r="F674">
        <v>7</v>
      </c>
      <c r="G674">
        <v>43.192042999999998</v>
      </c>
      <c r="H674">
        <v>-71.541579999999996</v>
      </c>
      <c r="I674">
        <v>291</v>
      </c>
      <c r="J674">
        <v>93</v>
      </c>
      <c r="K674">
        <v>94</v>
      </c>
      <c r="L674" s="1">
        <v>44784.229884259257</v>
      </c>
      <c r="M674">
        <v>7.9</v>
      </c>
      <c r="N674">
        <v>7.6</v>
      </c>
      <c r="O674">
        <v>0.3</v>
      </c>
      <c r="P674">
        <v>4</v>
      </c>
      <c r="Q674">
        <v>0</v>
      </c>
      <c r="R674">
        <v>0</v>
      </c>
      <c r="S674">
        <v>0</v>
      </c>
      <c r="T674" t="s">
        <v>32</v>
      </c>
      <c r="V674">
        <v>42</v>
      </c>
      <c r="W674">
        <v>41</v>
      </c>
      <c r="X674">
        <v>1</v>
      </c>
      <c r="Y674">
        <v>0</v>
      </c>
      <c r="Z674">
        <v>0</v>
      </c>
      <c r="AA674">
        <v>0</v>
      </c>
      <c r="AB674" t="s">
        <v>33</v>
      </c>
      <c r="AC674">
        <v>41.5</v>
      </c>
    </row>
    <row r="675" spans="1:30" x14ac:dyDescent="0.25">
      <c r="A675" s="1">
        <v>44784.229907407411</v>
      </c>
      <c r="B675" s="1">
        <v>44784.228206018517</v>
      </c>
      <c r="C675">
        <v>143456</v>
      </c>
      <c r="D675" t="s">
        <v>34</v>
      </c>
      <c r="E675" t="s">
        <v>35</v>
      </c>
      <c r="F675">
        <v>7</v>
      </c>
      <c r="G675">
        <v>43.08963</v>
      </c>
      <c r="H675">
        <v>-71.502440000000007</v>
      </c>
      <c r="I675">
        <v>619</v>
      </c>
      <c r="J675">
        <v>68</v>
      </c>
      <c r="K675">
        <v>0</v>
      </c>
      <c r="L675" s="1">
        <v>44784.229884259257</v>
      </c>
      <c r="M675">
        <v>3.3</v>
      </c>
      <c r="N675">
        <v>3.7</v>
      </c>
      <c r="O675">
        <v>0.4</v>
      </c>
      <c r="P675">
        <v>11</v>
      </c>
      <c r="Q675">
        <v>0</v>
      </c>
      <c r="R675">
        <v>0</v>
      </c>
      <c r="S675">
        <v>0</v>
      </c>
      <c r="T675" t="s">
        <v>33</v>
      </c>
      <c r="U675">
        <v>3.5</v>
      </c>
      <c r="V675">
        <v>72</v>
      </c>
      <c r="W675">
        <v>0</v>
      </c>
      <c r="X675">
        <v>72</v>
      </c>
      <c r="Y675">
        <v>0</v>
      </c>
      <c r="Z675">
        <v>0</v>
      </c>
      <c r="AA675">
        <v>0</v>
      </c>
      <c r="AB675" t="s">
        <v>36</v>
      </c>
      <c r="AC675">
        <v>72</v>
      </c>
      <c r="AD675">
        <v>-0.75</v>
      </c>
    </row>
    <row r="676" spans="1:30" x14ac:dyDescent="0.25">
      <c r="A676" s="1">
        <v>44784.229907407411</v>
      </c>
      <c r="B676" s="1">
        <v>44784.228391203702</v>
      </c>
      <c r="C676">
        <v>151702</v>
      </c>
      <c r="D676" t="s">
        <v>37</v>
      </c>
      <c r="E676" t="s">
        <v>31</v>
      </c>
      <c r="F676">
        <v>7</v>
      </c>
      <c r="G676">
        <v>43.118609999999997</v>
      </c>
      <c r="H676">
        <v>-71.61618</v>
      </c>
      <c r="I676">
        <v>885</v>
      </c>
      <c r="J676">
        <v>0</v>
      </c>
      <c r="K676">
        <v>0</v>
      </c>
      <c r="L676" s="1">
        <v>44784.229884259257</v>
      </c>
      <c r="M676">
        <v>4.5</v>
      </c>
      <c r="N676">
        <v>4.2</v>
      </c>
      <c r="O676">
        <v>0.3</v>
      </c>
      <c r="P676">
        <v>7</v>
      </c>
      <c r="Q676">
        <v>0.1</v>
      </c>
      <c r="R676">
        <v>0</v>
      </c>
      <c r="S676">
        <v>0.05</v>
      </c>
      <c r="T676" t="s">
        <v>33</v>
      </c>
      <c r="U676">
        <v>4.3499999999999996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 t="s">
        <v>38</v>
      </c>
    </row>
    <row r="677" spans="1:30" x14ac:dyDescent="0.25">
      <c r="A677" s="1">
        <v>44784.22991898148</v>
      </c>
      <c r="B677" s="1">
        <v>44784.228275462963</v>
      </c>
      <c r="C677">
        <v>151700</v>
      </c>
      <c r="D677" t="s">
        <v>30</v>
      </c>
      <c r="E677" t="s">
        <v>31</v>
      </c>
      <c r="F677">
        <v>7</v>
      </c>
      <c r="G677">
        <v>43.19211</v>
      </c>
      <c r="H677">
        <v>-71.541460000000001</v>
      </c>
      <c r="I677">
        <v>286</v>
      </c>
      <c r="J677">
        <v>71</v>
      </c>
      <c r="K677">
        <v>0</v>
      </c>
      <c r="L677" s="1">
        <v>44784.229884259257</v>
      </c>
      <c r="M677">
        <v>3.1</v>
      </c>
      <c r="N677">
        <v>3.6</v>
      </c>
      <c r="O677">
        <v>0.5</v>
      </c>
      <c r="P677">
        <v>15</v>
      </c>
      <c r="Q677">
        <v>0</v>
      </c>
      <c r="R677">
        <v>0.1</v>
      </c>
      <c r="S677">
        <v>0.05</v>
      </c>
      <c r="T677" t="s">
        <v>33</v>
      </c>
      <c r="U677">
        <v>3.35</v>
      </c>
      <c r="V677">
        <v>68</v>
      </c>
      <c r="W677">
        <v>0</v>
      </c>
      <c r="X677">
        <v>68</v>
      </c>
      <c r="Y677">
        <v>0</v>
      </c>
      <c r="Z677">
        <v>0</v>
      </c>
      <c r="AA677">
        <v>0</v>
      </c>
      <c r="AB677" t="s">
        <v>36</v>
      </c>
      <c r="AC677">
        <v>68</v>
      </c>
      <c r="AD677">
        <v>-0.56000000000000005</v>
      </c>
    </row>
    <row r="678" spans="1:30" x14ac:dyDescent="0.25">
      <c r="A678" s="1">
        <v>44784.22991898148</v>
      </c>
      <c r="B678" s="1">
        <v>44784.228692129633</v>
      </c>
      <c r="C678">
        <v>135984</v>
      </c>
      <c r="D678" t="s">
        <v>39</v>
      </c>
      <c r="E678" t="s">
        <v>31</v>
      </c>
      <c r="F678">
        <v>7</v>
      </c>
      <c r="G678">
        <v>43.565852999999997</v>
      </c>
      <c r="H678">
        <v>-71.496129999999994</v>
      </c>
      <c r="I678">
        <v>708</v>
      </c>
      <c r="J678">
        <v>68</v>
      </c>
      <c r="K678">
        <v>0</v>
      </c>
      <c r="L678" s="1">
        <v>44784.229884259257</v>
      </c>
      <c r="M678">
        <v>5</v>
      </c>
      <c r="N678">
        <v>4</v>
      </c>
      <c r="O678">
        <v>1</v>
      </c>
      <c r="P678">
        <v>22</v>
      </c>
      <c r="Q678">
        <v>0.3</v>
      </c>
      <c r="R678">
        <v>0</v>
      </c>
      <c r="S678">
        <v>0.15</v>
      </c>
      <c r="T678" t="s">
        <v>33</v>
      </c>
      <c r="U678">
        <v>4.5</v>
      </c>
      <c r="V678">
        <v>90</v>
      </c>
      <c r="W678">
        <v>0</v>
      </c>
      <c r="X678">
        <v>90</v>
      </c>
      <c r="Y678">
        <v>1</v>
      </c>
      <c r="Z678">
        <v>0</v>
      </c>
      <c r="AA678">
        <v>1</v>
      </c>
      <c r="AB678" t="s">
        <v>36</v>
      </c>
      <c r="AC678">
        <v>90</v>
      </c>
      <c r="AD678">
        <v>-1.4</v>
      </c>
    </row>
    <row r="679" spans="1:30" x14ac:dyDescent="0.25">
      <c r="A679" s="1">
        <v>44784.22991898148</v>
      </c>
      <c r="B679" s="1">
        <v>44780.394780092596</v>
      </c>
      <c r="C679">
        <v>151712</v>
      </c>
      <c r="D679" t="s">
        <v>40</v>
      </c>
      <c r="E679" t="s">
        <v>31</v>
      </c>
      <c r="F679">
        <v>7</v>
      </c>
      <c r="G679">
        <v>43.289763999999998</v>
      </c>
      <c r="H679">
        <v>-71.564260000000004</v>
      </c>
      <c r="I679">
        <v>370</v>
      </c>
      <c r="J679">
        <v>86</v>
      </c>
      <c r="K679">
        <v>0</v>
      </c>
      <c r="L679" s="1">
        <v>44784.229884259257</v>
      </c>
      <c r="M679">
        <v>14</v>
      </c>
      <c r="N679">
        <v>13.2</v>
      </c>
      <c r="O679">
        <v>0.8</v>
      </c>
      <c r="P679">
        <v>6</v>
      </c>
      <c r="Q679">
        <v>0</v>
      </c>
      <c r="R679">
        <v>0</v>
      </c>
      <c r="S679">
        <v>0</v>
      </c>
      <c r="T679" t="s">
        <v>32</v>
      </c>
      <c r="V679">
        <v>59</v>
      </c>
      <c r="W679">
        <v>0</v>
      </c>
      <c r="X679">
        <v>59</v>
      </c>
      <c r="Y679">
        <v>0</v>
      </c>
      <c r="Z679">
        <v>0</v>
      </c>
      <c r="AA679">
        <v>0</v>
      </c>
      <c r="AB679" t="s">
        <v>36</v>
      </c>
      <c r="AC679">
        <v>59</v>
      </c>
    </row>
    <row r="680" spans="1:30" x14ac:dyDescent="0.25">
      <c r="A680" s="1">
        <v>44784.22991898148</v>
      </c>
      <c r="B680" s="1">
        <v>44784.229375000003</v>
      </c>
      <c r="C680">
        <v>151710</v>
      </c>
      <c r="D680" t="s">
        <v>41</v>
      </c>
      <c r="E680" t="s">
        <v>31</v>
      </c>
      <c r="F680">
        <v>7</v>
      </c>
      <c r="G680">
        <v>43.132477000000002</v>
      </c>
      <c r="H680">
        <v>-71.458374000000006</v>
      </c>
      <c r="I680">
        <v>230</v>
      </c>
      <c r="J680">
        <v>68</v>
      </c>
      <c r="K680">
        <v>0</v>
      </c>
      <c r="L680" s="1">
        <v>44784.229884259257</v>
      </c>
      <c r="M680">
        <v>6.3</v>
      </c>
      <c r="N680">
        <v>4.9000000000000004</v>
      </c>
      <c r="O680">
        <v>1.4</v>
      </c>
      <c r="P680">
        <v>25</v>
      </c>
      <c r="Q680">
        <v>0.1</v>
      </c>
      <c r="R680">
        <v>0</v>
      </c>
      <c r="S680">
        <v>0.05</v>
      </c>
      <c r="T680" t="s">
        <v>33</v>
      </c>
      <c r="U680">
        <v>5.6</v>
      </c>
      <c r="V680">
        <v>71</v>
      </c>
      <c r="W680">
        <v>0</v>
      </c>
      <c r="X680">
        <v>71</v>
      </c>
      <c r="Y680">
        <v>0</v>
      </c>
      <c r="Z680">
        <v>0</v>
      </c>
      <c r="AA680">
        <v>0</v>
      </c>
      <c r="AB680" t="s">
        <v>36</v>
      </c>
      <c r="AC680">
        <v>71</v>
      </c>
      <c r="AD680">
        <v>0.61</v>
      </c>
    </row>
    <row r="681" spans="1:30" x14ac:dyDescent="0.25">
      <c r="A681" s="1">
        <v>44784.229930555557</v>
      </c>
      <c r="B681" s="1">
        <v>44784.229062500002</v>
      </c>
      <c r="C681">
        <v>151706</v>
      </c>
      <c r="D681" t="s">
        <v>42</v>
      </c>
      <c r="E681" t="s">
        <v>31</v>
      </c>
      <c r="F681">
        <v>7</v>
      </c>
      <c r="G681">
        <v>43.004080000000002</v>
      </c>
      <c r="H681">
        <v>-71.177040000000005</v>
      </c>
      <c r="I681">
        <v>194</v>
      </c>
      <c r="J681">
        <v>68</v>
      </c>
      <c r="K681">
        <v>0</v>
      </c>
      <c r="L681" s="1">
        <v>44784.229884259257</v>
      </c>
      <c r="M681">
        <v>2.7</v>
      </c>
      <c r="N681">
        <v>0</v>
      </c>
      <c r="O681">
        <v>2.7</v>
      </c>
      <c r="P681">
        <v>200</v>
      </c>
      <c r="Q681">
        <v>0.1</v>
      </c>
      <c r="R681">
        <v>0</v>
      </c>
      <c r="S681">
        <v>0.05</v>
      </c>
      <c r="T681" t="s">
        <v>43</v>
      </c>
      <c r="V681">
        <v>71</v>
      </c>
      <c r="W681">
        <v>0</v>
      </c>
      <c r="X681">
        <v>71</v>
      </c>
      <c r="Y681">
        <v>1</v>
      </c>
      <c r="Z681">
        <v>0</v>
      </c>
      <c r="AA681">
        <v>1</v>
      </c>
      <c r="AB681" t="s">
        <v>36</v>
      </c>
      <c r="AC681">
        <v>71</v>
      </c>
    </row>
    <row r="682" spans="1:30" x14ac:dyDescent="0.25">
      <c r="A682" s="1">
        <v>44784.229930555557</v>
      </c>
      <c r="B682" s="1">
        <v>44784.228761574072</v>
      </c>
      <c r="C682">
        <v>12212</v>
      </c>
      <c r="D682" t="s">
        <v>44</v>
      </c>
      <c r="E682" t="s">
        <v>35</v>
      </c>
      <c r="F682">
        <v>7</v>
      </c>
      <c r="G682">
        <v>42.930529999999997</v>
      </c>
      <c r="H682">
        <v>-72.272350000000003</v>
      </c>
      <c r="I682">
        <v>476</v>
      </c>
      <c r="J682">
        <v>75</v>
      </c>
      <c r="K682">
        <v>0</v>
      </c>
      <c r="L682" s="1">
        <v>44784.229884259257</v>
      </c>
      <c r="M682">
        <v>4.9000000000000004</v>
      </c>
      <c r="N682">
        <v>4</v>
      </c>
      <c r="O682">
        <v>0.9</v>
      </c>
      <c r="P682">
        <v>20</v>
      </c>
      <c r="Q682">
        <v>0.1</v>
      </c>
      <c r="R682">
        <v>0.1</v>
      </c>
      <c r="S682">
        <v>0.1</v>
      </c>
      <c r="T682" t="s">
        <v>33</v>
      </c>
      <c r="U682">
        <v>4.45</v>
      </c>
      <c r="V682">
        <v>86</v>
      </c>
      <c r="W682">
        <v>0</v>
      </c>
      <c r="X682">
        <v>86</v>
      </c>
      <c r="Y682">
        <v>1</v>
      </c>
      <c r="Z682">
        <v>0</v>
      </c>
      <c r="AA682">
        <v>1</v>
      </c>
      <c r="AB682" t="s">
        <v>36</v>
      </c>
      <c r="AC682">
        <v>86</v>
      </c>
      <c r="AD682">
        <v>-1.1499999999999999</v>
      </c>
    </row>
    <row r="683" spans="1:30" x14ac:dyDescent="0.25">
      <c r="A683" s="1">
        <v>44784.229930555557</v>
      </c>
      <c r="B683" s="1">
        <v>44769.376736111109</v>
      </c>
      <c r="C683">
        <v>12178</v>
      </c>
      <c r="D683" t="s">
        <v>45</v>
      </c>
      <c r="E683" t="s">
        <v>35</v>
      </c>
      <c r="F683">
        <v>7</v>
      </c>
      <c r="G683">
        <v>42.899563000000001</v>
      </c>
      <c r="H683">
        <v>-71.464650000000006</v>
      </c>
      <c r="I683">
        <v>301</v>
      </c>
      <c r="J683">
        <v>85</v>
      </c>
      <c r="K683">
        <v>0</v>
      </c>
      <c r="L683" s="1">
        <v>44784.229884259257</v>
      </c>
      <c r="M683">
        <v>3.8</v>
      </c>
      <c r="N683">
        <v>3.1</v>
      </c>
      <c r="O683">
        <v>0.7</v>
      </c>
      <c r="P683">
        <v>20</v>
      </c>
      <c r="Q683">
        <v>0</v>
      </c>
      <c r="R683">
        <v>0</v>
      </c>
      <c r="S683">
        <v>0</v>
      </c>
      <c r="T683" t="s">
        <v>32</v>
      </c>
      <c r="V683">
        <v>35</v>
      </c>
      <c r="W683">
        <v>0</v>
      </c>
      <c r="X683">
        <v>35</v>
      </c>
      <c r="Y683">
        <v>0</v>
      </c>
      <c r="Z683">
        <v>0</v>
      </c>
      <c r="AA683">
        <v>0</v>
      </c>
      <c r="AB683" t="s">
        <v>36</v>
      </c>
      <c r="AC683">
        <v>35</v>
      </c>
    </row>
    <row r="684" spans="1:30" x14ac:dyDescent="0.25">
      <c r="A684" s="1">
        <v>44784.229930555557</v>
      </c>
      <c r="B684" s="1">
        <v>44784.229502314818</v>
      </c>
      <c r="C684">
        <v>75981</v>
      </c>
      <c r="D684" t="s">
        <v>46</v>
      </c>
      <c r="E684" t="s">
        <v>35</v>
      </c>
      <c r="F684">
        <v>7</v>
      </c>
      <c r="G684">
        <v>42.97</v>
      </c>
      <c r="H684">
        <v>-71.06</v>
      </c>
      <c r="I684">
        <v>136</v>
      </c>
      <c r="J684">
        <v>74</v>
      </c>
      <c r="K684">
        <v>0</v>
      </c>
      <c r="L684" s="1">
        <v>44784.229884259257</v>
      </c>
      <c r="M684">
        <v>4</v>
      </c>
      <c r="N684">
        <v>3.9</v>
      </c>
      <c r="O684">
        <v>0.1</v>
      </c>
      <c r="P684">
        <v>3</v>
      </c>
      <c r="Q684">
        <v>0.1</v>
      </c>
      <c r="R684">
        <v>0.2</v>
      </c>
      <c r="S684">
        <v>0.15</v>
      </c>
      <c r="T684" t="s">
        <v>33</v>
      </c>
      <c r="U684">
        <v>3.95</v>
      </c>
      <c r="V684">
        <v>62</v>
      </c>
      <c r="W684">
        <v>0</v>
      </c>
      <c r="X684">
        <v>62</v>
      </c>
      <c r="Y684">
        <v>0</v>
      </c>
      <c r="Z684">
        <v>0</v>
      </c>
      <c r="AA684">
        <v>0</v>
      </c>
      <c r="AB684" t="s">
        <v>36</v>
      </c>
      <c r="AC684">
        <v>62</v>
      </c>
      <c r="AD684">
        <v>0.23</v>
      </c>
    </row>
    <row r="685" spans="1:30" x14ac:dyDescent="0.25">
      <c r="A685" s="1">
        <v>44784.229942129627</v>
      </c>
      <c r="B685" s="1">
        <v>44784.228645833333</v>
      </c>
      <c r="C685">
        <v>115703</v>
      </c>
      <c r="D685" t="s">
        <v>47</v>
      </c>
      <c r="E685" t="s">
        <v>35</v>
      </c>
      <c r="F685">
        <v>7</v>
      </c>
      <c r="G685">
        <v>43.953625000000002</v>
      </c>
      <c r="H685">
        <v>-71.508859999999999</v>
      </c>
      <c r="I685">
        <v>1493</v>
      </c>
      <c r="J685">
        <v>62</v>
      </c>
      <c r="K685">
        <v>0</v>
      </c>
      <c r="L685" s="1">
        <v>44784.229884259257</v>
      </c>
      <c r="M685">
        <v>0</v>
      </c>
      <c r="N685">
        <v>300.89999999999998</v>
      </c>
      <c r="O685">
        <v>300.89999999999998</v>
      </c>
      <c r="P685">
        <v>200</v>
      </c>
      <c r="Q685">
        <v>0</v>
      </c>
      <c r="R685">
        <v>0</v>
      </c>
      <c r="S685">
        <v>0</v>
      </c>
      <c r="T685" t="s">
        <v>48</v>
      </c>
      <c r="V685">
        <v>68</v>
      </c>
      <c r="W685">
        <v>0</v>
      </c>
      <c r="X685">
        <v>68</v>
      </c>
      <c r="Y685">
        <v>0</v>
      </c>
      <c r="Z685">
        <v>0</v>
      </c>
      <c r="AA685">
        <v>0</v>
      </c>
      <c r="AB685" t="s">
        <v>36</v>
      </c>
      <c r="AC685">
        <v>68</v>
      </c>
    </row>
    <row r="686" spans="1:30" x14ac:dyDescent="0.25">
      <c r="A686" s="1">
        <v>44784.229942129627</v>
      </c>
      <c r="B686" s="1">
        <v>44784.229444444441</v>
      </c>
      <c r="C686">
        <v>12050</v>
      </c>
      <c r="D686" t="s">
        <v>49</v>
      </c>
      <c r="E686" t="s">
        <v>35</v>
      </c>
      <c r="F686">
        <v>7</v>
      </c>
      <c r="G686">
        <v>44.220573000000002</v>
      </c>
      <c r="H686">
        <v>-71.732315</v>
      </c>
      <c r="I686">
        <v>999</v>
      </c>
      <c r="J686">
        <v>69</v>
      </c>
      <c r="K686">
        <v>0</v>
      </c>
      <c r="L686" s="1">
        <v>44784.229884259257</v>
      </c>
      <c r="M686">
        <v>2.9</v>
      </c>
      <c r="N686">
        <v>3.1</v>
      </c>
      <c r="O686">
        <v>0.2</v>
      </c>
      <c r="P686">
        <v>7</v>
      </c>
      <c r="Q686">
        <v>0</v>
      </c>
      <c r="R686">
        <v>0</v>
      </c>
      <c r="S686">
        <v>0</v>
      </c>
      <c r="T686" t="s">
        <v>33</v>
      </c>
      <c r="U686">
        <v>3</v>
      </c>
      <c r="V686">
        <v>58</v>
      </c>
      <c r="W686">
        <v>0</v>
      </c>
      <c r="X686">
        <v>58</v>
      </c>
      <c r="Y686">
        <v>0</v>
      </c>
      <c r="Z686">
        <v>0</v>
      </c>
      <c r="AA686">
        <v>0</v>
      </c>
      <c r="AB686" t="s">
        <v>36</v>
      </c>
      <c r="AC686">
        <v>58</v>
      </c>
      <c r="AD686">
        <v>-7.0000000000000007E-2</v>
      </c>
    </row>
    <row r="687" spans="1:30" x14ac:dyDescent="0.25">
      <c r="A687" s="1">
        <v>44784.229942129627</v>
      </c>
      <c r="B687" s="1">
        <v>44784.228159722225</v>
      </c>
      <c r="C687">
        <v>23443</v>
      </c>
      <c r="D687" t="s">
        <v>50</v>
      </c>
      <c r="E687" t="s">
        <v>35</v>
      </c>
      <c r="F687">
        <v>7</v>
      </c>
      <c r="G687">
        <v>43.556139999999999</v>
      </c>
      <c r="H687">
        <v>-72.370990000000006</v>
      </c>
      <c r="I687">
        <v>523</v>
      </c>
      <c r="J687">
        <v>68</v>
      </c>
      <c r="K687">
        <v>0</v>
      </c>
      <c r="L687" s="1">
        <v>44784.229884259257</v>
      </c>
      <c r="M687">
        <v>4.2</v>
      </c>
      <c r="N687">
        <v>3.5</v>
      </c>
      <c r="O687">
        <v>0.7</v>
      </c>
      <c r="P687">
        <v>18</v>
      </c>
      <c r="Q687">
        <v>0</v>
      </c>
      <c r="R687">
        <v>0.1</v>
      </c>
      <c r="S687">
        <v>0.05</v>
      </c>
      <c r="T687" t="s">
        <v>33</v>
      </c>
      <c r="U687">
        <v>3.85</v>
      </c>
      <c r="V687">
        <v>67</v>
      </c>
      <c r="W687">
        <v>0</v>
      </c>
      <c r="X687">
        <v>67</v>
      </c>
      <c r="Y687">
        <v>0</v>
      </c>
      <c r="Z687">
        <v>0</v>
      </c>
      <c r="AA687">
        <v>0</v>
      </c>
      <c r="AB687" t="s">
        <v>36</v>
      </c>
      <c r="AC687">
        <v>67</v>
      </c>
      <c r="AD687">
        <v>-0.18</v>
      </c>
    </row>
    <row r="688" spans="1:30" x14ac:dyDescent="0.25">
      <c r="A688" s="1">
        <v>44784.229942129627</v>
      </c>
      <c r="B688" s="1">
        <v>44784.229641203703</v>
      </c>
      <c r="C688">
        <v>58135</v>
      </c>
      <c r="D688" t="s">
        <v>51</v>
      </c>
      <c r="E688" t="s">
        <v>35</v>
      </c>
      <c r="F688">
        <v>7</v>
      </c>
      <c r="G688">
        <v>42.883873000000001</v>
      </c>
      <c r="H688">
        <v>-71.972915999999998</v>
      </c>
      <c r="I688">
        <v>808</v>
      </c>
      <c r="J688">
        <v>69</v>
      </c>
      <c r="K688">
        <v>0</v>
      </c>
      <c r="L688" s="1">
        <v>44784.229884259257</v>
      </c>
      <c r="M688">
        <v>9.1999999999999993</v>
      </c>
      <c r="N688">
        <v>6</v>
      </c>
      <c r="O688">
        <v>3.2</v>
      </c>
      <c r="P688">
        <v>42</v>
      </c>
      <c r="Q688">
        <v>0.2</v>
      </c>
      <c r="R688">
        <v>0.1</v>
      </c>
      <c r="S688">
        <v>0.15</v>
      </c>
      <c r="T688" t="s">
        <v>33</v>
      </c>
      <c r="U688">
        <v>7.6</v>
      </c>
      <c r="V688">
        <v>73</v>
      </c>
      <c r="W688">
        <v>0</v>
      </c>
      <c r="X688">
        <v>73</v>
      </c>
      <c r="Y688">
        <v>1</v>
      </c>
      <c r="Z688">
        <v>0</v>
      </c>
      <c r="AA688">
        <v>1</v>
      </c>
      <c r="AB688" t="s">
        <v>36</v>
      </c>
      <c r="AC688">
        <v>73</v>
      </c>
      <c r="AD688">
        <v>1.69</v>
      </c>
    </row>
    <row r="689" spans="1:30" x14ac:dyDescent="0.25">
      <c r="A689" s="1">
        <v>44784.229953703703</v>
      </c>
      <c r="B689" s="1">
        <v>44784.229699074072</v>
      </c>
      <c r="C689">
        <v>148555</v>
      </c>
      <c r="D689" t="s">
        <v>52</v>
      </c>
      <c r="E689" t="s">
        <v>53</v>
      </c>
      <c r="F689">
        <v>7</v>
      </c>
      <c r="G689">
        <v>42.904949999999999</v>
      </c>
      <c r="H689">
        <v>-71.386764999999997</v>
      </c>
      <c r="I689">
        <v>363</v>
      </c>
      <c r="J689">
        <v>0</v>
      </c>
      <c r="K689">
        <v>0</v>
      </c>
      <c r="L689" s="1">
        <v>44784.229884259257</v>
      </c>
      <c r="M689">
        <v>2.2999999999999998</v>
      </c>
      <c r="N689">
        <v>3</v>
      </c>
      <c r="O689">
        <v>0.7</v>
      </c>
      <c r="P689">
        <v>26</v>
      </c>
      <c r="Q689">
        <v>0.1</v>
      </c>
      <c r="R689">
        <v>0.1</v>
      </c>
      <c r="S689">
        <v>0.1</v>
      </c>
      <c r="T689" t="s">
        <v>33</v>
      </c>
      <c r="U689">
        <v>2.65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 t="s">
        <v>38</v>
      </c>
    </row>
    <row r="690" spans="1:30" x14ac:dyDescent="0.25">
      <c r="A690" s="1">
        <v>44784.229953703703</v>
      </c>
      <c r="B690" s="1">
        <v>44784.22923611111</v>
      </c>
      <c r="C690">
        <v>146644</v>
      </c>
      <c r="D690" t="s">
        <v>54</v>
      </c>
      <c r="E690" t="s">
        <v>53</v>
      </c>
      <c r="F690">
        <v>7</v>
      </c>
      <c r="G690">
        <v>43.06015</v>
      </c>
      <c r="H690">
        <v>-70.758930000000007</v>
      </c>
      <c r="I690">
        <v>35</v>
      </c>
      <c r="J690">
        <v>69</v>
      </c>
      <c r="K690">
        <v>71</v>
      </c>
      <c r="L690" s="1">
        <v>44784.229884259257</v>
      </c>
      <c r="M690">
        <v>5.8</v>
      </c>
      <c r="N690">
        <v>4.8</v>
      </c>
      <c r="O690">
        <v>1</v>
      </c>
      <c r="P690">
        <v>19</v>
      </c>
      <c r="Q690">
        <v>0.1</v>
      </c>
      <c r="R690">
        <v>0</v>
      </c>
      <c r="S690">
        <v>0.05</v>
      </c>
      <c r="T690" t="s">
        <v>33</v>
      </c>
      <c r="U690">
        <v>5.3</v>
      </c>
      <c r="V690">
        <v>69</v>
      </c>
      <c r="W690">
        <v>73</v>
      </c>
      <c r="X690">
        <v>4</v>
      </c>
      <c r="Y690">
        <v>1</v>
      </c>
      <c r="Z690">
        <v>1</v>
      </c>
      <c r="AA690">
        <v>0</v>
      </c>
      <c r="AB690" t="s">
        <v>33</v>
      </c>
      <c r="AC690">
        <v>71</v>
      </c>
      <c r="AD690">
        <v>0.42</v>
      </c>
    </row>
    <row r="691" spans="1:30" x14ac:dyDescent="0.25">
      <c r="A691" s="1">
        <v>44784.229953703703</v>
      </c>
      <c r="B691" s="1">
        <v>43755.283437500002</v>
      </c>
      <c r="C691">
        <v>12188</v>
      </c>
      <c r="D691" t="s">
        <v>55</v>
      </c>
      <c r="E691" t="s">
        <v>35</v>
      </c>
      <c r="F691">
        <v>4.1100000000000003</v>
      </c>
      <c r="G691">
        <v>42.927050000000001</v>
      </c>
      <c r="H691">
        <v>-72.279610000000005</v>
      </c>
      <c r="I691">
        <v>475</v>
      </c>
      <c r="J691">
        <v>95</v>
      </c>
      <c r="K691">
        <v>0</v>
      </c>
      <c r="L691" s="1">
        <v>44784.229884259257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 t="s">
        <v>32</v>
      </c>
      <c r="V691">
        <v>77</v>
      </c>
      <c r="W691">
        <v>0</v>
      </c>
      <c r="X691">
        <v>77</v>
      </c>
      <c r="Y691">
        <v>0</v>
      </c>
      <c r="Z691">
        <v>0</v>
      </c>
      <c r="AA691">
        <v>0</v>
      </c>
      <c r="AB691" t="s">
        <v>36</v>
      </c>
      <c r="AC691">
        <v>77</v>
      </c>
    </row>
    <row r="692" spans="1:30" x14ac:dyDescent="0.25">
      <c r="A692" s="1">
        <v>44784.229953703703</v>
      </c>
      <c r="B692" s="1">
        <v>44784.229548611111</v>
      </c>
      <c r="C692">
        <v>1224</v>
      </c>
      <c r="D692" t="s">
        <v>56</v>
      </c>
      <c r="E692" t="s">
        <v>35</v>
      </c>
      <c r="F692" t="s">
        <v>57</v>
      </c>
      <c r="G692">
        <v>42.938034000000002</v>
      </c>
      <c r="H692">
        <v>-72.259299999999996</v>
      </c>
      <c r="I692">
        <v>792</v>
      </c>
      <c r="J692">
        <v>75</v>
      </c>
      <c r="K692">
        <v>0</v>
      </c>
      <c r="L692" s="1">
        <v>44784.229884259257</v>
      </c>
      <c r="M692">
        <v>4.4000000000000004</v>
      </c>
      <c r="N692">
        <v>0</v>
      </c>
      <c r="O692">
        <v>4.4000000000000004</v>
      </c>
      <c r="P692">
        <v>200</v>
      </c>
      <c r="Q692">
        <v>0.1</v>
      </c>
      <c r="R692">
        <v>0</v>
      </c>
      <c r="S692">
        <v>0.05</v>
      </c>
      <c r="T692" t="s">
        <v>43</v>
      </c>
      <c r="V692">
        <v>88</v>
      </c>
      <c r="W692">
        <v>0</v>
      </c>
      <c r="X692">
        <v>88</v>
      </c>
      <c r="Y692">
        <v>1</v>
      </c>
      <c r="Z692">
        <v>0</v>
      </c>
      <c r="AA692">
        <v>1</v>
      </c>
      <c r="AB692" t="s">
        <v>36</v>
      </c>
      <c r="AC692">
        <v>88</v>
      </c>
    </row>
    <row r="693" spans="1:30" x14ac:dyDescent="0.25">
      <c r="A693" s="1">
        <v>44784.22996527778</v>
      </c>
      <c r="B693" s="1">
        <v>44784.228993055556</v>
      </c>
      <c r="C693">
        <v>1202</v>
      </c>
      <c r="D693" t="s">
        <v>58</v>
      </c>
      <c r="E693" t="s">
        <v>35</v>
      </c>
      <c r="F693" t="s">
        <v>57</v>
      </c>
      <c r="G693">
        <v>42.936554000000001</v>
      </c>
      <c r="H693">
        <v>-72.271019999999993</v>
      </c>
      <c r="I693">
        <v>488</v>
      </c>
      <c r="J693">
        <v>0</v>
      </c>
      <c r="K693">
        <v>0</v>
      </c>
      <c r="L693" s="1">
        <v>44784.229884259257</v>
      </c>
      <c r="M693">
        <v>3.6</v>
      </c>
      <c r="N693">
        <v>3.3</v>
      </c>
      <c r="O693">
        <v>0.3</v>
      </c>
      <c r="P693">
        <v>9</v>
      </c>
      <c r="Q693">
        <v>0</v>
      </c>
      <c r="R693">
        <v>0.1</v>
      </c>
      <c r="S693">
        <v>0.05</v>
      </c>
      <c r="T693" t="s">
        <v>33</v>
      </c>
      <c r="U693">
        <v>3.45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 t="s">
        <v>38</v>
      </c>
    </row>
    <row r="694" spans="1:30" x14ac:dyDescent="0.25">
      <c r="A694" s="1">
        <v>44784.22996527778</v>
      </c>
      <c r="B694" s="1">
        <v>44612.080023148148</v>
      </c>
      <c r="C694">
        <v>25985</v>
      </c>
      <c r="D694" t="s">
        <v>59</v>
      </c>
      <c r="E694" t="s">
        <v>35</v>
      </c>
      <c r="F694">
        <v>6.01</v>
      </c>
      <c r="G694">
        <v>42.927326000000001</v>
      </c>
      <c r="H694">
        <v>-72.279979999999995</v>
      </c>
      <c r="I694">
        <v>477</v>
      </c>
      <c r="J694">
        <v>78</v>
      </c>
      <c r="K694">
        <v>0</v>
      </c>
      <c r="L694" s="1">
        <v>44784.229884259257</v>
      </c>
      <c r="M694">
        <v>1.1000000000000001</v>
      </c>
      <c r="N694">
        <v>1</v>
      </c>
      <c r="O694">
        <v>0.1</v>
      </c>
      <c r="P694">
        <v>10</v>
      </c>
      <c r="Q694">
        <v>0</v>
      </c>
      <c r="R694">
        <v>0</v>
      </c>
      <c r="S694">
        <v>0</v>
      </c>
      <c r="T694" t="s">
        <v>32</v>
      </c>
      <c r="V694">
        <v>22</v>
      </c>
      <c r="W694">
        <v>0</v>
      </c>
      <c r="X694">
        <v>22</v>
      </c>
      <c r="Y694">
        <v>0</v>
      </c>
      <c r="Z694">
        <v>0</v>
      </c>
      <c r="AA694">
        <v>0</v>
      </c>
      <c r="AB694" t="s">
        <v>36</v>
      </c>
      <c r="AC694">
        <v>22</v>
      </c>
    </row>
    <row r="695" spans="1:30" x14ac:dyDescent="0.25">
      <c r="A695" s="1">
        <v>44784.236851851849</v>
      </c>
      <c r="B695" s="1">
        <v>44775.701319444444</v>
      </c>
      <c r="C695">
        <v>151708</v>
      </c>
      <c r="D695" t="s">
        <v>30</v>
      </c>
      <c r="E695" t="s">
        <v>31</v>
      </c>
      <c r="F695">
        <v>7</v>
      </c>
      <c r="G695">
        <v>43.192042999999998</v>
      </c>
      <c r="H695">
        <v>-71.541579999999996</v>
      </c>
      <c r="I695">
        <v>291</v>
      </c>
      <c r="J695">
        <v>93</v>
      </c>
      <c r="K695">
        <v>94</v>
      </c>
      <c r="L695" s="1">
        <v>44784.236840277779</v>
      </c>
      <c r="M695">
        <v>7.9</v>
      </c>
      <c r="N695">
        <v>7.6</v>
      </c>
      <c r="O695">
        <v>0.3</v>
      </c>
      <c r="P695">
        <v>4</v>
      </c>
      <c r="Q695">
        <v>0</v>
      </c>
      <c r="R695">
        <v>0</v>
      </c>
      <c r="S695">
        <v>0</v>
      </c>
      <c r="T695" t="s">
        <v>32</v>
      </c>
      <c r="V695">
        <v>42</v>
      </c>
      <c r="W695">
        <v>41</v>
      </c>
      <c r="X695">
        <v>1</v>
      </c>
      <c r="Y695">
        <v>0</v>
      </c>
      <c r="Z695">
        <v>0</v>
      </c>
      <c r="AA695">
        <v>0</v>
      </c>
      <c r="AB695" t="s">
        <v>33</v>
      </c>
      <c r="AC695">
        <v>41.5</v>
      </c>
    </row>
    <row r="696" spans="1:30" x14ac:dyDescent="0.25">
      <c r="A696" s="1">
        <v>44784.236851851849</v>
      </c>
      <c r="B696" s="1">
        <v>44784.235150462962</v>
      </c>
      <c r="C696">
        <v>143456</v>
      </c>
      <c r="D696" t="s">
        <v>34</v>
      </c>
      <c r="E696" t="s">
        <v>35</v>
      </c>
      <c r="F696">
        <v>7</v>
      </c>
      <c r="G696">
        <v>43.08963</v>
      </c>
      <c r="H696">
        <v>-71.502440000000007</v>
      </c>
      <c r="I696">
        <v>619</v>
      </c>
      <c r="J696">
        <v>68</v>
      </c>
      <c r="K696">
        <v>0</v>
      </c>
      <c r="L696" s="1">
        <v>44784.236840277779</v>
      </c>
      <c r="M696">
        <v>3.3</v>
      </c>
      <c r="N696">
        <v>3.6</v>
      </c>
      <c r="O696">
        <v>0.3</v>
      </c>
      <c r="P696">
        <v>9</v>
      </c>
      <c r="Q696">
        <v>0</v>
      </c>
      <c r="R696">
        <v>0.1</v>
      </c>
      <c r="S696">
        <v>0.05</v>
      </c>
      <c r="T696" t="s">
        <v>33</v>
      </c>
      <c r="U696">
        <v>3.45</v>
      </c>
      <c r="V696">
        <v>72</v>
      </c>
      <c r="W696">
        <v>0</v>
      </c>
      <c r="X696">
        <v>72</v>
      </c>
      <c r="Y696">
        <v>0</v>
      </c>
      <c r="Z696">
        <v>0</v>
      </c>
      <c r="AA696">
        <v>0</v>
      </c>
      <c r="AB696" t="s">
        <v>36</v>
      </c>
      <c r="AC696">
        <v>72</v>
      </c>
      <c r="AD696">
        <v>-0.78</v>
      </c>
    </row>
    <row r="697" spans="1:30" x14ac:dyDescent="0.25">
      <c r="A697" s="1">
        <v>44784.236851851849</v>
      </c>
      <c r="B697" s="1">
        <v>44784.236724537041</v>
      </c>
      <c r="C697">
        <v>151702</v>
      </c>
      <c r="D697" t="s">
        <v>37</v>
      </c>
      <c r="E697" t="s">
        <v>31</v>
      </c>
      <c r="F697">
        <v>7</v>
      </c>
      <c r="G697">
        <v>43.118609999999997</v>
      </c>
      <c r="H697">
        <v>-71.61618</v>
      </c>
      <c r="I697">
        <v>885</v>
      </c>
      <c r="J697">
        <v>0</v>
      </c>
      <c r="K697">
        <v>0</v>
      </c>
      <c r="L697" s="1">
        <v>44784.236840277779</v>
      </c>
      <c r="M697">
        <v>4.4000000000000004</v>
      </c>
      <c r="N697">
        <v>4.0999999999999996</v>
      </c>
      <c r="O697">
        <v>0.3</v>
      </c>
      <c r="P697">
        <v>7</v>
      </c>
      <c r="Q697">
        <v>0.1</v>
      </c>
      <c r="R697">
        <v>0.1</v>
      </c>
      <c r="S697">
        <v>0.1</v>
      </c>
      <c r="T697" t="s">
        <v>33</v>
      </c>
      <c r="U697">
        <v>4.25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 t="s">
        <v>38</v>
      </c>
    </row>
    <row r="698" spans="1:30" x14ac:dyDescent="0.25">
      <c r="A698" s="1">
        <v>44784.236863425926</v>
      </c>
      <c r="B698" s="1">
        <v>44784.236608796295</v>
      </c>
      <c r="C698">
        <v>151700</v>
      </c>
      <c r="D698" t="s">
        <v>30</v>
      </c>
      <c r="E698" t="s">
        <v>31</v>
      </c>
      <c r="F698">
        <v>7</v>
      </c>
      <c r="G698">
        <v>43.19211</v>
      </c>
      <c r="H698">
        <v>-71.541460000000001</v>
      </c>
      <c r="I698">
        <v>286</v>
      </c>
      <c r="J698">
        <v>71</v>
      </c>
      <c r="K698">
        <v>0</v>
      </c>
      <c r="L698" s="1">
        <v>44784.236840277779</v>
      </c>
      <c r="M698">
        <v>3.1</v>
      </c>
      <c r="N698">
        <v>3.4</v>
      </c>
      <c r="O698">
        <v>0.3</v>
      </c>
      <c r="P698">
        <v>9</v>
      </c>
      <c r="Q698">
        <v>0</v>
      </c>
      <c r="R698">
        <v>0.2</v>
      </c>
      <c r="S698">
        <v>0.1</v>
      </c>
      <c r="T698" t="s">
        <v>33</v>
      </c>
      <c r="U698">
        <v>3.25</v>
      </c>
      <c r="V698">
        <v>68</v>
      </c>
      <c r="W698">
        <v>0</v>
      </c>
      <c r="X698">
        <v>68</v>
      </c>
      <c r="Y698">
        <v>0</v>
      </c>
      <c r="Z698">
        <v>0</v>
      </c>
      <c r="AA698">
        <v>0</v>
      </c>
      <c r="AB698" t="s">
        <v>36</v>
      </c>
      <c r="AC698">
        <v>68</v>
      </c>
      <c r="AD698">
        <v>-0.62</v>
      </c>
    </row>
    <row r="699" spans="1:30" x14ac:dyDescent="0.25">
      <c r="A699" s="1">
        <v>44784.236863425926</v>
      </c>
      <c r="B699" s="1">
        <v>44784.235636574071</v>
      </c>
      <c r="C699">
        <v>135984</v>
      </c>
      <c r="D699" t="s">
        <v>39</v>
      </c>
      <c r="E699" t="s">
        <v>31</v>
      </c>
      <c r="F699">
        <v>7</v>
      </c>
      <c r="G699">
        <v>43.565852999999997</v>
      </c>
      <c r="H699">
        <v>-71.496129999999994</v>
      </c>
      <c r="I699">
        <v>708</v>
      </c>
      <c r="J699">
        <v>68</v>
      </c>
      <c r="K699">
        <v>0</v>
      </c>
      <c r="L699" s="1">
        <v>44784.236840277779</v>
      </c>
      <c r="M699">
        <v>5.2</v>
      </c>
      <c r="N699">
        <v>4.2</v>
      </c>
      <c r="O699">
        <v>1</v>
      </c>
      <c r="P699">
        <v>21</v>
      </c>
      <c r="Q699">
        <v>0.2</v>
      </c>
      <c r="R699">
        <v>0.2</v>
      </c>
      <c r="S699">
        <v>0.2</v>
      </c>
      <c r="T699" t="s">
        <v>33</v>
      </c>
      <c r="U699">
        <v>4.7</v>
      </c>
      <c r="V699">
        <v>91</v>
      </c>
      <c r="W699">
        <v>0</v>
      </c>
      <c r="X699">
        <v>91</v>
      </c>
      <c r="Y699">
        <v>1</v>
      </c>
      <c r="Z699">
        <v>0</v>
      </c>
      <c r="AA699">
        <v>1</v>
      </c>
      <c r="AB699" t="s">
        <v>36</v>
      </c>
      <c r="AC699">
        <v>91</v>
      </c>
      <c r="AD699">
        <v>-1.34</v>
      </c>
    </row>
    <row r="700" spans="1:30" x14ac:dyDescent="0.25">
      <c r="A700" s="1">
        <v>44784.236863425926</v>
      </c>
      <c r="B700" s="1">
        <v>44780.394780092596</v>
      </c>
      <c r="C700">
        <v>151712</v>
      </c>
      <c r="D700" t="s">
        <v>40</v>
      </c>
      <c r="E700" t="s">
        <v>31</v>
      </c>
      <c r="F700">
        <v>7</v>
      </c>
      <c r="G700">
        <v>43.289763999999998</v>
      </c>
      <c r="H700">
        <v>-71.564260000000004</v>
      </c>
      <c r="I700">
        <v>370</v>
      </c>
      <c r="J700">
        <v>86</v>
      </c>
      <c r="K700">
        <v>0</v>
      </c>
      <c r="L700" s="1">
        <v>44784.236840277779</v>
      </c>
      <c r="M700">
        <v>14</v>
      </c>
      <c r="N700">
        <v>13.2</v>
      </c>
      <c r="O700">
        <v>0.8</v>
      </c>
      <c r="P700">
        <v>6</v>
      </c>
      <c r="Q700">
        <v>0</v>
      </c>
      <c r="R700">
        <v>0</v>
      </c>
      <c r="S700">
        <v>0</v>
      </c>
      <c r="T700" t="s">
        <v>32</v>
      </c>
      <c r="V700">
        <v>59</v>
      </c>
      <c r="W700">
        <v>0</v>
      </c>
      <c r="X700">
        <v>59</v>
      </c>
      <c r="Y700">
        <v>0</v>
      </c>
      <c r="Z700">
        <v>0</v>
      </c>
      <c r="AA700">
        <v>0</v>
      </c>
      <c r="AB700" t="s">
        <v>36</v>
      </c>
      <c r="AC700">
        <v>59</v>
      </c>
    </row>
    <row r="701" spans="1:30" x14ac:dyDescent="0.25">
      <c r="A701" s="1">
        <v>44784.236863425926</v>
      </c>
      <c r="B701" s="1">
        <v>44784.234930555554</v>
      </c>
      <c r="C701">
        <v>151710</v>
      </c>
      <c r="D701" t="s">
        <v>41</v>
      </c>
      <c r="E701" t="s">
        <v>31</v>
      </c>
      <c r="F701">
        <v>7</v>
      </c>
      <c r="G701">
        <v>43.132477000000002</v>
      </c>
      <c r="H701">
        <v>-71.458374000000006</v>
      </c>
      <c r="I701">
        <v>230</v>
      </c>
      <c r="J701">
        <v>68</v>
      </c>
      <c r="K701">
        <v>0</v>
      </c>
      <c r="L701" s="1">
        <v>44784.236840277779</v>
      </c>
      <c r="M701">
        <v>6.3</v>
      </c>
      <c r="N701">
        <v>4.7</v>
      </c>
      <c r="O701">
        <v>1.6</v>
      </c>
      <c r="P701">
        <v>29</v>
      </c>
      <c r="Q701">
        <v>0</v>
      </c>
      <c r="R701">
        <v>0.2</v>
      </c>
      <c r="S701">
        <v>0.1</v>
      </c>
      <c r="T701" t="s">
        <v>33</v>
      </c>
      <c r="U701">
        <v>5.5</v>
      </c>
      <c r="V701">
        <v>70</v>
      </c>
      <c r="W701">
        <v>0</v>
      </c>
      <c r="X701">
        <v>70</v>
      </c>
      <c r="Y701">
        <v>1</v>
      </c>
      <c r="Z701">
        <v>0</v>
      </c>
      <c r="AA701">
        <v>1</v>
      </c>
      <c r="AB701" t="s">
        <v>36</v>
      </c>
      <c r="AC701">
        <v>70</v>
      </c>
      <c r="AD701">
        <v>0.61</v>
      </c>
    </row>
    <row r="702" spans="1:30" x14ac:dyDescent="0.25">
      <c r="A702" s="1">
        <v>44784.236875000002</v>
      </c>
      <c r="B702" s="1">
        <v>44784.236006944448</v>
      </c>
      <c r="C702">
        <v>151706</v>
      </c>
      <c r="D702" t="s">
        <v>42</v>
      </c>
      <c r="E702" t="s">
        <v>31</v>
      </c>
      <c r="F702">
        <v>7</v>
      </c>
      <c r="G702">
        <v>43.004080000000002</v>
      </c>
      <c r="H702">
        <v>-71.177040000000005</v>
      </c>
      <c r="I702">
        <v>194</v>
      </c>
      <c r="J702">
        <v>68</v>
      </c>
      <c r="K702">
        <v>0</v>
      </c>
      <c r="L702" s="1">
        <v>44784.236840277779</v>
      </c>
      <c r="M702">
        <v>2.8</v>
      </c>
      <c r="N702">
        <v>0</v>
      </c>
      <c r="O702">
        <v>2.8</v>
      </c>
      <c r="P702">
        <v>200</v>
      </c>
      <c r="Q702">
        <v>0.1</v>
      </c>
      <c r="R702">
        <v>0</v>
      </c>
      <c r="S702">
        <v>0.05</v>
      </c>
      <c r="T702" t="s">
        <v>43</v>
      </c>
      <c r="V702">
        <v>71</v>
      </c>
      <c r="W702">
        <v>0</v>
      </c>
      <c r="X702">
        <v>71</v>
      </c>
      <c r="Y702">
        <v>0</v>
      </c>
      <c r="Z702">
        <v>0</v>
      </c>
      <c r="AA702">
        <v>0</v>
      </c>
      <c r="AB702" t="s">
        <v>36</v>
      </c>
      <c r="AC702">
        <v>71</v>
      </c>
    </row>
    <row r="703" spans="1:30" x14ac:dyDescent="0.25">
      <c r="A703" s="1">
        <v>44784.236875000002</v>
      </c>
      <c r="B703" s="1">
        <v>44784.235729166663</v>
      </c>
      <c r="C703">
        <v>12212</v>
      </c>
      <c r="D703" t="s">
        <v>44</v>
      </c>
      <c r="E703" t="s">
        <v>35</v>
      </c>
      <c r="F703">
        <v>7</v>
      </c>
      <c r="G703">
        <v>42.930529999999997</v>
      </c>
      <c r="H703">
        <v>-72.272350000000003</v>
      </c>
      <c r="I703">
        <v>476</v>
      </c>
      <c r="J703">
        <v>75</v>
      </c>
      <c r="K703">
        <v>0</v>
      </c>
      <c r="L703" s="1">
        <v>44784.236840277779</v>
      </c>
      <c r="M703">
        <v>4.9000000000000004</v>
      </c>
      <c r="N703">
        <v>4.0999999999999996</v>
      </c>
      <c r="O703">
        <v>0.8</v>
      </c>
      <c r="P703">
        <v>18</v>
      </c>
      <c r="Q703">
        <v>0</v>
      </c>
      <c r="R703">
        <v>0.1</v>
      </c>
      <c r="S703">
        <v>0.05</v>
      </c>
      <c r="T703" t="s">
        <v>33</v>
      </c>
      <c r="U703">
        <v>4.5</v>
      </c>
      <c r="V703">
        <v>86</v>
      </c>
      <c r="W703">
        <v>0</v>
      </c>
      <c r="X703">
        <v>86</v>
      </c>
      <c r="Y703">
        <v>0</v>
      </c>
      <c r="Z703">
        <v>0</v>
      </c>
      <c r="AA703">
        <v>0</v>
      </c>
      <c r="AB703" t="s">
        <v>36</v>
      </c>
      <c r="AC703">
        <v>86</v>
      </c>
      <c r="AD703">
        <v>-1.1200000000000001</v>
      </c>
    </row>
    <row r="704" spans="1:30" x14ac:dyDescent="0.25">
      <c r="A704" s="1">
        <v>44784.236875000002</v>
      </c>
      <c r="B704" s="1">
        <v>44769.376736111109</v>
      </c>
      <c r="C704">
        <v>12178</v>
      </c>
      <c r="D704" t="s">
        <v>45</v>
      </c>
      <c r="E704" t="s">
        <v>35</v>
      </c>
      <c r="F704">
        <v>7</v>
      </c>
      <c r="G704">
        <v>42.899563000000001</v>
      </c>
      <c r="H704">
        <v>-71.464650000000006</v>
      </c>
      <c r="I704">
        <v>301</v>
      </c>
      <c r="J704">
        <v>85</v>
      </c>
      <c r="K704">
        <v>0</v>
      </c>
      <c r="L704" s="1">
        <v>44784.236840277779</v>
      </c>
      <c r="M704">
        <v>3.8</v>
      </c>
      <c r="N704">
        <v>3.1</v>
      </c>
      <c r="O704">
        <v>0.7</v>
      </c>
      <c r="P704">
        <v>20</v>
      </c>
      <c r="Q704">
        <v>0</v>
      </c>
      <c r="R704">
        <v>0</v>
      </c>
      <c r="S704">
        <v>0</v>
      </c>
      <c r="T704" t="s">
        <v>32</v>
      </c>
      <c r="V704">
        <v>35</v>
      </c>
      <c r="W704">
        <v>0</v>
      </c>
      <c r="X704">
        <v>35</v>
      </c>
      <c r="Y704">
        <v>0</v>
      </c>
      <c r="Z704">
        <v>0</v>
      </c>
      <c r="AA704">
        <v>0</v>
      </c>
      <c r="AB704" t="s">
        <v>36</v>
      </c>
      <c r="AC704">
        <v>35</v>
      </c>
    </row>
    <row r="705" spans="1:30" x14ac:dyDescent="0.25">
      <c r="A705" s="1">
        <v>44784.236886574072</v>
      </c>
      <c r="B705" s="1">
        <v>44784.23505787037</v>
      </c>
      <c r="C705">
        <v>75981</v>
      </c>
      <c r="D705" t="s">
        <v>46</v>
      </c>
      <c r="E705" t="s">
        <v>35</v>
      </c>
      <c r="F705">
        <v>7</v>
      </c>
      <c r="G705">
        <v>42.97</v>
      </c>
      <c r="H705">
        <v>-71.06</v>
      </c>
      <c r="I705">
        <v>136</v>
      </c>
      <c r="J705">
        <v>74</v>
      </c>
      <c r="K705">
        <v>0</v>
      </c>
      <c r="L705" s="1">
        <v>44784.236840277779</v>
      </c>
      <c r="M705">
        <v>4.0999999999999996</v>
      </c>
      <c r="N705">
        <v>3.9</v>
      </c>
      <c r="O705">
        <v>0.2</v>
      </c>
      <c r="P705">
        <v>5</v>
      </c>
      <c r="Q705">
        <v>0.1</v>
      </c>
      <c r="R705">
        <v>0</v>
      </c>
      <c r="S705">
        <v>0.05</v>
      </c>
      <c r="T705" t="s">
        <v>33</v>
      </c>
      <c r="U705">
        <v>4</v>
      </c>
      <c r="V705">
        <v>62</v>
      </c>
      <c r="W705">
        <v>0</v>
      </c>
      <c r="X705">
        <v>62</v>
      </c>
      <c r="Y705">
        <v>0</v>
      </c>
      <c r="Z705">
        <v>0</v>
      </c>
      <c r="AA705">
        <v>0</v>
      </c>
      <c r="AB705" t="s">
        <v>36</v>
      </c>
      <c r="AC705">
        <v>62</v>
      </c>
      <c r="AD705">
        <v>0.26</v>
      </c>
    </row>
    <row r="706" spans="1:30" x14ac:dyDescent="0.25">
      <c r="A706" s="1">
        <v>44784.236886574072</v>
      </c>
      <c r="B706" s="1">
        <v>44784.235590277778</v>
      </c>
      <c r="C706">
        <v>115703</v>
      </c>
      <c r="D706" t="s">
        <v>47</v>
      </c>
      <c r="E706" t="s">
        <v>35</v>
      </c>
      <c r="F706">
        <v>7</v>
      </c>
      <c r="G706">
        <v>43.953625000000002</v>
      </c>
      <c r="H706">
        <v>-71.508859999999999</v>
      </c>
      <c r="I706">
        <v>1493</v>
      </c>
      <c r="J706">
        <v>62</v>
      </c>
      <c r="K706">
        <v>0</v>
      </c>
      <c r="L706" s="1">
        <v>44784.236840277779</v>
      </c>
      <c r="M706">
        <v>0</v>
      </c>
      <c r="N706">
        <v>300.89999999999998</v>
      </c>
      <c r="O706">
        <v>300.89999999999998</v>
      </c>
      <c r="P706">
        <v>200</v>
      </c>
      <c r="Q706">
        <v>0</v>
      </c>
      <c r="R706">
        <v>0</v>
      </c>
      <c r="S706">
        <v>0</v>
      </c>
      <c r="T706" t="s">
        <v>48</v>
      </c>
      <c r="V706">
        <v>68</v>
      </c>
      <c r="W706">
        <v>0</v>
      </c>
      <c r="X706">
        <v>68</v>
      </c>
      <c r="Y706">
        <v>0</v>
      </c>
      <c r="Z706">
        <v>0</v>
      </c>
      <c r="AA706">
        <v>0</v>
      </c>
      <c r="AB706" t="s">
        <v>36</v>
      </c>
      <c r="AC706">
        <v>68</v>
      </c>
    </row>
    <row r="707" spans="1:30" x14ac:dyDescent="0.25">
      <c r="A707" s="1">
        <v>44784.236886574072</v>
      </c>
      <c r="B707" s="1">
        <v>44784.235000000001</v>
      </c>
      <c r="C707">
        <v>12050</v>
      </c>
      <c r="D707" t="s">
        <v>49</v>
      </c>
      <c r="E707" t="s">
        <v>35</v>
      </c>
      <c r="F707">
        <v>7</v>
      </c>
      <c r="G707">
        <v>44.220573000000002</v>
      </c>
      <c r="H707">
        <v>-71.732315</v>
      </c>
      <c r="I707">
        <v>999</v>
      </c>
      <c r="J707">
        <v>68</v>
      </c>
      <c r="K707">
        <v>0</v>
      </c>
      <c r="L707" s="1">
        <v>44784.236840277779</v>
      </c>
      <c r="M707">
        <v>2.9</v>
      </c>
      <c r="N707">
        <v>3</v>
      </c>
      <c r="O707">
        <v>0.1</v>
      </c>
      <c r="P707">
        <v>3</v>
      </c>
      <c r="Q707">
        <v>0</v>
      </c>
      <c r="R707">
        <v>0.1</v>
      </c>
      <c r="S707">
        <v>0.05</v>
      </c>
      <c r="T707" t="s">
        <v>33</v>
      </c>
      <c r="U707">
        <v>2.95</v>
      </c>
      <c r="V707">
        <v>58</v>
      </c>
      <c r="W707">
        <v>0</v>
      </c>
      <c r="X707">
        <v>58</v>
      </c>
      <c r="Y707">
        <v>0</v>
      </c>
      <c r="Z707">
        <v>0</v>
      </c>
      <c r="AA707">
        <v>0</v>
      </c>
      <c r="AB707" t="s">
        <v>36</v>
      </c>
      <c r="AC707">
        <v>58</v>
      </c>
      <c r="AD707">
        <v>-0.1</v>
      </c>
    </row>
    <row r="708" spans="1:30" x14ac:dyDescent="0.25">
      <c r="A708" s="1">
        <v>44784.236886574072</v>
      </c>
      <c r="B708" s="1">
        <v>44784.23510416667</v>
      </c>
      <c r="C708">
        <v>23443</v>
      </c>
      <c r="D708" t="s">
        <v>50</v>
      </c>
      <c r="E708" t="s">
        <v>35</v>
      </c>
      <c r="F708">
        <v>7</v>
      </c>
      <c r="G708">
        <v>43.556139999999999</v>
      </c>
      <c r="H708">
        <v>-72.370990000000006</v>
      </c>
      <c r="I708">
        <v>523</v>
      </c>
      <c r="J708">
        <v>69</v>
      </c>
      <c r="K708">
        <v>0</v>
      </c>
      <c r="L708" s="1">
        <v>44784.236840277779</v>
      </c>
      <c r="M708">
        <v>4.3</v>
      </c>
      <c r="N708">
        <v>3.4</v>
      </c>
      <c r="O708">
        <v>0.9</v>
      </c>
      <c r="P708">
        <v>23</v>
      </c>
      <c r="Q708">
        <v>0.1</v>
      </c>
      <c r="R708">
        <v>0.1</v>
      </c>
      <c r="S708">
        <v>0.1</v>
      </c>
      <c r="T708" t="s">
        <v>33</v>
      </c>
      <c r="U708">
        <v>3.85</v>
      </c>
      <c r="V708">
        <v>67</v>
      </c>
      <c r="W708">
        <v>0</v>
      </c>
      <c r="X708">
        <v>67</v>
      </c>
      <c r="Y708">
        <v>0</v>
      </c>
      <c r="Z708">
        <v>0</v>
      </c>
      <c r="AA708">
        <v>0</v>
      </c>
      <c r="AB708" t="s">
        <v>36</v>
      </c>
      <c r="AC708">
        <v>67</v>
      </c>
      <c r="AD708">
        <v>-0.18</v>
      </c>
    </row>
    <row r="709" spans="1:30" x14ac:dyDescent="0.25">
      <c r="A709" s="1">
        <v>44784.236898148149</v>
      </c>
      <c r="B709" s="1">
        <v>44784.236585648148</v>
      </c>
      <c r="C709">
        <v>58135</v>
      </c>
      <c r="D709" t="s">
        <v>51</v>
      </c>
      <c r="E709" t="s">
        <v>35</v>
      </c>
      <c r="F709">
        <v>7</v>
      </c>
      <c r="G709">
        <v>42.883873000000001</v>
      </c>
      <c r="H709">
        <v>-71.972915999999998</v>
      </c>
      <c r="I709">
        <v>808</v>
      </c>
      <c r="J709">
        <v>69</v>
      </c>
      <c r="K709">
        <v>0</v>
      </c>
      <c r="L709" s="1">
        <v>44784.236840277779</v>
      </c>
      <c r="M709">
        <v>9.5</v>
      </c>
      <c r="N709">
        <v>6.1</v>
      </c>
      <c r="O709">
        <v>3.4</v>
      </c>
      <c r="P709">
        <v>44</v>
      </c>
      <c r="Q709">
        <v>0.3</v>
      </c>
      <c r="R709">
        <v>0.1</v>
      </c>
      <c r="S709">
        <v>0.2</v>
      </c>
      <c r="T709" t="s">
        <v>33</v>
      </c>
      <c r="U709">
        <v>7.8</v>
      </c>
      <c r="V709">
        <v>73</v>
      </c>
      <c r="W709">
        <v>0</v>
      </c>
      <c r="X709">
        <v>73</v>
      </c>
      <c r="Y709">
        <v>0</v>
      </c>
      <c r="Z709">
        <v>0</v>
      </c>
      <c r="AA709">
        <v>0</v>
      </c>
      <c r="AB709" t="s">
        <v>36</v>
      </c>
      <c r="AC709">
        <v>73</v>
      </c>
      <c r="AD709">
        <v>1.81</v>
      </c>
    </row>
    <row r="710" spans="1:30" x14ac:dyDescent="0.25">
      <c r="A710" s="1">
        <v>44784.236898148149</v>
      </c>
      <c r="B710" s="1">
        <v>44784.236643518518</v>
      </c>
      <c r="C710">
        <v>148555</v>
      </c>
      <c r="D710" t="s">
        <v>52</v>
      </c>
      <c r="E710" t="s">
        <v>53</v>
      </c>
      <c r="F710">
        <v>7</v>
      </c>
      <c r="G710">
        <v>42.904949999999999</v>
      </c>
      <c r="H710">
        <v>-71.386764999999997</v>
      </c>
      <c r="I710">
        <v>363</v>
      </c>
      <c r="J710">
        <v>0</v>
      </c>
      <c r="K710">
        <v>0</v>
      </c>
      <c r="L710" s="1">
        <v>44784.236840277779</v>
      </c>
      <c r="M710">
        <v>2.2999999999999998</v>
      </c>
      <c r="N710">
        <v>3.1</v>
      </c>
      <c r="O710">
        <v>0.8</v>
      </c>
      <c r="P710">
        <v>30</v>
      </c>
      <c r="Q710">
        <v>0</v>
      </c>
      <c r="R710">
        <v>0.1</v>
      </c>
      <c r="S710">
        <v>0.05</v>
      </c>
      <c r="T710" t="s">
        <v>33</v>
      </c>
      <c r="U710">
        <v>2.7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 t="s">
        <v>38</v>
      </c>
    </row>
    <row r="711" spans="1:30" x14ac:dyDescent="0.25">
      <c r="A711" s="1">
        <v>44784.236898148149</v>
      </c>
      <c r="B711" s="1">
        <v>44784.236180555556</v>
      </c>
      <c r="C711">
        <v>146644</v>
      </c>
      <c r="D711" t="s">
        <v>54</v>
      </c>
      <c r="E711" t="s">
        <v>53</v>
      </c>
      <c r="F711">
        <v>7</v>
      </c>
      <c r="G711">
        <v>43.06015</v>
      </c>
      <c r="H711">
        <v>-70.758930000000007</v>
      </c>
      <c r="I711">
        <v>35</v>
      </c>
      <c r="J711">
        <v>69</v>
      </c>
      <c r="K711">
        <v>71</v>
      </c>
      <c r="L711" s="1">
        <v>44784.236840277779</v>
      </c>
      <c r="M711">
        <v>5.7</v>
      </c>
      <c r="N711">
        <v>4.7</v>
      </c>
      <c r="O711">
        <v>1</v>
      </c>
      <c r="P711">
        <v>19</v>
      </c>
      <c r="Q711">
        <v>0.1</v>
      </c>
      <c r="R711">
        <v>0.1</v>
      </c>
      <c r="S711">
        <v>0.1</v>
      </c>
      <c r="T711" t="s">
        <v>33</v>
      </c>
      <c r="U711">
        <v>5.2</v>
      </c>
      <c r="V711">
        <v>69</v>
      </c>
      <c r="W711">
        <v>73</v>
      </c>
      <c r="X711">
        <v>4</v>
      </c>
      <c r="Y711">
        <v>0</v>
      </c>
      <c r="Z711">
        <v>0</v>
      </c>
      <c r="AA711">
        <v>0</v>
      </c>
      <c r="AB711" t="s">
        <v>33</v>
      </c>
      <c r="AC711">
        <v>71</v>
      </c>
      <c r="AD711">
        <v>0.36</v>
      </c>
    </row>
    <row r="712" spans="1:30" x14ac:dyDescent="0.25">
      <c r="A712" s="1">
        <v>44784.236898148149</v>
      </c>
      <c r="B712" s="1">
        <v>43755.283437500002</v>
      </c>
      <c r="C712">
        <v>12188</v>
      </c>
      <c r="D712" t="s">
        <v>55</v>
      </c>
      <c r="E712" t="s">
        <v>35</v>
      </c>
      <c r="F712">
        <v>4.1100000000000003</v>
      </c>
      <c r="G712">
        <v>42.927050000000001</v>
      </c>
      <c r="H712">
        <v>-72.279610000000005</v>
      </c>
      <c r="I712">
        <v>475</v>
      </c>
      <c r="J712">
        <v>95</v>
      </c>
      <c r="K712">
        <v>0</v>
      </c>
      <c r="L712" s="1">
        <v>44784.236840277779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 t="s">
        <v>32</v>
      </c>
      <c r="V712">
        <v>77</v>
      </c>
      <c r="W712">
        <v>0</v>
      </c>
      <c r="X712">
        <v>77</v>
      </c>
      <c r="Y712">
        <v>0</v>
      </c>
      <c r="Z712">
        <v>0</v>
      </c>
      <c r="AA712">
        <v>0</v>
      </c>
      <c r="AB712" t="s">
        <v>36</v>
      </c>
      <c r="AC712">
        <v>77</v>
      </c>
    </row>
    <row r="713" spans="1:30" x14ac:dyDescent="0.25">
      <c r="A713" s="1">
        <v>44784.236909722225</v>
      </c>
      <c r="B713" s="1">
        <v>44784.23510416667</v>
      </c>
      <c r="C713">
        <v>1224</v>
      </c>
      <c r="D713" t="s">
        <v>56</v>
      </c>
      <c r="E713" t="s">
        <v>35</v>
      </c>
      <c r="F713" t="s">
        <v>57</v>
      </c>
      <c r="G713">
        <v>42.938034000000002</v>
      </c>
      <c r="H713">
        <v>-72.259299999999996</v>
      </c>
      <c r="I713">
        <v>792</v>
      </c>
      <c r="J713">
        <v>75</v>
      </c>
      <c r="K713">
        <v>0</v>
      </c>
      <c r="L713" s="1">
        <v>44784.236840277779</v>
      </c>
      <c r="M713">
        <v>4.2</v>
      </c>
      <c r="N713">
        <v>0</v>
      </c>
      <c r="O713">
        <v>4.2</v>
      </c>
      <c r="P713">
        <v>200</v>
      </c>
      <c r="Q713">
        <v>0.2</v>
      </c>
      <c r="R713">
        <v>0</v>
      </c>
      <c r="S713">
        <v>0.1</v>
      </c>
      <c r="T713" t="s">
        <v>43</v>
      </c>
      <c r="V713">
        <v>87</v>
      </c>
      <c r="W713">
        <v>0</v>
      </c>
      <c r="X713">
        <v>87</v>
      </c>
      <c r="Y713">
        <v>1</v>
      </c>
      <c r="Z713">
        <v>0</v>
      </c>
      <c r="AA713">
        <v>1</v>
      </c>
      <c r="AB713" t="s">
        <v>36</v>
      </c>
      <c r="AC713">
        <v>87</v>
      </c>
    </row>
    <row r="714" spans="1:30" x14ac:dyDescent="0.25">
      <c r="A714" s="1">
        <v>44784.236909722225</v>
      </c>
      <c r="B714" s="1">
        <v>44784.235937500001</v>
      </c>
      <c r="C714">
        <v>1202</v>
      </c>
      <c r="D714" t="s">
        <v>58</v>
      </c>
      <c r="E714" t="s">
        <v>35</v>
      </c>
      <c r="F714" t="s">
        <v>57</v>
      </c>
      <c r="G714">
        <v>42.936554000000001</v>
      </c>
      <c r="H714">
        <v>-72.271019999999993</v>
      </c>
      <c r="I714">
        <v>488</v>
      </c>
      <c r="J714">
        <v>0</v>
      </c>
      <c r="K714">
        <v>0</v>
      </c>
      <c r="L714" s="1">
        <v>44784.236840277779</v>
      </c>
      <c r="M714">
        <v>4.5</v>
      </c>
      <c r="N714">
        <v>4.2</v>
      </c>
      <c r="O714">
        <v>0.3</v>
      </c>
      <c r="P714">
        <v>7</v>
      </c>
      <c r="Q714">
        <v>0.9</v>
      </c>
      <c r="R714">
        <v>0.9</v>
      </c>
      <c r="S714">
        <v>0.9</v>
      </c>
      <c r="T714" t="s">
        <v>33</v>
      </c>
      <c r="U714">
        <v>4.3499999999999996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 t="s">
        <v>38</v>
      </c>
    </row>
    <row r="715" spans="1:30" x14ac:dyDescent="0.25">
      <c r="A715" s="1">
        <v>44784.236909722225</v>
      </c>
      <c r="B715" s="1">
        <v>44612.080023148148</v>
      </c>
      <c r="C715">
        <v>25985</v>
      </c>
      <c r="D715" t="s">
        <v>59</v>
      </c>
      <c r="E715" t="s">
        <v>35</v>
      </c>
      <c r="F715">
        <v>6.01</v>
      </c>
      <c r="G715">
        <v>42.927326000000001</v>
      </c>
      <c r="H715">
        <v>-72.279979999999995</v>
      </c>
      <c r="I715">
        <v>477</v>
      </c>
      <c r="J715">
        <v>78</v>
      </c>
      <c r="K715">
        <v>0</v>
      </c>
      <c r="L715" s="1">
        <v>44784.236840277779</v>
      </c>
      <c r="M715">
        <v>1.1000000000000001</v>
      </c>
      <c r="N715">
        <v>1</v>
      </c>
      <c r="O715">
        <v>0.1</v>
      </c>
      <c r="P715">
        <v>10</v>
      </c>
      <c r="Q715">
        <v>0</v>
      </c>
      <c r="R715">
        <v>0</v>
      </c>
      <c r="S715">
        <v>0</v>
      </c>
      <c r="T715" t="s">
        <v>32</v>
      </c>
      <c r="V715">
        <v>22</v>
      </c>
      <c r="W715">
        <v>0</v>
      </c>
      <c r="X715">
        <v>22</v>
      </c>
      <c r="Y715">
        <v>0</v>
      </c>
      <c r="Z715">
        <v>0</v>
      </c>
      <c r="AA715">
        <v>0</v>
      </c>
      <c r="AB715" t="s">
        <v>36</v>
      </c>
      <c r="AC715">
        <v>22</v>
      </c>
    </row>
    <row r="716" spans="1:30" x14ac:dyDescent="0.25">
      <c r="A716" s="1">
        <v>44784.243796296294</v>
      </c>
      <c r="B716" s="1">
        <v>44775.701319444444</v>
      </c>
      <c r="C716">
        <v>151708</v>
      </c>
      <c r="D716" t="s">
        <v>30</v>
      </c>
      <c r="E716" t="s">
        <v>31</v>
      </c>
      <c r="F716">
        <v>7</v>
      </c>
      <c r="G716">
        <v>43.192042999999998</v>
      </c>
      <c r="H716">
        <v>-71.541579999999996</v>
      </c>
      <c r="I716">
        <v>291</v>
      </c>
      <c r="J716">
        <v>93</v>
      </c>
      <c r="K716">
        <v>94</v>
      </c>
      <c r="L716" s="1">
        <v>44784.243773148148</v>
      </c>
      <c r="M716">
        <v>7.9</v>
      </c>
      <c r="N716">
        <v>7.6</v>
      </c>
      <c r="O716">
        <v>0.3</v>
      </c>
      <c r="P716">
        <v>4</v>
      </c>
      <c r="Q716">
        <v>0</v>
      </c>
      <c r="R716">
        <v>0</v>
      </c>
      <c r="S716">
        <v>0</v>
      </c>
      <c r="T716" t="s">
        <v>32</v>
      </c>
      <c r="V716">
        <v>42</v>
      </c>
      <c r="W716">
        <v>41</v>
      </c>
      <c r="X716">
        <v>1</v>
      </c>
      <c r="Y716">
        <v>0</v>
      </c>
      <c r="Z716">
        <v>0</v>
      </c>
      <c r="AA716">
        <v>0</v>
      </c>
      <c r="AB716" t="s">
        <v>33</v>
      </c>
      <c r="AC716">
        <v>41.5</v>
      </c>
    </row>
    <row r="717" spans="1:30" x14ac:dyDescent="0.25">
      <c r="A717" s="1">
        <v>44784.243796296294</v>
      </c>
      <c r="B717" s="1">
        <v>44784.242094907408</v>
      </c>
      <c r="C717">
        <v>143456</v>
      </c>
      <c r="D717" t="s">
        <v>34</v>
      </c>
      <c r="E717" t="s">
        <v>35</v>
      </c>
      <c r="F717">
        <v>7</v>
      </c>
      <c r="G717">
        <v>43.08963</v>
      </c>
      <c r="H717">
        <v>-71.502440000000007</v>
      </c>
      <c r="I717">
        <v>619</v>
      </c>
      <c r="J717">
        <v>68</v>
      </c>
      <c r="K717">
        <v>0</v>
      </c>
      <c r="L717" s="1">
        <v>44784.243773148148</v>
      </c>
      <c r="M717">
        <v>3.2</v>
      </c>
      <c r="N717">
        <v>3.6</v>
      </c>
      <c r="O717">
        <v>0.4</v>
      </c>
      <c r="P717">
        <v>12</v>
      </c>
      <c r="Q717">
        <v>0.1</v>
      </c>
      <c r="R717">
        <v>0</v>
      </c>
      <c r="S717">
        <v>0.05</v>
      </c>
      <c r="T717" t="s">
        <v>33</v>
      </c>
      <c r="U717">
        <v>3.4</v>
      </c>
      <c r="V717">
        <v>73</v>
      </c>
      <c r="W717">
        <v>0</v>
      </c>
      <c r="X717">
        <v>73</v>
      </c>
      <c r="Y717">
        <v>1</v>
      </c>
      <c r="Z717">
        <v>0</v>
      </c>
      <c r="AA717">
        <v>1</v>
      </c>
      <c r="AB717" t="s">
        <v>36</v>
      </c>
      <c r="AC717">
        <v>73</v>
      </c>
      <c r="AD717">
        <v>-0.88</v>
      </c>
    </row>
    <row r="718" spans="1:30" x14ac:dyDescent="0.25">
      <c r="A718" s="1">
        <v>44784.243796296294</v>
      </c>
      <c r="B718" s="1">
        <v>44784.243668981479</v>
      </c>
      <c r="C718">
        <v>151702</v>
      </c>
      <c r="D718" t="s">
        <v>37</v>
      </c>
      <c r="E718" t="s">
        <v>31</v>
      </c>
      <c r="F718">
        <v>7</v>
      </c>
      <c r="G718">
        <v>43.118609999999997</v>
      </c>
      <c r="H718">
        <v>-71.61618</v>
      </c>
      <c r="I718">
        <v>885</v>
      </c>
      <c r="J718">
        <v>0</v>
      </c>
      <c r="K718">
        <v>0</v>
      </c>
      <c r="L718" s="1">
        <v>44784.243773148148</v>
      </c>
      <c r="M718">
        <v>4.3</v>
      </c>
      <c r="N718">
        <v>4</v>
      </c>
      <c r="O718">
        <v>0.3</v>
      </c>
      <c r="P718">
        <v>7</v>
      </c>
      <c r="Q718">
        <v>0.1</v>
      </c>
      <c r="R718">
        <v>0.1</v>
      </c>
      <c r="S718">
        <v>0.1</v>
      </c>
      <c r="T718" t="s">
        <v>33</v>
      </c>
      <c r="U718">
        <v>4.1500000000000004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 t="s">
        <v>38</v>
      </c>
    </row>
    <row r="719" spans="1:30" x14ac:dyDescent="0.25">
      <c r="A719" s="1">
        <v>44784.243807870371</v>
      </c>
      <c r="B719" s="1">
        <v>44784.24355324074</v>
      </c>
      <c r="C719">
        <v>151700</v>
      </c>
      <c r="D719" t="s">
        <v>30</v>
      </c>
      <c r="E719" t="s">
        <v>31</v>
      </c>
      <c r="F719">
        <v>7</v>
      </c>
      <c r="G719">
        <v>43.19211</v>
      </c>
      <c r="H719">
        <v>-71.541460000000001</v>
      </c>
      <c r="I719">
        <v>286</v>
      </c>
      <c r="J719">
        <v>71</v>
      </c>
      <c r="K719">
        <v>0</v>
      </c>
      <c r="L719" s="1">
        <v>44784.243773148148</v>
      </c>
      <c r="M719">
        <v>3.1</v>
      </c>
      <c r="N719">
        <v>3.6</v>
      </c>
      <c r="O719">
        <v>0.5</v>
      </c>
      <c r="P719">
        <v>15</v>
      </c>
      <c r="Q719">
        <v>0</v>
      </c>
      <c r="R719">
        <v>0.2</v>
      </c>
      <c r="S719">
        <v>0.1</v>
      </c>
      <c r="T719" t="s">
        <v>33</v>
      </c>
      <c r="U719">
        <v>3.35</v>
      </c>
      <c r="V719">
        <v>68</v>
      </c>
      <c r="W719">
        <v>0</v>
      </c>
      <c r="X719">
        <v>68</v>
      </c>
      <c r="Y719">
        <v>0</v>
      </c>
      <c r="Z719">
        <v>0</v>
      </c>
      <c r="AA719">
        <v>0</v>
      </c>
      <c r="AB719" t="s">
        <v>36</v>
      </c>
      <c r="AC719">
        <v>68</v>
      </c>
      <c r="AD719">
        <v>-0.56000000000000005</v>
      </c>
    </row>
    <row r="720" spans="1:30" x14ac:dyDescent="0.25">
      <c r="A720" s="1">
        <v>44784.243807870371</v>
      </c>
      <c r="B720" s="1">
        <v>44784.242581018516</v>
      </c>
      <c r="C720">
        <v>135984</v>
      </c>
      <c r="D720" t="s">
        <v>39</v>
      </c>
      <c r="E720" t="s">
        <v>31</v>
      </c>
      <c r="F720">
        <v>7</v>
      </c>
      <c r="G720">
        <v>43.565852999999997</v>
      </c>
      <c r="H720">
        <v>-71.496129999999994</v>
      </c>
      <c r="I720">
        <v>708</v>
      </c>
      <c r="J720">
        <v>68</v>
      </c>
      <c r="K720">
        <v>0</v>
      </c>
      <c r="L720" s="1">
        <v>44784.243773148148</v>
      </c>
      <c r="M720">
        <v>5.2</v>
      </c>
      <c r="N720">
        <v>4.4000000000000004</v>
      </c>
      <c r="O720">
        <v>0.8</v>
      </c>
      <c r="P720">
        <v>17</v>
      </c>
      <c r="Q720">
        <v>0</v>
      </c>
      <c r="R720">
        <v>0.2</v>
      </c>
      <c r="S720">
        <v>0.1</v>
      </c>
      <c r="T720" t="s">
        <v>33</v>
      </c>
      <c r="U720">
        <v>4.8</v>
      </c>
      <c r="V720">
        <v>92</v>
      </c>
      <c r="W720">
        <v>0</v>
      </c>
      <c r="X720">
        <v>92</v>
      </c>
      <c r="Y720">
        <v>1</v>
      </c>
      <c r="Z720">
        <v>0</v>
      </c>
      <c r="AA720">
        <v>1</v>
      </c>
      <c r="AB720" t="s">
        <v>36</v>
      </c>
      <c r="AC720">
        <v>92</v>
      </c>
      <c r="AD720">
        <v>-1.35</v>
      </c>
    </row>
    <row r="721" spans="1:30" x14ac:dyDescent="0.25">
      <c r="A721" s="1">
        <v>44784.243807870371</v>
      </c>
      <c r="B721" s="1">
        <v>44780.394780092596</v>
      </c>
      <c r="C721">
        <v>151712</v>
      </c>
      <c r="D721" t="s">
        <v>40</v>
      </c>
      <c r="E721" t="s">
        <v>31</v>
      </c>
      <c r="F721">
        <v>7</v>
      </c>
      <c r="G721">
        <v>43.289763999999998</v>
      </c>
      <c r="H721">
        <v>-71.564260000000004</v>
      </c>
      <c r="I721">
        <v>370</v>
      </c>
      <c r="J721">
        <v>86</v>
      </c>
      <c r="K721">
        <v>0</v>
      </c>
      <c r="L721" s="1">
        <v>44784.243773148148</v>
      </c>
      <c r="M721">
        <v>14</v>
      </c>
      <c r="N721">
        <v>13.2</v>
      </c>
      <c r="O721">
        <v>0.8</v>
      </c>
      <c r="P721">
        <v>6</v>
      </c>
      <c r="Q721">
        <v>0</v>
      </c>
      <c r="R721">
        <v>0</v>
      </c>
      <c r="S721">
        <v>0</v>
      </c>
      <c r="T721" t="s">
        <v>32</v>
      </c>
      <c r="V721">
        <v>59</v>
      </c>
      <c r="W721">
        <v>0</v>
      </c>
      <c r="X721">
        <v>59</v>
      </c>
      <c r="Y721">
        <v>0</v>
      </c>
      <c r="Z721">
        <v>0</v>
      </c>
      <c r="AA721">
        <v>0</v>
      </c>
      <c r="AB721" t="s">
        <v>36</v>
      </c>
      <c r="AC721">
        <v>59</v>
      </c>
    </row>
    <row r="722" spans="1:30" x14ac:dyDescent="0.25">
      <c r="A722" s="1">
        <v>44784.243807870371</v>
      </c>
      <c r="B722" s="1">
        <v>44784.243263888886</v>
      </c>
      <c r="C722">
        <v>151710</v>
      </c>
      <c r="D722" t="s">
        <v>41</v>
      </c>
      <c r="E722" t="s">
        <v>31</v>
      </c>
      <c r="F722">
        <v>7</v>
      </c>
      <c r="G722">
        <v>43.132477000000002</v>
      </c>
      <c r="H722">
        <v>-71.458374000000006</v>
      </c>
      <c r="I722">
        <v>230</v>
      </c>
      <c r="J722">
        <v>69</v>
      </c>
      <c r="K722">
        <v>0</v>
      </c>
      <c r="L722" s="1">
        <v>44784.243773148148</v>
      </c>
      <c r="M722">
        <v>6.5</v>
      </c>
      <c r="N722">
        <v>4.9000000000000004</v>
      </c>
      <c r="O722">
        <v>1.6</v>
      </c>
      <c r="P722">
        <v>28</v>
      </c>
      <c r="Q722">
        <v>0.2</v>
      </c>
      <c r="R722">
        <v>0.2</v>
      </c>
      <c r="S722">
        <v>0.2</v>
      </c>
      <c r="T722" t="s">
        <v>33</v>
      </c>
      <c r="U722">
        <v>5.7</v>
      </c>
      <c r="V722">
        <v>70</v>
      </c>
      <c r="W722">
        <v>0</v>
      </c>
      <c r="X722">
        <v>70</v>
      </c>
      <c r="Y722">
        <v>0</v>
      </c>
      <c r="Z722">
        <v>0</v>
      </c>
      <c r="AA722">
        <v>0</v>
      </c>
      <c r="AB722" t="s">
        <v>36</v>
      </c>
      <c r="AC722">
        <v>70</v>
      </c>
      <c r="AD722">
        <v>0.74</v>
      </c>
    </row>
    <row r="723" spans="1:30" x14ac:dyDescent="0.25">
      <c r="A723" s="1">
        <v>44784.243819444448</v>
      </c>
      <c r="B723" s="1">
        <v>44784.242951388886</v>
      </c>
      <c r="C723">
        <v>151706</v>
      </c>
      <c r="D723" t="s">
        <v>42</v>
      </c>
      <c r="E723" t="s">
        <v>31</v>
      </c>
      <c r="F723">
        <v>7</v>
      </c>
      <c r="G723">
        <v>43.004080000000002</v>
      </c>
      <c r="H723">
        <v>-71.177040000000005</v>
      </c>
      <c r="I723">
        <v>194</v>
      </c>
      <c r="J723">
        <v>68</v>
      </c>
      <c r="K723">
        <v>0</v>
      </c>
      <c r="L723" s="1">
        <v>44784.243773148148</v>
      </c>
      <c r="M723">
        <v>2.9</v>
      </c>
      <c r="N723">
        <v>0</v>
      </c>
      <c r="O723">
        <v>2.9</v>
      </c>
      <c r="P723">
        <v>200</v>
      </c>
      <c r="Q723">
        <v>0.1</v>
      </c>
      <c r="R723">
        <v>0</v>
      </c>
      <c r="S723">
        <v>0.05</v>
      </c>
      <c r="T723" t="s">
        <v>43</v>
      </c>
      <c r="V723">
        <v>71</v>
      </c>
      <c r="W723">
        <v>0</v>
      </c>
      <c r="X723">
        <v>71</v>
      </c>
      <c r="Y723">
        <v>0</v>
      </c>
      <c r="Z723">
        <v>0</v>
      </c>
      <c r="AA723">
        <v>0</v>
      </c>
      <c r="AB723" t="s">
        <v>36</v>
      </c>
      <c r="AC723">
        <v>71</v>
      </c>
    </row>
    <row r="724" spans="1:30" x14ac:dyDescent="0.25">
      <c r="A724" s="1">
        <v>44784.243819444448</v>
      </c>
      <c r="B724" s="1">
        <v>44784.242673611108</v>
      </c>
      <c r="C724">
        <v>12212</v>
      </c>
      <c r="D724" t="s">
        <v>44</v>
      </c>
      <c r="E724" t="s">
        <v>35</v>
      </c>
      <c r="F724">
        <v>7</v>
      </c>
      <c r="G724">
        <v>42.930529999999997</v>
      </c>
      <c r="H724">
        <v>-72.272350000000003</v>
      </c>
      <c r="I724">
        <v>476</v>
      </c>
      <c r="J724">
        <v>75</v>
      </c>
      <c r="K724">
        <v>0</v>
      </c>
      <c r="L724" s="1">
        <v>44784.243773148148</v>
      </c>
      <c r="M724">
        <v>4.9000000000000004</v>
      </c>
      <c r="N724">
        <v>4.2</v>
      </c>
      <c r="O724">
        <v>0.7</v>
      </c>
      <c r="P724">
        <v>15</v>
      </c>
      <c r="Q724">
        <v>0</v>
      </c>
      <c r="R724">
        <v>0.1</v>
      </c>
      <c r="S724">
        <v>0.05</v>
      </c>
      <c r="T724" t="s">
        <v>33</v>
      </c>
      <c r="U724">
        <v>4.55</v>
      </c>
      <c r="V724">
        <v>87</v>
      </c>
      <c r="W724">
        <v>0</v>
      </c>
      <c r="X724">
        <v>87</v>
      </c>
      <c r="Y724">
        <v>1</v>
      </c>
      <c r="Z724">
        <v>0</v>
      </c>
      <c r="AA724">
        <v>1</v>
      </c>
      <c r="AB724" t="s">
        <v>36</v>
      </c>
      <c r="AC724">
        <v>87</v>
      </c>
      <c r="AD724">
        <v>-1.1499999999999999</v>
      </c>
    </row>
    <row r="725" spans="1:30" x14ac:dyDescent="0.25">
      <c r="A725" s="1">
        <v>44784.243819444448</v>
      </c>
      <c r="B725" s="1">
        <v>44769.376736111109</v>
      </c>
      <c r="C725">
        <v>12178</v>
      </c>
      <c r="D725" t="s">
        <v>45</v>
      </c>
      <c r="E725" t="s">
        <v>35</v>
      </c>
      <c r="F725">
        <v>7</v>
      </c>
      <c r="G725">
        <v>42.899563000000001</v>
      </c>
      <c r="H725">
        <v>-71.464650000000006</v>
      </c>
      <c r="I725">
        <v>301</v>
      </c>
      <c r="J725">
        <v>85</v>
      </c>
      <c r="K725">
        <v>0</v>
      </c>
      <c r="L725" s="1">
        <v>44784.243773148148</v>
      </c>
      <c r="M725">
        <v>3.8</v>
      </c>
      <c r="N725">
        <v>3.1</v>
      </c>
      <c r="O725">
        <v>0.7</v>
      </c>
      <c r="P725">
        <v>20</v>
      </c>
      <c r="Q725">
        <v>0</v>
      </c>
      <c r="R725">
        <v>0</v>
      </c>
      <c r="S725">
        <v>0</v>
      </c>
      <c r="T725" t="s">
        <v>32</v>
      </c>
      <c r="V725">
        <v>35</v>
      </c>
      <c r="W725">
        <v>0</v>
      </c>
      <c r="X725">
        <v>35</v>
      </c>
      <c r="Y725">
        <v>0</v>
      </c>
      <c r="Z725">
        <v>0</v>
      </c>
      <c r="AA725">
        <v>0</v>
      </c>
      <c r="AB725" t="s">
        <v>36</v>
      </c>
      <c r="AC725">
        <v>35</v>
      </c>
    </row>
    <row r="726" spans="1:30" x14ac:dyDescent="0.25">
      <c r="A726" s="1">
        <v>44784.243819444448</v>
      </c>
      <c r="B726" s="1">
        <v>44784.243391203701</v>
      </c>
      <c r="C726">
        <v>75981</v>
      </c>
      <c r="D726" t="s">
        <v>46</v>
      </c>
      <c r="E726" t="s">
        <v>35</v>
      </c>
      <c r="F726">
        <v>7</v>
      </c>
      <c r="G726">
        <v>42.97</v>
      </c>
      <c r="H726">
        <v>-71.06</v>
      </c>
      <c r="I726">
        <v>136</v>
      </c>
      <c r="J726">
        <v>73</v>
      </c>
      <c r="K726">
        <v>0</v>
      </c>
      <c r="L726" s="1">
        <v>44784.243773148148</v>
      </c>
      <c r="M726">
        <v>4.2</v>
      </c>
      <c r="N726">
        <v>4</v>
      </c>
      <c r="O726">
        <v>0.2</v>
      </c>
      <c r="P726">
        <v>5</v>
      </c>
      <c r="Q726">
        <v>0.1</v>
      </c>
      <c r="R726">
        <v>0.1</v>
      </c>
      <c r="S726">
        <v>0.1</v>
      </c>
      <c r="T726" t="s">
        <v>33</v>
      </c>
      <c r="U726">
        <v>4.0999999999999996</v>
      </c>
      <c r="V726">
        <v>63</v>
      </c>
      <c r="W726">
        <v>0</v>
      </c>
      <c r="X726">
        <v>63</v>
      </c>
      <c r="Y726">
        <v>1</v>
      </c>
      <c r="Z726">
        <v>0</v>
      </c>
      <c r="AA726">
        <v>1</v>
      </c>
      <c r="AB726" t="s">
        <v>36</v>
      </c>
      <c r="AC726">
        <v>63</v>
      </c>
      <c r="AD726">
        <v>0.25</v>
      </c>
    </row>
    <row r="727" spans="1:30" x14ac:dyDescent="0.25">
      <c r="A727" s="1">
        <v>44784.243831018517</v>
      </c>
      <c r="B727" s="1">
        <v>44784.242534722223</v>
      </c>
      <c r="C727">
        <v>115703</v>
      </c>
      <c r="D727" t="s">
        <v>47</v>
      </c>
      <c r="E727" t="s">
        <v>35</v>
      </c>
      <c r="F727">
        <v>7</v>
      </c>
      <c r="G727">
        <v>43.953625000000002</v>
      </c>
      <c r="H727">
        <v>-71.508859999999999</v>
      </c>
      <c r="I727">
        <v>1493</v>
      </c>
      <c r="J727">
        <v>62</v>
      </c>
      <c r="K727">
        <v>0</v>
      </c>
      <c r="L727" s="1">
        <v>44784.243773148148</v>
      </c>
      <c r="M727">
        <v>0</v>
      </c>
      <c r="N727">
        <v>300.89999999999998</v>
      </c>
      <c r="O727">
        <v>300.89999999999998</v>
      </c>
      <c r="P727">
        <v>200</v>
      </c>
      <c r="Q727">
        <v>0</v>
      </c>
      <c r="R727">
        <v>0</v>
      </c>
      <c r="S727">
        <v>0</v>
      </c>
      <c r="T727" t="s">
        <v>48</v>
      </c>
      <c r="V727">
        <v>68</v>
      </c>
      <c r="W727">
        <v>0</v>
      </c>
      <c r="X727">
        <v>68</v>
      </c>
      <c r="Y727">
        <v>0</v>
      </c>
      <c r="Z727">
        <v>0</v>
      </c>
      <c r="AA727">
        <v>0</v>
      </c>
      <c r="AB727" t="s">
        <v>36</v>
      </c>
      <c r="AC727">
        <v>68</v>
      </c>
    </row>
    <row r="728" spans="1:30" x14ac:dyDescent="0.25">
      <c r="A728" s="1">
        <v>44784.243831018517</v>
      </c>
      <c r="B728" s="1">
        <v>44784.243333333332</v>
      </c>
      <c r="C728">
        <v>12050</v>
      </c>
      <c r="D728" t="s">
        <v>49</v>
      </c>
      <c r="E728" t="s">
        <v>35</v>
      </c>
      <c r="F728">
        <v>7</v>
      </c>
      <c r="G728">
        <v>44.220573000000002</v>
      </c>
      <c r="H728">
        <v>-71.732315</v>
      </c>
      <c r="I728">
        <v>999</v>
      </c>
      <c r="J728">
        <v>68</v>
      </c>
      <c r="K728">
        <v>0</v>
      </c>
      <c r="L728" s="1">
        <v>44784.243773148148</v>
      </c>
      <c r="M728">
        <v>2.9</v>
      </c>
      <c r="N728">
        <v>2.9</v>
      </c>
      <c r="O728">
        <v>0</v>
      </c>
      <c r="P728">
        <v>0</v>
      </c>
      <c r="Q728">
        <v>0</v>
      </c>
      <c r="R728">
        <v>0.1</v>
      </c>
      <c r="S728">
        <v>0.05</v>
      </c>
      <c r="T728" t="s">
        <v>33</v>
      </c>
      <c r="U728">
        <v>2.9</v>
      </c>
      <c r="V728">
        <v>58</v>
      </c>
      <c r="W728">
        <v>0</v>
      </c>
      <c r="X728">
        <v>58</v>
      </c>
      <c r="Y728">
        <v>0</v>
      </c>
      <c r="Z728">
        <v>0</v>
      </c>
      <c r="AA728">
        <v>0</v>
      </c>
      <c r="AB728" t="s">
        <v>36</v>
      </c>
      <c r="AC728">
        <v>58</v>
      </c>
      <c r="AD728">
        <v>-0.13</v>
      </c>
    </row>
    <row r="729" spans="1:30" x14ac:dyDescent="0.25">
      <c r="A729" s="1">
        <v>44784.243831018517</v>
      </c>
      <c r="B729" s="1">
        <v>44784.243449074071</v>
      </c>
      <c r="C729">
        <v>23443</v>
      </c>
      <c r="D729" t="s">
        <v>50</v>
      </c>
      <c r="E729" t="s">
        <v>35</v>
      </c>
      <c r="F729">
        <v>7</v>
      </c>
      <c r="G729">
        <v>43.556139999999999</v>
      </c>
      <c r="H729">
        <v>-72.370990000000006</v>
      </c>
      <c r="I729">
        <v>523</v>
      </c>
      <c r="J729">
        <v>68</v>
      </c>
      <c r="K729">
        <v>0</v>
      </c>
      <c r="L729" s="1">
        <v>44784.243773148148</v>
      </c>
      <c r="M729">
        <v>4.3</v>
      </c>
      <c r="N729">
        <v>3.5</v>
      </c>
      <c r="O729">
        <v>0.8</v>
      </c>
      <c r="P729">
        <v>21</v>
      </c>
      <c r="Q729">
        <v>0</v>
      </c>
      <c r="R729">
        <v>0.1</v>
      </c>
      <c r="S729">
        <v>0.05</v>
      </c>
      <c r="T729" t="s">
        <v>33</v>
      </c>
      <c r="U729">
        <v>3.9</v>
      </c>
      <c r="V729">
        <v>66</v>
      </c>
      <c r="W729">
        <v>0</v>
      </c>
      <c r="X729">
        <v>66</v>
      </c>
      <c r="Y729">
        <v>1</v>
      </c>
      <c r="Z729">
        <v>0</v>
      </c>
      <c r="AA729">
        <v>1</v>
      </c>
      <c r="AB729" t="s">
        <v>36</v>
      </c>
      <c r="AC729">
        <v>66</v>
      </c>
      <c r="AD729">
        <v>-0.08</v>
      </c>
    </row>
    <row r="730" spans="1:30" x14ac:dyDescent="0.25">
      <c r="A730" s="1">
        <v>44784.243831018517</v>
      </c>
      <c r="B730" s="1">
        <v>44784.243530092594</v>
      </c>
      <c r="C730">
        <v>58135</v>
      </c>
      <c r="D730" t="s">
        <v>51</v>
      </c>
      <c r="E730" t="s">
        <v>35</v>
      </c>
      <c r="F730">
        <v>7</v>
      </c>
      <c r="G730">
        <v>42.883873000000001</v>
      </c>
      <c r="H730">
        <v>-71.972915999999998</v>
      </c>
      <c r="I730">
        <v>808</v>
      </c>
      <c r="J730">
        <v>69</v>
      </c>
      <c r="K730">
        <v>0</v>
      </c>
      <c r="L730" s="1">
        <v>44784.243773148148</v>
      </c>
      <c r="M730">
        <v>9.6</v>
      </c>
      <c r="N730">
        <v>6.2</v>
      </c>
      <c r="O730">
        <v>3.4</v>
      </c>
      <c r="P730">
        <v>43</v>
      </c>
      <c r="Q730">
        <v>0.1</v>
      </c>
      <c r="R730">
        <v>0.1</v>
      </c>
      <c r="S730">
        <v>0.1</v>
      </c>
      <c r="T730" t="s">
        <v>33</v>
      </c>
      <c r="U730">
        <v>7.9</v>
      </c>
      <c r="V730">
        <v>73</v>
      </c>
      <c r="W730">
        <v>0</v>
      </c>
      <c r="X730">
        <v>73</v>
      </c>
      <c r="Y730">
        <v>0</v>
      </c>
      <c r="Z730">
        <v>0</v>
      </c>
      <c r="AA730">
        <v>0</v>
      </c>
      <c r="AB730" t="s">
        <v>36</v>
      </c>
      <c r="AC730">
        <v>73</v>
      </c>
      <c r="AD730">
        <v>1.87</v>
      </c>
    </row>
    <row r="731" spans="1:30" x14ac:dyDescent="0.25">
      <c r="A731" s="1">
        <v>44784.243842592594</v>
      </c>
      <c r="B731" s="1">
        <v>44784.242199074077</v>
      </c>
      <c r="C731">
        <v>148555</v>
      </c>
      <c r="D731" t="s">
        <v>52</v>
      </c>
      <c r="E731" t="s">
        <v>53</v>
      </c>
      <c r="F731">
        <v>7</v>
      </c>
      <c r="G731">
        <v>42.904949999999999</v>
      </c>
      <c r="H731">
        <v>-71.386764999999997</v>
      </c>
      <c r="I731">
        <v>363</v>
      </c>
      <c r="J731">
        <v>0</v>
      </c>
      <c r="K731">
        <v>0</v>
      </c>
      <c r="L731" s="1">
        <v>44784.243773148148</v>
      </c>
      <c r="M731">
        <v>2.2999999999999998</v>
      </c>
      <c r="N731">
        <v>3.1</v>
      </c>
      <c r="O731">
        <v>0.8</v>
      </c>
      <c r="P731">
        <v>30</v>
      </c>
      <c r="Q731">
        <v>0</v>
      </c>
      <c r="R731">
        <v>0</v>
      </c>
      <c r="S731">
        <v>0</v>
      </c>
      <c r="T731" t="s">
        <v>33</v>
      </c>
      <c r="U731">
        <v>2.7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 t="s">
        <v>38</v>
      </c>
    </row>
    <row r="732" spans="1:30" x14ac:dyDescent="0.25">
      <c r="A732" s="1">
        <v>44784.243842592594</v>
      </c>
      <c r="B732" s="1">
        <v>44784.243125000001</v>
      </c>
      <c r="C732">
        <v>146644</v>
      </c>
      <c r="D732" t="s">
        <v>54</v>
      </c>
      <c r="E732" t="s">
        <v>53</v>
      </c>
      <c r="F732">
        <v>7</v>
      </c>
      <c r="G732">
        <v>43.06015</v>
      </c>
      <c r="H732">
        <v>-70.758930000000007</v>
      </c>
      <c r="I732">
        <v>35</v>
      </c>
      <c r="J732">
        <v>69</v>
      </c>
      <c r="K732">
        <v>71</v>
      </c>
      <c r="L732" s="1">
        <v>44784.243773148148</v>
      </c>
      <c r="M732">
        <v>5.7</v>
      </c>
      <c r="N732">
        <v>4.7</v>
      </c>
      <c r="O732">
        <v>1</v>
      </c>
      <c r="P732">
        <v>19</v>
      </c>
      <c r="Q732">
        <v>0</v>
      </c>
      <c r="R732">
        <v>0</v>
      </c>
      <c r="S732">
        <v>0</v>
      </c>
      <c r="T732" t="s">
        <v>33</v>
      </c>
      <c r="U732">
        <v>5.2</v>
      </c>
      <c r="V732">
        <v>69</v>
      </c>
      <c r="W732">
        <v>73</v>
      </c>
      <c r="X732">
        <v>4</v>
      </c>
      <c r="Y732">
        <v>0</v>
      </c>
      <c r="Z732">
        <v>0</v>
      </c>
      <c r="AA732">
        <v>0</v>
      </c>
      <c r="AB732" t="s">
        <v>33</v>
      </c>
      <c r="AC732">
        <v>71</v>
      </c>
      <c r="AD732">
        <v>0.36</v>
      </c>
    </row>
    <row r="733" spans="1:30" x14ac:dyDescent="0.25">
      <c r="A733" s="1">
        <v>44784.243842592594</v>
      </c>
      <c r="B733" s="1">
        <v>43755.283437500002</v>
      </c>
      <c r="C733">
        <v>12188</v>
      </c>
      <c r="D733" t="s">
        <v>55</v>
      </c>
      <c r="E733" t="s">
        <v>35</v>
      </c>
      <c r="F733">
        <v>4.1100000000000003</v>
      </c>
      <c r="G733">
        <v>42.927050000000001</v>
      </c>
      <c r="H733">
        <v>-72.279610000000005</v>
      </c>
      <c r="I733">
        <v>475</v>
      </c>
      <c r="J733">
        <v>95</v>
      </c>
      <c r="K733">
        <v>0</v>
      </c>
      <c r="L733" s="1">
        <v>44784.243773148148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 t="s">
        <v>32</v>
      </c>
      <c r="V733">
        <v>77</v>
      </c>
      <c r="W733">
        <v>0</v>
      </c>
      <c r="X733">
        <v>77</v>
      </c>
      <c r="Y733">
        <v>0</v>
      </c>
      <c r="Z733">
        <v>0</v>
      </c>
      <c r="AA733">
        <v>0</v>
      </c>
      <c r="AB733" t="s">
        <v>36</v>
      </c>
      <c r="AC733">
        <v>77</v>
      </c>
    </row>
    <row r="734" spans="1:30" x14ac:dyDescent="0.25">
      <c r="A734" s="1">
        <v>44784.243842592594</v>
      </c>
      <c r="B734" s="1">
        <v>44784.243437500001</v>
      </c>
      <c r="C734">
        <v>1224</v>
      </c>
      <c r="D734" t="s">
        <v>56</v>
      </c>
      <c r="E734" t="s">
        <v>35</v>
      </c>
      <c r="F734" t="s">
        <v>57</v>
      </c>
      <c r="G734">
        <v>42.938034000000002</v>
      </c>
      <c r="H734">
        <v>-72.259299999999996</v>
      </c>
      <c r="I734">
        <v>792</v>
      </c>
      <c r="J734">
        <v>75</v>
      </c>
      <c r="K734">
        <v>0</v>
      </c>
      <c r="L734" s="1">
        <v>44784.243773148148</v>
      </c>
      <c r="M734">
        <v>4.0999999999999996</v>
      </c>
      <c r="N734">
        <v>0</v>
      </c>
      <c r="O734">
        <v>4.0999999999999996</v>
      </c>
      <c r="P734">
        <v>200</v>
      </c>
      <c r="Q734">
        <v>0.1</v>
      </c>
      <c r="R734">
        <v>0</v>
      </c>
      <c r="S734">
        <v>0.05</v>
      </c>
      <c r="T734" t="s">
        <v>43</v>
      </c>
      <c r="V734">
        <v>87</v>
      </c>
      <c r="W734">
        <v>0</v>
      </c>
      <c r="X734">
        <v>87</v>
      </c>
      <c r="Y734">
        <v>0</v>
      </c>
      <c r="Z734">
        <v>0</v>
      </c>
      <c r="AA734">
        <v>0</v>
      </c>
      <c r="AB734" t="s">
        <v>36</v>
      </c>
      <c r="AC734">
        <v>87</v>
      </c>
    </row>
    <row r="735" spans="1:30" x14ac:dyDescent="0.25">
      <c r="A735" s="1">
        <v>44784.243854166663</v>
      </c>
      <c r="B735" s="1">
        <v>44784.242881944447</v>
      </c>
      <c r="C735">
        <v>1202</v>
      </c>
      <c r="D735" t="s">
        <v>58</v>
      </c>
      <c r="E735" t="s">
        <v>35</v>
      </c>
      <c r="F735" t="s">
        <v>57</v>
      </c>
      <c r="G735">
        <v>42.936554000000001</v>
      </c>
      <c r="H735">
        <v>-72.271019999999993</v>
      </c>
      <c r="I735">
        <v>488</v>
      </c>
      <c r="J735">
        <v>0</v>
      </c>
      <c r="K735">
        <v>0</v>
      </c>
      <c r="L735" s="1">
        <v>44784.243773148148</v>
      </c>
      <c r="M735">
        <v>4.3</v>
      </c>
      <c r="N735">
        <v>4.0999999999999996</v>
      </c>
      <c r="O735">
        <v>0.2</v>
      </c>
      <c r="P735">
        <v>5</v>
      </c>
      <c r="Q735">
        <v>0.2</v>
      </c>
      <c r="R735">
        <v>0.1</v>
      </c>
      <c r="S735">
        <v>0.15</v>
      </c>
      <c r="T735" t="s">
        <v>33</v>
      </c>
      <c r="U735">
        <v>4.2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 t="s">
        <v>38</v>
      </c>
    </row>
    <row r="736" spans="1:30" x14ac:dyDescent="0.25">
      <c r="A736" s="1">
        <v>44784.243854166663</v>
      </c>
      <c r="B736" s="1">
        <v>44612.080023148148</v>
      </c>
      <c r="C736">
        <v>25985</v>
      </c>
      <c r="D736" t="s">
        <v>59</v>
      </c>
      <c r="E736" t="s">
        <v>35</v>
      </c>
      <c r="F736">
        <v>6.01</v>
      </c>
      <c r="G736">
        <v>42.927326000000001</v>
      </c>
      <c r="H736">
        <v>-72.279979999999995</v>
      </c>
      <c r="I736">
        <v>477</v>
      </c>
      <c r="J736">
        <v>78</v>
      </c>
      <c r="K736">
        <v>0</v>
      </c>
      <c r="L736" s="1">
        <v>44784.243773148148</v>
      </c>
      <c r="M736">
        <v>1.1000000000000001</v>
      </c>
      <c r="N736">
        <v>1</v>
      </c>
      <c r="O736">
        <v>0.1</v>
      </c>
      <c r="P736">
        <v>10</v>
      </c>
      <c r="Q736">
        <v>0</v>
      </c>
      <c r="R736">
        <v>0</v>
      </c>
      <c r="S736">
        <v>0</v>
      </c>
      <c r="T736" t="s">
        <v>32</v>
      </c>
      <c r="V736">
        <v>22</v>
      </c>
      <c r="W736">
        <v>0</v>
      </c>
      <c r="X736">
        <v>22</v>
      </c>
      <c r="Y736">
        <v>0</v>
      </c>
      <c r="Z736">
        <v>0</v>
      </c>
      <c r="AA736">
        <v>0</v>
      </c>
      <c r="AB736" t="s">
        <v>36</v>
      </c>
      <c r="AC736">
        <v>22</v>
      </c>
    </row>
    <row r="737" spans="1:30" x14ac:dyDescent="0.25">
      <c r="A737" s="1">
        <v>44784.250740740739</v>
      </c>
      <c r="B737" s="1">
        <v>44775.701319444444</v>
      </c>
      <c r="C737">
        <v>151708</v>
      </c>
      <c r="D737" t="s">
        <v>30</v>
      </c>
      <c r="E737" t="s">
        <v>31</v>
      </c>
      <c r="F737">
        <v>7</v>
      </c>
      <c r="G737">
        <v>43.192042999999998</v>
      </c>
      <c r="H737">
        <v>-71.541579999999996</v>
      </c>
      <c r="I737">
        <v>291</v>
      </c>
      <c r="J737">
        <v>93</v>
      </c>
      <c r="K737">
        <v>94</v>
      </c>
      <c r="L737" s="1">
        <v>44784.25072916667</v>
      </c>
      <c r="M737">
        <v>7.9</v>
      </c>
      <c r="N737">
        <v>7.6</v>
      </c>
      <c r="O737">
        <v>0.3</v>
      </c>
      <c r="P737">
        <v>4</v>
      </c>
      <c r="Q737">
        <v>0</v>
      </c>
      <c r="R737">
        <v>0</v>
      </c>
      <c r="S737">
        <v>0</v>
      </c>
      <c r="T737" t="s">
        <v>32</v>
      </c>
      <c r="V737">
        <v>42</v>
      </c>
      <c r="W737">
        <v>41</v>
      </c>
      <c r="X737">
        <v>1</v>
      </c>
      <c r="Y737">
        <v>0</v>
      </c>
      <c r="Z737">
        <v>0</v>
      </c>
      <c r="AA737">
        <v>0</v>
      </c>
      <c r="AB737" t="s">
        <v>33</v>
      </c>
      <c r="AC737">
        <v>41.5</v>
      </c>
    </row>
    <row r="738" spans="1:30" x14ac:dyDescent="0.25">
      <c r="A738" s="1">
        <v>44784.250752314816</v>
      </c>
      <c r="B738" s="1">
        <v>44784.250439814816</v>
      </c>
      <c r="C738">
        <v>143456</v>
      </c>
      <c r="D738" t="s">
        <v>34</v>
      </c>
      <c r="E738" t="s">
        <v>35</v>
      </c>
      <c r="F738">
        <v>7</v>
      </c>
      <c r="G738">
        <v>43.08963</v>
      </c>
      <c r="H738">
        <v>-71.502440000000007</v>
      </c>
      <c r="I738">
        <v>619</v>
      </c>
      <c r="J738">
        <v>68</v>
      </c>
      <c r="K738">
        <v>0</v>
      </c>
      <c r="L738" s="1">
        <v>44784.25072916667</v>
      </c>
      <c r="M738">
        <v>3.2</v>
      </c>
      <c r="N738">
        <v>3.6</v>
      </c>
      <c r="O738">
        <v>0.4</v>
      </c>
      <c r="P738">
        <v>12</v>
      </c>
      <c r="Q738">
        <v>0</v>
      </c>
      <c r="R738">
        <v>0</v>
      </c>
      <c r="S738">
        <v>0</v>
      </c>
      <c r="T738" t="s">
        <v>33</v>
      </c>
      <c r="U738">
        <v>3.4</v>
      </c>
      <c r="V738">
        <v>72</v>
      </c>
      <c r="W738">
        <v>0</v>
      </c>
      <c r="X738">
        <v>72</v>
      </c>
      <c r="Y738">
        <v>1</v>
      </c>
      <c r="Z738">
        <v>0</v>
      </c>
      <c r="AA738">
        <v>1</v>
      </c>
      <c r="AB738" t="s">
        <v>36</v>
      </c>
      <c r="AC738">
        <v>72</v>
      </c>
      <c r="AD738">
        <v>-0.81</v>
      </c>
    </row>
    <row r="739" spans="1:30" x14ac:dyDescent="0.25">
      <c r="A739" s="1">
        <v>44784.250752314816</v>
      </c>
      <c r="B739" s="1">
        <v>44784.250613425924</v>
      </c>
      <c r="C739">
        <v>151702</v>
      </c>
      <c r="D739" t="s">
        <v>37</v>
      </c>
      <c r="E739" t="s">
        <v>31</v>
      </c>
      <c r="F739">
        <v>7</v>
      </c>
      <c r="G739">
        <v>43.118609999999997</v>
      </c>
      <c r="H739">
        <v>-71.61618</v>
      </c>
      <c r="I739">
        <v>885</v>
      </c>
      <c r="J739">
        <v>0</v>
      </c>
      <c r="K739">
        <v>0</v>
      </c>
      <c r="L739" s="1">
        <v>44784.25072916667</v>
      </c>
      <c r="M739">
        <v>4.3</v>
      </c>
      <c r="N739">
        <v>4</v>
      </c>
      <c r="O739">
        <v>0.3</v>
      </c>
      <c r="P739">
        <v>7</v>
      </c>
      <c r="Q739">
        <v>0</v>
      </c>
      <c r="R739">
        <v>0</v>
      </c>
      <c r="S739">
        <v>0</v>
      </c>
      <c r="T739" t="s">
        <v>33</v>
      </c>
      <c r="U739">
        <v>4.1500000000000004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 t="s">
        <v>38</v>
      </c>
    </row>
    <row r="740" spans="1:30" x14ac:dyDescent="0.25">
      <c r="A740" s="1">
        <v>44784.250752314816</v>
      </c>
      <c r="B740" s="1">
        <v>44784.250497685185</v>
      </c>
      <c r="C740">
        <v>151700</v>
      </c>
      <c r="D740" t="s">
        <v>30</v>
      </c>
      <c r="E740" t="s">
        <v>31</v>
      </c>
      <c r="F740">
        <v>7</v>
      </c>
      <c r="G740">
        <v>43.19211</v>
      </c>
      <c r="H740">
        <v>-71.541460000000001</v>
      </c>
      <c r="I740">
        <v>286</v>
      </c>
      <c r="J740">
        <v>70</v>
      </c>
      <c r="K740">
        <v>0</v>
      </c>
      <c r="L740" s="1">
        <v>44784.25072916667</v>
      </c>
      <c r="M740">
        <v>3.2</v>
      </c>
      <c r="N740">
        <v>3.5</v>
      </c>
      <c r="O740">
        <v>0.3</v>
      </c>
      <c r="P740">
        <v>9</v>
      </c>
      <c r="Q740">
        <v>0.1</v>
      </c>
      <c r="R740">
        <v>0.1</v>
      </c>
      <c r="S740">
        <v>0.1</v>
      </c>
      <c r="T740" t="s">
        <v>33</v>
      </c>
      <c r="U740">
        <v>3.35</v>
      </c>
      <c r="V740">
        <v>69</v>
      </c>
      <c r="W740">
        <v>0</v>
      </c>
      <c r="X740">
        <v>69</v>
      </c>
      <c r="Y740">
        <v>1</v>
      </c>
      <c r="Z740">
        <v>0</v>
      </c>
      <c r="AA740">
        <v>1</v>
      </c>
      <c r="AB740" t="s">
        <v>36</v>
      </c>
      <c r="AC740">
        <v>69</v>
      </c>
      <c r="AD740">
        <v>-0.63</v>
      </c>
    </row>
    <row r="741" spans="1:30" x14ac:dyDescent="0.25">
      <c r="A741" s="1">
        <v>44784.250763888886</v>
      </c>
      <c r="B741" s="1">
        <v>44784.249525462961</v>
      </c>
      <c r="C741">
        <v>135984</v>
      </c>
      <c r="D741" t="s">
        <v>39</v>
      </c>
      <c r="E741" t="s">
        <v>31</v>
      </c>
      <c r="F741">
        <v>7</v>
      </c>
      <c r="G741">
        <v>43.565852999999997</v>
      </c>
      <c r="H741">
        <v>-71.496129999999994</v>
      </c>
      <c r="I741">
        <v>708</v>
      </c>
      <c r="J741">
        <v>68</v>
      </c>
      <c r="K741">
        <v>0</v>
      </c>
      <c r="L741" s="1">
        <v>44784.25072916667</v>
      </c>
      <c r="M741">
        <v>5.6</v>
      </c>
      <c r="N741">
        <v>4.8</v>
      </c>
      <c r="O741">
        <v>0.8</v>
      </c>
      <c r="P741">
        <v>15</v>
      </c>
      <c r="Q741">
        <v>0.4</v>
      </c>
      <c r="R741">
        <v>0.4</v>
      </c>
      <c r="S741">
        <v>0.4</v>
      </c>
      <c r="T741" t="s">
        <v>33</v>
      </c>
      <c r="U741">
        <v>5.2</v>
      </c>
      <c r="V741">
        <v>91</v>
      </c>
      <c r="W741">
        <v>0</v>
      </c>
      <c r="X741">
        <v>91</v>
      </c>
      <c r="Y741">
        <v>1</v>
      </c>
      <c r="Z741">
        <v>0</v>
      </c>
      <c r="AA741">
        <v>1</v>
      </c>
      <c r="AB741" t="s">
        <v>36</v>
      </c>
      <c r="AC741">
        <v>91</v>
      </c>
      <c r="AD741">
        <v>-1.04</v>
      </c>
    </row>
    <row r="742" spans="1:30" x14ac:dyDescent="0.25">
      <c r="A742" s="1">
        <v>44784.250763888886</v>
      </c>
      <c r="B742" s="1">
        <v>44780.394780092596</v>
      </c>
      <c r="C742">
        <v>151712</v>
      </c>
      <c r="D742" t="s">
        <v>40</v>
      </c>
      <c r="E742" t="s">
        <v>31</v>
      </c>
      <c r="F742">
        <v>7</v>
      </c>
      <c r="G742">
        <v>43.289763999999998</v>
      </c>
      <c r="H742">
        <v>-71.564260000000004</v>
      </c>
      <c r="I742">
        <v>370</v>
      </c>
      <c r="J742">
        <v>86</v>
      </c>
      <c r="K742">
        <v>0</v>
      </c>
      <c r="L742" s="1">
        <v>44784.25072916667</v>
      </c>
      <c r="M742">
        <v>14</v>
      </c>
      <c r="N742">
        <v>13.2</v>
      </c>
      <c r="O742">
        <v>0.8</v>
      </c>
      <c r="P742">
        <v>6</v>
      </c>
      <c r="Q742">
        <v>0</v>
      </c>
      <c r="R742">
        <v>0</v>
      </c>
      <c r="S742">
        <v>0</v>
      </c>
      <c r="T742" t="s">
        <v>32</v>
      </c>
      <c r="V742">
        <v>59</v>
      </c>
      <c r="W742">
        <v>0</v>
      </c>
      <c r="X742">
        <v>59</v>
      </c>
      <c r="Y742">
        <v>0</v>
      </c>
      <c r="Z742">
        <v>0</v>
      </c>
      <c r="AA742">
        <v>0</v>
      </c>
      <c r="AB742" t="s">
        <v>36</v>
      </c>
      <c r="AC742">
        <v>59</v>
      </c>
    </row>
    <row r="743" spans="1:30" x14ac:dyDescent="0.25">
      <c r="A743" s="1">
        <v>44784.250763888886</v>
      </c>
      <c r="B743" s="1">
        <v>44784.248819444445</v>
      </c>
      <c r="C743">
        <v>151710</v>
      </c>
      <c r="D743" t="s">
        <v>41</v>
      </c>
      <c r="E743" t="s">
        <v>31</v>
      </c>
      <c r="F743">
        <v>7</v>
      </c>
      <c r="G743">
        <v>43.132477000000002</v>
      </c>
      <c r="H743">
        <v>-71.458374000000006</v>
      </c>
      <c r="I743">
        <v>230</v>
      </c>
      <c r="J743">
        <v>68</v>
      </c>
      <c r="K743">
        <v>0</v>
      </c>
      <c r="L743" s="1">
        <v>44784.25072916667</v>
      </c>
      <c r="M743">
        <v>6.5</v>
      </c>
      <c r="N743">
        <v>5.0999999999999996</v>
      </c>
      <c r="O743">
        <v>1.4</v>
      </c>
      <c r="P743">
        <v>24</v>
      </c>
      <c r="Q743">
        <v>0</v>
      </c>
      <c r="R743">
        <v>0.2</v>
      </c>
      <c r="S743">
        <v>0.1</v>
      </c>
      <c r="T743" t="s">
        <v>33</v>
      </c>
      <c r="U743">
        <v>5.8</v>
      </c>
      <c r="V743">
        <v>69</v>
      </c>
      <c r="W743">
        <v>0</v>
      </c>
      <c r="X743">
        <v>69</v>
      </c>
      <c r="Y743">
        <v>1</v>
      </c>
      <c r="Z743">
        <v>0</v>
      </c>
      <c r="AA743">
        <v>1</v>
      </c>
      <c r="AB743" t="s">
        <v>36</v>
      </c>
      <c r="AC743">
        <v>69</v>
      </c>
      <c r="AD743">
        <v>0.87</v>
      </c>
    </row>
    <row r="744" spans="1:30" x14ac:dyDescent="0.25">
      <c r="A744" s="1">
        <v>44784.250775462962</v>
      </c>
      <c r="B744" s="1">
        <v>44784.249895833331</v>
      </c>
      <c r="C744">
        <v>151706</v>
      </c>
      <c r="D744" t="s">
        <v>42</v>
      </c>
      <c r="E744" t="s">
        <v>31</v>
      </c>
      <c r="F744">
        <v>7</v>
      </c>
      <c r="G744">
        <v>43.004080000000002</v>
      </c>
      <c r="H744">
        <v>-71.177040000000005</v>
      </c>
      <c r="I744">
        <v>194</v>
      </c>
      <c r="J744">
        <v>68</v>
      </c>
      <c r="K744">
        <v>0</v>
      </c>
      <c r="L744" s="1">
        <v>44784.25072916667</v>
      </c>
      <c r="M744">
        <v>2.9</v>
      </c>
      <c r="N744">
        <v>0</v>
      </c>
      <c r="O744">
        <v>2.9</v>
      </c>
      <c r="P744">
        <v>200</v>
      </c>
      <c r="Q744">
        <v>0</v>
      </c>
      <c r="R744">
        <v>0</v>
      </c>
      <c r="S744">
        <v>0</v>
      </c>
      <c r="T744" t="s">
        <v>43</v>
      </c>
      <c r="V744">
        <v>71</v>
      </c>
      <c r="W744">
        <v>0</v>
      </c>
      <c r="X744">
        <v>71</v>
      </c>
      <c r="Y744">
        <v>0</v>
      </c>
      <c r="Z744">
        <v>0</v>
      </c>
      <c r="AA744">
        <v>0</v>
      </c>
      <c r="AB744" t="s">
        <v>36</v>
      </c>
      <c r="AC744">
        <v>71</v>
      </c>
    </row>
    <row r="745" spans="1:30" x14ac:dyDescent="0.25">
      <c r="A745" s="1">
        <v>44784.250775462962</v>
      </c>
      <c r="B745" s="1">
        <v>44784.249618055554</v>
      </c>
      <c r="C745">
        <v>12212</v>
      </c>
      <c r="D745" t="s">
        <v>44</v>
      </c>
      <c r="E745" t="s">
        <v>35</v>
      </c>
      <c r="F745">
        <v>7</v>
      </c>
      <c r="G745">
        <v>42.930529999999997</v>
      </c>
      <c r="H745">
        <v>-72.272350000000003</v>
      </c>
      <c r="I745">
        <v>476</v>
      </c>
      <c r="J745">
        <v>75</v>
      </c>
      <c r="K745">
        <v>0</v>
      </c>
      <c r="L745" s="1">
        <v>44784.25072916667</v>
      </c>
      <c r="M745">
        <v>4.8</v>
      </c>
      <c r="N745">
        <v>4</v>
      </c>
      <c r="O745">
        <v>0.8</v>
      </c>
      <c r="P745">
        <v>18</v>
      </c>
      <c r="Q745">
        <v>0.1</v>
      </c>
      <c r="R745">
        <v>0.2</v>
      </c>
      <c r="S745">
        <v>0.15</v>
      </c>
      <c r="T745" t="s">
        <v>33</v>
      </c>
      <c r="U745">
        <v>4.4000000000000004</v>
      </c>
      <c r="V745">
        <v>86</v>
      </c>
      <c r="W745">
        <v>0</v>
      </c>
      <c r="X745">
        <v>86</v>
      </c>
      <c r="Y745">
        <v>1</v>
      </c>
      <c r="Z745">
        <v>0</v>
      </c>
      <c r="AA745">
        <v>1</v>
      </c>
      <c r="AB745" t="s">
        <v>36</v>
      </c>
      <c r="AC745">
        <v>86</v>
      </c>
      <c r="AD745">
        <v>-1.18</v>
      </c>
    </row>
    <row r="746" spans="1:30" x14ac:dyDescent="0.25">
      <c r="A746" s="1">
        <v>44784.250775462962</v>
      </c>
      <c r="B746" s="1">
        <v>44769.376736111109</v>
      </c>
      <c r="C746">
        <v>12178</v>
      </c>
      <c r="D746" t="s">
        <v>45</v>
      </c>
      <c r="E746" t="s">
        <v>35</v>
      </c>
      <c r="F746">
        <v>7</v>
      </c>
      <c r="G746">
        <v>42.899563000000001</v>
      </c>
      <c r="H746">
        <v>-71.464650000000006</v>
      </c>
      <c r="I746">
        <v>301</v>
      </c>
      <c r="J746">
        <v>85</v>
      </c>
      <c r="K746">
        <v>0</v>
      </c>
      <c r="L746" s="1">
        <v>44784.25072916667</v>
      </c>
      <c r="M746">
        <v>3.8</v>
      </c>
      <c r="N746">
        <v>3.1</v>
      </c>
      <c r="O746">
        <v>0.7</v>
      </c>
      <c r="P746">
        <v>20</v>
      </c>
      <c r="Q746">
        <v>0</v>
      </c>
      <c r="R746">
        <v>0</v>
      </c>
      <c r="S746">
        <v>0</v>
      </c>
      <c r="T746" t="s">
        <v>32</v>
      </c>
      <c r="V746">
        <v>35</v>
      </c>
      <c r="W746">
        <v>0</v>
      </c>
      <c r="X746">
        <v>35</v>
      </c>
      <c r="Y746">
        <v>0</v>
      </c>
      <c r="Z746">
        <v>0</v>
      </c>
      <c r="AA746">
        <v>0</v>
      </c>
      <c r="AB746" t="s">
        <v>36</v>
      </c>
      <c r="AC746">
        <v>35</v>
      </c>
    </row>
    <row r="747" spans="1:30" x14ac:dyDescent="0.25">
      <c r="A747" s="1">
        <v>44784.250775462962</v>
      </c>
      <c r="B747" s="1">
        <v>44784.24894675926</v>
      </c>
      <c r="C747">
        <v>75981</v>
      </c>
      <c r="D747" t="s">
        <v>46</v>
      </c>
      <c r="E747" t="s">
        <v>35</v>
      </c>
      <c r="F747">
        <v>7</v>
      </c>
      <c r="G747">
        <v>42.97</v>
      </c>
      <c r="H747">
        <v>-71.06</v>
      </c>
      <c r="I747">
        <v>136</v>
      </c>
      <c r="J747">
        <v>73</v>
      </c>
      <c r="K747">
        <v>0</v>
      </c>
      <c r="L747" s="1">
        <v>44784.25072916667</v>
      </c>
      <c r="M747">
        <v>4.2</v>
      </c>
      <c r="N747">
        <v>4.0999999999999996</v>
      </c>
      <c r="O747">
        <v>0.1</v>
      </c>
      <c r="P747">
        <v>2</v>
      </c>
      <c r="Q747">
        <v>0</v>
      </c>
      <c r="R747">
        <v>0.1</v>
      </c>
      <c r="S747">
        <v>0.05</v>
      </c>
      <c r="T747" t="s">
        <v>33</v>
      </c>
      <c r="U747">
        <v>4.1500000000000004</v>
      </c>
      <c r="V747">
        <v>63</v>
      </c>
      <c r="W747">
        <v>0</v>
      </c>
      <c r="X747">
        <v>63</v>
      </c>
      <c r="Y747">
        <v>0</v>
      </c>
      <c r="Z747">
        <v>0</v>
      </c>
      <c r="AA747">
        <v>0</v>
      </c>
      <c r="AB747" t="s">
        <v>36</v>
      </c>
      <c r="AC747">
        <v>63</v>
      </c>
      <c r="AD747">
        <v>0.28000000000000003</v>
      </c>
    </row>
    <row r="748" spans="1:30" x14ac:dyDescent="0.25">
      <c r="A748" s="1">
        <v>44784.250787037039</v>
      </c>
      <c r="B748" s="1">
        <v>44784.249479166669</v>
      </c>
      <c r="C748">
        <v>115703</v>
      </c>
      <c r="D748" t="s">
        <v>47</v>
      </c>
      <c r="E748" t="s">
        <v>35</v>
      </c>
      <c r="F748">
        <v>7</v>
      </c>
      <c r="G748">
        <v>43.953625000000002</v>
      </c>
      <c r="H748">
        <v>-71.508859999999999</v>
      </c>
      <c r="I748">
        <v>1493</v>
      </c>
      <c r="J748">
        <v>62</v>
      </c>
      <c r="K748">
        <v>0</v>
      </c>
      <c r="L748" s="1">
        <v>44784.25072916667</v>
      </c>
      <c r="M748">
        <v>0</v>
      </c>
      <c r="N748">
        <v>300.89999999999998</v>
      </c>
      <c r="O748">
        <v>300.89999999999998</v>
      </c>
      <c r="P748">
        <v>200</v>
      </c>
      <c r="Q748">
        <v>0</v>
      </c>
      <c r="R748">
        <v>0</v>
      </c>
      <c r="S748">
        <v>0</v>
      </c>
      <c r="T748" t="s">
        <v>48</v>
      </c>
      <c r="V748">
        <v>68</v>
      </c>
      <c r="W748">
        <v>0</v>
      </c>
      <c r="X748">
        <v>68</v>
      </c>
      <c r="Y748">
        <v>0</v>
      </c>
      <c r="Z748">
        <v>0</v>
      </c>
      <c r="AA748">
        <v>0</v>
      </c>
      <c r="AB748" t="s">
        <v>36</v>
      </c>
      <c r="AC748">
        <v>68</v>
      </c>
    </row>
    <row r="749" spans="1:30" x14ac:dyDescent="0.25">
      <c r="A749" s="1">
        <v>44784.250787037039</v>
      </c>
      <c r="B749" s="1">
        <v>44784.248900462961</v>
      </c>
      <c r="C749">
        <v>12050</v>
      </c>
      <c r="D749" t="s">
        <v>49</v>
      </c>
      <c r="E749" t="s">
        <v>35</v>
      </c>
      <c r="F749">
        <v>7</v>
      </c>
      <c r="G749">
        <v>44.220573000000002</v>
      </c>
      <c r="H749">
        <v>-71.732315</v>
      </c>
      <c r="I749">
        <v>999</v>
      </c>
      <c r="J749">
        <v>68</v>
      </c>
      <c r="K749">
        <v>0</v>
      </c>
      <c r="L749" s="1">
        <v>44784.25072916667</v>
      </c>
      <c r="M749">
        <v>2.9</v>
      </c>
      <c r="N749">
        <v>2.9</v>
      </c>
      <c r="O749">
        <v>0</v>
      </c>
      <c r="P749">
        <v>0</v>
      </c>
      <c r="Q749">
        <v>0</v>
      </c>
      <c r="R749">
        <v>0</v>
      </c>
      <c r="S749">
        <v>0</v>
      </c>
      <c r="T749" t="s">
        <v>33</v>
      </c>
      <c r="U749">
        <v>2.9</v>
      </c>
      <c r="V749">
        <v>59</v>
      </c>
      <c r="W749">
        <v>0</v>
      </c>
      <c r="X749">
        <v>59</v>
      </c>
      <c r="Y749">
        <v>1</v>
      </c>
      <c r="Z749">
        <v>0</v>
      </c>
      <c r="AA749">
        <v>1</v>
      </c>
      <c r="AB749" t="s">
        <v>36</v>
      </c>
      <c r="AC749">
        <v>59</v>
      </c>
      <c r="AD749">
        <v>-0.2</v>
      </c>
    </row>
    <row r="750" spans="1:30" x14ac:dyDescent="0.25">
      <c r="A750" s="1">
        <v>44784.250787037039</v>
      </c>
      <c r="B750" s="1">
        <v>44784.24900462963</v>
      </c>
      <c r="C750">
        <v>23443</v>
      </c>
      <c r="D750" t="s">
        <v>50</v>
      </c>
      <c r="E750" t="s">
        <v>35</v>
      </c>
      <c r="F750">
        <v>7</v>
      </c>
      <c r="G750">
        <v>43.556139999999999</v>
      </c>
      <c r="H750">
        <v>-72.370990000000006</v>
      </c>
      <c r="I750">
        <v>523</v>
      </c>
      <c r="J750">
        <v>68</v>
      </c>
      <c r="K750">
        <v>0</v>
      </c>
      <c r="L750" s="1">
        <v>44784.25072916667</v>
      </c>
      <c r="M750">
        <v>4.2</v>
      </c>
      <c r="N750">
        <v>3.6</v>
      </c>
      <c r="O750">
        <v>0.6</v>
      </c>
      <c r="P750">
        <v>15</v>
      </c>
      <c r="Q750">
        <v>0.1</v>
      </c>
      <c r="R750">
        <v>0.1</v>
      </c>
      <c r="S750">
        <v>0.1</v>
      </c>
      <c r="T750" t="s">
        <v>33</v>
      </c>
      <c r="U750">
        <v>3.9</v>
      </c>
      <c r="V750">
        <v>66</v>
      </c>
      <c r="W750">
        <v>0</v>
      </c>
      <c r="X750">
        <v>66</v>
      </c>
      <c r="Y750">
        <v>0</v>
      </c>
      <c r="Z750">
        <v>0</v>
      </c>
      <c r="AA750">
        <v>0</v>
      </c>
      <c r="AB750" t="s">
        <v>36</v>
      </c>
      <c r="AC750">
        <v>66</v>
      </c>
      <c r="AD750">
        <v>-0.08</v>
      </c>
    </row>
    <row r="751" spans="1:30" x14ac:dyDescent="0.25">
      <c r="A751" s="1">
        <v>44784.250787037039</v>
      </c>
      <c r="B751" s="1">
        <v>44784.250474537039</v>
      </c>
      <c r="C751">
        <v>58135</v>
      </c>
      <c r="D751" t="s">
        <v>51</v>
      </c>
      <c r="E751" t="s">
        <v>35</v>
      </c>
      <c r="F751">
        <v>7</v>
      </c>
      <c r="G751">
        <v>42.883873000000001</v>
      </c>
      <c r="H751">
        <v>-71.972915999999998</v>
      </c>
      <c r="I751">
        <v>808</v>
      </c>
      <c r="J751">
        <v>70</v>
      </c>
      <c r="K751">
        <v>0</v>
      </c>
      <c r="L751" s="1">
        <v>44784.25072916667</v>
      </c>
      <c r="M751">
        <v>9.1999999999999993</v>
      </c>
      <c r="N751">
        <v>6</v>
      </c>
      <c r="O751">
        <v>3.2</v>
      </c>
      <c r="P751">
        <v>42</v>
      </c>
      <c r="Q751">
        <v>0.4</v>
      </c>
      <c r="R751">
        <v>0.2</v>
      </c>
      <c r="S751">
        <v>0.3</v>
      </c>
      <c r="T751" t="s">
        <v>33</v>
      </c>
      <c r="U751">
        <v>7.6</v>
      </c>
      <c r="V751">
        <v>72</v>
      </c>
      <c r="W751">
        <v>0</v>
      </c>
      <c r="X751">
        <v>72</v>
      </c>
      <c r="Y751">
        <v>1</v>
      </c>
      <c r="Z751">
        <v>0</v>
      </c>
      <c r="AA751">
        <v>1</v>
      </c>
      <c r="AB751" t="s">
        <v>36</v>
      </c>
      <c r="AC751">
        <v>72</v>
      </c>
      <c r="AD751">
        <v>1.76</v>
      </c>
    </row>
    <row r="752" spans="1:30" x14ac:dyDescent="0.25">
      <c r="A752" s="1">
        <v>44784.250798611109</v>
      </c>
      <c r="B752" s="1">
        <v>44784.249143518522</v>
      </c>
      <c r="C752">
        <v>148555</v>
      </c>
      <c r="D752" t="s">
        <v>52</v>
      </c>
      <c r="E752" t="s">
        <v>53</v>
      </c>
      <c r="F752">
        <v>7</v>
      </c>
      <c r="G752">
        <v>42.904949999999999</v>
      </c>
      <c r="H752">
        <v>-71.386764999999997</v>
      </c>
      <c r="I752">
        <v>363</v>
      </c>
      <c r="J752">
        <v>0</v>
      </c>
      <c r="K752">
        <v>0</v>
      </c>
      <c r="L752" s="1">
        <v>44784.25072916667</v>
      </c>
      <c r="M752">
        <v>2.2000000000000002</v>
      </c>
      <c r="N752">
        <v>2.9</v>
      </c>
      <c r="O752">
        <v>0.7</v>
      </c>
      <c r="P752">
        <v>27</v>
      </c>
      <c r="Q752">
        <v>0.1</v>
      </c>
      <c r="R752">
        <v>0.2</v>
      </c>
      <c r="S752">
        <v>0.15</v>
      </c>
      <c r="T752" t="s">
        <v>33</v>
      </c>
      <c r="U752">
        <v>2.5499999999999998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 t="s">
        <v>38</v>
      </c>
    </row>
    <row r="753" spans="1:30" x14ac:dyDescent="0.25">
      <c r="A753" s="1">
        <v>44784.250798611109</v>
      </c>
      <c r="B753" s="1">
        <v>44784.250069444446</v>
      </c>
      <c r="C753">
        <v>146644</v>
      </c>
      <c r="D753" t="s">
        <v>54</v>
      </c>
      <c r="E753" t="s">
        <v>53</v>
      </c>
      <c r="F753">
        <v>7</v>
      </c>
      <c r="G753">
        <v>43.06015</v>
      </c>
      <c r="H753">
        <v>-70.758930000000007</v>
      </c>
      <c r="I753">
        <v>35</v>
      </c>
      <c r="J753">
        <v>70</v>
      </c>
      <c r="K753">
        <v>71</v>
      </c>
      <c r="L753" s="1">
        <v>44784.25072916667</v>
      </c>
      <c r="M753">
        <v>5.7</v>
      </c>
      <c r="N753">
        <v>4.5999999999999996</v>
      </c>
      <c r="O753">
        <v>1.1000000000000001</v>
      </c>
      <c r="P753">
        <v>21</v>
      </c>
      <c r="Q753">
        <v>0</v>
      </c>
      <c r="R753">
        <v>0.1</v>
      </c>
      <c r="S753">
        <v>0.05</v>
      </c>
      <c r="T753" t="s">
        <v>33</v>
      </c>
      <c r="U753">
        <v>5.15</v>
      </c>
      <c r="V753">
        <v>69</v>
      </c>
      <c r="W753">
        <v>73</v>
      </c>
      <c r="X753">
        <v>4</v>
      </c>
      <c r="Y753">
        <v>0</v>
      </c>
      <c r="Z753">
        <v>0</v>
      </c>
      <c r="AA753">
        <v>0</v>
      </c>
      <c r="AB753" t="s">
        <v>33</v>
      </c>
      <c r="AC753">
        <v>71</v>
      </c>
      <c r="AD753">
        <v>0.33</v>
      </c>
    </row>
    <row r="754" spans="1:30" x14ac:dyDescent="0.25">
      <c r="A754" s="1">
        <v>44784.250798611109</v>
      </c>
      <c r="B754" s="1">
        <v>43755.283437500002</v>
      </c>
      <c r="C754">
        <v>12188</v>
      </c>
      <c r="D754" t="s">
        <v>55</v>
      </c>
      <c r="E754" t="s">
        <v>35</v>
      </c>
      <c r="F754">
        <v>4.1100000000000003</v>
      </c>
      <c r="G754">
        <v>42.927050000000001</v>
      </c>
      <c r="H754">
        <v>-72.279610000000005</v>
      </c>
      <c r="I754">
        <v>475</v>
      </c>
      <c r="J754">
        <v>95</v>
      </c>
      <c r="K754">
        <v>0</v>
      </c>
      <c r="L754" s="1">
        <v>44784.25072916667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 t="s">
        <v>32</v>
      </c>
      <c r="V754">
        <v>77</v>
      </c>
      <c r="W754">
        <v>0</v>
      </c>
      <c r="X754">
        <v>77</v>
      </c>
      <c r="Y754">
        <v>0</v>
      </c>
      <c r="Z754">
        <v>0</v>
      </c>
      <c r="AA754">
        <v>0</v>
      </c>
      <c r="AB754" t="s">
        <v>36</v>
      </c>
      <c r="AC754">
        <v>77</v>
      </c>
    </row>
    <row r="755" spans="1:30" x14ac:dyDescent="0.25">
      <c r="A755" s="1">
        <v>44784.250810185185</v>
      </c>
      <c r="B755" s="1">
        <v>44784.250381944446</v>
      </c>
      <c r="C755">
        <v>1224</v>
      </c>
      <c r="D755" t="s">
        <v>56</v>
      </c>
      <c r="E755" t="s">
        <v>35</v>
      </c>
      <c r="F755" t="s">
        <v>57</v>
      </c>
      <c r="G755">
        <v>42.938034000000002</v>
      </c>
      <c r="H755">
        <v>-72.259299999999996</v>
      </c>
      <c r="I755">
        <v>792</v>
      </c>
      <c r="J755">
        <v>75</v>
      </c>
      <c r="K755">
        <v>0</v>
      </c>
      <c r="L755" s="1">
        <v>44784.25072916667</v>
      </c>
      <c r="M755">
        <v>4</v>
      </c>
      <c r="N755">
        <v>0</v>
      </c>
      <c r="O755">
        <v>4</v>
      </c>
      <c r="P755">
        <v>200</v>
      </c>
      <c r="Q755">
        <v>0.1</v>
      </c>
      <c r="R755">
        <v>0</v>
      </c>
      <c r="S755">
        <v>0.05</v>
      </c>
      <c r="T755" t="s">
        <v>43</v>
      </c>
      <c r="V755">
        <v>87</v>
      </c>
      <c r="W755">
        <v>0</v>
      </c>
      <c r="X755">
        <v>87</v>
      </c>
      <c r="Y755">
        <v>0</v>
      </c>
      <c r="Z755">
        <v>0</v>
      </c>
      <c r="AA755">
        <v>0</v>
      </c>
      <c r="AB755" t="s">
        <v>36</v>
      </c>
      <c r="AC755">
        <v>87</v>
      </c>
    </row>
    <row r="756" spans="1:30" x14ac:dyDescent="0.25">
      <c r="A756" s="1">
        <v>44784.250810185185</v>
      </c>
      <c r="B756" s="1">
        <v>44784.249826388892</v>
      </c>
      <c r="C756">
        <v>1202</v>
      </c>
      <c r="D756" t="s">
        <v>58</v>
      </c>
      <c r="E756" t="s">
        <v>35</v>
      </c>
      <c r="F756" t="s">
        <v>57</v>
      </c>
      <c r="G756">
        <v>42.936554000000001</v>
      </c>
      <c r="H756">
        <v>-72.271019999999993</v>
      </c>
      <c r="I756">
        <v>488</v>
      </c>
      <c r="J756">
        <v>0</v>
      </c>
      <c r="K756">
        <v>0</v>
      </c>
      <c r="L756" s="1">
        <v>44784.25072916667</v>
      </c>
      <c r="M756">
        <v>4.2</v>
      </c>
      <c r="N756">
        <v>3.9</v>
      </c>
      <c r="O756">
        <v>0.3</v>
      </c>
      <c r="P756">
        <v>7</v>
      </c>
      <c r="Q756">
        <v>0.1</v>
      </c>
      <c r="R756">
        <v>0.2</v>
      </c>
      <c r="S756">
        <v>0.15</v>
      </c>
      <c r="T756" t="s">
        <v>33</v>
      </c>
      <c r="U756">
        <v>4.05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 t="s">
        <v>38</v>
      </c>
    </row>
    <row r="757" spans="1:30" x14ac:dyDescent="0.25">
      <c r="A757" s="1">
        <v>44784.250810185185</v>
      </c>
      <c r="B757" s="1">
        <v>44612.080023148148</v>
      </c>
      <c r="C757">
        <v>25985</v>
      </c>
      <c r="D757" t="s">
        <v>59</v>
      </c>
      <c r="E757" t="s">
        <v>35</v>
      </c>
      <c r="F757">
        <v>6.01</v>
      </c>
      <c r="G757">
        <v>42.927326000000001</v>
      </c>
      <c r="H757">
        <v>-72.279979999999995</v>
      </c>
      <c r="I757">
        <v>477</v>
      </c>
      <c r="J757">
        <v>78</v>
      </c>
      <c r="K757">
        <v>0</v>
      </c>
      <c r="L757" s="1">
        <v>44784.25072916667</v>
      </c>
      <c r="M757">
        <v>1.1000000000000001</v>
      </c>
      <c r="N757">
        <v>1</v>
      </c>
      <c r="O757">
        <v>0.1</v>
      </c>
      <c r="P757">
        <v>10</v>
      </c>
      <c r="Q757">
        <v>0</v>
      </c>
      <c r="R757">
        <v>0</v>
      </c>
      <c r="S757">
        <v>0</v>
      </c>
      <c r="T757" t="s">
        <v>32</v>
      </c>
      <c r="V757">
        <v>22</v>
      </c>
      <c r="W757">
        <v>0</v>
      </c>
      <c r="X757">
        <v>22</v>
      </c>
      <c r="Y757">
        <v>0</v>
      </c>
      <c r="Z757">
        <v>0</v>
      </c>
      <c r="AA757">
        <v>0</v>
      </c>
      <c r="AB757" t="s">
        <v>36</v>
      </c>
      <c r="AC757">
        <v>22</v>
      </c>
    </row>
    <row r="758" spans="1:30" x14ac:dyDescent="0.25">
      <c r="A758" s="1">
        <v>44784.257685185185</v>
      </c>
      <c r="B758" s="1">
        <v>44775.701319444444</v>
      </c>
      <c r="C758">
        <v>151708</v>
      </c>
      <c r="D758" t="s">
        <v>30</v>
      </c>
      <c r="E758" t="s">
        <v>31</v>
      </c>
      <c r="F758">
        <v>7</v>
      </c>
      <c r="G758">
        <v>43.192042999999998</v>
      </c>
      <c r="H758">
        <v>-71.541579999999996</v>
      </c>
      <c r="I758">
        <v>291</v>
      </c>
      <c r="J758">
        <v>93</v>
      </c>
      <c r="K758">
        <v>94</v>
      </c>
      <c r="L758" s="1">
        <v>44784.257662037038</v>
      </c>
      <c r="M758">
        <v>7.9</v>
      </c>
      <c r="N758">
        <v>7.6</v>
      </c>
      <c r="O758">
        <v>0.3</v>
      </c>
      <c r="P758">
        <v>4</v>
      </c>
      <c r="Q758">
        <v>0</v>
      </c>
      <c r="R758">
        <v>0</v>
      </c>
      <c r="S758">
        <v>0</v>
      </c>
      <c r="T758" t="s">
        <v>32</v>
      </c>
      <c r="V758">
        <v>42</v>
      </c>
      <c r="W758">
        <v>41</v>
      </c>
      <c r="X758">
        <v>1</v>
      </c>
      <c r="Y758">
        <v>0</v>
      </c>
      <c r="Z758">
        <v>0</v>
      </c>
      <c r="AA758">
        <v>0</v>
      </c>
      <c r="AB758" t="s">
        <v>33</v>
      </c>
      <c r="AC758">
        <v>41.5</v>
      </c>
    </row>
    <row r="759" spans="1:30" x14ac:dyDescent="0.25">
      <c r="A759" s="1">
        <v>44784.257685185185</v>
      </c>
      <c r="B759" s="1">
        <v>44784.255983796298</v>
      </c>
      <c r="C759">
        <v>143456</v>
      </c>
      <c r="D759" t="s">
        <v>34</v>
      </c>
      <c r="E759" t="s">
        <v>35</v>
      </c>
      <c r="F759">
        <v>7</v>
      </c>
      <c r="G759">
        <v>43.08963</v>
      </c>
      <c r="H759">
        <v>-71.502440000000007</v>
      </c>
      <c r="I759">
        <v>619</v>
      </c>
      <c r="J759">
        <v>68</v>
      </c>
      <c r="K759">
        <v>0</v>
      </c>
      <c r="L759" s="1">
        <v>44784.257662037038</v>
      </c>
      <c r="M759">
        <v>3.2</v>
      </c>
      <c r="N759">
        <v>3.6</v>
      </c>
      <c r="O759">
        <v>0.4</v>
      </c>
      <c r="P759">
        <v>12</v>
      </c>
      <c r="Q759">
        <v>0</v>
      </c>
      <c r="R759">
        <v>0</v>
      </c>
      <c r="S759">
        <v>0</v>
      </c>
      <c r="T759" t="s">
        <v>33</v>
      </c>
      <c r="U759">
        <v>3.4</v>
      </c>
      <c r="V759">
        <v>73</v>
      </c>
      <c r="W759">
        <v>0</v>
      </c>
      <c r="X759">
        <v>73</v>
      </c>
      <c r="Y759">
        <v>1</v>
      </c>
      <c r="Z759">
        <v>0</v>
      </c>
      <c r="AA759">
        <v>1</v>
      </c>
      <c r="AB759" t="s">
        <v>36</v>
      </c>
      <c r="AC759">
        <v>73</v>
      </c>
      <c r="AD759">
        <v>-0.88</v>
      </c>
    </row>
    <row r="760" spans="1:30" x14ac:dyDescent="0.25">
      <c r="A760" s="1">
        <v>44784.257696759261</v>
      </c>
      <c r="B760" s="1">
        <v>44784.256168981483</v>
      </c>
      <c r="C760">
        <v>151702</v>
      </c>
      <c r="D760" t="s">
        <v>37</v>
      </c>
      <c r="E760" t="s">
        <v>31</v>
      </c>
      <c r="F760">
        <v>7</v>
      </c>
      <c r="G760">
        <v>43.118609999999997</v>
      </c>
      <c r="H760">
        <v>-71.61618</v>
      </c>
      <c r="I760">
        <v>885</v>
      </c>
      <c r="J760">
        <v>0</v>
      </c>
      <c r="K760">
        <v>0</v>
      </c>
      <c r="L760" s="1">
        <v>44784.257662037038</v>
      </c>
      <c r="M760">
        <v>4.3</v>
      </c>
      <c r="N760">
        <v>4</v>
      </c>
      <c r="O760">
        <v>0.3</v>
      </c>
      <c r="P760">
        <v>7</v>
      </c>
      <c r="Q760">
        <v>0</v>
      </c>
      <c r="R760">
        <v>0</v>
      </c>
      <c r="S760">
        <v>0</v>
      </c>
      <c r="T760" t="s">
        <v>33</v>
      </c>
      <c r="U760">
        <v>4.1500000000000004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 t="s">
        <v>38</v>
      </c>
    </row>
    <row r="761" spans="1:30" x14ac:dyDescent="0.25">
      <c r="A761" s="1">
        <v>44784.257696759261</v>
      </c>
      <c r="B761" s="1">
        <v>44784.25744212963</v>
      </c>
      <c r="C761">
        <v>151700</v>
      </c>
      <c r="D761" t="s">
        <v>30</v>
      </c>
      <c r="E761" t="s">
        <v>31</v>
      </c>
      <c r="F761">
        <v>7</v>
      </c>
      <c r="G761">
        <v>43.19211</v>
      </c>
      <c r="H761">
        <v>-71.541460000000001</v>
      </c>
      <c r="I761">
        <v>286</v>
      </c>
      <c r="J761">
        <v>71</v>
      </c>
      <c r="K761">
        <v>0</v>
      </c>
      <c r="L761" s="1">
        <v>44784.257662037038</v>
      </c>
      <c r="M761">
        <v>3.2</v>
      </c>
      <c r="N761">
        <v>3.6</v>
      </c>
      <c r="O761">
        <v>0.4</v>
      </c>
      <c r="P761">
        <v>12</v>
      </c>
      <c r="Q761">
        <v>0</v>
      </c>
      <c r="R761">
        <v>0.1</v>
      </c>
      <c r="S761">
        <v>0.05</v>
      </c>
      <c r="T761" t="s">
        <v>33</v>
      </c>
      <c r="U761">
        <v>3.4</v>
      </c>
      <c r="V761">
        <v>68</v>
      </c>
      <c r="W761">
        <v>0</v>
      </c>
      <c r="X761">
        <v>68</v>
      </c>
      <c r="Y761">
        <v>1</v>
      </c>
      <c r="Z761">
        <v>0</v>
      </c>
      <c r="AA761">
        <v>1</v>
      </c>
      <c r="AB761" t="s">
        <v>36</v>
      </c>
      <c r="AC761">
        <v>68</v>
      </c>
      <c r="AD761">
        <v>-0.53</v>
      </c>
    </row>
    <row r="762" spans="1:30" x14ac:dyDescent="0.25">
      <c r="A762" s="1">
        <v>44784.257696759261</v>
      </c>
      <c r="B762" s="1">
        <v>44784.256481481483</v>
      </c>
      <c r="C762">
        <v>135984</v>
      </c>
      <c r="D762" t="s">
        <v>39</v>
      </c>
      <c r="E762" t="s">
        <v>31</v>
      </c>
      <c r="F762">
        <v>7</v>
      </c>
      <c r="G762">
        <v>43.565852999999997</v>
      </c>
      <c r="H762">
        <v>-71.496129999999994</v>
      </c>
      <c r="I762">
        <v>708</v>
      </c>
      <c r="J762">
        <v>68</v>
      </c>
      <c r="K762">
        <v>0</v>
      </c>
      <c r="L762" s="1">
        <v>44784.257662037038</v>
      </c>
      <c r="M762">
        <v>6</v>
      </c>
      <c r="N762">
        <v>5</v>
      </c>
      <c r="O762">
        <v>1</v>
      </c>
      <c r="P762">
        <v>18</v>
      </c>
      <c r="Q762">
        <v>0.4</v>
      </c>
      <c r="R762">
        <v>0.2</v>
      </c>
      <c r="S762">
        <v>0.3</v>
      </c>
      <c r="T762" t="s">
        <v>33</v>
      </c>
      <c r="U762">
        <v>5.5</v>
      </c>
      <c r="V762">
        <v>92</v>
      </c>
      <c r="W762">
        <v>0</v>
      </c>
      <c r="X762">
        <v>92</v>
      </c>
      <c r="Y762">
        <v>1</v>
      </c>
      <c r="Z762">
        <v>0</v>
      </c>
      <c r="AA762">
        <v>1</v>
      </c>
      <c r="AB762" t="s">
        <v>36</v>
      </c>
      <c r="AC762">
        <v>92</v>
      </c>
      <c r="AD762">
        <v>-0.93</v>
      </c>
    </row>
    <row r="763" spans="1:30" x14ac:dyDescent="0.25">
      <c r="A763" s="1">
        <v>44784.257708333331</v>
      </c>
      <c r="B763" s="1">
        <v>44780.394780092596</v>
      </c>
      <c r="C763">
        <v>151712</v>
      </c>
      <c r="D763" t="s">
        <v>40</v>
      </c>
      <c r="E763" t="s">
        <v>31</v>
      </c>
      <c r="F763">
        <v>7</v>
      </c>
      <c r="G763">
        <v>43.289763999999998</v>
      </c>
      <c r="H763">
        <v>-71.564260000000004</v>
      </c>
      <c r="I763">
        <v>370</v>
      </c>
      <c r="J763">
        <v>86</v>
      </c>
      <c r="K763">
        <v>0</v>
      </c>
      <c r="L763" s="1">
        <v>44784.257662037038</v>
      </c>
      <c r="M763">
        <v>14</v>
      </c>
      <c r="N763">
        <v>13.2</v>
      </c>
      <c r="O763">
        <v>0.8</v>
      </c>
      <c r="P763">
        <v>6</v>
      </c>
      <c r="Q763">
        <v>0</v>
      </c>
      <c r="R763">
        <v>0</v>
      </c>
      <c r="S763">
        <v>0</v>
      </c>
      <c r="T763" t="s">
        <v>32</v>
      </c>
      <c r="V763">
        <v>59</v>
      </c>
      <c r="W763">
        <v>0</v>
      </c>
      <c r="X763">
        <v>59</v>
      </c>
      <c r="Y763">
        <v>0</v>
      </c>
      <c r="Z763">
        <v>0</v>
      </c>
      <c r="AA763">
        <v>0</v>
      </c>
      <c r="AB763" t="s">
        <v>36</v>
      </c>
      <c r="AC763">
        <v>59</v>
      </c>
    </row>
    <row r="764" spans="1:30" x14ac:dyDescent="0.25">
      <c r="A764" s="1">
        <v>44784.257708333331</v>
      </c>
      <c r="B764" s="1">
        <v>44784.257152777776</v>
      </c>
      <c r="C764">
        <v>151710</v>
      </c>
      <c r="D764" t="s">
        <v>41</v>
      </c>
      <c r="E764" t="s">
        <v>31</v>
      </c>
      <c r="F764">
        <v>7</v>
      </c>
      <c r="G764">
        <v>43.132477000000002</v>
      </c>
      <c r="H764">
        <v>-71.458374000000006</v>
      </c>
      <c r="I764">
        <v>230</v>
      </c>
      <c r="J764">
        <v>69</v>
      </c>
      <c r="K764">
        <v>0</v>
      </c>
      <c r="L764" s="1">
        <v>44784.257662037038</v>
      </c>
      <c r="M764">
        <v>6.9</v>
      </c>
      <c r="N764">
        <v>5.0999999999999996</v>
      </c>
      <c r="O764">
        <v>1.8</v>
      </c>
      <c r="P764">
        <v>30</v>
      </c>
      <c r="Q764">
        <v>0.4</v>
      </c>
      <c r="R764">
        <v>0</v>
      </c>
      <c r="S764">
        <v>0.2</v>
      </c>
      <c r="T764" t="s">
        <v>33</v>
      </c>
      <c r="U764">
        <v>6</v>
      </c>
      <c r="V764">
        <v>69</v>
      </c>
      <c r="W764">
        <v>0</v>
      </c>
      <c r="X764">
        <v>69</v>
      </c>
      <c r="Y764">
        <v>0</v>
      </c>
      <c r="Z764">
        <v>0</v>
      </c>
      <c r="AA764">
        <v>0</v>
      </c>
      <c r="AB764" t="s">
        <v>36</v>
      </c>
      <c r="AC764">
        <v>69</v>
      </c>
      <c r="AD764">
        <v>0.99</v>
      </c>
    </row>
    <row r="765" spans="1:30" x14ac:dyDescent="0.25">
      <c r="A765" s="1">
        <v>44784.257708333331</v>
      </c>
      <c r="B765" s="1">
        <v>44784.256840277776</v>
      </c>
      <c r="C765">
        <v>151706</v>
      </c>
      <c r="D765" t="s">
        <v>42</v>
      </c>
      <c r="E765" t="s">
        <v>31</v>
      </c>
      <c r="F765">
        <v>7</v>
      </c>
      <c r="G765">
        <v>43.004080000000002</v>
      </c>
      <c r="H765">
        <v>-71.177040000000005</v>
      </c>
      <c r="I765">
        <v>194</v>
      </c>
      <c r="J765">
        <v>68</v>
      </c>
      <c r="K765">
        <v>0</v>
      </c>
      <c r="L765" s="1">
        <v>44784.257662037038</v>
      </c>
      <c r="M765">
        <v>3</v>
      </c>
      <c r="N765">
        <v>0</v>
      </c>
      <c r="O765">
        <v>3</v>
      </c>
      <c r="P765">
        <v>200</v>
      </c>
      <c r="Q765">
        <v>0.1</v>
      </c>
      <c r="R765">
        <v>0</v>
      </c>
      <c r="S765">
        <v>0.05</v>
      </c>
      <c r="T765" t="s">
        <v>43</v>
      </c>
      <c r="V765">
        <v>71</v>
      </c>
      <c r="W765">
        <v>0</v>
      </c>
      <c r="X765">
        <v>71</v>
      </c>
      <c r="Y765">
        <v>0</v>
      </c>
      <c r="Z765">
        <v>0</v>
      </c>
      <c r="AA765">
        <v>0</v>
      </c>
      <c r="AB765" t="s">
        <v>36</v>
      </c>
      <c r="AC765">
        <v>71</v>
      </c>
    </row>
    <row r="766" spans="1:30" x14ac:dyDescent="0.25">
      <c r="A766" s="1">
        <v>44784.257708333331</v>
      </c>
      <c r="B766" s="1">
        <v>44784.256562499999</v>
      </c>
      <c r="C766">
        <v>12212</v>
      </c>
      <c r="D766" t="s">
        <v>44</v>
      </c>
      <c r="E766" t="s">
        <v>35</v>
      </c>
      <c r="F766">
        <v>7</v>
      </c>
      <c r="G766">
        <v>42.930529999999997</v>
      </c>
      <c r="H766">
        <v>-72.272350000000003</v>
      </c>
      <c r="I766">
        <v>476</v>
      </c>
      <c r="J766">
        <v>75</v>
      </c>
      <c r="K766">
        <v>0</v>
      </c>
      <c r="L766" s="1">
        <v>44784.257662037038</v>
      </c>
      <c r="M766">
        <v>5</v>
      </c>
      <c r="N766">
        <v>4.2</v>
      </c>
      <c r="O766">
        <v>0.8</v>
      </c>
      <c r="P766">
        <v>17</v>
      </c>
      <c r="Q766">
        <v>0.2</v>
      </c>
      <c r="R766">
        <v>0.2</v>
      </c>
      <c r="S766">
        <v>0.2</v>
      </c>
      <c r="T766" t="s">
        <v>33</v>
      </c>
      <c r="U766">
        <v>4.5999999999999996</v>
      </c>
      <c r="V766">
        <v>86</v>
      </c>
      <c r="W766">
        <v>0</v>
      </c>
      <c r="X766">
        <v>86</v>
      </c>
      <c r="Y766">
        <v>0</v>
      </c>
      <c r="Z766">
        <v>0</v>
      </c>
      <c r="AA766">
        <v>0</v>
      </c>
      <c r="AB766" t="s">
        <v>36</v>
      </c>
      <c r="AC766">
        <v>86</v>
      </c>
      <c r="AD766">
        <v>-1.05</v>
      </c>
    </row>
    <row r="767" spans="1:30" x14ac:dyDescent="0.25">
      <c r="A767" s="1">
        <v>44784.257719907408</v>
      </c>
      <c r="B767" s="1">
        <v>44769.376736111109</v>
      </c>
      <c r="C767">
        <v>12178</v>
      </c>
      <c r="D767" t="s">
        <v>45</v>
      </c>
      <c r="E767" t="s">
        <v>35</v>
      </c>
      <c r="F767">
        <v>7</v>
      </c>
      <c r="G767">
        <v>42.899563000000001</v>
      </c>
      <c r="H767">
        <v>-71.464650000000006</v>
      </c>
      <c r="I767">
        <v>301</v>
      </c>
      <c r="J767">
        <v>85</v>
      </c>
      <c r="K767">
        <v>0</v>
      </c>
      <c r="L767" s="1">
        <v>44784.257662037038</v>
      </c>
      <c r="M767">
        <v>3.8</v>
      </c>
      <c r="N767">
        <v>3.1</v>
      </c>
      <c r="O767">
        <v>0.7</v>
      </c>
      <c r="P767">
        <v>20</v>
      </c>
      <c r="Q767">
        <v>0</v>
      </c>
      <c r="R767">
        <v>0</v>
      </c>
      <c r="S767">
        <v>0</v>
      </c>
      <c r="T767" t="s">
        <v>32</v>
      </c>
      <c r="V767">
        <v>35</v>
      </c>
      <c r="W767">
        <v>0</v>
      </c>
      <c r="X767">
        <v>35</v>
      </c>
      <c r="Y767">
        <v>0</v>
      </c>
      <c r="Z767">
        <v>0</v>
      </c>
      <c r="AA767">
        <v>0</v>
      </c>
      <c r="AB767" t="s">
        <v>36</v>
      </c>
      <c r="AC767">
        <v>35</v>
      </c>
    </row>
    <row r="768" spans="1:30" x14ac:dyDescent="0.25">
      <c r="A768" s="1">
        <v>44784.257719907408</v>
      </c>
      <c r="B768" s="1">
        <v>44784.257280092592</v>
      </c>
      <c r="C768">
        <v>75981</v>
      </c>
      <c r="D768" t="s">
        <v>46</v>
      </c>
      <c r="E768" t="s">
        <v>35</v>
      </c>
      <c r="F768">
        <v>7</v>
      </c>
      <c r="G768">
        <v>42.97</v>
      </c>
      <c r="H768">
        <v>-71.06</v>
      </c>
      <c r="I768">
        <v>136</v>
      </c>
      <c r="J768">
        <v>73</v>
      </c>
      <c r="K768">
        <v>0</v>
      </c>
      <c r="L768" s="1">
        <v>44784.257662037038</v>
      </c>
      <c r="M768">
        <v>4.2</v>
      </c>
      <c r="N768">
        <v>3.9</v>
      </c>
      <c r="O768">
        <v>0.3</v>
      </c>
      <c r="P768">
        <v>7</v>
      </c>
      <c r="Q768">
        <v>0</v>
      </c>
      <c r="R768">
        <v>0.2</v>
      </c>
      <c r="S768">
        <v>0.1</v>
      </c>
      <c r="T768" t="s">
        <v>33</v>
      </c>
      <c r="U768">
        <v>4.05</v>
      </c>
      <c r="V768">
        <v>63</v>
      </c>
      <c r="W768">
        <v>0</v>
      </c>
      <c r="X768">
        <v>63</v>
      </c>
      <c r="Y768">
        <v>0</v>
      </c>
      <c r="Z768">
        <v>0</v>
      </c>
      <c r="AA768">
        <v>0</v>
      </c>
      <c r="AB768" t="s">
        <v>36</v>
      </c>
      <c r="AC768">
        <v>63</v>
      </c>
      <c r="AD768">
        <v>0.22</v>
      </c>
    </row>
    <row r="769" spans="1:30" x14ac:dyDescent="0.25">
      <c r="A769" s="1">
        <v>44784.257719907408</v>
      </c>
      <c r="B769" s="1">
        <v>44784.256423611114</v>
      </c>
      <c r="C769">
        <v>115703</v>
      </c>
      <c r="D769" t="s">
        <v>47</v>
      </c>
      <c r="E769" t="s">
        <v>35</v>
      </c>
      <c r="F769">
        <v>7</v>
      </c>
      <c r="G769">
        <v>43.953625000000002</v>
      </c>
      <c r="H769">
        <v>-71.508859999999999</v>
      </c>
      <c r="I769">
        <v>1493</v>
      </c>
      <c r="J769">
        <v>62</v>
      </c>
      <c r="K769">
        <v>0</v>
      </c>
      <c r="L769" s="1">
        <v>44784.257662037038</v>
      </c>
      <c r="M769">
        <v>0</v>
      </c>
      <c r="N769">
        <v>300.89999999999998</v>
      </c>
      <c r="O769">
        <v>300.89999999999998</v>
      </c>
      <c r="P769">
        <v>200</v>
      </c>
      <c r="Q769">
        <v>0</v>
      </c>
      <c r="R769">
        <v>0</v>
      </c>
      <c r="S769">
        <v>0</v>
      </c>
      <c r="T769" t="s">
        <v>48</v>
      </c>
      <c r="V769">
        <v>69</v>
      </c>
      <c r="W769">
        <v>0</v>
      </c>
      <c r="X769">
        <v>69</v>
      </c>
      <c r="Y769">
        <v>1</v>
      </c>
      <c r="Z769">
        <v>0</v>
      </c>
      <c r="AA769">
        <v>1</v>
      </c>
      <c r="AB769" t="s">
        <v>36</v>
      </c>
      <c r="AC769">
        <v>69</v>
      </c>
    </row>
    <row r="770" spans="1:30" x14ac:dyDescent="0.25">
      <c r="A770" s="1">
        <v>44784.257731481484</v>
      </c>
      <c r="B770" s="1">
        <v>44784.257233796299</v>
      </c>
      <c r="C770">
        <v>12050</v>
      </c>
      <c r="D770" t="s">
        <v>49</v>
      </c>
      <c r="E770" t="s">
        <v>35</v>
      </c>
      <c r="F770">
        <v>7</v>
      </c>
      <c r="G770">
        <v>44.220573000000002</v>
      </c>
      <c r="H770">
        <v>-71.732315</v>
      </c>
      <c r="I770">
        <v>999</v>
      </c>
      <c r="J770">
        <v>68</v>
      </c>
      <c r="K770">
        <v>0</v>
      </c>
      <c r="L770" s="1">
        <v>44784.257662037038</v>
      </c>
      <c r="M770">
        <v>2.9</v>
      </c>
      <c r="N770">
        <v>2.9</v>
      </c>
      <c r="O770">
        <v>0</v>
      </c>
      <c r="P770">
        <v>0</v>
      </c>
      <c r="Q770">
        <v>0</v>
      </c>
      <c r="R770">
        <v>0</v>
      </c>
      <c r="S770">
        <v>0</v>
      </c>
      <c r="T770" t="s">
        <v>33</v>
      </c>
      <c r="U770">
        <v>2.9</v>
      </c>
      <c r="V770">
        <v>58</v>
      </c>
      <c r="W770">
        <v>0</v>
      </c>
      <c r="X770">
        <v>58</v>
      </c>
      <c r="Y770">
        <v>1</v>
      </c>
      <c r="Z770">
        <v>0</v>
      </c>
      <c r="AA770">
        <v>1</v>
      </c>
      <c r="AB770" t="s">
        <v>36</v>
      </c>
      <c r="AC770">
        <v>58</v>
      </c>
      <c r="AD770">
        <v>-0.13</v>
      </c>
    </row>
    <row r="771" spans="1:30" x14ac:dyDescent="0.25">
      <c r="A771" s="1">
        <v>44784.257731481484</v>
      </c>
      <c r="B771" s="1">
        <v>44784.257337962961</v>
      </c>
      <c r="C771">
        <v>23443</v>
      </c>
      <c r="D771" t="s">
        <v>50</v>
      </c>
      <c r="E771" t="s">
        <v>35</v>
      </c>
      <c r="F771">
        <v>7</v>
      </c>
      <c r="G771">
        <v>43.556139999999999</v>
      </c>
      <c r="H771">
        <v>-72.370990000000006</v>
      </c>
      <c r="I771">
        <v>523</v>
      </c>
      <c r="J771">
        <v>68</v>
      </c>
      <c r="K771">
        <v>0</v>
      </c>
      <c r="L771" s="1">
        <v>44784.257662037038</v>
      </c>
      <c r="M771">
        <v>4.3</v>
      </c>
      <c r="N771">
        <v>3.6</v>
      </c>
      <c r="O771">
        <v>0.7</v>
      </c>
      <c r="P771">
        <v>18</v>
      </c>
      <c r="Q771">
        <v>0.1</v>
      </c>
      <c r="R771">
        <v>0</v>
      </c>
      <c r="S771">
        <v>0.05</v>
      </c>
      <c r="T771" t="s">
        <v>33</v>
      </c>
      <c r="U771">
        <v>3.95</v>
      </c>
      <c r="V771">
        <v>67</v>
      </c>
      <c r="W771">
        <v>0</v>
      </c>
      <c r="X771">
        <v>67</v>
      </c>
      <c r="Y771">
        <v>1</v>
      </c>
      <c r="Z771">
        <v>0</v>
      </c>
      <c r="AA771">
        <v>1</v>
      </c>
      <c r="AB771" t="s">
        <v>36</v>
      </c>
      <c r="AC771">
        <v>67</v>
      </c>
      <c r="AD771">
        <v>-0.12</v>
      </c>
    </row>
    <row r="772" spans="1:30" x14ac:dyDescent="0.25">
      <c r="A772" s="1">
        <v>44784.257731481484</v>
      </c>
      <c r="B772" s="1">
        <v>44784.257418981484</v>
      </c>
      <c r="C772">
        <v>58135</v>
      </c>
      <c r="D772" t="s">
        <v>51</v>
      </c>
      <c r="E772" t="s">
        <v>35</v>
      </c>
      <c r="F772">
        <v>7</v>
      </c>
      <c r="G772">
        <v>42.883873000000001</v>
      </c>
      <c r="H772">
        <v>-71.972915999999998</v>
      </c>
      <c r="I772">
        <v>808</v>
      </c>
      <c r="J772">
        <v>70</v>
      </c>
      <c r="K772">
        <v>0</v>
      </c>
      <c r="L772" s="1">
        <v>44784.257662037038</v>
      </c>
      <c r="M772">
        <v>9.1999999999999993</v>
      </c>
      <c r="N772">
        <v>5.8</v>
      </c>
      <c r="O772">
        <v>3.4</v>
      </c>
      <c r="P772">
        <v>45</v>
      </c>
      <c r="Q772">
        <v>0</v>
      </c>
      <c r="R772">
        <v>0.2</v>
      </c>
      <c r="S772">
        <v>0.1</v>
      </c>
      <c r="T772" t="s">
        <v>33</v>
      </c>
      <c r="U772">
        <v>7.5</v>
      </c>
      <c r="V772">
        <v>73</v>
      </c>
      <c r="W772">
        <v>0</v>
      </c>
      <c r="X772">
        <v>73</v>
      </c>
      <c r="Y772">
        <v>1</v>
      </c>
      <c r="Z772">
        <v>0</v>
      </c>
      <c r="AA772">
        <v>1</v>
      </c>
      <c r="AB772" t="s">
        <v>36</v>
      </c>
      <c r="AC772">
        <v>73</v>
      </c>
      <c r="AD772">
        <v>1.62</v>
      </c>
    </row>
    <row r="773" spans="1:30" x14ac:dyDescent="0.25">
      <c r="A773" s="1">
        <v>44784.257731481484</v>
      </c>
      <c r="B773" s="1">
        <v>44784.257476851853</v>
      </c>
      <c r="C773">
        <v>148555</v>
      </c>
      <c r="D773" t="s">
        <v>52</v>
      </c>
      <c r="E773" t="s">
        <v>53</v>
      </c>
      <c r="F773">
        <v>7</v>
      </c>
      <c r="G773">
        <v>42.904949999999999</v>
      </c>
      <c r="H773">
        <v>-71.386764999999997</v>
      </c>
      <c r="I773">
        <v>363</v>
      </c>
      <c r="J773">
        <v>0</v>
      </c>
      <c r="K773">
        <v>0</v>
      </c>
      <c r="L773" s="1">
        <v>44784.257662037038</v>
      </c>
      <c r="M773">
        <v>2.2999999999999998</v>
      </c>
      <c r="N773">
        <v>3</v>
      </c>
      <c r="O773">
        <v>0.7</v>
      </c>
      <c r="P773">
        <v>26</v>
      </c>
      <c r="Q773">
        <v>0.1</v>
      </c>
      <c r="R773">
        <v>0.1</v>
      </c>
      <c r="S773">
        <v>0.1</v>
      </c>
      <c r="T773" t="s">
        <v>33</v>
      </c>
      <c r="U773">
        <v>2.65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 t="s">
        <v>38</v>
      </c>
    </row>
    <row r="774" spans="1:30" x14ac:dyDescent="0.25">
      <c r="A774" s="1">
        <v>44784.257743055554</v>
      </c>
      <c r="B774" s="1">
        <v>44784.257013888891</v>
      </c>
      <c r="C774">
        <v>146644</v>
      </c>
      <c r="D774" t="s">
        <v>54</v>
      </c>
      <c r="E774" t="s">
        <v>53</v>
      </c>
      <c r="F774">
        <v>7</v>
      </c>
      <c r="G774">
        <v>43.06015</v>
      </c>
      <c r="H774">
        <v>-70.758930000000007</v>
      </c>
      <c r="I774">
        <v>35</v>
      </c>
      <c r="J774">
        <v>70</v>
      </c>
      <c r="K774">
        <v>72</v>
      </c>
      <c r="L774" s="1">
        <v>44784.257662037038</v>
      </c>
      <c r="M774">
        <v>5.6</v>
      </c>
      <c r="N774">
        <v>4.7</v>
      </c>
      <c r="O774">
        <v>0.9</v>
      </c>
      <c r="P774">
        <v>17</v>
      </c>
      <c r="Q774">
        <v>0.1</v>
      </c>
      <c r="R774">
        <v>0.1</v>
      </c>
      <c r="S774">
        <v>0.1</v>
      </c>
      <c r="T774" t="s">
        <v>33</v>
      </c>
      <c r="U774">
        <v>5.15</v>
      </c>
      <c r="V774">
        <v>69</v>
      </c>
      <c r="W774">
        <v>73</v>
      </c>
      <c r="X774">
        <v>4</v>
      </c>
      <c r="Y774">
        <v>0</v>
      </c>
      <c r="Z774">
        <v>0</v>
      </c>
      <c r="AA774">
        <v>0</v>
      </c>
      <c r="AB774" t="s">
        <v>33</v>
      </c>
      <c r="AC774">
        <v>71</v>
      </c>
      <c r="AD774">
        <v>0.33</v>
      </c>
    </row>
    <row r="775" spans="1:30" x14ac:dyDescent="0.25">
      <c r="A775" s="1">
        <v>44784.257743055554</v>
      </c>
      <c r="B775" s="1">
        <v>43755.283437500002</v>
      </c>
      <c r="C775">
        <v>12188</v>
      </c>
      <c r="D775" t="s">
        <v>55</v>
      </c>
      <c r="E775" t="s">
        <v>35</v>
      </c>
      <c r="F775">
        <v>4.1100000000000003</v>
      </c>
      <c r="G775">
        <v>42.927050000000001</v>
      </c>
      <c r="H775">
        <v>-72.279610000000005</v>
      </c>
      <c r="I775">
        <v>475</v>
      </c>
      <c r="J775">
        <v>95</v>
      </c>
      <c r="K775">
        <v>0</v>
      </c>
      <c r="L775" s="1">
        <v>44784.257662037038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 t="s">
        <v>32</v>
      </c>
      <c r="V775">
        <v>77</v>
      </c>
      <c r="W775">
        <v>0</v>
      </c>
      <c r="X775">
        <v>77</v>
      </c>
      <c r="Y775">
        <v>0</v>
      </c>
      <c r="Z775">
        <v>0</v>
      </c>
      <c r="AA775">
        <v>0</v>
      </c>
      <c r="AB775" t="s">
        <v>36</v>
      </c>
      <c r="AC775">
        <v>77</v>
      </c>
    </row>
    <row r="776" spans="1:30" x14ac:dyDescent="0.25">
      <c r="A776" s="1">
        <v>44784.257743055554</v>
      </c>
      <c r="B776" s="1">
        <v>44784.257326388892</v>
      </c>
      <c r="C776">
        <v>1224</v>
      </c>
      <c r="D776" t="s">
        <v>56</v>
      </c>
      <c r="E776" t="s">
        <v>35</v>
      </c>
      <c r="F776" t="s">
        <v>57</v>
      </c>
      <c r="G776">
        <v>42.938034000000002</v>
      </c>
      <c r="H776">
        <v>-72.259299999999996</v>
      </c>
      <c r="I776">
        <v>792</v>
      </c>
      <c r="J776">
        <v>74</v>
      </c>
      <c r="K776">
        <v>0</v>
      </c>
      <c r="L776" s="1">
        <v>44784.257662037038</v>
      </c>
      <c r="M776">
        <v>4</v>
      </c>
      <c r="N776">
        <v>0</v>
      </c>
      <c r="O776">
        <v>4</v>
      </c>
      <c r="P776">
        <v>200</v>
      </c>
      <c r="Q776">
        <v>0</v>
      </c>
      <c r="R776">
        <v>0</v>
      </c>
      <c r="S776">
        <v>0</v>
      </c>
      <c r="T776" t="s">
        <v>43</v>
      </c>
      <c r="V776">
        <v>87</v>
      </c>
      <c r="W776">
        <v>0</v>
      </c>
      <c r="X776">
        <v>87</v>
      </c>
      <c r="Y776">
        <v>0</v>
      </c>
      <c r="Z776">
        <v>0</v>
      </c>
      <c r="AA776">
        <v>0</v>
      </c>
      <c r="AB776" t="s">
        <v>36</v>
      </c>
      <c r="AC776">
        <v>87</v>
      </c>
    </row>
    <row r="777" spans="1:30" x14ac:dyDescent="0.25">
      <c r="A777" s="1">
        <v>44784.257743055554</v>
      </c>
      <c r="B777" s="1">
        <v>44784.25677083333</v>
      </c>
      <c r="C777">
        <v>1202</v>
      </c>
      <c r="D777" t="s">
        <v>58</v>
      </c>
      <c r="E777" t="s">
        <v>35</v>
      </c>
      <c r="F777" t="s">
        <v>57</v>
      </c>
      <c r="G777">
        <v>42.936554000000001</v>
      </c>
      <c r="H777">
        <v>-72.271019999999993</v>
      </c>
      <c r="I777">
        <v>488</v>
      </c>
      <c r="J777">
        <v>0</v>
      </c>
      <c r="K777">
        <v>0</v>
      </c>
      <c r="L777" s="1">
        <v>44784.257662037038</v>
      </c>
      <c r="M777">
        <v>4.2</v>
      </c>
      <c r="N777">
        <v>4</v>
      </c>
      <c r="O777">
        <v>0.2</v>
      </c>
      <c r="P777">
        <v>5</v>
      </c>
      <c r="Q777">
        <v>0</v>
      </c>
      <c r="R777">
        <v>0.1</v>
      </c>
      <c r="S777">
        <v>0.05</v>
      </c>
      <c r="T777" t="s">
        <v>33</v>
      </c>
      <c r="U777">
        <v>4.0999999999999996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 t="s">
        <v>38</v>
      </c>
    </row>
    <row r="778" spans="1:30" x14ac:dyDescent="0.25">
      <c r="A778" s="1">
        <v>44784.257754629631</v>
      </c>
      <c r="B778" s="1">
        <v>44612.080023148148</v>
      </c>
      <c r="C778">
        <v>25985</v>
      </c>
      <c r="D778" t="s">
        <v>59</v>
      </c>
      <c r="E778" t="s">
        <v>35</v>
      </c>
      <c r="F778">
        <v>6.01</v>
      </c>
      <c r="G778">
        <v>42.927326000000001</v>
      </c>
      <c r="H778">
        <v>-72.279979999999995</v>
      </c>
      <c r="I778">
        <v>477</v>
      </c>
      <c r="J778">
        <v>78</v>
      </c>
      <c r="K778">
        <v>0</v>
      </c>
      <c r="L778" s="1">
        <v>44784.257662037038</v>
      </c>
      <c r="M778">
        <v>1.1000000000000001</v>
      </c>
      <c r="N778">
        <v>1</v>
      </c>
      <c r="O778">
        <v>0.1</v>
      </c>
      <c r="P778">
        <v>10</v>
      </c>
      <c r="Q778">
        <v>0</v>
      </c>
      <c r="R778">
        <v>0</v>
      </c>
      <c r="S778">
        <v>0</v>
      </c>
      <c r="T778" t="s">
        <v>32</v>
      </c>
      <c r="V778">
        <v>22</v>
      </c>
      <c r="W778">
        <v>0</v>
      </c>
      <c r="X778">
        <v>22</v>
      </c>
      <c r="Y778">
        <v>0</v>
      </c>
      <c r="Z778">
        <v>0</v>
      </c>
      <c r="AA778">
        <v>0</v>
      </c>
      <c r="AB778" t="s">
        <v>36</v>
      </c>
      <c r="AC778">
        <v>22</v>
      </c>
    </row>
    <row r="779" spans="1:30" x14ac:dyDescent="0.25">
      <c r="A779" s="1">
        <v>44784.26462962963</v>
      </c>
      <c r="B779" s="1">
        <v>44775.701319444444</v>
      </c>
      <c r="C779">
        <v>151708</v>
      </c>
      <c r="D779" t="s">
        <v>30</v>
      </c>
      <c r="E779" t="s">
        <v>31</v>
      </c>
      <c r="F779">
        <v>7</v>
      </c>
      <c r="G779">
        <v>43.192042999999998</v>
      </c>
      <c r="H779">
        <v>-71.541579999999996</v>
      </c>
      <c r="I779">
        <v>291</v>
      </c>
      <c r="J779">
        <v>93</v>
      </c>
      <c r="K779">
        <v>94</v>
      </c>
      <c r="L779" s="1">
        <v>44784.264606481483</v>
      </c>
      <c r="M779">
        <v>7.9</v>
      </c>
      <c r="N779">
        <v>7.6</v>
      </c>
      <c r="O779">
        <v>0.3</v>
      </c>
      <c r="P779">
        <v>4</v>
      </c>
      <c r="Q779">
        <v>0</v>
      </c>
      <c r="R779">
        <v>0</v>
      </c>
      <c r="S779">
        <v>0</v>
      </c>
      <c r="T779" t="s">
        <v>32</v>
      </c>
      <c r="V779">
        <v>42</v>
      </c>
      <c r="W779">
        <v>41</v>
      </c>
      <c r="X779">
        <v>1</v>
      </c>
      <c r="Y779">
        <v>0</v>
      </c>
      <c r="Z779">
        <v>0</v>
      </c>
      <c r="AA779">
        <v>0</v>
      </c>
      <c r="AB779" t="s">
        <v>33</v>
      </c>
      <c r="AC779">
        <v>41.5</v>
      </c>
    </row>
    <row r="780" spans="1:30" x14ac:dyDescent="0.25">
      <c r="A780" s="1">
        <v>44784.26462962963</v>
      </c>
      <c r="B780" s="1">
        <v>44784.262939814813</v>
      </c>
      <c r="C780">
        <v>143456</v>
      </c>
      <c r="D780" t="s">
        <v>34</v>
      </c>
      <c r="E780" t="s">
        <v>35</v>
      </c>
      <c r="F780">
        <v>7</v>
      </c>
      <c r="G780">
        <v>43.08963</v>
      </c>
      <c r="H780">
        <v>-71.502440000000007</v>
      </c>
      <c r="I780">
        <v>619</v>
      </c>
      <c r="J780">
        <v>68</v>
      </c>
      <c r="K780">
        <v>0</v>
      </c>
      <c r="L780" s="1">
        <v>44784.264606481483</v>
      </c>
      <c r="M780">
        <v>3.2</v>
      </c>
      <c r="N780">
        <v>3.6</v>
      </c>
      <c r="O780">
        <v>0.4</v>
      </c>
      <c r="P780">
        <v>12</v>
      </c>
      <c r="Q780">
        <v>0</v>
      </c>
      <c r="R780">
        <v>0</v>
      </c>
      <c r="S780">
        <v>0</v>
      </c>
      <c r="T780" t="s">
        <v>33</v>
      </c>
      <c r="U780">
        <v>3.4</v>
      </c>
      <c r="V780">
        <v>72</v>
      </c>
      <c r="W780">
        <v>0</v>
      </c>
      <c r="X780">
        <v>72</v>
      </c>
      <c r="Y780">
        <v>1</v>
      </c>
      <c r="Z780">
        <v>0</v>
      </c>
      <c r="AA780">
        <v>1</v>
      </c>
      <c r="AB780" t="s">
        <v>36</v>
      </c>
      <c r="AC780">
        <v>72</v>
      </c>
      <c r="AD780">
        <v>-0.81</v>
      </c>
    </row>
    <row r="781" spans="1:30" x14ac:dyDescent="0.25">
      <c r="A781" s="1">
        <v>44784.26462962963</v>
      </c>
      <c r="B781" s="1">
        <v>44784.263113425928</v>
      </c>
      <c r="C781">
        <v>151702</v>
      </c>
      <c r="D781" t="s">
        <v>37</v>
      </c>
      <c r="E781" t="s">
        <v>31</v>
      </c>
      <c r="F781">
        <v>7</v>
      </c>
      <c r="G781">
        <v>43.118609999999997</v>
      </c>
      <c r="H781">
        <v>-71.61618</v>
      </c>
      <c r="I781">
        <v>885</v>
      </c>
      <c r="J781">
        <v>0</v>
      </c>
      <c r="K781">
        <v>0</v>
      </c>
      <c r="L781" s="1">
        <v>44784.264606481483</v>
      </c>
      <c r="M781">
        <v>4.5</v>
      </c>
      <c r="N781">
        <v>4.0999999999999996</v>
      </c>
      <c r="O781">
        <v>0.4</v>
      </c>
      <c r="P781">
        <v>9</v>
      </c>
      <c r="Q781">
        <v>0.2</v>
      </c>
      <c r="R781">
        <v>0.1</v>
      </c>
      <c r="S781">
        <v>0.15</v>
      </c>
      <c r="T781" t="s">
        <v>33</v>
      </c>
      <c r="U781">
        <v>4.3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 t="s">
        <v>38</v>
      </c>
    </row>
    <row r="782" spans="1:30" x14ac:dyDescent="0.25">
      <c r="A782" s="1">
        <v>44784.264641203707</v>
      </c>
      <c r="B782" s="1">
        <v>44784.263009259259</v>
      </c>
      <c r="C782">
        <v>151700</v>
      </c>
      <c r="D782" t="s">
        <v>30</v>
      </c>
      <c r="E782" t="s">
        <v>31</v>
      </c>
      <c r="F782">
        <v>7</v>
      </c>
      <c r="G782">
        <v>43.19211</v>
      </c>
      <c r="H782">
        <v>-71.541460000000001</v>
      </c>
      <c r="I782">
        <v>286</v>
      </c>
      <c r="J782">
        <v>70</v>
      </c>
      <c r="K782">
        <v>0</v>
      </c>
      <c r="L782" s="1">
        <v>44784.264606481483</v>
      </c>
      <c r="M782">
        <v>3.2</v>
      </c>
      <c r="N782">
        <v>3.6</v>
      </c>
      <c r="O782">
        <v>0.4</v>
      </c>
      <c r="P782">
        <v>12</v>
      </c>
      <c r="Q782">
        <v>0</v>
      </c>
      <c r="R782">
        <v>0</v>
      </c>
      <c r="S782">
        <v>0</v>
      </c>
      <c r="T782" t="s">
        <v>33</v>
      </c>
      <c r="U782">
        <v>3.4</v>
      </c>
      <c r="V782">
        <v>68</v>
      </c>
      <c r="W782">
        <v>0</v>
      </c>
      <c r="X782">
        <v>68</v>
      </c>
      <c r="Y782">
        <v>0</v>
      </c>
      <c r="Z782">
        <v>0</v>
      </c>
      <c r="AA782">
        <v>0</v>
      </c>
      <c r="AB782" t="s">
        <v>36</v>
      </c>
      <c r="AC782">
        <v>68</v>
      </c>
      <c r="AD782">
        <v>-0.53</v>
      </c>
    </row>
    <row r="783" spans="1:30" x14ac:dyDescent="0.25">
      <c r="A783" s="1">
        <v>44784.264641203707</v>
      </c>
      <c r="B783" s="1">
        <v>44784.263414351852</v>
      </c>
      <c r="C783">
        <v>135984</v>
      </c>
      <c r="D783" t="s">
        <v>39</v>
      </c>
      <c r="E783" t="s">
        <v>31</v>
      </c>
      <c r="F783">
        <v>7</v>
      </c>
      <c r="G783">
        <v>43.565852999999997</v>
      </c>
      <c r="H783">
        <v>-71.496129999999994</v>
      </c>
      <c r="I783">
        <v>708</v>
      </c>
      <c r="J783">
        <v>68</v>
      </c>
      <c r="K783">
        <v>0</v>
      </c>
      <c r="L783" s="1">
        <v>44784.264606481483</v>
      </c>
      <c r="M783">
        <v>6.3</v>
      </c>
      <c r="N783">
        <v>5.2</v>
      </c>
      <c r="O783">
        <v>1.1000000000000001</v>
      </c>
      <c r="P783">
        <v>19</v>
      </c>
      <c r="Q783">
        <v>0.3</v>
      </c>
      <c r="R783">
        <v>0.2</v>
      </c>
      <c r="S783">
        <v>0.25</v>
      </c>
      <c r="T783" t="s">
        <v>33</v>
      </c>
      <c r="U783">
        <v>5.75</v>
      </c>
      <c r="V783">
        <v>92</v>
      </c>
      <c r="W783">
        <v>0</v>
      </c>
      <c r="X783">
        <v>92</v>
      </c>
      <c r="Y783">
        <v>0</v>
      </c>
      <c r="Z783">
        <v>0</v>
      </c>
      <c r="AA783">
        <v>0</v>
      </c>
      <c r="AB783" t="s">
        <v>36</v>
      </c>
      <c r="AC783">
        <v>92</v>
      </c>
      <c r="AD783">
        <v>-0.77</v>
      </c>
    </row>
    <row r="784" spans="1:30" x14ac:dyDescent="0.25">
      <c r="A784" s="1">
        <v>44784.264641203707</v>
      </c>
      <c r="B784" s="1">
        <v>44780.394780092596</v>
      </c>
      <c r="C784">
        <v>151712</v>
      </c>
      <c r="D784" t="s">
        <v>40</v>
      </c>
      <c r="E784" t="s">
        <v>31</v>
      </c>
      <c r="F784">
        <v>7</v>
      </c>
      <c r="G784">
        <v>43.289763999999998</v>
      </c>
      <c r="H784">
        <v>-71.564260000000004</v>
      </c>
      <c r="I784">
        <v>370</v>
      </c>
      <c r="J784">
        <v>86</v>
      </c>
      <c r="K784">
        <v>0</v>
      </c>
      <c r="L784" s="1">
        <v>44784.264606481483</v>
      </c>
      <c r="M784">
        <v>14</v>
      </c>
      <c r="N784">
        <v>13.2</v>
      </c>
      <c r="O784">
        <v>0.8</v>
      </c>
      <c r="P784">
        <v>6</v>
      </c>
      <c r="Q784">
        <v>0</v>
      </c>
      <c r="R784">
        <v>0</v>
      </c>
      <c r="S784">
        <v>0</v>
      </c>
      <c r="T784" t="s">
        <v>32</v>
      </c>
      <c r="V784">
        <v>59</v>
      </c>
      <c r="W784">
        <v>0</v>
      </c>
      <c r="X784">
        <v>59</v>
      </c>
      <c r="Y784">
        <v>0</v>
      </c>
      <c r="Z784">
        <v>0</v>
      </c>
      <c r="AA784">
        <v>0</v>
      </c>
      <c r="AB784" t="s">
        <v>36</v>
      </c>
      <c r="AC784">
        <v>59</v>
      </c>
    </row>
    <row r="785" spans="1:30" x14ac:dyDescent="0.25">
      <c r="A785" s="1">
        <v>44784.264652777776</v>
      </c>
      <c r="B785" s="1">
        <v>44784.264097222222</v>
      </c>
      <c r="C785">
        <v>151710</v>
      </c>
      <c r="D785" t="s">
        <v>41</v>
      </c>
      <c r="E785" t="s">
        <v>31</v>
      </c>
      <c r="F785">
        <v>7</v>
      </c>
      <c r="G785">
        <v>43.132477000000002</v>
      </c>
      <c r="H785">
        <v>-71.458374000000006</v>
      </c>
      <c r="I785">
        <v>230</v>
      </c>
      <c r="J785">
        <v>69</v>
      </c>
      <c r="K785">
        <v>0</v>
      </c>
      <c r="L785" s="1">
        <v>44784.264606481483</v>
      </c>
      <c r="M785">
        <v>7.1</v>
      </c>
      <c r="N785">
        <v>5</v>
      </c>
      <c r="O785">
        <v>2.1</v>
      </c>
      <c r="P785">
        <v>35</v>
      </c>
      <c r="Q785">
        <v>0.2</v>
      </c>
      <c r="R785">
        <v>0.1</v>
      </c>
      <c r="S785">
        <v>0.15</v>
      </c>
      <c r="T785" t="s">
        <v>33</v>
      </c>
      <c r="U785">
        <v>6.05</v>
      </c>
      <c r="V785">
        <v>68</v>
      </c>
      <c r="W785">
        <v>0</v>
      </c>
      <c r="X785">
        <v>68</v>
      </c>
      <c r="Y785">
        <v>1</v>
      </c>
      <c r="Z785">
        <v>0</v>
      </c>
      <c r="AA785">
        <v>1</v>
      </c>
      <c r="AB785" t="s">
        <v>36</v>
      </c>
      <c r="AC785">
        <v>68</v>
      </c>
      <c r="AD785">
        <v>1.0900000000000001</v>
      </c>
    </row>
    <row r="786" spans="1:30" x14ac:dyDescent="0.25">
      <c r="A786" s="1">
        <v>44784.264652777776</v>
      </c>
      <c r="B786" s="1">
        <v>44784.263784722221</v>
      </c>
      <c r="C786">
        <v>151706</v>
      </c>
      <c r="D786" t="s">
        <v>42</v>
      </c>
      <c r="E786" t="s">
        <v>31</v>
      </c>
      <c r="F786">
        <v>7</v>
      </c>
      <c r="G786">
        <v>43.004080000000002</v>
      </c>
      <c r="H786">
        <v>-71.177040000000005</v>
      </c>
      <c r="I786">
        <v>194</v>
      </c>
      <c r="J786">
        <v>68</v>
      </c>
      <c r="K786">
        <v>0</v>
      </c>
      <c r="L786" s="1">
        <v>44784.264606481483</v>
      </c>
      <c r="M786">
        <v>5.0999999999999996</v>
      </c>
      <c r="N786">
        <v>0</v>
      </c>
      <c r="O786">
        <v>5.0999999999999996</v>
      </c>
      <c r="P786">
        <v>200</v>
      </c>
      <c r="Q786">
        <v>2.1</v>
      </c>
      <c r="R786">
        <v>0</v>
      </c>
      <c r="S786">
        <v>1.05</v>
      </c>
      <c r="T786" t="s">
        <v>43</v>
      </c>
      <c r="V786">
        <v>71</v>
      </c>
      <c r="W786">
        <v>0</v>
      </c>
      <c r="X786">
        <v>71</v>
      </c>
      <c r="Y786">
        <v>0</v>
      </c>
      <c r="Z786">
        <v>0</v>
      </c>
      <c r="AA786">
        <v>0</v>
      </c>
      <c r="AB786" t="s">
        <v>36</v>
      </c>
      <c r="AC786">
        <v>71</v>
      </c>
    </row>
    <row r="787" spans="1:30" x14ac:dyDescent="0.25">
      <c r="A787" s="1">
        <v>44784.264652777776</v>
      </c>
      <c r="B787" s="1">
        <v>44784.263506944444</v>
      </c>
      <c r="C787">
        <v>12212</v>
      </c>
      <c r="D787" t="s">
        <v>44</v>
      </c>
      <c r="E787" t="s">
        <v>35</v>
      </c>
      <c r="F787">
        <v>7</v>
      </c>
      <c r="G787">
        <v>42.930529999999997</v>
      </c>
      <c r="H787">
        <v>-72.272350000000003</v>
      </c>
      <c r="I787">
        <v>476</v>
      </c>
      <c r="J787">
        <v>75</v>
      </c>
      <c r="K787">
        <v>0</v>
      </c>
      <c r="L787" s="1">
        <v>44784.264606481483</v>
      </c>
      <c r="M787">
        <v>4.9000000000000004</v>
      </c>
      <c r="N787">
        <v>4.2</v>
      </c>
      <c r="O787">
        <v>0.7</v>
      </c>
      <c r="P787">
        <v>15</v>
      </c>
      <c r="Q787">
        <v>0.1</v>
      </c>
      <c r="R787">
        <v>0</v>
      </c>
      <c r="S787">
        <v>0.05</v>
      </c>
      <c r="T787" t="s">
        <v>33</v>
      </c>
      <c r="U787">
        <v>4.55</v>
      </c>
      <c r="V787">
        <v>87</v>
      </c>
      <c r="W787">
        <v>0</v>
      </c>
      <c r="X787">
        <v>87</v>
      </c>
      <c r="Y787">
        <v>1</v>
      </c>
      <c r="Z787">
        <v>0</v>
      </c>
      <c r="AA787">
        <v>1</v>
      </c>
      <c r="AB787" t="s">
        <v>36</v>
      </c>
      <c r="AC787">
        <v>87</v>
      </c>
      <c r="AD787">
        <v>-1.1499999999999999</v>
      </c>
    </row>
    <row r="788" spans="1:30" x14ac:dyDescent="0.25">
      <c r="A788" s="1">
        <v>44784.264652777776</v>
      </c>
      <c r="B788" s="1">
        <v>44769.376736111109</v>
      </c>
      <c r="C788">
        <v>12178</v>
      </c>
      <c r="D788" t="s">
        <v>45</v>
      </c>
      <c r="E788" t="s">
        <v>35</v>
      </c>
      <c r="F788">
        <v>7</v>
      </c>
      <c r="G788">
        <v>42.899563000000001</v>
      </c>
      <c r="H788">
        <v>-71.464650000000006</v>
      </c>
      <c r="I788">
        <v>301</v>
      </c>
      <c r="J788">
        <v>85</v>
      </c>
      <c r="K788">
        <v>0</v>
      </c>
      <c r="L788" s="1">
        <v>44784.264606481483</v>
      </c>
      <c r="M788">
        <v>3.8</v>
      </c>
      <c r="N788">
        <v>3.1</v>
      </c>
      <c r="O788">
        <v>0.7</v>
      </c>
      <c r="P788">
        <v>20</v>
      </c>
      <c r="Q788">
        <v>0</v>
      </c>
      <c r="R788">
        <v>0</v>
      </c>
      <c r="S788">
        <v>0</v>
      </c>
      <c r="T788" t="s">
        <v>32</v>
      </c>
      <c r="V788">
        <v>35</v>
      </c>
      <c r="W788">
        <v>0</v>
      </c>
      <c r="X788">
        <v>35</v>
      </c>
      <c r="Y788">
        <v>0</v>
      </c>
      <c r="Z788">
        <v>0</v>
      </c>
      <c r="AA788">
        <v>0</v>
      </c>
      <c r="AB788" t="s">
        <v>36</v>
      </c>
      <c r="AC788">
        <v>35</v>
      </c>
    </row>
    <row r="789" spans="1:30" x14ac:dyDescent="0.25">
      <c r="A789" s="1">
        <v>44784.264664351853</v>
      </c>
      <c r="B789" s="1">
        <v>44784.262835648151</v>
      </c>
      <c r="C789">
        <v>75981</v>
      </c>
      <c r="D789" t="s">
        <v>46</v>
      </c>
      <c r="E789" t="s">
        <v>35</v>
      </c>
      <c r="F789">
        <v>7</v>
      </c>
      <c r="G789">
        <v>42.97</v>
      </c>
      <c r="H789">
        <v>-71.06</v>
      </c>
      <c r="I789">
        <v>136</v>
      </c>
      <c r="J789">
        <v>74</v>
      </c>
      <c r="K789">
        <v>0</v>
      </c>
      <c r="L789" s="1">
        <v>44784.264606481483</v>
      </c>
      <c r="M789">
        <v>4.2</v>
      </c>
      <c r="N789">
        <v>3.8</v>
      </c>
      <c r="O789">
        <v>0.4</v>
      </c>
      <c r="P789">
        <v>10</v>
      </c>
      <c r="Q789">
        <v>0</v>
      </c>
      <c r="R789">
        <v>0.1</v>
      </c>
      <c r="S789">
        <v>0.05</v>
      </c>
      <c r="T789" t="s">
        <v>33</v>
      </c>
      <c r="U789">
        <v>4</v>
      </c>
      <c r="V789">
        <v>63</v>
      </c>
      <c r="W789">
        <v>0</v>
      </c>
      <c r="X789">
        <v>63</v>
      </c>
      <c r="Y789">
        <v>0</v>
      </c>
      <c r="Z789">
        <v>0</v>
      </c>
      <c r="AA789">
        <v>0</v>
      </c>
      <c r="AB789" t="s">
        <v>36</v>
      </c>
      <c r="AC789">
        <v>63</v>
      </c>
      <c r="AD789">
        <v>0.19</v>
      </c>
    </row>
    <row r="790" spans="1:30" x14ac:dyDescent="0.25">
      <c r="A790" s="1">
        <v>44784.264664351853</v>
      </c>
      <c r="B790" s="1">
        <v>44784.263368055559</v>
      </c>
      <c r="C790">
        <v>115703</v>
      </c>
      <c r="D790" t="s">
        <v>47</v>
      </c>
      <c r="E790" t="s">
        <v>35</v>
      </c>
      <c r="F790">
        <v>7</v>
      </c>
      <c r="G790">
        <v>43.953625000000002</v>
      </c>
      <c r="H790">
        <v>-71.508859999999999</v>
      </c>
      <c r="I790">
        <v>1493</v>
      </c>
      <c r="J790">
        <v>62</v>
      </c>
      <c r="K790">
        <v>0</v>
      </c>
      <c r="L790" s="1">
        <v>44784.264606481483</v>
      </c>
      <c r="M790">
        <v>0</v>
      </c>
      <c r="N790">
        <v>300.89999999999998</v>
      </c>
      <c r="O790">
        <v>300.89999999999998</v>
      </c>
      <c r="P790">
        <v>200</v>
      </c>
      <c r="Q790">
        <v>0</v>
      </c>
      <c r="R790">
        <v>0</v>
      </c>
      <c r="S790">
        <v>0</v>
      </c>
      <c r="T790" t="s">
        <v>48</v>
      </c>
      <c r="V790">
        <v>69</v>
      </c>
      <c r="W790">
        <v>0</v>
      </c>
      <c r="X790">
        <v>69</v>
      </c>
      <c r="Y790">
        <v>0</v>
      </c>
      <c r="Z790">
        <v>0</v>
      </c>
      <c r="AA790">
        <v>0</v>
      </c>
      <c r="AB790" t="s">
        <v>36</v>
      </c>
      <c r="AC790">
        <v>69</v>
      </c>
    </row>
    <row r="791" spans="1:30" x14ac:dyDescent="0.25">
      <c r="A791" s="1">
        <v>44784.264664351853</v>
      </c>
      <c r="B791" s="1">
        <v>44784.264178240737</v>
      </c>
      <c r="C791">
        <v>12050</v>
      </c>
      <c r="D791" t="s">
        <v>49</v>
      </c>
      <c r="E791" t="s">
        <v>35</v>
      </c>
      <c r="F791">
        <v>7</v>
      </c>
      <c r="G791">
        <v>44.220573000000002</v>
      </c>
      <c r="H791">
        <v>-71.732315</v>
      </c>
      <c r="I791">
        <v>999</v>
      </c>
      <c r="J791">
        <v>68</v>
      </c>
      <c r="K791">
        <v>0</v>
      </c>
      <c r="L791" s="1">
        <v>44784.264606481483</v>
      </c>
      <c r="M791">
        <v>2.9</v>
      </c>
      <c r="N791">
        <v>3</v>
      </c>
      <c r="O791">
        <v>0.1</v>
      </c>
      <c r="P791">
        <v>3</v>
      </c>
      <c r="Q791">
        <v>0</v>
      </c>
      <c r="R791">
        <v>0.1</v>
      </c>
      <c r="S791">
        <v>0.05</v>
      </c>
      <c r="T791" t="s">
        <v>33</v>
      </c>
      <c r="U791">
        <v>2.95</v>
      </c>
      <c r="V791">
        <v>59</v>
      </c>
      <c r="W791">
        <v>0</v>
      </c>
      <c r="X791">
        <v>59</v>
      </c>
      <c r="Y791">
        <v>1</v>
      </c>
      <c r="Z791">
        <v>0</v>
      </c>
      <c r="AA791">
        <v>1</v>
      </c>
      <c r="AB791" t="s">
        <v>36</v>
      </c>
      <c r="AC791">
        <v>59</v>
      </c>
      <c r="AD791">
        <v>-0.17</v>
      </c>
    </row>
    <row r="792" spans="1:30" x14ac:dyDescent="0.25">
      <c r="A792" s="1">
        <v>44784.264675925922</v>
      </c>
      <c r="B792" s="1">
        <v>44784.264282407406</v>
      </c>
      <c r="C792">
        <v>23443</v>
      </c>
      <c r="D792" t="s">
        <v>50</v>
      </c>
      <c r="E792" t="s">
        <v>35</v>
      </c>
      <c r="F792">
        <v>7</v>
      </c>
      <c r="G792">
        <v>43.556139999999999</v>
      </c>
      <c r="H792">
        <v>-72.370990000000006</v>
      </c>
      <c r="I792">
        <v>523</v>
      </c>
      <c r="J792">
        <v>69</v>
      </c>
      <c r="K792">
        <v>0</v>
      </c>
      <c r="L792" s="1">
        <v>44784.264606481483</v>
      </c>
      <c r="M792">
        <v>4.4000000000000004</v>
      </c>
      <c r="N792">
        <v>3.6</v>
      </c>
      <c r="O792">
        <v>0.8</v>
      </c>
      <c r="P792">
        <v>20</v>
      </c>
      <c r="Q792">
        <v>0.1</v>
      </c>
      <c r="R792">
        <v>0</v>
      </c>
      <c r="S792">
        <v>0.05</v>
      </c>
      <c r="T792" t="s">
        <v>33</v>
      </c>
      <c r="U792">
        <v>4</v>
      </c>
      <c r="V792">
        <v>67</v>
      </c>
      <c r="W792">
        <v>0</v>
      </c>
      <c r="X792">
        <v>67</v>
      </c>
      <c r="Y792">
        <v>0</v>
      </c>
      <c r="Z792">
        <v>0</v>
      </c>
      <c r="AA792">
        <v>0</v>
      </c>
      <c r="AB792" t="s">
        <v>36</v>
      </c>
      <c r="AC792">
        <v>67</v>
      </c>
      <c r="AD792">
        <v>-0.09</v>
      </c>
    </row>
    <row r="793" spans="1:30" x14ac:dyDescent="0.25">
      <c r="A793" s="1">
        <v>44784.264675925922</v>
      </c>
      <c r="B793" s="1">
        <v>44784.264363425929</v>
      </c>
      <c r="C793">
        <v>58135</v>
      </c>
      <c r="D793" t="s">
        <v>51</v>
      </c>
      <c r="E793" t="s">
        <v>35</v>
      </c>
      <c r="F793">
        <v>7</v>
      </c>
      <c r="G793">
        <v>42.883873000000001</v>
      </c>
      <c r="H793">
        <v>-71.972915999999998</v>
      </c>
      <c r="I793">
        <v>808</v>
      </c>
      <c r="J793">
        <v>70</v>
      </c>
      <c r="K793">
        <v>0</v>
      </c>
      <c r="L793" s="1">
        <v>44784.264606481483</v>
      </c>
      <c r="M793">
        <v>9</v>
      </c>
      <c r="N793">
        <v>5.8</v>
      </c>
      <c r="O793">
        <v>3.2</v>
      </c>
      <c r="P793">
        <v>43</v>
      </c>
      <c r="Q793">
        <v>0.2</v>
      </c>
      <c r="R793">
        <v>0</v>
      </c>
      <c r="S793">
        <v>0.1</v>
      </c>
      <c r="T793" t="s">
        <v>33</v>
      </c>
      <c r="U793">
        <v>7.4</v>
      </c>
      <c r="V793">
        <v>72</v>
      </c>
      <c r="W793">
        <v>0</v>
      </c>
      <c r="X793">
        <v>72</v>
      </c>
      <c r="Y793">
        <v>1</v>
      </c>
      <c r="Z793">
        <v>0</v>
      </c>
      <c r="AA793">
        <v>1</v>
      </c>
      <c r="AB793" t="s">
        <v>36</v>
      </c>
      <c r="AC793">
        <v>72</v>
      </c>
      <c r="AD793">
        <v>1.63</v>
      </c>
    </row>
    <row r="794" spans="1:30" x14ac:dyDescent="0.25">
      <c r="A794" s="1">
        <v>44784.264675925922</v>
      </c>
      <c r="B794" s="1">
        <v>44784.264421296299</v>
      </c>
      <c r="C794">
        <v>148555</v>
      </c>
      <c r="D794" t="s">
        <v>52</v>
      </c>
      <c r="E794" t="s">
        <v>53</v>
      </c>
      <c r="F794">
        <v>7</v>
      </c>
      <c r="G794">
        <v>42.904949999999999</v>
      </c>
      <c r="H794">
        <v>-71.386764999999997</v>
      </c>
      <c r="I794">
        <v>363</v>
      </c>
      <c r="J794">
        <v>0</v>
      </c>
      <c r="K794">
        <v>0</v>
      </c>
      <c r="L794" s="1">
        <v>44784.264606481483</v>
      </c>
      <c r="M794">
        <v>2.5</v>
      </c>
      <c r="N794">
        <v>3.1</v>
      </c>
      <c r="O794">
        <v>0.6</v>
      </c>
      <c r="P794">
        <v>21</v>
      </c>
      <c r="Q794">
        <v>0.2</v>
      </c>
      <c r="R794">
        <v>0.1</v>
      </c>
      <c r="S794">
        <v>0.15</v>
      </c>
      <c r="T794" t="s">
        <v>33</v>
      </c>
      <c r="U794">
        <v>2.8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 t="s">
        <v>38</v>
      </c>
    </row>
    <row r="795" spans="1:30" x14ac:dyDescent="0.25">
      <c r="A795" s="1">
        <v>44784.264687499999</v>
      </c>
      <c r="B795" s="1">
        <v>44784.263958333337</v>
      </c>
      <c r="C795">
        <v>146644</v>
      </c>
      <c r="D795" t="s">
        <v>54</v>
      </c>
      <c r="E795" t="s">
        <v>53</v>
      </c>
      <c r="F795">
        <v>7</v>
      </c>
      <c r="G795">
        <v>43.06015</v>
      </c>
      <c r="H795">
        <v>-70.758930000000007</v>
      </c>
      <c r="I795">
        <v>35</v>
      </c>
      <c r="J795">
        <v>70</v>
      </c>
      <c r="K795">
        <v>72</v>
      </c>
      <c r="L795" s="1">
        <v>44784.264606481483</v>
      </c>
      <c r="M795">
        <v>5.9</v>
      </c>
      <c r="N795">
        <v>4.8</v>
      </c>
      <c r="O795">
        <v>1.1000000000000001</v>
      </c>
      <c r="P795">
        <v>21</v>
      </c>
      <c r="Q795">
        <v>0.3</v>
      </c>
      <c r="R795">
        <v>0.1</v>
      </c>
      <c r="S795">
        <v>0.2</v>
      </c>
      <c r="T795" t="s">
        <v>33</v>
      </c>
      <c r="U795">
        <v>5.35</v>
      </c>
      <c r="V795">
        <v>68</v>
      </c>
      <c r="W795">
        <v>73</v>
      </c>
      <c r="X795">
        <v>5</v>
      </c>
      <c r="Y795">
        <v>1</v>
      </c>
      <c r="Z795">
        <v>0</v>
      </c>
      <c r="AA795">
        <v>1</v>
      </c>
      <c r="AB795" t="s">
        <v>33</v>
      </c>
      <c r="AC795">
        <v>70.5</v>
      </c>
      <c r="AD795">
        <v>0.49</v>
      </c>
    </row>
    <row r="796" spans="1:30" x14ac:dyDescent="0.25">
      <c r="A796" s="1">
        <v>44784.264687499999</v>
      </c>
      <c r="B796" s="1">
        <v>43755.283437500002</v>
      </c>
      <c r="C796">
        <v>12188</v>
      </c>
      <c r="D796" t="s">
        <v>55</v>
      </c>
      <c r="E796" t="s">
        <v>35</v>
      </c>
      <c r="F796">
        <v>4.1100000000000003</v>
      </c>
      <c r="G796">
        <v>42.927050000000001</v>
      </c>
      <c r="H796">
        <v>-72.279610000000005</v>
      </c>
      <c r="I796">
        <v>475</v>
      </c>
      <c r="J796">
        <v>95</v>
      </c>
      <c r="K796">
        <v>0</v>
      </c>
      <c r="L796" s="1">
        <v>44784.264606481483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 t="s">
        <v>32</v>
      </c>
      <c r="V796">
        <v>77</v>
      </c>
      <c r="W796">
        <v>0</v>
      </c>
      <c r="X796">
        <v>77</v>
      </c>
      <c r="Y796">
        <v>0</v>
      </c>
      <c r="Z796">
        <v>0</v>
      </c>
      <c r="AA796">
        <v>0</v>
      </c>
      <c r="AB796" t="s">
        <v>36</v>
      </c>
      <c r="AC796">
        <v>77</v>
      </c>
    </row>
    <row r="797" spans="1:30" x14ac:dyDescent="0.25">
      <c r="A797" s="1">
        <v>44784.264687499999</v>
      </c>
      <c r="B797" s="1">
        <v>44784.264270833337</v>
      </c>
      <c r="C797">
        <v>1224</v>
      </c>
      <c r="D797" t="s">
        <v>56</v>
      </c>
      <c r="E797" t="s">
        <v>35</v>
      </c>
      <c r="F797" t="s">
        <v>57</v>
      </c>
      <c r="G797">
        <v>42.938034000000002</v>
      </c>
      <c r="H797">
        <v>-72.259299999999996</v>
      </c>
      <c r="I797">
        <v>792</v>
      </c>
      <c r="J797">
        <v>74</v>
      </c>
      <c r="K797">
        <v>0</v>
      </c>
      <c r="L797" s="1">
        <v>44784.264606481483</v>
      </c>
      <c r="M797">
        <v>4</v>
      </c>
      <c r="N797">
        <v>0</v>
      </c>
      <c r="O797">
        <v>4</v>
      </c>
      <c r="P797">
        <v>200</v>
      </c>
      <c r="Q797">
        <v>0</v>
      </c>
      <c r="R797">
        <v>0</v>
      </c>
      <c r="S797">
        <v>0</v>
      </c>
      <c r="T797" t="s">
        <v>43</v>
      </c>
      <c r="V797">
        <v>87</v>
      </c>
      <c r="W797">
        <v>0</v>
      </c>
      <c r="X797">
        <v>87</v>
      </c>
      <c r="Y797">
        <v>0</v>
      </c>
      <c r="Z797">
        <v>0</v>
      </c>
      <c r="AA797">
        <v>0</v>
      </c>
      <c r="AB797" t="s">
        <v>36</v>
      </c>
      <c r="AC797">
        <v>87</v>
      </c>
    </row>
    <row r="798" spans="1:30" x14ac:dyDescent="0.25">
      <c r="A798" s="1">
        <v>44784.264687499999</v>
      </c>
      <c r="B798" s="1">
        <v>44784.263715277775</v>
      </c>
      <c r="C798">
        <v>1202</v>
      </c>
      <c r="D798" t="s">
        <v>58</v>
      </c>
      <c r="E798" t="s">
        <v>35</v>
      </c>
      <c r="F798" t="s">
        <v>57</v>
      </c>
      <c r="G798">
        <v>42.936554000000001</v>
      </c>
      <c r="H798">
        <v>-72.271019999999993</v>
      </c>
      <c r="I798">
        <v>488</v>
      </c>
      <c r="J798">
        <v>0</v>
      </c>
      <c r="K798">
        <v>0</v>
      </c>
      <c r="L798" s="1">
        <v>44784.264606481483</v>
      </c>
      <c r="M798">
        <v>4.4000000000000004</v>
      </c>
      <c r="N798">
        <v>4</v>
      </c>
      <c r="O798">
        <v>0.4</v>
      </c>
      <c r="P798">
        <v>10</v>
      </c>
      <c r="Q798">
        <v>0.2</v>
      </c>
      <c r="R798">
        <v>0</v>
      </c>
      <c r="S798">
        <v>0.1</v>
      </c>
      <c r="T798" t="s">
        <v>33</v>
      </c>
      <c r="U798">
        <v>4.2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 t="s">
        <v>38</v>
      </c>
    </row>
    <row r="799" spans="1:30" x14ac:dyDescent="0.25">
      <c r="A799" s="1">
        <v>44784.264699074076</v>
      </c>
      <c r="B799" s="1">
        <v>44612.080023148148</v>
      </c>
      <c r="C799">
        <v>25985</v>
      </c>
      <c r="D799" t="s">
        <v>59</v>
      </c>
      <c r="E799" t="s">
        <v>35</v>
      </c>
      <c r="F799">
        <v>6.01</v>
      </c>
      <c r="G799">
        <v>42.927326000000001</v>
      </c>
      <c r="H799">
        <v>-72.279979999999995</v>
      </c>
      <c r="I799">
        <v>477</v>
      </c>
      <c r="J799">
        <v>78</v>
      </c>
      <c r="K799">
        <v>0</v>
      </c>
      <c r="L799" s="1">
        <v>44784.264606481483</v>
      </c>
      <c r="M799">
        <v>1.1000000000000001</v>
      </c>
      <c r="N799">
        <v>1</v>
      </c>
      <c r="O799">
        <v>0.1</v>
      </c>
      <c r="P799">
        <v>10</v>
      </c>
      <c r="Q799">
        <v>0</v>
      </c>
      <c r="R799">
        <v>0</v>
      </c>
      <c r="S799">
        <v>0</v>
      </c>
      <c r="T799" t="s">
        <v>32</v>
      </c>
      <c r="V799">
        <v>22</v>
      </c>
      <c r="W799">
        <v>0</v>
      </c>
      <c r="X799">
        <v>22</v>
      </c>
      <c r="Y799">
        <v>0</v>
      </c>
      <c r="Z799">
        <v>0</v>
      </c>
      <c r="AA799">
        <v>0</v>
      </c>
      <c r="AB799" t="s">
        <v>36</v>
      </c>
      <c r="AC799">
        <v>22</v>
      </c>
    </row>
    <row r="800" spans="1:30" x14ac:dyDescent="0.25">
      <c r="A800" s="1">
        <v>44784.271574074075</v>
      </c>
      <c r="B800" s="1">
        <v>44775.701319444444</v>
      </c>
      <c r="C800">
        <v>151708</v>
      </c>
      <c r="D800" t="s">
        <v>30</v>
      </c>
      <c r="E800" t="s">
        <v>31</v>
      </c>
      <c r="F800">
        <v>7</v>
      </c>
      <c r="G800">
        <v>43.192042999999998</v>
      </c>
      <c r="H800">
        <v>-71.541579999999996</v>
      </c>
      <c r="I800">
        <v>291</v>
      </c>
      <c r="J800">
        <v>93</v>
      </c>
      <c r="K800">
        <v>94</v>
      </c>
      <c r="L800" s="1">
        <v>44784.271550925929</v>
      </c>
      <c r="M800">
        <v>7.9</v>
      </c>
      <c r="N800">
        <v>7.6</v>
      </c>
      <c r="O800">
        <v>0.3</v>
      </c>
      <c r="P800">
        <v>4</v>
      </c>
      <c r="Q800">
        <v>0</v>
      </c>
      <c r="R800">
        <v>0</v>
      </c>
      <c r="S800">
        <v>0</v>
      </c>
      <c r="T800" t="s">
        <v>32</v>
      </c>
      <c r="V800">
        <v>42</v>
      </c>
      <c r="W800">
        <v>41</v>
      </c>
      <c r="X800">
        <v>1</v>
      </c>
      <c r="Y800">
        <v>0</v>
      </c>
      <c r="Z800">
        <v>0</v>
      </c>
      <c r="AA800">
        <v>0</v>
      </c>
      <c r="AB800" t="s">
        <v>33</v>
      </c>
      <c r="AC800">
        <v>41.5</v>
      </c>
    </row>
    <row r="801" spans="1:30" x14ac:dyDescent="0.25">
      <c r="A801" s="1">
        <v>44784.271574074075</v>
      </c>
      <c r="B801" s="1">
        <v>44784.269884259258</v>
      </c>
      <c r="C801">
        <v>143456</v>
      </c>
      <c r="D801" t="s">
        <v>34</v>
      </c>
      <c r="E801" t="s">
        <v>35</v>
      </c>
      <c r="F801">
        <v>7</v>
      </c>
      <c r="G801">
        <v>43.08963</v>
      </c>
      <c r="H801">
        <v>-71.502440000000007</v>
      </c>
      <c r="I801">
        <v>619</v>
      </c>
      <c r="J801">
        <v>69</v>
      </c>
      <c r="K801">
        <v>0</v>
      </c>
      <c r="L801" s="1">
        <v>44784.271550925929</v>
      </c>
      <c r="M801">
        <v>3.3</v>
      </c>
      <c r="N801">
        <v>3.7</v>
      </c>
      <c r="O801">
        <v>0.4</v>
      </c>
      <c r="P801">
        <v>11</v>
      </c>
      <c r="Q801">
        <v>0.1</v>
      </c>
      <c r="R801">
        <v>0.1</v>
      </c>
      <c r="S801">
        <v>0.1</v>
      </c>
      <c r="T801" t="s">
        <v>33</v>
      </c>
      <c r="U801">
        <v>3.5</v>
      </c>
      <c r="V801">
        <v>73</v>
      </c>
      <c r="W801">
        <v>0</v>
      </c>
      <c r="X801">
        <v>73</v>
      </c>
      <c r="Y801">
        <v>1</v>
      </c>
      <c r="Z801">
        <v>0</v>
      </c>
      <c r="AA801">
        <v>1</v>
      </c>
      <c r="AB801" t="s">
        <v>36</v>
      </c>
      <c r="AC801">
        <v>73</v>
      </c>
      <c r="AD801">
        <v>-0.82</v>
      </c>
    </row>
    <row r="802" spans="1:30" x14ac:dyDescent="0.25">
      <c r="A802" s="1">
        <v>44784.271574074075</v>
      </c>
      <c r="B802" s="1">
        <v>44784.270057870373</v>
      </c>
      <c r="C802">
        <v>151702</v>
      </c>
      <c r="D802" t="s">
        <v>37</v>
      </c>
      <c r="E802" t="s">
        <v>31</v>
      </c>
      <c r="F802">
        <v>7</v>
      </c>
      <c r="G802">
        <v>43.118609999999997</v>
      </c>
      <c r="H802">
        <v>-71.61618</v>
      </c>
      <c r="I802">
        <v>885</v>
      </c>
      <c r="J802">
        <v>0</v>
      </c>
      <c r="K802">
        <v>0</v>
      </c>
      <c r="L802" s="1">
        <v>44784.271550925929</v>
      </c>
      <c r="M802">
        <v>4.5999999999999996</v>
      </c>
      <c r="N802">
        <v>4.0999999999999996</v>
      </c>
      <c r="O802">
        <v>0.5</v>
      </c>
      <c r="P802">
        <v>11</v>
      </c>
      <c r="Q802">
        <v>0.1</v>
      </c>
      <c r="R802">
        <v>0</v>
      </c>
      <c r="S802">
        <v>0.05</v>
      </c>
      <c r="T802" t="s">
        <v>33</v>
      </c>
      <c r="U802">
        <v>4.3499999999999996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 t="s">
        <v>38</v>
      </c>
    </row>
    <row r="803" spans="1:30" x14ac:dyDescent="0.25">
      <c r="A803" s="1">
        <v>44784.271585648145</v>
      </c>
      <c r="B803" s="1">
        <v>44784.269953703704</v>
      </c>
      <c r="C803">
        <v>151700</v>
      </c>
      <c r="D803" t="s">
        <v>30</v>
      </c>
      <c r="E803" t="s">
        <v>31</v>
      </c>
      <c r="F803">
        <v>7</v>
      </c>
      <c r="G803">
        <v>43.19211</v>
      </c>
      <c r="H803">
        <v>-71.541460000000001</v>
      </c>
      <c r="I803">
        <v>286</v>
      </c>
      <c r="J803">
        <v>70</v>
      </c>
      <c r="K803">
        <v>0</v>
      </c>
      <c r="L803" s="1">
        <v>44784.271550925929</v>
      </c>
      <c r="M803">
        <v>3.3</v>
      </c>
      <c r="N803">
        <v>3.5</v>
      </c>
      <c r="O803">
        <v>0.2</v>
      </c>
      <c r="P803">
        <v>6</v>
      </c>
      <c r="Q803">
        <v>0.1</v>
      </c>
      <c r="R803">
        <v>0.1</v>
      </c>
      <c r="S803">
        <v>0.1</v>
      </c>
      <c r="T803" t="s">
        <v>33</v>
      </c>
      <c r="U803">
        <v>3.4</v>
      </c>
      <c r="V803">
        <v>69</v>
      </c>
      <c r="W803">
        <v>0</v>
      </c>
      <c r="X803">
        <v>69</v>
      </c>
      <c r="Y803">
        <v>1</v>
      </c>
      <c r="Z803">
        <v>0</v>
      </c>
      <c r="AA803">
        <v>1</v>
      </c>
      <c r="AB803" t="s">
        <v>36</v>
      </c>
      <c r="AC803">
        <v>69</v>
      </c>
      <c r="AD803">
        <v>-0.6</v>
      </c>
    </row>
    <row r="804" spans="1:30" x14ac:dyDescent="0.25">
      <c r="A804" s="1">
        <v>44784.271585648145</v>
      </c>
      <c r="B804" s="1">
        <v>44784.270358796297</v>
      </c>
      <c r="C804">
        <v>135984</v>
      </c>
      <c r="D804" t="s">
        <v>39</v>
      </c>
      <c r="E804" t="s">
        <v>31</v>
      </c>
      <c r="F804">
        <v>7</v>
      </c>
      <c r="G804">
        <v>43.565852999999997</v>
      </c>
      <c r="H804">
        <v>-71.496129999999994</v>
      </c>
      <c r="I804">
        <v>708</v>
      </c>
      <c r="J804">
        <v>67</v>
      </c>
      <c r="K804">
        <v>0</v>
      </c>
      <c r="L804" s="1">
        <v>44784.271550925929</v>
      </c>
      <c r="M804">
        <v>6.6</v>
      </c>
      <c r="N804">
        <v>5.5</v>
      </c>
      <c r="O804">
        <v>1.1000000000000001</v>
      </c>
      <c r="P804">
        <v>18</v>
      </c>
      <c r="Q804">
        <v>0.3</v>
      </c>
      <c r="R804">
        <v>0.3</v>
      </c>
      <c r="S804">
        <v>0.3</v>
      </c>
      <c r="T804" t="s">
        <v>33</v>
      </c>
      <c r="U804">
        <v>6.05</v>
      </c>
      <c r="V804">
        <v>92</v>
      </c>
      <c r="W804">
        <v>0</v>
      </c>
      <c r="X804">
        <v>92</v>
      </c>
      <c r="Y804">
        <v>0</v>
      </c>
      <c r="Z804">
        <v>0</v>
      </c>
      <c r="AA804">
        <v>0</v>
      </c>
      <c r="AB804" t="s">
        <v>36</v>
      </c>
      <c r="AC804">
        <v>92</v>
      </c>
      <c r="AD804">
        <v>-0.59</v>
      </c>
    </row>
    <row r="805" spans="1:30" x14ac:dyDescent="0.25">
      <c r="A805" s="1">
        <v>44784.271585648145</v>
      </c>
      <c r="B805" s="1">
        <v>44780.394780092596</v>
      </c>
      <c r="C805">
        <v>151712</v>
      </c>
      <c r="D805" t="s">
        <v>40</v>
      </c>
      <c r="E805" t="s">
        <v>31</v>
      </c>
      <c r="F805">
        <v>7</v>
      </c>
      <c r="G805">
        <v>43.289763999999998</v>
      </c>
      <c r="H805">
        <v>-71.564260000000004</v>
      </c>
      <c r="I805">
        <v>370</v>
      </c>
      <c r="J805">
        <v>86</v>
      </c>
      <c r="K805">
        <v>0</v>
      </c>
      <c r="L805" s="1">
        <v>44784.271550925929</v>
      </c>
      <c r="M805">
        <v>14</v>
      </c>
      <c r="N805">
        <v>13.2</v>
      </c>
      <c r="O805">
        <v>0.8</v>
      </c>
      <c r="P805">
        <v>6</v>
      </c>
      <c r="Q805">
        <v>0</v>
      </c>
      <c r="R805">
        <v>0</v>
      </c>
      <c r="S805">
        <v>0</v>
      </c>
      <c r="T805" t="s">
        <v>32</v>
      </c>
      <c r="V805">
        <v>59</v>
      </c>
      <c r="W805">
        <v>0</v>
      </c>
      <c r="X805">
        <v>59</v>
      </c>
      <c r="Y805">
        <v>0</v>
      </c>
      <c r="Z805">
        <v>0</v>
      </c>
      <c r="AA805">
        <v>0</v>
      </c>
      <c r="AB805" t="s">
        <v>36</v>
      </c>
      <c r="AC805">
        <v>59</v>
      </c>
    </row>
    <row r="806" spans="1:30" x14ac:dyDescent="0.25">
      <c r="A806" s="1">
        <v>44784.271597222221</v>
      </c>
      <c r="B806" s="1">
        <v>44784.269652777781</v>
      </c>
      <c r="C806">
        <v>151710</v>
      </c>
      <c r="D806" t="s">
        <v>41</v>
      </c>
      <c r="E806" t="s">
        <v>31</v>
      </c>
      <c r="F806">
        <v>7</v>
      </c>
      <c r="G806">
        <v>43.132477000000002</v>
      </c>
      <c r="H806">
        <v>-71.458374000000006</v>
      </c>
      <c r="I806">
        <v>230</v>
      </c>
      <c r="J806">
        <v>69</v>
      </c>
      <c r="K806">
        <v>0</v>
      </c>
      <c r="L806" s="1">
        <v>44784.271550925929</v>
      </c>
      <c r="M806">
        <v>7.2</v>
      </c>
      <c r="N806">
        <v>5</v>
      </c>
      <c r="O806">
        <v>2.2000000000000002</v>
      </c>
      <c r="P806">
        <v>36</v>
      </c>
      <c r="Q806">
        <v>0.1</v>
      </c>
      <c r="R806">
        <v>0</v>
      </c>
      <c r="S806">
        <v>0.05</v>
      </c>
      <c r="T806" t="s">
        <v>33</v>
      </c>
      <c r="U806">
        <v>6.1</v>
      </c>
      <c r="V806">
        <v>68</v>
      </c>
      <c r="W806">
        <v>0</v>
      </c>
      <c r="X806">
        <v>68</v>
      </c>
      <c r="Y806">
        <v>0</v>
      </c>
      <c r="Z806">
        <v>0</v>
      </c>
      <c r="AA806">
        <v>0</v>
      </c>
      <c r="AB806" t="s">
        <v>36</v>
      </c>
      <c r="AC806">
        <v>68</v>
      </c>
      <c r="AD806">
        <v>1.1200000000000001</v>
      </c>
    </row>
    <row r="807" spans="1:30" x14ac:dyDescent="0.25">
      <c r="A807" s="1">
        <v>44784.271597222221</v>
      </c>
      <c r="B807" s="1">
        <v>44784.270740740743</v>
      </c>
      <c r="C807">
        <v>151706</v>
      </c>
      <c r="D807" t="s">
        <v>42</v>
      </c>
      <c r="E807" t="s">
        <v>31</v>
      </c>
      <c r="F807">
        <v>7</v>
      </c>
      <c r="G807">
        <v>43.004080000000002</v>
      </c>
      <c r="H807">
        <v>-71.177040000000005</v>
      </c>
      <c r="I807">
        <v>194</v>
      </c>
      <c r="J807">
        <v>68</v>
      </c>
      <c r="K807">
        <v>0</v>
      </c>
      <c r="L807" s="1">
        <v>44784.271550925929</v>
      </c>
      <c r="M807">
        <v>4.3</v>
      </c>
      <c r="N807">
        <v>0</v>
      </c>
      <c r="O807">
        <v>4.3</v>
      </c>
      <c r="P807">
        <v>200</v>
      </c>
      <c r="Q807">
        <v>0.8</v>
      </c>
      <c r="R807">
        <v>0</v>
      </c>
      <c r="S807">
        <v>0.4</v>
      </c>
      <c r="T807" t="s">
        <v>43</v>
      </c>
      <c r="V807">
        <v>71</v>
      </c>
      <c r="W807">
        <v>0</v>
      </c>
      <c r="X807">
        <v>71</v>
      </c>
      <c r="Y807">
        <v>0</v>
      </c>
      <c r="Z807">
        <v>0</v>
      </c>
      <c r="AA807">
        <v>0</v>
      </c>
      <c r="AB807" t="s">
        <v>36</v>
      </c>
      <c r="AC807">
        <v>71</v>
      </c>
    </row>
    <row r="808" spans="1:30" x14ac:dyDescent="0.25">
      <c r="A808" s="1">
        <v>44784.271597222221</v>
      </c>
      <c r="B808" s="1">
        <v>44784.270451388889</v>
      </c>
      <c r="C808">
        <v>12212</v>
      </c>
      <c r="D808" t="s">
        <v>44</v>
      </c>
      <c r="E808" t="s">
        <v>35</v>
      </c>
      <c r="F808">
        <v>7</v>
      </c>
      <c r="G808">
        <v>42.930529999999997</v>
      </c>
      <c r="H808">
        <v>-72.272350000000003</v>
      </c>
      <c r="I808">
        <v>476</v>
      </c>
      <c r="J808">
        <v>73</v>
      </c>
      <c r="K808">
        <v>0</v>
      </c>
      <c r="L808" s="1">
        <v>44784.271550925929</v>
      </c>
      <c r="M808">
        <v>5.2</v>
      </c>
      <c r="N808">
        <v>4.5</v>
      </c>
      <c r="O808">
        <v>0.7</v>
      </c>
      <c r="P808">
        <v>14</v>
      </c>
      <c r="Q808">
        <v>0.3</v>
      </c>
      <c r="R808">
        <v>0.3</v>
      </c>
      <c r="S808">
        <v>0.3</v>
      </c>
      <c r="T808" t="s">
        <v>33</v>
      </c>
      <c r="U808">
        <v>4.8499999999999996</v>
      </c>
      <c r="V808">
        <v>95</v>
      </c>
      <c r="W808">
        <v>0</v>
      </c>
      <c r="X808">
        <v>95</v>
      </c>
      <c r="Y808">
        <v>8</v>
      </c>
      <c r="Z808">
        <v>0</v>
      </c>
      <c r="AA808">
        <v>8</v>
      </c>
      <c r="AB808" t="s">
        <v>36</v>
      </c>
      <c r="AC808">
        <v>95</v>
      </c>
      <c r="AD808">
        <v>-1.53</v>
      </c>
    </row>
    <row r="809" spans="1:30" x14ac:dyDescent="0.25">
      <c r="A809" s="1">
        <v>44784.271597222221</v>
      </c>
      <c r="B809" s="1">
        <v>44769.376736111109</v>
      </c>
      <c r="C809">
        <v>12178</v>
      </c>
      <c r="D809" t="s">
        <v>45</v>
      </c>
      <c r="E809" t="s">
        <v>35</v>
      </c>
      <c r="F809">
        <v>7</v>
      </c>
      <c r="G809">
        <v>42.899563000000001</v>
      </c>
      <c r="H809">
        <v>-71.464650000000006</v>
      </c>
      <c r="I809">
        <v>301</v>
      </c>
      <c r="J809">
        <v>85</v>
      </c>
      <c r="K809">
        <v>0</v>
      </c>
      <c r="L809" s="1">
        <v>44784.271550925929</v>
      </c>
      <c r="M809">
        <v>3.8</v>
      </c>
      <c r="N809">
        <v>3.1</v>
      </c>
      <c r="O809">
        <v>0.7</v>
      </c>
      <c r="P809">
        <v>20</v>
      </c>
      <c r="Q809">
        <v>0</v>
      </c>
      <c r="R809">
        <v>0</v>
      </c>
      <c r="S809">
        <v>0</v>
      </c>
      <c r="T809" t="s">
        <v>32</v>
      </c>
      <c r="V809">
        <v>35</v>
      </c>
      <c r="W809">
        <v>0</v>
      </c>
      <c r="X809">
        <v>35</v>
      </c>
      <c r="Y809">
        <v>0</v>
      </c>
      <c r="Z809">
        <v>0</v>
      </c>
      <c r="AA809">
        <v>0</v>
      </c>
      <c r="AB809" t="s">
        <v>36</v>
      </c>
      <c r="AC809">
        <v>35</v>
      </c>
    </row>
    <row r="810" spans="1:30" x14ac:dyDescent="0.25">
      <c r="A810" s="1">
        <v>44784.271608796298</v>
      </c>
      <c r="B810" s="1">
        <v>44784.269780092596</v>
      </c>
      <c r="C810">
        <v>75981</v>
      </c>
      <c r="D810" t="s">
        <v>46</v>
      </c>
      <c r="E810" t="s">
        <v>35</v>
      </c>
      <c r="F810">
        <v>7</v>
      </c>
      <c r="G810">
        <v>42.97</v>
      </c>
      <c r="H810">
        <v>-71.06</v>
      </c>
      <c r="I810">
        <v>136</v>
      </c>
      <c r="J810">
        <v>74</v>
      </c>
      <c r="K810">
        <v>0</v>
      </c>
      <c r="L810" s="1">
        <v>44784.271550925929</v>
      </c>
      <c r="M810">
        <v>4.2</v>
      </c>
      <c r="N810">
        <v>3.9</v>
      </c>
      <c r="O810">
        <v>0.3</v>
      </c>
      <c r="P810">
        <v>7</v>
      </c>
      <c r="Q810">
        <v>0</v>
      </c>
      <c r="R810">
        <v>0.1</v>
      </c>
      <c r="S810">
        <v>0.05</v>
      </c>
      <c r="T810" t="s">
        <v>33</v>
      </c>
      <c r="U810">
        <v>4.05</v>
      </c>
      <c r="V810">
        <v>63</v>
      </c>
      <c r="W810">
        <v>0</v>
      </c>
      <c r="X810">
        <v>63</v>
      </c>
      <c r="Y810">
        <v>0</v>
      </c>
      <c r="Z810">
        <v>0</v>
      </c>
      <c r="AA810">
        <v>0</v>
      </c>
      <c r="AB810" t="s">
        <v>36</v>
      </c>
      <c r="AC810">
        <v>63</v>
      </c>
      <c r="AD810">
        <v>0.22</v>
      </c>
    </row>
    <row r="811" spans="1:30" x14ac:dyDescent="0.25">
      <c r="A811" s="1">
        <v>44784.271608796298</v>
      </c>
      <c r="B811" s="1">
        <v>44784.270312499997</v>
      </c>
      <c r="C811">
        <v>115703</v>
      </c>
      <c r="D811" t="s">
        <v>47</v>
      </c>
      <c r="E811" t="s">
        <v>35</v>
      </c>
      <c r="F811">
        <v>7</v>
      </c>
      <c r="G811">
        <v>43.953625000000002</v>
      </c>
      <c r="H811">
        <v>-71.508859999999999</v>
      </c>
      <c r="I811">
        <v>1493</v>
      </c>
      <c r="J811">
        <v>63</v>
      </c>
      <c r="K811">
        <v>0</v>
      </c>
      <c r="L811" s="1">
        <v>44784.271550925929</v>
      </c>
      <c r="M811">
        <v>0</v>
      </c>
      <c r="N811">
        <v>300.89999999999998</v>
      </c>
      <c r="O811">
        <v>300.89999999999998</v>
      </c>
      <c r="P811">
        <v>200</v>
      </c>
      <c r="Q811">
        <v>0</v>
      </c>
      <c r="R811">
        <v>0</v>
      </c>
      <c r="S811">
        <v>0</v>
      </c>
      <c r="T811" t="s">
        <v>48</v>
      </c>
      <c r="V811">
        <v>69</v>
      </c>
      <c r="W811">
        <v>0</v>
      </c>
      <c r="X811">
        <v>69</v>
      </c>
      <c r="Y811">
        <v>0</v>
      </c>
      <c r="Z811">
        <v>0</v>
      </c>
      <c r="AA811">
        <v>0</v>
      </c>
      <c r="AB811" t="s">
        <v>36</v>
      </c>
      <c r="AC811">
        <v>69</v>
      </c>
    </row>
    <row r="812" spans="1:30" x14ac:dyDescent="0.25">
      <c r="A812" s="1">
        <v>44784.271608796298</v>
      </c>
      <c r="B812" s="1">
        <v>44784.269733796296</v>
      </c>
      <c r="C812">
        <v>12050</v>
      </c>
      <c r="D812" t="s">
        <v>49</v>
      </c>
      <c r="E812" t="s">
        <v>35</v>
      </c>
      <c r="F812">
        <v>7</v>
      </c>
      <c r="G812">
        <v>44.220573000000002</v>
      </c>
      <c r="H812">
        <v>-71.732315</v>
      </c>
      <c r="I812">
        <v>999</v>
      </c>
      <c r="J812">
        <v>68</v>
      </c>
      <c r="K812">
        <v>0</v>
      </c>
      <c r="L812" s="1">
        <v>44784.271550925929</v>
      </c>
      <c r="M812">
        <v>2.9</v>
      </c>
      <c r="N812">
        <v>2.9</v>
      </c>
      <c r="O812">
        <v>0</v>
      </c>
      <c r="P812">
        <v>0</v>
      </c>
      <c r="Q812">
        <v>0</v>
      </c>
      <c r="R812">
        <v>0.1</v>
      </c>
      <c r="S812">
        <v>0.05</v>
      </c>
      <c r="T812" t="s">
        <v>33</v>
      </c>
      <c r="U812">
        <v>2.9</v>
      </c>
      <c r="V812">
        <v>58</v>
      </c>
      <c r="W812">
        <v>0</v>
      </c>
      <c r="X812">
        <v>58</v>
      </c>
      <c r="Y812">
        <v>1</v>
      </c>
      <c r="Z812">
        <v>0</v>
      </c>
      <c r="AA812">
        <v>1</v>
      </c>
      <c r="AB812" t="s">
        <v>36</v>
      </c>
      <c r="AC812">
        <v>58</v>
      </c>
      <c r="AD812">
        <v>-0.13</v>
      </c>
    </row>
    <row r="813" spans="1:30" x14ac:dyDescent="0.25">
      <c r="A813" s="1">
        <v>44784.271620370368</v>
      </c>
      <c r="B813" s="1">
        <v>44784.269837962966</v>
      </c>
      <c r="C813">
        <v>23443</v>
      </c>
      <c r="D813" t="s">
        <v>50</v>
      </c>
      <c r="E813" t="s">
        <v>35</v>
      </c>
      <c r="F813">
        <v>7</v>
      </c>
      <c r="G813">
        <v>43.556139999999999</v>
      </c>
      <c r="H813">
        <v>-72.370990000000006</v>
      </c>
      <c r="I813">
        <v>523</v>
      </c>
      <c r="J813">
        <v>69</v>
      </c>
      <c r="K813">
        <v>0</v>
      </c>
      <c r="L813" s="1">
        <v>44784.271550925929</v>
      </c>
      <c r="M813">
        <v>4.4000000000000004</v>
      </c>
      <c r="N813">
        <v>3.7</v>
      </c>
      <c r="O813">
        <v>0.7</v>
      </c>
      <c r="P813">
        <v>17</v>
      </c>
      <c r="Q813">
        <v>0</v>
      </c>
      <c r="R813">
        <v>0.1</v>
      </c>
      <c r="S813">
        <v>0.05</v>
      </c>
      <c r="T813" t="s">
        <v>33</v>
      </c>
      <c r="U813">
        <v>4.05</v>
      </c>
      <c r="V813">
        <v>67</v>
      </c>
      <c r="W813">
        <v>0</v>
      </c>
      <c r="X813">
        <v>67</v>
      </c>
      <c r="Y813">
        <v>0</v>
      </c>
      <c r="Z813">
        <v>0</v>
      </c>
      <c r="AA813">
        <v>0</v>
      </c>
      <c r="AB813" t="s">
        <v>36</v>
      </c>
      <c r="AC813">
        <v>67</v>
      </c>
      <c r="AD813">
        <v>-0.06</v>
      </c>
    </row>
    <row r="814" spans="1:30" x14ac:dyDescent="0.25">
      <c r="A814" s="1">
        <v>44784.271620370368</v>
      </c>
      <c r="B814" s="1">
        <v>44784.269918981481</v>
      </c>
      <c r="C814">
        <v>58135</v>
      </c>
      <c r="D814" t="s">
        <v>51</v>
      </c>
      <c r="E814" t="s">
        <v>35</v>
      </c>
      <c r="F814">
        <v>7</v>
      </c>
      <c r="G814">
        <v>42.883873000000001</v>
      </c>
      <c r="H814">
        <v>-71.972915999999998</v>
      </c>
      <c r="I814">
        <v>808</v>
      </c>
      <c r="J814">
        <v>70</v>
      </c>
      <c r="K814">
        <v>0</v>
      </c>
      <c r="L814" s="1">
        <v>44784.271550925929</v>
      </c>
      <c r="M814">
        <v>8.9</v>
      </c>
      <c r="N814">
        <v>5.6</v>
      </c>
      <c r="O814">
        <v>3.3</v>
      </c>
      <c r="P814">
        <v>46</v>
      </c>
      <c r="Q814">
        <v>0.1</v>
      </c>
      <c r="R814">
        <v>0.2</v>
      </c>
      <c r="S814">
        <v>0.15</v>
      </c>
      <c r="T814" t="s">
        <v>33</v>
      </c>
      <c r="U814">
        <v>7.25</v>
      </c>
      <c r="V814">
        <v>73</v>
      </c>
      <c r="W814">
        <v>0</v>
      </c>
      <c r="X814">
        <v>73</v>
      </c>
      <c r="Y814">
        <v>1</v>
      </c>
      <c r="Z814">
        <v>0</v>
      </c>
      <c r="AA814">
        <v>1</v>
      </c>
      <c r="AB814" t="s">
        <v>36</v>
      </c>
      <c r="AC814">
        <v>73</v>
      </c>
      <c r="AD814">
        <v>1.47</v>
      </c>
    </row>
    <row r="815" spans="1:30" x14ac:dyDescent="0.25">
      <c r="A815" s="1">
        <v>44784.271620370368</v>
      </c>
      <c r="B815" s="1">
        <v>44784.269976851851</v>
      </c>
      <c r="C815">
        <v>148555</v>
      </c>
      <c r="D815" t="s">
        <v>52</v>
      </c>
      <c r="E815" t="s">
        <v>53</v>
      </c>
      <c r="F815">
        <v>7</v>
      </c>
      <c r="G815">
        <v>42.904949999999999</v>
      </c>
      <c r="H815">
        <v>-71.386764999999997</v>
      </c>
      <c r="I815">
        <v>363</v>
      </c>
      <c r="J815">
        <v>0</v>
      </c>
      <c r="K815">
        <v>0</v>
      </c>
      <c r="L815" s="1">
        <v>44784.271550925929</v>
      </c>
      <c r="M815">
        <v>2.4</v>
      </c>
      <c r="N815">
        <v>3.2</v>
      </c>
      <c r="O815">
        <v>0.8</v>
      </c>
      <c r="P815">
        <v>29</v>
      </c>
      <c r="Q815">
        <v>0.1</v>
      </c>
      <c r="R815">
        <v>0.1</v>
      </c>
      <c r="S815">
        <v>0.1</v>
      </c>
      <c r="T815" t="s">
        <v>33</v>
      </c>
      <c r="U815">
        <v>2.8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 t="s">
        <v>38</v>
      </c>
    </row>
    <row r="816" spans="1:30" x14ac:dyDescent="0.25">
      <c r="A816" s="1">
        <v>44784.271620370368</v>
      </c>
      <c r="B816" s="1">
        <v>44784.270902777775</v>
      </c>
      <c r="C816">
        <v>146644</v>
      </c>
      <c r="D816" t="s">
        <v>54</v>
      </c>
      <c r="E816" t="s">
        <v>53</v>
      </c>
      <c r="F816">
        <v>7</v>
      </c>
      <c r="G816">
        <v>43.06015</v>
      </c>
      <c r="H816">
        <v>-70.758930000000007</v>
      </c>
      <c r="I816">
        <v>35</v>
      </c>
      <c r="J816">
        <v>71</v>
      </c>
      <c r="K816">
        <v>72</v>
      </c>
      <c r="L816" s="1">
        <v>44784.271550925929</v>
      </c>
      <c r="M816">
        <v>6</v>
      </c>
      <c r="N816">
        <v>5.0999999999999996</v>
      </c>
      <c r="O816">
        <v>0.9</v>
      </c>
      <c r="P816">
        <v>16</v>
      </c>
      <c r="Q816">
        <v>0.1</v>
      </c>
      <c r="R816">
        <v>0.3</v>
      </c>
      <c r="S816">
        <v>0.2</v>
      </c>
      <c r="T816" t="s">
        <v>33</v>
      </c>
      <c r="U816">
        <v>5.55</v>
      </c>
      <c r="V816">
        <v>67</v>
      </c>
      <c r="W816">
        <v>72</v>
      </c>
      <c r="X816">
        <v>5</v>
      </c>
      <c r="Y816">
        <v>1</v>
      </c>
      <c r="Z816">
        <v>1</v>
      </c>
      <c r="AA816">
        <v>0</v>
      </c>
      <c r="AB816" t="s">
        <v>33</v>
      </c>
      <c r="AC816">
        <v>69.5</v>
      </c>
      <c r="AD816">
        <v>0.68</v>
      </c>
    </row>
    <row r="817" spans="1:30" x14ac:dyDescent="0.25">
      <c r="A817" s="1">
        <v>44784.271631944444</v>
      </c>
      <c r="B817" s="1">
        <v>43755.283437500002</v>
      </c>
      <c r="C817">
        <v>12188</v>
      </c>
      <c r="D817" t="s">
        <v>55</v>
      </c>
      <c r="E817" t="s">
        <v>35</v>
      </c>
      <c r="F817">
        <v>4.1100000000000003</v>
      </c>
      <c r="G817">
        <v>42.927050000000001</v>
      </c>
      <c r="H817">
        <v>-72.279610000000005</v>
      </c>
      <c r="I817">
        <v>475</v>
      </c>
      <c r="J817">
        <v>95</v>
      </c>
      <c r="K817">
        <v>0</v>
      </c>
      <c r="L817" s="1">
        <v>44784.271550925929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 t="s">
        <v>32</v>
      </c>
      <c r="V817">
        <v>77</v>
      </c>
      <c r="W817">
        <v>0</v>
      </c>
      <c r="X817">
        <v>77</v>
      </c>
      <c r="Y817">
        <v>0</v>
      </c>
      <c r="Z817">
        <v>0</v>
      </c>
      <c r="AA817">
        <v>0</v>
      </c>
      <c r="AB817" t="s">
        <v>36</v>
      </c>
      <c r="AC817">
        <v>77</v>
      </c>
    </row>
    <row r="818" spans="1:30" x14ac:dyDescent="0.25">
      <c r="A818" s="1">
        <v>44784.271631944444</v>
      </c>
      <c r="B818" s="1">
        <v>44784.269826388889</v>
      </c>
      <c r="C818">
        <v>1224</v>
      </c>
      <c r="D818" t="s">
        <v>56</v>
      </c>
      <c r="E818" t="s">
        <v>35</v>
      </c>
      <c r="F818" t="s">
        <v>57</v>
      </c>
      <c r="G818">
        <v>42.938034000000002</v>
      </c>
      <c r="H818">
        <v>-72.259299999999996</v>
      </c>
      <c r="I818">
        <v>792</v>
      </c>
      <c r="J818">
        <v>75</v>
      </c>
      <c r="K818">
        <v>0</v>
      </c>
      <c r="L818" s="1">
        <v>44784.271550925929</v>
      </c>
      <c r="M818">
        <v>4</v>
      </c>
      <c r="N818">
        <v>0</v>
      </c>
      <c r="O818">
        <v>4</v>
      </c>
      <c r="P818">
        <v>200</v>
      </c>
      <c r="Q818">
        <v>0</v>
      </c>
      <c r="R818">
        <v>0</v>
      </c>
      <c r="S818">
        <v>0</v>
      </c>
      <c r="T818" t="s">
        <v>43</v>
      </c>
      <c r="V818">
        <v>88</v>
      </c>
      <c r="W818">
        <v>0</v>
      </c>
      <c r="X818">
        <v>88</v>
      </c>
      <c r="Y818">
        <v>1</v>
      </c>
      <c r="Z818">
        <v>0</v>
      </c>
      <c r="AA818">
        <v>1</v>
      </c>
      <c r="AB818" t="s">
        <v>36</v>
      </c>
      <c r="AC818">
        <v>88</v>
      </c>
    </row>
    <row r="819" spans="1:30" x14ac:dyDescent="0.25">
      <c r="A819" s="1">
        <v>44784.271631944444</v>
      </c>
      <c r="B819" s="1">
        <v>44784.27065972222</v>
      </c>
      <c r="C819">
        <v>1202</v>
      </c>
      <c r="D819" t="s">
        <v>58</v>
      </c>
      <c r="E819" t="s">
        <v>35</v>
      </c>
      <c r="F819" t="s">
        <v>57</v>
      </c>
      <c r="G819">
        <v>42.936554000000001</v>
      </c>
      <c r="H819">
        <v>-72.271019999999993</v>
      </c>
      <c r="I819">
        <v>488</v>
      </c>
      <c r="J819">
        <v>0</v>
      </c>
      <c r="K819">
        <v>0</v>
      </c>
      <c r="L819" s="1">
        <v>44784.271550925929</v>
      </c>
      <c r="M819">
        <v>4.5</v>
      </c>
      <c r="N819">
        <v>4.2</v>
      </c>
      <c r="O819">
        <v>0.3</v>
      </c>
      <c r="P819">
        <v>7</v>
      </c>
      <c r="Q819">
        <v>0.1</v>
      </c>
      <c r="R819">
        <v>0.2</v>
      </c>
      <c r="S819">
        <v>0.15</v>
      </c>
      <c r="T819" t="s">
        <v>33</v>
      </c>
      <c r="U819">
        <v>4.3499999999999996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 t="s">
        <v>38</v>
      </c>
    </row>
    <row r="820" spans="1:30" x14ac:dyDescent="0.25">
      <c r="A820" s="1">
        <v>44784.271643518521</v>
      </c>
      <c r="B820" s="1">
        <v>44612.080023148148</v>
      </c>
      <c r="C820">
        <v>25985</v>
      </c>
      <c r="D820" t="s">
        <v>59</v>
      </c>
      <c r="E820" t="s">
        <v>35</v>
      </c>
      <c r="F820">
        <v>6.01</v>
      </c>
      <c r="G820">
        <v>42.927326000000001</v>
      </c>
      <c r="H820">
        <v>-72.279979999999995</v>
      </c>
      <c r="I820">
        <v>477</v>
      </c>
      <c r="J820">
        <v>78</v>
      </c>
      <c r="K820">
        <v>0</v>
      </c>
      <c r="L820" s="1">
        <v>44784.271550925929</v>
      </c>
      <c r="M820">
        <v>1.1000000000000001</v>
      </c>
      <c r="N820">
        <v>1</v>
      </c>
      <c r="O820">
        <v>0.1</v>
      </c>
      <c r="P820">
        <v>10</v>
      </c>
      <c r="Q820">
        <v>0</v>
      </c>
      <c r="R820">
        <v>0</v>
      </c>
      <c r="S820">
        <v>0</v>
      </c>
      <c r="T820" t="s">
        <v>32</v>
      </c>
      <c r="V820">
        <v>22</v>
      </c>
      <c r="W820">
        <v>0</v>
      </c>
      <c r="X820">
        <v>22</v>
      </c>
      <c r="Y820">
        <v>0</v>
      </c>
      <c r="Z820">
        <v>0</v>
      </c>
      <c r="AA820">
        <v>0</v>
      </c>
      <c r="AB820" t="s">
        <v>36</v>
      </c>
      <c r="AC820">
        <v>22</v>
      </c>
    </row>
    <row r="821" spans="1:30" x14ac:dyDescent="0.25">
      <c r="A821" s="1">
        <v>44784.27851851852</v>
      </c>
      <c r="B821" s="1">
        <v>44775.701319444444</v>
      </c>
      <c r="C821">
        <v>151708</v>
      </c>
      <c r="D821" t="s">
        <v>30</v>
      </c>
      <c r="E821" t="s">
        <v>31</v>
      </c>
      <c r="F821">
        <v>7</v>
      </c>
      <c r="G821">
        <v>43.192042999999998</v>
      </c>
      <c r="H821">
        <v>-71.541579999999996</v>
      </c>
      <c r="I821">
        <v>291</v>
      </c>
      <c r="J821">
        <v>93</v>
      </c>
      <c r="K821">
        <v>94</v>
      </c>
      <c r="L821" s="1">
        <v>44784.278495370374</v>
      </c>
      <c r="M821">
        <v>7.9</v>
      </c>
      <c r="N821">
        <v>7.6</v>
      </c>
      <c r="O821">
        <v>0.3</v>
      </c>
      <c r="P821">
        <v>4</v>
      </c>
      <c r="Q821">
        <v>0</v>
      </c>
      <c r="R821">
        <v>0</v>
      </c>
      <c r="S821">
        <v>0</v>
      </c>
      <c r="T821" t="s">
        <v>32</v>
      </c>
      <c r="V821">
        <v>42</v>
      </c>
      <c r="W821">
        <v>41</v>
      </c>
      <c r="X821">
        <v>1</v>
      </c>
      <c r="Y821">
        <v>0</v>
      </c>
      <c r="Z821">
        <v>0</v>
      </c>
      <c r="AA821">
        <v>0</v>
      </c>
      <c r="AB821" t="s">
        <v>33</v>
      </c>
      <c r="AC821">
        <v>41.5</v>
      </c>
    </row>
    <row r="822" spans="1:30" x14ac:dyDescent="0.25">
      <c r="A822" s="1">
        <v>44784.27851851852</v>
      </c>
      <c r="B822" s="1">
        <v>44784.278229166666</v>
      </c>
      <c r="C822">
        <v>143456</v>
      </c>
      <c r="D822" t="s">
        <v>34</v>
      </c>
      <c r="E822" t="s">
        <v>35</v>
      </c>
      <c r="F822">
        <v>7</v>
      </c>
      <c r="G822">
        <v>43.08963</v>
      </c>
      <c r="H822">
        <v>-71.502440000000007</v>
      </c>
      <c r="I822">
        <v>619</v>
      </c>
      <c r="J822">
        <v>69</v>
      </c>
      <c r="K822">
        <v>0</v>
      </c>
      <c r="L822" s="1">
        <v>44784.278495370374</v>
      </c>
      <c r="M822">
        <v>3.4</v>
      </c>
      <c r="N822">
        <v>3.7</v>
      </c>
      <c r="O822">
        <v>0.3</v>
      </c>
      <c r="P822">
        <v>8</v>
      </c>
      <c r="Q822">
        <v>0.1</v>
      </c>
      <c r="R822">
        <v>0</v>
      </c>
      <c r="S822">
        <v>0.05</v>
      </c>
      <c r="T822" t="s">
        <v>33</v>
      </c>
      <c r="U822">
        <v>3.55</v>
      </c>
      <c r="V822">
        <v>72</v>
      </c>
      <c r="W822">
        <v>0</v>
      </c>
      <c r="X822">
        <v>72</v>
      </c>
      <c r="Y822">
        <v>1</v>
      </c>
      <c r="Z822">
        <v>0</v>
      </c>
      <c r="AA822">
        <v>1</v>
      </c>
      <c r="AB822" t="s">
        <v>36</v>
      </c>
      <c r="AC822">
        <v>72</v>
      </c>
      <c r="AD822">
        <v>-0.71</v>
      </c>
    </row>
    <row r="823" spans="1:30" x14ac:dyDescent="0.25">
      <c r="A823" s="1">
        <v>44784.27851851852</v>
      </c>
      <c r="B823" s="1">
        <v>44784.277002314811</v>
      </c>
      <c r="C823">
        <v>151702</v>
      </c>
      <c r="D823" t="s">
        <v>37</v>
      </c>
      <c r="E823" t="s">
        <v>31</v>
      </c>
      <c r="F823">
        <v>7</v>
      </c>
      <c r="G823">
        <v>43.118609999999997</v>
      </c>
      <c r="H823">
        <v>-71.61618</v>
      </c>
      <c r="I823">
        <v>885</v>
      </c>
      <c r="J823">
        <v>0</v>
      </c>
      <c r="K823">
        <v>0</v>
      </c>
      <c r="L823" s="1">
        <v>44784.278495370374</v>
      </c>
      <c r="M823">
        <v>4.5</v>
      </c>
      <c r="N823">
        <v>4.2</v>
      </c>
      <c r="O823">
        <v>0.3</v>
      </c>
      <c r="P823">
        <v>7</v>
      </c>
      <c r="Q823">
        <v>0.1</v>
      </c>
      <c r="R823">
        <v>0.1</v>
      </c>
      <c r="S823">
        <v>0.1</v>
      </c>
      <c r="T823" t="s">
        <v>33</v>
      </c>
      <c r="U823">
        <v>4.3499999999999996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 t="s">
        <v>38</v>
      </c>
    </row>
    <row r="824" spans="1:30" x14ac:dyDescent="0.25">
      <c r="A824" s="1">
        <v>44784.27853009259</v>
      </c>
      <c r="B824" s="1">
        <v>44784.276898148149</v>
      </c>
      <c r="C824">
        <v>151700</v>
      </c>
      <c r="D824" t="s">
        <v>30</v>
      </c>
      <c r="E824" t="s">
        <v>31</v>
      </c>
      <c r="F824">
        <v>7</v>
      </c>
      <c r="G824">
        <v>43.19211</v>
      </c>
      <c r="H824">
        <v>-71.541460000000001</v>
      </c>
      <c r="I824">
        <v>286</v>
      </c>
      <c r="J824">
        <v>70</v>
      </c>
      <c r="K824">
        <v>0</v>
      </c>
      <c r="L824" s="1">
        <v>44784.278495370374</v>
      </c>
      <c r="M824">
        <v>3.7</v>
      </c>
      <c r="N824">
        <v>3.9</v>
      </c>
      <c r="O824">
        <v>0.2</v>
      </c>
      <c r="P824">
        <v>5</v>
      </c>
      <c r="Q824">
        <v>0.4</v>
      </c>
      <c r="R824">
        <v>0.4</v>
      </c>
      <c r="S824">
        <v>0.4</v>
      </c>
      <c r="T824" t="s">
        <v>33</v>
      </c>
      <c r="U824">
        <v>3.8</v>
      </c>
      <c r="V824">
        <v>69</v>
      </c>
      <c r="W824">
        <v>0</v>
      </c>
      <c r="X824">
        <v>69</v>
      </c>
      <c r="Y824">
        <v>0</v>
      </c>
      <c r="Z824">
        <v>0</v>
      </c>
      <c r="AA824">
        <v>0</v>
      </c>
      <c r="AB824" t="s">
        <v>36</v>
      </c>
      <c r="AC824">
        <v>69</v>
      </c>
      <c r="AD824">
        <v>-0.35</v>
      </c>
    </row>
    <row r="825" spans="1:30" x14ac:dyDescent="0.25">
      <c r="A825" s="1">
        <v>44784.27853009259</v>
      </c>
      <c r="B825" s="1">
        <v>44784.277303240742</v>
      </c>
      <c r="C825">
        <v>135984</v>
      </c>
      <c r="D825" t="s">
        <v>39</v>
      </c>
      <c r="E825" t="s">
        <v>31</v>
      </c>
      <c r="F825">
        <v>7</v>
      </c>
      <c r="G825">
        <v>43.565852999999997</v>
      </c>
      <c r="H825">
        <v>-71.496129999999994</v>
      </c>
      <c r="I825">
        <v>708</v>
      </c>
      <c r="J825">
        <v>68</v>
      </c>
      <c r="K825">
        <v>0</v>
      </c>
      <c r="L825" s="1">
        <v>44784.278495370374</v>
      </c>
      <c r="M825">
        <v>7</v>
      </c>
      <c r="N825">
        <v>6.2</v>
      </c>
      <c r="O825">
        <v>0.8</v>
      </c>
      <c r="P825">
        <v>12</v>
      </c>
      <c r="Q825">
        <v>0.4</v>
      </c>
      <c r="R825">
        <v>0.7</v>
      </c>
      <c r="S825">
        <v>0.55000000000000004</v>
      </c>
      <c r="T825" t="s">
        <v>33</v>
      </c>
      <c r="U825">
        <v>6.6</v>
      </c>
      <c r="V825">
        <v>92</v>
      </c>
      <c r="W825">
        <v>0</v>
      </c>
      <c r="X825">
        <v>92</v>
      </c>
      <c r="Y825">
        <v>0</v>
      </c>
      <c r="Z825">
        <v>0</v>
      </c>
      <c r="AA825">
        <v>0</v>
      </c>
      <c r="AB825" t="s">
        <v>36</v>
      </c>
      <c r="AC825">
        <v>92</v>
      </c>
      <c r="AD825">
        <v>-0.25</v>
      </c>
    </row>
    <row r="826" spans="1:30" x14ac:dyDescent="0.25">
      <c r="A826" s="1">
        <v>44784.27853009259</v>
      </c>
      <c r="B826" s="1">
        <v>44780.394780092596</v>
      </c>
      <c r="C826">
        <v>151712</v>
      </c>
      <c r="D826" t="s">
        <v>40</v>
      </c>
      <c r="E826" t="s">
        <v>31</v>
      </c>
      <c r="F826">
        <v>7</v>
      </c>
      <c r="G826">
        <v>43.289763999999998</v>
      </c>
      <c r="H826">
        <v>-71.564260000000004</v>
      </c>
      <c r="I826">
        <v>370</v>
      </c>
      <c r="J826">
        <v>86</v>
      </c>
      <c r="K826">
        <v>0</v>
      </c>
      <c r="L826" s="1">
        <v>44784.278495370374</v>
      </c>
      <c r="M826">
        <v>14</v>
      </c>
      <c r="N826">
        <v>13.2</v>
      </c>
      <c r="O826">
        <v>0.8</v>
      </c>
      <c r="P826">
        <v>6</v>
      </c>
      <c r="Q826">
        <v>0</v>
      </c>
      <c r="R826">
        <v>0</v>
      </c>
      <c r="S826">
        <v>0</v>
      </c>
      <c r="T826" t="s">
        <v>32</v>
      </c>
      <c r="V826">
        <v>59</v>
      </c>
      <c r="W826">
        <v>0</v>
      </c>
      <c r="X826">
        <v>59</v>
      </c>
      <c r="Y826">
        <v>0</v>
      </c>
      <c r="Z826">
        <v>0</v>
      </c>
      <c r="AA826">
        <v>0</v>
      </c>
      <c r="AB826" t="s">
        <v>36</v>
      </c>
      <c r="AC826">
        <v>59</v>
      </c>
    </row>
    <row r="827" spans="1:30" x14ac:dyDescent="0.25">
      <c r="A827" s="1">
        <v>44784.27853009259</v>
      </c>
      <c r="B827" s="1">
        <v>44784.277997685182</v>
      </c>
      <c r="C827">
        <v>151710</v>
      </c>
      <c r="D827" t="s">
        <v>41</v>
      </c>
      <c r="E827" t="s">
        <v>31</v>
      </c>
      <c r="F827">
        <v>7</v>
      </c>
      <c r="G827">
        <v>43.132477000000002</v>
      </c>
      <c r="H827">
        <v>-71.458374000000006</v>
      </c>
      <c r="I827">
        <v>230</v>
      </c>
      <c r="J827">
        <v>70</v>
      </c>
      <c r="K827">
        <v>0</v>
      </c>
      <c r="L827" s="1">
        <v>44784.278495370374</v>
      </c>
      <c r="M827">
        <v>6.7</v>
      </c>
      <c r="N827">
        <v>5.0999999999999996</v>
      </c>
      <c r="O827">
        <v>1.6</v>
      </c>
      <c r="P827">
        <v>27</v>
      </c>
      <c r="Q827">
        <v>0.5</v>
      </c>
      <c r="R827">
        <v>0.1</v>
      </c>
      <c r="S827">
        <v>0.3</v>
      </c>
      <c r="T827" t="s">
        <v>33</v>
      </c>
      <c r="U827">
        <v>5.9</v>
      </c>
      <c r="V827">
        <v>68</v>
      </c>
      <c r="W827">
        <v>0</v>
      </c>
      <c r="X827">
        <v>68</v>
      </c>
      <c r="Y827">
        <v>0</v>
      </c>
      <c r="Z827">
        <v>0</v>
      </c>
      <c r="AA827">
        <v>0</v>
      </c>
      <c r="AB827" t="s">
        <v>36</v>
      </c>
      <c r="AC827">
        <v>68</v>
      </c>
      <c r="AD827">
        <v>1</v>
      </c>
    </row>
    <row r="828" spans="1:30" x14ac:dyDescent="0.25">
      <c r="A828" s="1">
        <v>44784.278541666667</v>
      </c>
      <c r="B828" s="1">
        <v>44784.277685185189</v>
      </c>
      <c r="C828">
        <v>151706</v>
      </c>
      <c r="D828" t="s">
        <v>42</v>
      </c>
      <c r="E828" t="s">
        <v>31</v>
      </c>
      <c r="F828">
        <v>7</v>
      </c>
      <c r="G828">
        <v>43.004080000000002</v>
      </c>
      <c r="H828">
        <v>-71.177040000000005</v>
      </c>
      <c r="I828">
        <v>194</v>
      </c>
      <c r="J828">
        <v>69</v>
      </c>
      <c r="K828">
        <v>0</v>
      </c>
      <c r="L828" s="1">
        <v>44784.278495370374</v>
      </c>
      <c r="M828">
        <v>3.7</v>
      </c>
      <c r="N828">
        <v>0</v>
      </c>
      <c r="O828">
        <v>3.7</v>
      </c>
      <c r="P828">
        <v>200</v>
      </c>
      <c r="Q828">
        <v>0.6</v>
      </c>
      <c r="R828">
        <v>0</v>
      </c>
      <c r="S828">
        <v>0.3</v>
      </c>
      <c r="T828" t="s">
        <v>43</v>
      </c>
      <c r="V828">
        <v>71</v>
      </c>
      <c r="W828">
        <v>0</v>
      </c>
      <c r="X828">
        <v>71</v>
      </c>
      <c r="Y828">
        <v>0</v>
      </c>
      <c r="Z828">
        <v>0</v>
      </c>
      <c r="AA828">
        <v>0</v>
      </c>
      <c r="AB828" t="s">
        <v>36</v>
      </c>
      <c r="AC828">
        <v>71</v>
      </c>
    </row>
    <row r="829" spans="1:30" x14ac:dyDescent="0.25">
      <c r="A829" s="1">
        <v>44784.278541666667</v>
      </c>
      <c r="B829" s="1">
        <v>44784.277407407404</v>
      </c>
      <c r="C829">
        <v>12212</v>
      </c>
      <c r="D829" t="s">
        <v>44</v>
      </c>
      <c r="E829" t="s">
        <v>35</v>
      </c>
      <c r="F829">
        <v>7</v>
      </c>
      <c r="G829">
        <v>42.930529999999997</v>
      </c>
      <c r="H829">
        <v>-72.272350000000003</v>
      </c>
      <c r="I829">
        <v>476</v>
      </c>
      <c r="J829">
        <v>73</v>
      </c>
      <c r="K829">
        <v>0</v>
      </c>
      <c r="L829" s="1">
        <v>44784.278495370374</v>
      </c>
      <c r="M829">
        <v>5.7</v>
      </c>
      <c r="N829">
        <v>4.5999999999999996</v>
      </c>
      <c r="O829">
        <v>1.1000000000000001</v>
      </c>
      <c r="P829">
        <v>21</v>
      </c>
      <c r="Q829">
        <v>0.5</v>
      </c>
      <c r="R829">
        <v>0.1</v>
      </c>
      <c r="S829">
        <v>0.3</v>
      </c>
      <c r="T829" t="s">
        <v>33</v>
      </c>
      <c r="U829">
        <v>5.15</v>
      </c>
      <c r="V829">
        <v>97</v>
      </c>
      <c r="W829">
        <v>0</v>
      </c>
      <c r="X829">
        <v>97</v>
      </c>
      <c r="Y829">
        <v>2</v>
      </c>
      <c r="Z829">
        <v>0</v>
      </c>
      <c r="AA829">
        <v>2</v>
      </c>
      <c r="AB829" t="s">
        <v>36</v>
      </c>
      <c r="AC829">
        <v>97</v>
      </c>
      <c r="AD829">
        <v>-1.49</v>
      </c>
    </row>
    <row r="830" spans="1:30" x14ac:dyDescent="0.25">
      <c r="A830" s="1">
        <v>44784.278541666667</v>
      </c>
      <c r="B830" s="1">
        <v>44769.376736111109</v>
      </c>
      <c r="C830">
        <v>12178</v>
      </c>
      <c r="D830" t="s">
        <v>45</v>
      </c>
      <c r="E830" t="s">
        <v>35</v>
      </c>
      <c r="F830">
        <v>7</v>
      </c>
      <c r="G830">
        <v>42.899563000000001</v>
      </c>
      <c r="H830">
        <v>-71.464650000000006</v>
      </c>
      <c r="I830">
        <v>301</v>
      </c>
      <c r="J830">
        <v>85</v>
      </c>
      <c r="K830">
        <v>0</v>
      </c>
      <c r="L830" s="1">
        <v>44784.278495370374</v>
      </c>
      <c r="M830">
        <v>3.8</v>
      </c>
      <c r="N830">
        <v>3.1</v>
      </c>
      <c r="O830">
        <v>0.7</v>
      </c>
      <c r="P830">
        <v>20</v>
      </c>
      <c r="Q830">
        <v>0</v>
      </c>
      <c r="R830">
        <v>0</v>
      </c>
      <c r="S830">
        <v>0</v>
      </c>
      <c r="T830" t="s">
        <v>32</v>
      </c>
      <c r="V830">
        <v>35</v>
      </c>
      <c r="W830">
        <v>0</v>
      </c>
      <c r="X830">
        <v>35</v>
      </c>
      <c r="Y830">
        <v>0</v>
      </c>
      <c r="Z830">
        <v>0</v>
      </c>
      <c r="AA830">
        <v>0</v>
      </c>
      <c r="AB830" t="s">
        <v>36</v>
      </c>
      <c r="AC830">
        <v>35</v>
      </c>
    </row>
    <row r="831" spans="1:30" x14ac:dyDescent="0.25">
      <c r="A831" s="1">
        <v>44784.278553240743</v>
      </c>
      <c r="B831" s="1">
        <v>44784.276724537034</v>
      </c>
      <c r="C831">
        <v>75981</v>
      </c>
      <c r="D831" t="s">
        <v>46</v>
      </c>
      <c r="E831" t="s">
        <v>35</v>
      </c>
      <c r="F831">
        <v>7</v>
      </c>
      <c r="G831">
        <v>42.97</v>
      </c>
      <c r="H831">
        <v>-71.06</v>
      </c>
      <c r="I831">
        <v>136</v>
      </c>
      <c r="J831">
        <v>74</v>
      </c>
      <c r="K831">
        <v>0</v>
      </c>
      <c r="L831" s="1">
        <v>44784.278495370374</v>
      </c>
      <c r="M831">
        <v>4.2</v>
      </c>
      <c r="N831">
        <v>4</v>
      </c>
      <c r="O831">
        <v>0.2</v>
      </c>
      <c r="P831">
        <v>5</v>
      </c>
      <c r="Q831">
        <v>0</v>
      </c>
      <c r="R831">
        <v>0.1</v>
      </c>
      <c r="S831">
        <v>0.05</v>
      </c>
      <c r="T831" t="s">
        <v>33</v>
      </c>
      <c r="U831">
        <v>4.0999999999999996</v>
      </c>
      <c r="V831">
        <v>63</v>
      </c>
      <c r="W831">
        <v>0</v>
      </c>
      <c r="X831">
        <v>63</v>
      </c>
      <c r="Y831">
        <v>0</v>
      </c>
      <c r="Z831">
        <v>0</v>
      </c>
      <c r="AA831">
        <v>0</v>
      </c>
      <c r="AB831" t="s">
        <v>36</v>
      </c>
      <c r="AC831">
        <v>63</v>
      </c>
      <c r="AD831">
        <v>0.25</v>
      </c>
    </row>
    <row r="832" spans="1:30" x14ac:dyDescent="0.25">
      <c r="A832" s="1">
        <v>44784.278553240743</v>
      </c>
      <c r="B832" s="1">
        <v>44784.277268518519</v>
      </c>
      <c r="C832">
        <v>115703</v>
      </c>
      <c r="D832" t="s">
        <v>47</v>
      </c>
      <c r="E832" t="s">
        <v>35</v>
      </c>
      <c r="F832">
        <v>7</v>
      </c>
      <c r="G832">
        <v>43.953625000000002</v>
      </c>
      <c r="H832">
        <v>-71.508859999999999</v>
      </c>
      <c r="I832">
        <v>1493</v>
      </c>
      <c r="J832">
        <v>63</v>
      </c>
      <c r="K832">
        <v>0</v>
      </c>
      <c r="L832" s="1">
        <v>44784.278495370374</v>
      </c>
      <c r="M832">
        <v>0</v>
      </c>
      <c r="N832">
        <v>300.89999999999998</v>
      </c>
      <c r="O832">
        <v>300.89999999999998</v>
      </c>
      <c r="P832">
        <v>200</v>
      </c>
      <c r="Q832">
        <v>0</v>
      </c>
      <c r="R832">
        <v>0</v>
      </c>
      <c r="S832">
        <v>0</v>
      </c>
      <c r="T832" t="s">
        <v>48</v>
      </c>
      <c r="V832">
        <v>69</v>
      </c>
      <c r="W832">
        <v>0</v>
      </c>
      <c r="X832">
        <v>69</v>
      </c>
      <c r="Y832">
        <v>0</v>
      </c>
      <c r="Z832">
        <v>0</v>
      </c>
      <c r="AA832">
        <v>0</v>
      </c>
      <c r="AB832" t="s">
        <v>36</v>
      </c>
      <c r="AC832">
        <v>69</v>
      </c>
    </row>
    <row r="833" spans="1:30" x14ac:dyDescent="0.25">
      <c r="A833" s="1">
        <v>44784.278553240743</v>
      </c>
      <c r="B833" s="1">
        <v>44784.276678240742</v>
      </c>
      <c r="C833">
        <v>12050</v>
      </c>
      <c r="D833" t="s">
        <v>49</v>
      </c>
      <c r="E833" t="s">
        <v>35</v>
      </c>
      <c r="F833">
        <v>7</v>
      </c>
      <c r="G833">
        <v>44.220573000000002</v>
      </c>
      <c r="H833">
        <v>-71.732315</v>
      </c>
      <c r="I833">
        <v>999</v>
      </c>
      <c r="J833">
        <v>68</v>
      </c>
      <c r="K833">
        <v>0</v>
      </c>
      <c r="L833" s="1">
        <v>44784.278495370374</v>
      </c>
      <c r="M833">
        <v>2.9</v>
      </c>
      <c r="N833">
        <v>3</v>
      </c>
      <c r="O833">
        <v>0.1</v>
      </c>
      <c r="P833">
        <v>3</v>
      </c>
      <c r="Q833">
        <v>0</v>
      </c>
      <c r="R833">
        <v>0.1</v>
      </c>
      <c r="S833">
        <v>0.05</v>
      </c>
      <c r="T833" t="s">
        <v>33</v>
      </c>
      <c r="U833">
        <v>2.95</v>
      </c>
      <c r="V833">
        <v>59</v>
      </c>
      <c r="W833">
        <v>0</v>
      </c>
      <c r="X833">
        <v>59</v>
      </c>
      <c r="Y833">
        <v>1</v>
      </c>
      <c r="Z833">
        <v>0</v>
      </c>
      <c r="AA833">
        <v>1</v>
      </c>
      <c r="AB833" t="s">
        <v>36</v>
      </c>
      <c r="AC833">
        <v>59</v>
      </c>
      <c r="AD833">
        <v>-0.17</v>
      </c>
    </row>
    <row r="834" spans="1:30" x14ac:dyDescent="0.25">
      <c r="A834" s="1">
        <v>44784.278553240743</v>
      </c>
      <c r="B834" s="1">
        <v>44784.276782407411</v>
      </c>
      <c r="C834">
        <v>23443</v>
      </c>
      <c r="D834" t="s">
        <v>50</v>
      </c>
      <c r="E834" t="s">
        <v>35</v>
      </c>
      <c r="F834">
        <v>7</v>
      </c>
      <c r="G834">
        <v>43.556139999999999</v>
      </c>
      <c r="H834">
        <v>-72.370990000000006</v>
      </c>
      <c r="I834">
        <v>523</v>
      </c>
      <c r="J834">
        <v>69</v>
      </c>
      <c r="K834">
        <v>0</v>
      </c>
      <c r="L834" s="1">
        <v>44784.278495370374</v>
      </c>
      <c r="M834">
        <v>4.5999999999999996</v>
      </c>
      <c r="N834">
        <v>3.9</v>
      </c>
      <c r="O834">
        <v>0.7</v>
      </c>
      <c r="P834">
        <v>16</v>
      </c>
      <c r="Q834">
        <v>0.2</v>
      </c>
      <c r="R834">
        <v>0.2</v>
      </c>
      <c r="S834">
        <v>0.2</v>
      </c>
      <c r="T834" t="s">
        <v>33</v>
      </c>
      <c r="U834">
        <v>4.25</v>
      </c>
      <c r="V834">
        <v>67</v>
      </c>
      <c r="W834">
        <v>0</v>
      </c>
      <c r="X834">
        <v>67</v>
      </c>
      <c r="Y834">
        <v>0</v>
      </c>
      <c r="Z834">
        <v>0</v>
      </c>
      <c r="AA834">
        <v>0</v>
      </c>
      <c r="AB834" t="s">
        <v>36</v>
      </c>
      <c r="AC834">
        <v>67</v>
      </c>
      <c r="AD834">
        <v>0.06</v>
      </c>
    </row>
    <row r="835" spans="1:30" x14ac:dyDescent="0.25">
      <c r="A835" s="1">
        <v>44784.278564814813</v>
      </c>
      <c r="B835" s="1">
        <v>44784.276875000003</v>
      </c>
      <c r="C835">
        <v>58135</v>
      </c>
      <c r="D835" t="s">
        <v>51</v>
      </c>
      <c r="E835" t="s">
        <v>35</v>
      </c>
      <c r="F835">
        <v>7</v>
      </c>
      <c r="G835">
        <v>42.883873000000001</v>
      </c>
      <c r="H835">
        <v>-71.972915999999998</v>
      </c>
      <c r="I835">
        <v>808</v>
      </c>
      <c r="J835">
        <v>71</v>
      </c>
      <c r="K835">
        <v>0</v>
      </c>
      <c r="L835" s="1">
        <v>44784.278495370374</v>
      </c>
      <c r="M835">
        <v>8.6999999999999993</v>
      </c>
      <c r="N835">
        <v>5.6</v>
      </c>
      <c r="O835">
        <v>3.1</v>
      </c>
      <c r="P835">
        <v>43</v>
      </c>
      <c r="Q835">
        <v>0.2</v>
      </c>
      <c r="R835">
        <v>0</v>
      </c>
      <c r="S835">
        <v>0.1</v>
      </c>
      <c r="T835" t="s">
        <v>33</v>
      </c>
      <c r="U835">
        <v>7.15</v>
      </c>
      <c r="V835">
        <v>73</v>
      </c>
      <c r="W835">
        <v>0</v>
      </c>
      <c r="X835">
        <v>73</v>
      </c>
      <c r="Y835">
        <v>0</v>
      </c>
      <c r="Z835">
        <v>0</v>
      </c>
      <c r="AA835">
        <v>0</v>
      </c>
      <c r="AB835" t="s">
        <v>36</v>
      </c>
      <c r="AC835">
        <v>73</v>
      </c>
      <c r="AD835">
        <v>1.41</v>
      </c>
    </row>
    <row r="836" spans="1:30" x14ac:dyDescent="0.25">
      <c r="A836" s="1">
        <v>44784.278611111113</v>
      </c>
      <c r="B836" s="1">
        <v>44784.278310185182</v>
      </c>
      <c r="C836">
        <v>148555</v>
      </c>
      <c r="D836" t="s">
        <v>52</v>
      </c>
      <c r="E836" t="s">
        <v>53</v>
      </c>
      <c r="F836">
        <v>7</v>
      </c>
      <c r="G836">
        <v>42.904949999999999</v>
      </c>
      <c r="H836">
        <v>-71.386764999999997</v>
      </c>
      <c r="I836">
        <v>363</v>
      </c>
      <c r="J836">
        <v>0</v>
      </c>
      <c r="K836">
        <v>0</v>
      </c>
      <c r="L836" s="1">
        <v>44784.278495370374</v>
      </c>
      <c r="M836">
        <v>2.5</v>
      </c>
      <c r="N836">
        <v>3.1</v>
      </c>
      <c r="O836">
        <v>0.6</v>
      </c>
      <c r="P836">
        <v>21</v>
      </c>
      <c r="Q836">
        <v>0.1</v>
      </c>
      <c r="R836">
        <v>0.1</v>
      </c>
      <c r="S836">
        <v>0.1</v>
      </c>
      <c r="T836" t="s">
        <v>33</v>
      </c>
      <c r="U836">
        <v>2.8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 t="s">
        <v>38</v>
      </c>
    </row>
    <row r="837" spans="1:30" x14ac:dyDescent="0.25">
      <c r="A837" s="1">
        <v>44784.278622685182</v>
      </c>
      <c r="B837" s="1">
        <v>44784.27784722222</v>
      </c>
      <c r="C837">
        <v>146644</v>
      </c>
      <c r="D837" t="s">
        <v>54</v>
      </c>
      <c r="E837" t="s">
        <v>53</v>
      </c>
      <c r="F837">
        <v>7</v>
      </c>
      <c r="G837">
        <v>43.06015</v>
      </c>
      <c r="H837">
        <v>-70.758930000000007</v>
      </c>
      <c r="I837">
        <v>35</v>
      </c>
      <c r="J837">
        <v>71</v>
      </c>
      <c r="K837">
        <v>72</v>
      </c>
      <c r="L837" s="1">
        <v>44784.278495370374</v>
      </c>
      <c r="M837">
        <v>6</v>
      </c>
      <c r="N837">
        <v>5.2</v>
      </c>
      <c r="O837">
        <v>0.8</v>
      </c>
      <c r="P837">
        <v>14</v>
      </c>
      <c r="Q837">
        <v>0</v>
      </c>
      <c r="R837">
        <v>0.1</v>
      </c>
      <c r="S837">
        <v>0.05</v>
      </c>
      <c r="T837" t="s">
        <v>33</v>
      </c>
      <c r="U837">
        <v>5.6</v>
      </c>
      <c r="V837">
        <v>68</v>
      </c>
      <c r="W837">
        <v>72</v>
      </c>
      <c r="X837">
        <v>4</v>
      </c>
      <c r="Y837">
        <v>1</v>
      </c>
      <c r="Z837">
        <v>0</v>
      </c>
      <c r="AA837">
        <v>1</v>
      </c>
      <c r="AB837" t="s">
        <v>33</v>
      </c>
      <c r="AC837">
        <v>70</v>
      </c>
      <c r="AD837">
        <v>0.68</v>
      </c>
    </row>
    <row r="838" spans="1:30" x14ac:dyDescent="0.25">
      <c r="A838" s="1">
        <v>44784.278622685182</v>
      </c>
      <c r="B838" s="1">
        <v>43755.283437500002</v>
      </c>
      <c r="C838">
        <v>12188</v>
      </c>
      <c r="D838" t="s">
        <v>55</v>
      </c>
      <c r="E838" t="s">
        <v>35</v>
      </c>
      <c r="F838">
        <v>4.1100000000000003</v>
      </c>
      <c r="G838">
        <v>42.927050000000001</v>
      </c>
      <c r="H838">
        <v>-72.279610000000005</v>
      </c>
      <c r="I838">
        <v>475</v>
      </c>
      <c r="J838">
        <v>95</v>
      </c>
      <c r="K838">
        <v>0</v>
      </c>
      <c r="L838" s="1">
        <v>44784.278495370374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 t="s">
        <v>32</v>
      </c>
      <c r="V838">
        <v>77</v>
      </c>
      <c r="W838">
        <v>0</v>
      </c>
      <c r="X838">
        <v>77</v>
      </c>
      <c r="Y838">
        <v>0</v>
      </c>
      <c r="Z838">
        <v>0</v>
      </c>
      <c r="AA838">
        <v>0</v>
      </c>
      <c r="AB838" t="s">
        <v>36</v>
      </c>
      <c r="AC838">
        <v>77</v>
      </c>
    </row>
    <row r="839" spans="1:30" x14ac:dyDescent="0.25">
      <c r="A839" s="1">
        <v>44784.278622685182</v>
      </c>
      <c r="B839" s="1">
        <v>44784.27815972222</v>
      </c>
      <c r="C839">
        <v>1224</v>
      </c>
      <c r="D839" t="s">
        <v>56</v>
      </c>
      <c r="E839" t="s">
        <v>35</v>
      </c>
      <c r="F839" t="s">
        <v>57</v>
      </c>
      <c r="G839">
        <v>42.938034000000002</v>
      </c>
      <c r="H839">
        <v>-72.259299999999996</v>
      </c>
      <c r="I839">
        <v>792</v>
      </c>
      <c r="J839">
        <v>75</v>
      </c>
      <c r="K839">
        <v>0</v>
      </c>
      <c r="L839" s="1">
        <v>44784.278495370374</v>
      </c>
      <c r="M839">
        <v>3.9</v>
      </c>
      <c r="N839">
        <v>0</v>
      </c>
      <c r="O839">
        <v>3.9</v>
      </c>
      <c r="P839">
        <v>200</v>
      </c>
      <c r="Q839">
        <v>0.1</v>
      </c>
      <c r="R839">
        <v>0</v>
      </c>
      <c r="S839">
        <v>0.05</v>
      </c>
      <c r="T839" t="s">
        <v>43</v>
      </c>
      <c r="V839">
        <v>87</v>
      </c>
      <c r="W839">
        <v>0</v>
      </c>
      <c r="X839">
        <v>87</v>
      </c>
      <c r="Y839">
        <v>1</v>
      </c>
      <c r="Z839">
        <v>0</v>
      </c>
      <c r="AA839">
        <v>1</v>
      </c>
      <c r="AB839" t="s">
        <v>36</v>
      </c>
      <c r="AC839">
        <v>87</v>
      </c>
    </row>
    <row r="840" spans="1:30" x14ac:dyDescent="0.25">
      <c r="A840" s="1">
        <v>44784.278622685182</v>
      </c>
      <c r="B840" s="1">
        <v>44784.277604166666</v>
      </c>
      <c r="C840">
        <v>1202</v>
      </c>
      <c r="D840" t="s">
        <v>58</v>
      </c>
      <c r="E840" t="s">
        <v>35</v>
      </c>
      <c r="F840" t="s">
        <v>57</v>
      </c>
      <c r="G840">
        <v>42.936554000000001</v>
      </c>
      <c r="H840">
        <v>-72.271019999999993</v>
      </c>
      <c r="I840">
        <v>488</v>
      </c>
      <c r="J840">
        <v>0</v>
      </c>
      <c r="K840">
        <v>0</v>
      </c>
      <c r="L840" s="1">
        <v>44784.278495370374</v>
      </c>
      <c r="M840">
        <v>4.5999999999999996</v>
      </c>
      <c r="N840">
        <v>4.2</v>
      </c>
      <c r="O840">
        <v>0.4</v>
      </c>
      <c r="P840">
        <v>9</v>
      </c>
      <c r="Q840">
        <v>0.1</v>
      </c>
      <c r="R840">
        <v>0</v>
      </c>
      <c r="S840">
        <v>0.05</v>
      </c>
      <c r="T840" t="s">
        <v>33</v>
      </c>
      <c r="U840">
        <v>4.4000000000000004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 t="s">
        <v>38</v>
      </c>
    </row>
    <row r="841" spans="1:30" x14ac:dyDescent="0.25">
      <c r="A841" s="1">
        <v>44784.278634259259</v>
      </c>
      <c r="B841" s="1">
        <v>44612.080023148148</v>
      </c>
      <c r="C841">
        <v>25985</v>
      </c>
      <c r="D841" t="s">
        <v>59</v>
      </c>
      <c r="E841" t="s">
        <v>35</v>
      </c>
      <c r="F841">
        <v>6.01</v>
      </c>
      <c r="G841">
        <v>42.927326000000001</v>
      </c>
      <c r="H841">
        <v>-72.279979999999995</v>
      </c>
      <c r="I841">
        <v>477</v>
      </c>
      <c r="J841">
        <v>78</v>
      </c>
      <c r="K841">
        <v>0</v>
      </c>
      <c r="L841" s="1">
        <v>44784.278495370374</v>
      </c>
      <c r="M841">
        <v>1.1000000000000001</v>
      </c>
      <c r="N841">
        <v>1</v>
      </c>
      <c r="O841">
        <v>0.1</v>
      </c>
      <c r="P841">
        <v>10</v>
      </c>
      <c r="Q841">
        <v>0</v>
      </c>
      <c r="R841">
        <v>0</v>
      </c>
      <c r="S841">
        <v>0</v>
      </c>
      <c r="T841" t="s">
        <v>32</v>
      </c>
      <c r="V841">
        <v>22</v>
      </c>
      <c r="W841">
        <v>0</v>
      </c>
      <c r="X841">
        <v>22</v>
      </c>
      <c r="Y841">
        <v>0</v>
      </c>
      <c r="Z841">
        <v>0</v>
      </c>
      <c r="AA841">
        <v>0</v>
      </c>
      <c r="AB841" t="s">
        <v>36</v>
      </c>
      <c r="AC841">
        <v>22</v>
      </c>
    </row>
    <row r="842" spans="1:30" x14ac:dyDescent="0.25">
      <c r="A842" s="1">
        <v>44784.285462962966</v>
      </c>
      <c r="B842" s="1">
        <v>44775.701319444444</v>
      </c>
      <c r="C842">
        <v>151708</v>
      </c>
      <c r="D842" t="s">
        <v>30</v>
      </c>
      <c r="E842" t="s">
        <v>31</v>
      </c>
      <c r="F842">
        <v>7</v>
      </c>
      <c r="G842">
        <v>43.192042999999998</v>
      </c>
      <c r="H842">
        <v>-71.541579999999996</v>
      </c>
      <c r="I842">
        <v>291</v>
      </c>
      <c r="J842">
        <v>93</v>
      </c>
      <c r="K842">
        <v>94</v>
      </c>
      <c r="L842" s="1">
        <v>44784.285439814812</v>
      </c>
      <c r="M842">
        <v>7.9</v>
      </c>
      <c r="N842">
        <v>7.6</v>
      </c>
      <c r="O842">
        <v>0.3</v>
      </c>
      <c r="P842">
        <v>4</v>
      </c>
      <c r="Q842">
        <v>0</v>
      </c>
      <c r="R842">
        <v>0</v>
      </c>
      <c r="S842">
        <v>0</v>
      </c>
      <c r="T842" t="s">
        <v>32</v>
      </c>
      <c r="V842">
        <v>42</v>
      </c>
      <c r="W842">
        <v>41</v>
      </c>
      <c r="X842">
        <v>1</v>
      </c>
      <c r="Y842">
        <v>0</v>
      </c>
      <c r="Z842">
        <v>0</v>
      </c>
      <c r="AA842">
        <v>0</v>
      </c>
      <c r="AB842" t="s">
        <v>33</v>
      </c>
      <c r="AC842">
        <v>41.5</v>
      </c>
    </row>
    <row r="843" spans="1:30" x14ac:dyDescent="0.25">
      <c r="A843" s="1">
        <v>44784.285462962966</v>
      </c>
      <c r="B843" s="1">
        <v>44784.283773148149</v>
      </c>
      <c r="C843">
        <v>143456</v>
      </c>
      <c r="D843" t="s">
        <v>34</v>
      </c>
      <c r="E843" t="s">
        <v>35</v>
      </c>
      <c r="F843">
        <v>7</v>
      </c>
      <c r="G843">
        <v>43.08963</v>
      </c>
      <c r="H843">
        <v>-71.502440000000007</v>
      </c>
      <c r="I843">
        <v>619</v>
      </c>
      <c r="J843">
        <v>69</v>
      </c>
      <c r="K843">
        <v>0</v>
      </c>
      <c r="L843" s="1">
        <v>44784.285439814812</v>
      </c>
      <c r="M843">
        <v>3.5</v>
      </c>
      <c r="N843">
        <v>3.7</v>
      </c>
      <c r="O843">
        <v>0.2</v>
      </c>
      <c r="P843">
        <v>6</v>
      </c>
      <c r="Q843">
        <v>0.1</v>
      </c>
      <c r="R843">
        <v>0</v>
      </c>
      <c r="S843">
        <v>0.05</v>
      </c>
      <c r="T843" t="s">
        <v>33</v>
      </c>
      <c r="U843">
        <v>3.6</v>
      </c>
      <c r="V843">
        <v>73</v>
      </c>
      <c r="W843">
        <v>0</v>
      </c>
      <c r="X843">
        <v>73</v>
      </c>
      <c r="Y843">
        <v>1</v>
      </c>
      <c r="Z843">
        <v>0</v>
      </c>
      <c r="AA843">
        <v>1</v>
      </c>
      <c r="AB843" t="s">
        <v>36</v>
      </c>
      <c r="AC843">
        <v>73</v>
      </c>
      <c r="AD843">
        <v>-0.75</v>
      </c>
    </row>
    <row r="844" spans="1:30" x14ac:dyDescent="0.25">
      <c r="A844" s="1">
        <v>44784.285462962966</v>
      </c>
      <c r="B844" s="1">
        <v>44784.283946759257</v>
      </c>
      <c r="C844">
        <v>151702</v>
      </c>
      <c r="D844" t="s">
        <v>37</v>
      </c>
      <c r="E844" t="s">
        <v>31</v>
      </c>
      <c r="F844">
        <v>7</v>
      </c>
      <c r="G844">
        <v>43.118609999999997</v>
      </c>
      <c r="H844">
        <v>-71.61618</v>
      </c>
      <c r="I844">
        <v>885</v>
      </c>
      <c r="J844">
        <v>0</v>
      </c>
      <c r="K844">
        <v>0</v>
      </c>
      <c r="L844" s="1">
        <v>44784.285439814812</v>
      </c>
      <c r="M844">
        <v>4.5</v>
      </c>
      <c r="N844">
        <v>4.3</v>
      </c>
      <c r="O844">
        <v>0.2</v>
      </c>
      <c r="P844">
        <v>5</v>
      </c>
      <c r="Q844">
        <v>0</v>
      </c>
      <c r="R844">
        <v>0.1</v>
      </c>
      <c r="S844">
        <v>0.05</v>
      </c>
      <c r="T844" t="s">
        <v>33</v>
      </c>
      <c r="U844">
        <v>4.4000000000000004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 t="s">
        <v>38</v>
      </c>
    </row>
    <row r="845" spans="1:30" x14ac:dyDescent="0.25">
      <c r="A845" s="1">
        <v>44784.285474537035</v>
      </c>
      <c r="B845" s="1">
        <v>44784.285231481481</v>
      </c>
      <c r="C845">
        <v>151700</v>
      </c>
      <c r="D845" t="s">
        <v>30</v>
      </c>
      <c r="E845" t="s">
        <v>31</v>
      </c>
      <c r="F845">
        <v>7</v>
      </c>
      <c r="G845">
        <v>43.19211</v>
      </c>
      <c r="H845">
        <v>-71.541460000000001</v>
      </c>
      <c r="I845">
        <v>286</v>
      </c>
      <c r="J845">
        <v>71</v>
      </c>
      <c r="K845">
        <v>0</v>
      </c>
      <c r="L845" s="1">
        <v>44784.285439814812</v>
      </c>
      <c r="M845">
        <v>4.2</v>
      </c>
      <c r="N845">
        <v>4.5999999999999996</v>
      </c>
      <c r="O845">
        <v>0.4</v>
      </c>
      <c r="P845">
        <v>9</v>
      </c>
      <c r="Q845">
        <v>0.5</v>
      </c>
      <c r="R845">
        <v>0.7</v>
      </c>
      <c r="S845">
        <v>0.6</v>
      </c>
      <c r="T845" t="s">
        <v>33</v>
      </c>
      <c r="U845">
        <v>4.4000000000000004</v>
      </c>
      <c r="V845">
        <v>69</v>
      </c>
      <c r="W845">
        <v>0</v>
      </c>
      <c r="X845">
        <v>69</v>
      </c>
      <c r="Y845">
        <v>0</v>
      </c>
      <c r="Z845">
        <v>0</v>
      </c>
      <c r="AA845">
        <v>0</v>
      </c>
      <c r="AB845" t="s">
        <v>36</v>
      </c>
      <c r="AC845">
        <v>69</v>
      </c>
      <c r="AD845">
        <v>0.01</v>
      </c>
    </row>
    <row r="846" spans="1:30" x14ac:dyDescent="0.25">
      <c r="A846" s="1">
        <v>44784.285474537035</v>
      </c>
      <c r="B846" s="1">
        <v>44784.284247685187</v>
      </c>
      <c r="C846">
        <v>135984</v>
      </c>
      <c r="D846" t="s">
        <v>39</v>
      </c>
      <c r="E846" t="s">
        <v>31</v>
      </c>
      <c r="F846">
        <v>7</v>
      </c>
      <c r="G846">
        <v>43.565852999999997</v>
      </c>
      <c r="H846">
        <v>-71.496129999999994</v>
      </c>
      <c r="I846">
        <v>708</v>
      </c>
      <c r="J846">
        <v>67</v>
      </c>
      <c r="K846">
        <v>0</v>
      </c>
      <c r="L846" s="1">
        <v>44784.285439814812</v>
      </c>
      <c r="M846">
        <v>7.3</v>
      </c>
      <c r="N846">
        <v>6.8</v>
      </c>
      <c r="O846">
        <v>0.5</v>
      </c>
      <c r="P846">
        <v>7</v>
      </c>
      <c r="Q846">
        <v>0.3</v>
      </c>
      <c r="R846">
        <v>0.6</v>
      </c>
      <c r="S846">
        <v>0.44999999999999901</v>
      </c>
      <c r="T846" t="s">
        <v>33</v>
      </c>
      <c r="U846">
        <v>7.05</v>
      </c>
      <c r="V846">
        <v>92</v>
      </c>
      <c r="W846">
        <v>0</v>
      </c>
      <c r="X846">
        <v>92</v>
      </c>
      <c r="Y846">
        <v>0</v>
      </c>
      <c r="Z846">
        <v>0</v>
      </c>
      <c r="AA846">
        <v>0</v>
      </c>
      <c r="AB846" t="s">
        <v>36</v>
      </c>
      <c r="AC846">
        <v>92</v>
      </c>
      <c r="AD846">
        <v>0.02</v>
      </c>
    </row>
    <row r="847" spans="1:30" x14ac:dyDescent="0.25">
      <c r="A847" s="1">
        <v>44784.285474537035</v>
      </c>
      <c r="B847" s="1">
        <v>44780.394780092596</v>
      </c>
      <c r="C847">
        <v>151712</v>
      </c>
      <c r="D847" t="s">
        <v>40</v>
      </c>
      <c r="E847" t="s">
        <v>31</v>
      </c>
      <c r="F847">
        <v>7</v>
      </c>
      <c r="G847">
        <v>43.289763999999998</v>
      </c>
      <c r="H847">
        <v>-71.564260000000004</v>
      </c>
      <c r="I847">
        <v>370</v>
      </c>
      <c r="J847">
        <v>86</v>
      </c>
      <c r="K847">
        <v>0</v>
      </c>
      <c r="L847" s="1">
        <v>44784.285439814812</v>
      </c>
      <c r="M847">
        <v>14</v>
      </c>
      <c r="N847">
        <v>13.2</v>
      </c>
      <c r="O847">
        <v>0.8</v>
      </c>
      <c r="P847">
        <v>6</v>
      </c>
      <c r="Q847">
        <v>0</v>
      </c>
      <c r="R847">
        <v>0</v>
      </c>
      <c r="S847">
        <v>0</v>
      </c>
      <c r="T847" t="s">
        <v>32</v>
      </c>
      <c r="V847">
        <v>59</v>
      </c>
      <c r="W847">
        <v>0</v>
      </c>
      <c r="X847">
        <v>59</v>
      </c>
      <c r="Y847">
        <v>0</v>
      </c>
      <c r="Z847">
        <v>0</v>
      </c>
      <c r="AA847">
        <v>0</v>
      </c>
      <c r="AB847" t="s">
        <v>36</v>
      </c>
      <c r="AC847">
        <v>59</v>
      </c>
    </row>
    <row r="848" spans="1:30" x14ac:dyDescent="0.25">
      <c r="A848" s="1">
        <v>44784.285486111112</v>
      </c>
      <c r="B848" s="1">
        <v>44784.284942129627</v>
      </c>
      <c r="C848">
        <v>151710</v>
      </c>
      <c r="D848" t="s">
        <v>41</v>
      </c>
      <c r="E848" t="s">
        <v>31</v>
      </c>
      <c r="F848">
        <v>7</v>
      </c>
      <c r="G848">
        <v>43.132477000000002</v>
      </c>
      <c r="H848">
        <v>-71.458374000000006</v>
      </c>
      <c r="I848">
        <v>230</v>
      </c>
      <c r="J848">
        <v>70</v>
      </c>
      <c r="K848">
        <v>0</v>
      </c>
      <c r="L848" s="1">
        <v>44784.285439814812</v>
      </c>
      <c r="M848">
        <v>7.1</v>
      </c>
      <c r="N848">
        <v>5.2</v>
      </c>
      <c r="O848">
        <v>1.9</v>
      </c>
      <c r="P848">
        <v>31</v>
      </c>
      <c r="Q848">
        <v>0.4</v>
      </c>
      <c r="R848">
        <v>0.1</v>
      </c>
      <c r="S848">
        <v>0.25</v>
      </c>
      <c r="T848" t="s">
        <v>33</v>
      </c>
      <c r="U848">
        <v>6.15</v>
      </c>
      <c r="V848">
        <v>67</v>
      </c>
      <c r="W848">
        <v>0</v>
      </c>
      <c r="X848">
        <v>67</v>
      </c>
      <c r="Y848">
        <v>1</v>
      </c>
      <c r="Z848">
        <v>0</v>
      </c>
      <c r="AA848">
        <v>1</v>
      </c>
      <c r="AB848" t="s">
        <v>36</v>
      </c>
      <c r="AC848">
        <v>67</v>
      </c>
      <c r="AD848">
        <v>1.22</v>
      </c>
    </row>
    <row r="849" spans="1:30" x14ac:dyDescent="0.25">
      <c r="A849" s="1">
        <v>44784.285486111112</v>
      </c>
      <c r="B849" s="1">
        <v>44784.284629629627</v>
      </c>
      <c r="C849">
        <v>151706</v>
      </c>
      <c r="D849" t="s">
        <v>42</v>
      </c>
      <c r="E849" t="s">
        <v>31</v>
      </c>
      <c r="F849">
        <v>7</v>
      </c>
      <c r="G849">
        <v>43.004080000000002</v>
      </c>
      <c r="H849">
        <v>-71.177040000000005</v>
      </c>
      <c r="I849">
        <v>194</v>
      </c>
      <c r="J849">
        <v>69</v>
      </c>
      <c r="K849">
        <v>0</v>
      </c>
      <c r="L849" s="1">
        <v>44784.285439814812</v>
      </c>
      <c r="M849">
        <v>3.5</v>
      </c>
      <c r="N849">
        <v>0</v>
      </c>
      <c r="O849">
        <v>3.5</v>
      </c>
      <c r="P849">
        <v>200</v>
      </c>
      <c r="Q849">
        <v>0.2</v>
      </c>
      <c r="R849">
        <v>0</v>
      </c>
      <c r="S849">
        <v>0.1</v>
      </c>
      <c r="T849" t="s">
        <v>43</v>
      </c>
      <c r="V849">
        <v>70</v>
      </c>
      <c r="W849">
        <v>0</v>
      </c>
      <c r="X849">
        <v>70</v>
      </c>
      <c r="Y849">
        <v>1</v>
      </c>
      <c r="Z849">
        <v>0</v>
      </c>
      <c r="AA849">
        <v>1</v>
      </c>
      <c r="AB849" t="s">
        <v>36</v>
      </c>
      <c r="AC849">
        <v>70</v>
      </c>
    </row>
    <row r="850" spans="1:30" x14ac:dyDescent="0.25">
      <c r="A850" s="1">
        <v>44784.285486111112</v>
      </c>
      <c r="B850" s="1">
        <v>44784.284351851849</v>
      </c>
      <c r="C850">
        <v>12212</v>
      </c>
      <c r="D850" t="s">
        <v>44</v>
      </c>
      <c r="E850" t="s">
        <v>35</v>
      </c>
      <c r="F850">
        <v>7</v>
      </c>
      <c r="G850">
        <v>42.930529999999997</v>
      </c>
      <c r="H850">
        <v>-72.272350000000003</v>
      </c>
      <c r="I850">
        <v>476</v>
      </c>
      <c r="J850">
        <v>72</v>
      </c>
      <c r="K850">
        <v>0</v>
      </c>
      <c r="L850" s="1">
        <v>44784.285439814812</v>
      </c>
      <c r="M850">
        <v>5.8</v>
      </c>
      <c r="N850">
        <v>4.8</v>
      </c>
      <c r="O850">
        <v>1</v>
      </c>
      <c r="P850">
        <v>19</v>
      </c>
      <c r="Q850">
        <v>0.1</v>
      </c>
      <c r="R850">
        <v>0.2</v>
      </c>
      <c r="S850">
        <v>0.15</v>
      </c>
      <c r="T850" t="s">
        <v>33</v>
      </c>
      <c r="U850">
        <v>5.3</v>
      </c>
      <c r="V850">
        <v>99</v>
      </c>
      <c r="W850">
        <v>0</v>
      </c>
      <c r="X850">
        <v>99</v>
      </c>
      <c r="Y850">
        <v>2</v>
      </c>
      <c r="Z850">
        <v>0</v>
      </c>
      <c r="AA850">
        <v>2</v>
      </c>
      <c r="AB850" t="s">
        <v>36</v>
      </c>
      <c r="AC850">
        <v>99</v>
      </c>
      <c r="AD850">
        <v>-1.54</v>
      </c>
    </row>
    <row r="851" spans="1:30" x14ac:dyDescent="0.25">
      <c r="A851" s="1">
        <v>44784.285486111112</v>
      </c>
      <c r="B851" s="1">
        <v>44769.376736111109</v>
      </c>
      <c r="C851">
        <v>12178</v>
      </c>
      <c r="D851" t="s">
        <v>45</v>
      </c>
      <c r="E851" t="s">
        <v>35</v>
      </c>
      <c r="F851">
        <v>7</v>
      </c>
      <c r="G851">
        <v>42.899563000000001</v>
      </c>
      <c r="H851">
        <v>-71.464650000000006</v>
      </c>
      <c r="I851">
        <v>301</v>
      </c>
      <c r="J851">
        <v>85</v>
      </c>
      <c r="K851">
        <v>0</v>
      </c>
      <c r="L851" s="1">
        <v>44784.285439814812</v>
      </c>
      <c r="M851">
        <v>3.8</v>
      </c>
      <c r="N851">
        <v>3.1</v>
      </c>
      <c r="O851">
        <v>0.7</v>
      </c>
      <c r="P851">
        <v>20</v>
      </c>
      <c r="Q851">
        <v>0</v>
      </c>
      <c r="R851">
        <v>0</v>
      </c>
      <c r="S851">
        <v>0</v>
      </c>
      <c r="T851" t="s">
        <v>32</v>
      </c>
      <c r="V851">
        <v>35</v>
      </c>
      <c r="W851">
        <v>0</v>
      </c>
      <c r="X851">
        <v>35</v>
      </c>
      <c r="Y851">
        <v>0</v>
      </c>
      <c r="Z851">
        <v>0</v>
      </c>
      <c r="AA851">
        <v>0</v>
      </c>
      <c r="AB851" t="s">
        <v>36</v>
      </c>
      <c r="AC851">
        <v>35</v>
      </c>
    </row>
    <row r="852" spans="1:30" x14ac:dyDescent="0.25">
      <c r="A852" s="1">
        <v>44784.285497685189</v>
      </c>
      <c r="B852" s="1">
        <v>44784.285069444442</v>
      </c>
      <c r="C852">
        <v>75981</v>
      </c>
      <c r="D852" t="s">
        <v>46</v>
      </c>
      <c r="E852" t="s">
        <v>35</v>
      </c>
      <c r="F852">
        <v>7</v>
      </c>
      <c r="G852">
        <v>42.97</v>
      </c>
      <c r="H852">
        <v>-71.06</v>
      </c>
      <c r="I852">
        <v>136</v>
      </c>
      <c r="J852">
        <v>74</v>
      </c>
      <c r="K852">
        <v>0</v>
      </c>
      <c r="L852" s="1">
        <v>44784.285439814812</v>
      </c>
      <c r="M852">
        <v>4.3</v>
      </c>
      <c r="N852">
        <v>4.0999999999999996</v>
      </c>
      <c r="O852">
        <v>0.2</v>
      </c>
      <c r="P852">
        <v>5</v>
      </c>
      <c r="Q852">
        <v>0.1</v>
      </c>
      <c r="R852">
        <v>0.1</v>
      </c>
      <c r="S852">
        <v>0.1</v>
      </c>
      <c r="T852" t="s">
        <v>33</v>
      </c>
      <c r="U852">
        <v>4.2</v>
      </c>
      <c r="V852">
        <v>63</v>
      </c>
      <c r="W852">
        <v>0</v>
      </c>
      <c r="X852">
        <v>63</v>
      </c>
      <c r="Y852">
        <v>0</v>
      </c>
      <c r="Z852">
        <v>0</v>
      </c>
      <c r="AA852">
        <v>0</v>
      </c>
      <c r="AB852" t="s">
        <v>36</v>
      </c>
      <c r="AC852">
        <v>63</v>
      </c>
      <c r="AD852">
        <v>0.31</v>
      </c>
    </row>
    <row r="853" spans="1:30" x14ac:dyDescent="0.25">
      <c r="A853" s="1">
        <v>44784.285497685189</v>
      </c>
      <c r="B853" s="1">
        <v>44784.284201388888</v>
      </c>
      <c r="C853">
        <v>115703</v>
      </c>
      <c r="D853" t="s">
        <v>47</v>
      </c>
      <c r="E853" t="s">
        <v>35</v>
      </c>
      <c r="F853">
        <v>7</v>
      </c>
      <c r="G853">
        <v>43.953625000000002</v>
      </c>
      <c r="H853">
        <v>-71.508859999999999</v>
      </c>
      <c r="I853">
        <v>1493</v>
      </c>
      <c r="J853">
        <v>63</v>
      </c>
      <c r="K853">
        <v>0</v>
      </c>
      <c r="L853" s="1">
        <v>44784.285439814812</v>
      </c>
      <c r="M853">
        <v>0</v>
      </c>
      <c r="N853">
        <v>300.89999999999998</v>
      </c>
      <c r="O853">
        <v>300.89999999999998</v>
      </c>
      <c r="P853">
        <v>200</v>
      </c>
      <c r="Q853">
        <v>0</v>
      </c>
      <c r="R853">
        <v>0</v>
      </c>
      <c r="S853">
        <v>0</v>
      </c>
      <c r="T853" t="s">
        <v>48</v>
      </c>
      <c r="V853">
        <v>69</v>
      </c>
      <c r="W853">
        <v>0</v>
      </c>
      <c r="X853">
        <v>69</v>
      </c>
      <c r="Y853">
        <v>0</v>
      </c>
      <c r="Z853">
        <v>0</v>
      </c>
      <c r="AA853">
        <v>0</v>
      </c>
      <c r="AB853" t="s">
        <v>36</v>
      </c>
      <c r="AC853">
        <v>69</v>
      </c>
    </row>
    <row r="854" spans="1:30" x14ac:dyDescent="0.25">
      <c r="A854" s="1">
        <v>44784.285497685189</v>
      </c>
      <c r="B854" s="1">
        <v>44784.283622685187</v>
      </c>
      <c r="C854">
        <v>12050</v>
      </c>
      <c r="D854" t="s">
        <v>49</v>
      </c>
      <c r="E854" t="s">
        <v>35</v>
      </c>
      <c r="F854">
        <v>7</v>
      </c>
      <c r="G854">
        <v>44.220573000000002</v>
      </c>
      <c r="H854">
        <v>-71.732315</v>
      </c>
      <c r="I854">
        <v>999</v>
      </c>
      <c r="J854">
        <v>68</v>
      </c>
      <c r="K854">
        <v>0</v>
      </c>
      <c r="L854" s="1">
        <v>44784.285439814812</v>
      </c>
      <c r="M854">
        <v>3</v>
      </c>
      <c r="N854">
        <v>3</v>
      </c>
      <c r="O854">
        <v>0</v>
      </c>
      <c r="P854">
        <v>0</v>
      </c>
      <c r="Q854">
        <v>0.1</v>
      </c>
      <c r="R854">
        <v>0</v>
      </c>
      <c r="S854">
        <v>0.05</v>
      </c>
      <c r="T854" t="s">
        <v>33</v>
      </c>
      <c r="U854">
        <v>3</v>
      </c>
      <c r="V854">
        <v>59</v>
      </c>
      <c r="W854">
        <v>0</v>
      </c>
      <c r="X854">
        <v>59</v>
      </c>
      <c r="Y854">
        <v>0</v>
      </c>
      <c r="Z854">
        <v>0</v>
      </c>
      <c r="AA854">
        <v>0</v>
      </c>
      <c r="AB854" t="s">
        <v>36</v>
      </c>
      <c r="AC854">
        <v>59</v>
      </c>
      <c r="AD854">
        <v>-0.14000000000000001</v>
      </c>
    </row>
    <row r="855" spans="1:30" x14ac:dyDescent="0.25">
      <c r="A855" s="1">
        <v>44784.285497685189</v>
      </c>
      <c r="B855" s="1">
        <v>44784.283726851849</v>
      </c>
      <c r="C855">
        <v>23443</v>
      </c>
      <c r="D855" t="s">
        <v>50</v>
      </c>
      <c r="E855" t="s">
        <v>35</v>
      </c>
      <c r="F855">
        <v>7</v>
      </c>
      <c r="G855">
        <v>43.556139999999999</v>
      </c>
      <c r="H855">
        <v>-72.370990000000006</v>
      </c>
      <c r="I855">
        <v>523</v>
      </c>
      <c r="J855">
        <v>70</v>
      </c>
      <c r="K855">
        <v>0</v>
      </c>
      <c r="L855" s="1">
        <v>44784.285439814812</v>
      </c>
      <c r="M855">
        <v>5.6</v>
      </c>
      <c r="N855">
        <v>4.9000000000000004</v>
      </c>
      <c r="O855">
        <v>0.7</v>
      </c>
      <c r="P855">
        <v>13</v>
      </c>
      <c r="Q855">
        <v>1</v>
      </c>
      <c r="R855">
        <v>1</v>
      </c>
      <c r="S855">
        <v>1</v>
      </c>
      <c r="T855" t="s">
        <v>33</v>
      </c>
      <c r="U855">
        <v>5.25</v>
      </c>
      <c r="V855">
        <v>67</v>
      </c>
      <c r="W855">
        <v>0</v>
      </c>
      <c r="X855">
        <v>67</v>
      </c>
      <c r="Y855">
        <v>0</v>
      </c>
      <c r="Z855">
        <v>0</v>
      </c>
      <c r="AA855">
        <v>0</v>
      </c>
      <c r="AB855" t="s">
        <v>36</v>
      </c>
      <c r="AC855">
        <v>67</v>
      </c>
      <c r="AD855">
        <v>0.67</v>
      </c>
    </row>
    <row r="856" spans="1:30" x14ac:dyDescent="0.25">
      <c r="A856" s="1">
        <v>44784.285509259258</v>
      </c>
      <c r="B856" s="1">
        <v>44784.285208333335</v>
      </c>
      <c r="C856">
        <v>58135</v>
      </c>
      <c r="D856" t="s">
        <v>51</v>
      </c>
      <c r="E856" t="s">
        <v>35</v>
      </c>
      <c r="F856">
        <v>7</v>
      </c>
      <c r="G856">
        <v>42.883873000000001</v>
      </c>
      <c r="H856">
        <v>-71.972915999999998</v>
      </c>
      <c r="I856">
        <v>808</v>
      </c>
      <c r="J856">
        <v>71</v>
      </c>
      <c r="K856">
        <v>0</v>
      </c>
      <c r="L856" s="1">
        <v>44784.285439814812</v>
      </c>
      <c r="M856">
        <v>8.4</v>
      </c>
      <c r="N856">
        <v>5.5</v>
      </c>
      <c r="O856">
        <v>2.9</v>
      </c>
      <c r="P856">
        <v>42</v>
      </c>
      <c r="Q856">
        <v>0.3</v>
      </c>
      <c r="R856">
        <v>0.1</v>
      </c>
      <c r="S856">
        <v>0.2</v>
      </c>
      <c r="T856" t="s">
        <v>33</v>
      </c>
      <c r="U856">
        <v>6.95</v>
      </c>
      <c r="V856">
        <v>72</v>
      </c>
      <c r="W856">
        <v>0</v>
      </c>
      <c r="X856">
        <v>72</v>
      </c>
      <c r="Y856">
        <v>1</v>
      </c>
      <c r="Z856">
        <v>0</v>
      </c>
      <c r="AA856">
        <v>1</v>
      </c>
      <c r="AB856" t="s">
        <v>36</v>
      </c>
      <c r="AC856">
        <v>72</v>
      </c>
      <c r="AD856">
        <v>1.36</v>
      </c>
    </row>
    <row r="857" spans="1:30" x14ac:dyDescent="0.25">
      <c r="A857" s="1">
        <v>44784.285509259258</v>
      </c>
      <c r="B857" s="1">
        <v>44784.285254629627</v>
      </c>
      <c r="C857">
        <v>148555</v>
      </c>
      <c r="D857" t="s">
        <v>52</v>
      </c>
      <c r="E857" t="s">
        <v>53</v>
      </c>
      <c r="F857">
        <v>7</v>
      </c>
      <c r="G857">
        <v>42.904949999999999</v>
      </c>
      <c r="H857">
        <v>-71.386764999999997</v>
      </c>
      <c r="I857">
        <v>363</v>
      </c>
      <c r="J857">
        <v>0</v>
      </c>
      <c r="K857">
        <v>0</v>
      </c>
      <c r="L857" s="1">
        <v>44784.285439814812</v>
      </c>
      <c r="M857">
        <v>2.5</v>
      </c>
      <c r="N857">
        <v>3</v>
      </c>
      <c r="O857">
        <v>0.5</v>
      </c>
      <c r="P857">
        <v>18</v>
      </c>
      <c r="Q857">
        <v>0</v>
      </c>
      <c r="R857">
        <v>0.1</v>
      </c>
      <c r="S857">
        <v>0.05</v>
      </c>
      <c r="T857" t="s">
        <v>33</v>
      </c>
      <c r="U857">
        <v>2.75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 t="s">
        <v>38</v>
      </c>
    </row>
    <row r="858" spans="1:30" x14ac:dyDescent="0.25">
      <c r="A858" s="1">
        <v>44784.285509259258</v>
      </c>
      <c r="B858" s="1">
        <v>44784.284791666665</v>
      </c>
      <c r="C858">
        <v>146644</v>
      </c>
      <c r="D858" t="s">
        <v>54</v>
      </c>
      <c r="E858" t="s">
        <v>53</v>
      </c>
      <c r="F858">
        <v>7</v>
      </c>
      <c r="G858">
        <v>43.06015</v>
      </c>
      <c r="H858">
        <v>-70.758930000000007</v>
      </c>
      <c r="I858">
        <v>35</v>
      </c>
      <c r="J858">
        <v>71</v>
      </c>
      <c r="K858">
        <v>73</v>
      </c>
      <c r="L858" s="1">
        <v>44784.285439814812</v>
      </c>
      <c r="M858">
        <v>6.1</v>
      </c>
      <c r="N858">
        <v>5.0999999999999996</v>
      </c>
      <c r="O858">
        <v>1</v>
      </c>
      <c r="P858">
        <v>18</v>
      </c>
      <c r="Q858">
        <v>0.1</v>
      </c>
      <c r="R858">
        <v>0.1</v>
      </c>
      <c r="S858">
        <v>0.1</v>
      </c>
      <c r="T858" t="s">
        <v>33</v>
      </c>
      <c r="U858">
        <v>5.6</v>
      </c>
      <c r="V858">
        <v>67</v>
      </c>
      <c r="W858">
        <v>72</v>
      </c>
      <c r="X858">
        <v>5</v>
      </c>
      <c r="Y858">
        <v>1</v>
      </c>
      <c r="Z858">
        <v>0</v>
      </c>
      <c r="AA858">
        <v>1</v>
      </c>
      <c r="AB858" t="s">
        <v>33</v>
      </c>
      <c r="AC858">
        <v>69.5</v>
      </c>
      <c r="AD858">
        <v>0.71</v>
      </c>
    </row>
    <row r="859" spans="1:30" x14ac:dyDescent="0.25">
      <c r="A859" s="1">
        <v>44784.285509259258</v>
      </c>
      <c r="B859" s="1">
        <v>43755.283437500002</v>
      </c>
      <c r="C859">
        <v>12188</v>
      </c>
      <c r="D859" t="s">
        <v>55</v>
      </c>
      <c r="E859" t="s">
        <v>35</v>
      </c>
      <c r="F859">
        <v>4.1100000000000003</v>
      </c>
      <c r="G859">
        <v>42.927050000000001</v>
      </c>
      <c r="H859">
        <v>-72.279610000000005</v>
      </c>
      <c r="I859">
        <v>475</v>
      </c>
      <c r="J859">
        <v>95</v>
      </c>
      <c r="K859">
        <v>0</v>
      </c>
      <c r="L859" s="1">
        <v>44784.285439814812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 t="s">
        <v>32</v>
      </c>
      <c r="V859">
        <v>77</v>
      </c>
      <c r="W859">
        <v>0</v>
      </c>
      <c r="X859">
        <v>77</v>
      </c>
      <c r="Y859">
        <v>0</v>
      </c>
      <c r="Z859">
        <v>0</v>
      </c>
      <c r="AA859">
        <v>0</v>
      </c>
      <c r="AB859" t="s">
        <v>36</v>
      </c>
      <c r="AC859">
        <v>77</v>
      </c>
    </row>
    <row r="860" spans="1:30" x14ac:dyDescent="0.25">
      <c r="A860" s="1">
        <v>44784.285520833335</v>
      </c>
      <c r="B860" s="1">
        <v>44784.285115740742</v>
      </c>
      <c r="C860">
        <v>1224</v>
      </c>
      <c r="D860" t="s">
        <v>56</v>
      </c>
      <c r="E860" t="s">
        <v>35</v>
      </c>
      <c r="F860" t="s">
        <v>57</v>
      </c>
      <c r="G860">
        <v>42.938034000000002</v>
      </c>
      <c r="H860">
        <v>-72.259299999999996</v>
      </c>
      <c r="I860">
        <v>792</v>
      </c>
      <c r="J860">
        <v>75</v>
      </c>
      <c r="K860">
        <v>0</v>
      </c>
      <c r="L860" s="1">
        <v>44784.285439814812</v>
      </c>
      <c r="M860">
        <v>3.9</v>
      </c>
      <c r="N860">
        <v>0</v>
      </c>
      <c r="O860">
        <v>3.9</v>
      </c>
      <c r="P860">
        <v>200</v>
      </c>
      <c r="Q860">
        <v>0</v>
      </c>
      <c r="R860">
        <v>0</v>
      </c>
      <c r="S860">
        <v>0</v>
      </c>
      <c r="T860" t="s">
        <v>43</v>
      </c>
      <c r="V860">
        <v>87</v>
      </c>
      <c r="W860">
        <v>0</v>
      </c>
      <c r="X860">
        <v>87</v>
      </c>
      <c r="Y860">
        <v>0</v>
      </c>
      <c r="Z860">
        <v>0</v>
      </c>
      <c r="AA860">
        <v>0</v>
      </c>
      <c r="AB860" t="s">
        <v>36</v>
      </c>
      <c r="AC860">
        <v>87</v>
      </c>
    </row>
    <row r="861" spans="1:30" x14ac:dyDescent="0.25">
      <c r="A861" s="1">
        <v>44784.285520833335</v>
      </c>
      <c r="B861" s="1">
        <v>44784.284548611111</v>
      </c>
      <c r="C861">
        <v>1202</v>
      </c>
      <c r="D861" t="s">
        <v>58</v>
      </c>
      <c r="E861" t="s">
        <v>35</v>
      </c>
      <c r="F861" t="s">
        <v>57</v>
      </c>
      <c r="G861">
        <v>42.936554000000001</v>
      </c>
      <c r="H861">
        <v>-72.271019999999993</v>
      </c>
      <c r="I861">
        <v>488</v>
      </c>
      <c r="J861">
        <v>0</v>
      </c>
      <c r="K861">
        <v>0</v>
      </c>
      <c r="L861" s="1">
        <v>44784.285439814812</v>
      </c>
      <c r="M861">
        <v>5</v>
      </c>
      <c r="N861">
        <v>4.5999999999999996</v>
      </c>
      <c r="O861">
        <v>0.4</v>
      </c>
      <c r="P861">
        <v>8</v>
      </c>
      <c r="Q861">
        <v>0.4</v>
      </c>
      <c r="R861">
        <v>0.4</v>
      </c>
      <c r="S861">
        <v>0.4</v>
      </c>
      <c r="T861" t="s">
        <v>33</v>
      </c>
      <c r="U861">
        <v>4.8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 t="s">
        <v>38</v>
      </c>
    </row>
    <row r="862" spans="1:30" x14ac:dyDescent="0.25">
      <c r="A862" s="1">
        <v>44784.285520833335</v>
      </c>
      <c r="B862" s="1">
        <v>44612.080023148148</v>
      </c>
      <c r="C862">
        <v>25985</v>
      </c>
      <c r="D862" t="s">
        <v>59</v>
      </c>
      <c r="E862" t="s">
        <v>35</v>
      </c>
      <c r="F862">
        <v>6.01</v>
      </c>
      <c r="G862">
        <v>42.927326000000001</v>
      </c>
      <c r="H862">
        <v>-72.279979999999995</v>
      </c>
      <c r="I862">
        <v>477</v>
      </c>
      <c r="J862">
        <v>78</v>
      </c>
      <c r="K862">
        <v>0</v>
      </c>
      <c r="L862" s="1">
        <v>44784.285439814812</v>
      </c>
      <c r="M862">
        <v>1.1000000000000001</v>
      </c>
      <c r="N862">
        <v>1</v>
      </c>
      <c r="O862">
        <v>0.1</v>
      </c>
      <c r="P862">
        <v>10</v>
      </c>
      <c r="Q862">
        <v>0</v>
      </c>
      <c r="R862">
        <v>0</v>
      </c>
      <c r="S862">
        <v>0</v>
      </c>
      <c r="T862" t="s">
        <v>32</v>
      </c>
      <c r="V862">
        <v>22</v>
      </c>
      <c r="W862">
        <v>0</v>
      </c>
      <c r="X862">
        <v>22</v>
      </c>
      <c r="Y862">
        <v>0</v>
      </c>
      <c r="Z862">
        <v>0</v>
      </c>
      <c r="AA862">
        <v>0</v>
      </c>
      <c r="AB862" t="s">
        <v>36</v>
      </c>
      <c r="AC862">
        <v>22</v>
      </c>
    </row>
    <row r="863" spans="1:30" x14ac:dyDescent="0.25">
      <c r="A863" s="1">
        <v>44784.292407407411</v>
      </c>
      <c r="B863" s="1">
        <v>44775.701319444444</v>
      </c>
      <c r="C863">
        <v>151708</v>
      </c>
      <c r="D863" t="s">
        <v>30</v>
      </c>
      <c r="E863" t="s">
        <v>31</v>
      </c>
      <c r="F863">
        <v>7</v>
      </c>
      <c r="G863">
        <v>43.192042999999998</v>
      </c>
      <c r="H863">
        <v>-71.541579999999996</v>
      </c>
      <c r="I863">
        <v>291</v>
      </c>
      <c r="J863">
        <v>93</v>
      </c>
      <c r="K863">
        <v>94</v>
      </c>
      <c r="L863" s="1">
        <v>44784.292384259257</v>
      </c>
      <c r="M863">
        <v>7.9</v>
      </c>
      <c r="N863">
        <v>7.6</v>
      </c>
      <c r="O863">
        <v>0.3</v>
      </c>
      <c r="P863">
        <v>4</v>
      </c>
      <c r="Q863">
        <v>0</v>
      </c>
      <c r="R863">
        <v>0</v>
      </c>
      <c r="S863">
        <v>0</v>
      </c>
      <c r="T863" t="s">
        <v>32</v>
      </c>
      <c r="V863">
        <v>42</v>
      </c>
      <c r="W863">
        <v>41</v>
      </c>
      <c r="X863">
        <v>1</v>
      </c>
      <c r="Y863">
        <v>0</v>
      </c>
      <c r="Z863">
        <v>0</v>
      </c>
      <c r="AA863">
        <v>0</v>
      </c>
      <c r="AB863" t="s">
        <v>33</v>
      </c>
      <c r="AC863">
        <v>41.5</v>
      </c>
    </row>
    <row r="864" spans="1:30" x14ac:dyDescent="0.25">
      <c r="A864" s="1">
        <v>44784.292407407411</v>
      </c>
      <c r="B864" s="1">
        <v>44784.29074074074</v>
      </c>
      <c r="C864">
        <v>143456</v>
      </c>
      <c r="D864" t="s">
        <v>34</v>
      </c>
      <c r="E864" t="s">
        <v>35</v>
      </c>
      <c r="F864">
        <v>7</v>
      </c>
      <c r="G864">
        <v>43.08963</v>
      </c>
      <c r="H864">
        <v>-71.502440000000007</v>
      </c>
      <c r="I864">
        <v>619</v>
      </c>
      <c r="J864">
        <v>69</v>
      </c>
      <c r="K864">
        <v>0</v>
      </c>
      <c r="L864" s="1">
        <v>44784.292384259257</v>
      </c>
      <c r="M864">
        <v>3.4</v>
      </c>
      <c r="N864">
        <v>3.6</v>
      </c>
      <c r="O864">
        <v>0.2</v>
      </c>
      <c r="P864">
        <v>6</v>
      </c>
      <c r="Q864">
        <v>0.1</v>
      </c>
      <c r="R864">
        <v>0.1</v>
      </c>
      <c r="S864">
        <v>0.1</v>
      </c>
      <c r="T864" t="s">
        <v>33</v>
      </c>
      <c r="U864">
        <v>3.5</v>
      </c>
      <c r="V864">
        <v>72</v>
      </c>
      <c r="W864">
        <v>0</v>
      </c>
      <c r="X864">
        <v>72</v>
      </c>
      <c r="Y864">
        <v>1</v>
      </c>
      <c r="Z864">
        <v>0</v>
      </c>
      <c r="AA864">
        <v>1</v>
      </c>
      <c r="AB864" t="s">
        <v>36</v>
      </c>
      <c r="AC864">
        <v>72</v>
      </c>
      <c r="AD864">
        <v>-0.75</v>
      </c>
    </row>
    <row r="865" spans="1:30" x14ac:dyDescent="0.25">
      <c r="A865" s="1">
        <v>44784.292407407411</v>
      </c>
      <c r="B865" s="1">
        <v>44784.292280092595</v>
      </c>
      <c r="C865">
        <v>151702</v>
      </c>
      <c r="D865" t="s">
        <v>37</v>
      </c>
      <c r="E865" t="s">
        <v>31</v>
      </c>
      <c r="F865">
        <v>7</v>
      </c>
      <c r="G865">
        <v>43.118609999999997</v>
      </c>
      <c r="H865">
        <v>-71.61618</v>
      </c>
      <c r="I865">
        <v>885</v>
      </c>
      <c r="J865">
        <v>0</v>
      </c>
      <c r="K865">
        <v>0</v>
      </c>
      <c r="L865" s="1">
        <v>44784.292384259257</v>
      </c>
      <c r="M865">
        <v>4.3</v>
      </c>
      <c r="N865">
        <v>4.3</v>
      </c>
      <c r="O865">
        <v>0</v>
      </c>
      <c r="P865">
        <v>0</v>
      </c>
      <c r="Q865">
        <v>0.2</v>
      </c>
      <c r="R865">
        <v>0</v>
      </c>
      <c r="S865">
        <v>0.1</v>
      </c>
      <c r="T865" t="s">
        <v>33</v>
      </c>
      <c r="U865">
        <v>4.3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 t="s">
        <v>38</v>
      </c>
    </row>
    <row r="866" spans="1:30" x14ac:dyDescent="0.25">
      <c r="A866" s="1">
        <v>44784.29241898148</v>
      </c>
      <c r="B866" s="1">
        <v>44784.292175925926</v>
      </c>
      <c r="C866">
        <v>151700</v>
      </c>
      <c r="D866" t="s">
        <v>30</v>
      </c>
      <c r="E866" t="s">
        <v>31</v>
      </c>
      <c r="F866">
        <v>7</v>
      </c>
      <c r="G866">
        <v>43.19211</v>
      </c>
      <c r="H866">
        <v>-71.541460000000001</v>
      </c>
      <c r="I866">
        <v>286</v>
      </c>
      <c r="J866">
        <v>71</v>
      </c>
      <c r="K866">
        <v>0</v>
      </c>
      <c r="L866" s="1">
        <v>44784.292384259257</v>
      </c>
      <c r="M866">
        <v>4.3</v>
      </c>
      <c r="N866">
        <v>4.8</v>
      </c>
      <c r="O866">
        <v>0.5</v>
      </c>
      <c r="P866">
        <v>11</v>
      </c>
      <c r="Q866">
        <v>0.1</v>
      </c>
      <c r="R866">
        <v>0.2</v>
      </c>
      <c r="S866">
        <v>0.15</v>
      </c>
      <c r="T866" t="s">
        <v>33</v>
      </c>
      <c r="U866">
        <v>4.55</v>
      </c>
      <c r="V866">
        <v>69</v>
      </c>
      <c r="W866">
        <v>0</v>
      </c>
      <c r="X866">
        <v>69</v>
      </c>
      <c r="Y866">
        <v>0</v>
      </c>
      <c r="Z866">
        <v>0</v>
      </c>
      <c r="AA866">
        <v>0</v>
      </c>
      <c r="AB866" t="s">
        <v>36</v>
      </c>
      <c r="AC866">
        <v>69</v>
      </c>
      <c r="AD866">
        <v>0.11</v>
      </c>
    </row>
    <row r="867" spans="1:30" x14ac:dyDescent="0.25">
      <c r="A867" s="1">
        <v>44784.29241898148</v>
      </c>
      <c r="B867" s="1">
        <v>44784.291203703702</v>
      </c>
      <c r="C867">
        <v>135984</v>
      </c>
      <c r="D867" t="s">
        <v>39</v>
      </c>
      <c r="E867" t="s">
        <v>31</v>
      </c>
      <c r="F867">
        <v>7</v>
      </c>
      <c r="G867">
        <v>43.565852999999997</v>
      </c>
      <c r="H867">
        <v>-71.496129999999994</v>
      </c>
      <c r="I867">
        <v>708</v>
      </c>
      <c r="J867">
        <v>68</v>
      </c>
      <c r="K867">
        <v>0</v>
      </c>
      <c r="L867" s="1">
        <v>44784.292384259257</v>
      </c>
      <c r="M867">
        <v>7.7</v>
      </c>
      <c r="N867">
        <v>7.2</v>
      </c>
      <c r="O867">
        <v>0.5</v>
      </c>
      <c r="P867">
        <v>7</v>
      </c>
      <c r="Q867">
        <v>0.4</v>
      </c>
      <c r="R867">
        <v>0.4</v>
      </c>
      <c r="S867">
        <v>0.4</v>
      </c>
      <c r="T867" t="s">
        <v>33</v>
      </c>
      <c r="U867">
        <v>7.45</v>
      </c>
      <c r="V867">
        <v>92</v>
      </c>
      <c r="W867">
        <v>0</v>
      </c>
      <c r="X867">
        <v>92</v>
      </c>
      <c r="Y867">
        <v>0</v>
      </c>
      <c r="Z867">
        <v>0</v>
      </c>
      <c r="AA867">
        <v>0</v>
      </c>
      <c r="AB867" t="s">
        <v>36</v>
      </c>
      <c r="AC867">
        <v>92</v>
      </c>
      <c r="AD867">
        <v>0.26</v>
      </c>
    </row>
    <row r="868" spans="1:30" x14ac:dyDescent="0.25">
      <c r="A868" s="1">
        <v>44784.29241898148</v>
      </c>
      <c r="B868" s="1">
        <v>44780.394780092596</v>
      </c>
      <c r="C868">
        <v>151712</v>
      </c>
      <c r="D868" t="s">
        <v>40</v>
      </c>
      <c r="E868" t="s">
        <v>31</v>
      </c>
      <c r="F868">
        <v>7</v>
      </c>
      <c r="G868">
        <v>43.289763999999998</v>
      </c>
      <c r="H868">
        <v>-71.564260000000004</v>
      </c>
      <c r="I868">
        <v>370</v>
      </c>
      <c r="J868">
        <v>86</v>
      </c>
      <c r="K868">
        <v>0</v>
      </c>
      <c r="L868" s="1">
        <v>44784.292384259257</v>
      </c>
      <c r="M868">
        <v>14</v>
      </c>
      <c r="N868">
        <v>13.2</v>
      </c>
      <c r="O868">
        <v>0.8</v>
      </c>
      <c r="P868">
        <v>6</v>
      </c>
      <c r="Q868">
        <v>0</v>
      </c>
      <c r="R868">
        <v>0</v>
      </c>
      <c r="S868">
        <v>0</v>
      </c>
      <c r="T868" t="s">
        <v>32</v>
      </c>
      <c r="V868">
        <v>59</v>
      </c>
      <c r="W868">
        <v>0</v>
      </c>
      <c r="X868">
        <v>59</v>
      </c>
      <c r="Y868">
        <v>0</v>
      </c>
      <c r="Z868">
        <v>0</v>
      </c>
      <c r="AA868">
        <v>0</v>
      </c>
      <c r="AB868" t="s">
        <v>36</v>
      </c>
      <c r="AC868">
        <v>59</v>
      </c>
    </row>
    <row r="869" spans="1:30" x14ac:dyDescent="0.25">
      <c r="A869" s="1">
        <v>44784.292430555557</v>
      </c>
      <c r="B869" s="1">
        <v>44784.290497685186</v>
      </c>
      <c r="C869">
        <v>151710</v>
      </c>
      <c r="D869" t="s">
        <v>41</v>
      </c>
      <c r="E869" t="s">
        <v>31</v>
      </c>
      <c r="F869">
        <v>7</v>
      </c>
      <c r="G869">
        <v>43.132477000000002</v>
      </c>
      <c r="H869">
        <v>-71.458374000000006</v>
      </c>
      <c r="I869">
        <v>230</v>
      </c>
      <c r="J869">
        <v>70</v>
      </c>
      <c r="K869">
        <v>0</v>
      </c>
      <c r="L869" s="1">
        <v>44784.292384259257</v>
      </c>
      <c r="M869">
        <v>6.7</v>
      </c>
      <c r="N869">
        <v>5.0999999999999996</v>
      </c>
      <c r="O869">
        <v>1.6</v>
      </c>
      <c r="P869">
        <v>27</v>
      </c>
      <c r="Q869">
        <v>0.4</v>
      </c>
      <c r="R869">
        <v>0.1</v>
      </c>
      <c r="S869">
        <v>0.25</v>
      </c>
      <c r="T869" t="s">
        <v>33</v>
      </c>
      <c r="U869">
        <v>5.9</v>
      </c>
      <c r="V869">
        <v>67</v>
      </c>
      <c r="W869">
        <v>0</v>
      </c>
      <c r="X869">
        <v>67</v>
      </c>
      <c r="Y869">
        <v>0</v>
      </c>
      <c r="Z869">
        <v>0</v>
      </c>
      <c r="AA869">
        <v>0</v>
      </c>
      <c r="AB869" t="s">
        <v>36</v>
      </c>
      <c r="AC869">
        <v>67</v>
      </c>
      <c r="AD869">
        <v>1.07</v>
      </c>
    </row>
    <row r="870" spans="1:30" x14ac:dyDescent="0.25">
      <c r="A870" s="1">
        <v>44784.292430555557</v>
      </c>
      <c r="B870" s="1">
        <v>44784.291574074072</v>
      </c>
      <c r="C870">
        <v>151706</v>
      </c>
      <c r="D870" t="s">
        <v>42</v>
      </c>
      <c r="E870" t="s">
        <v>31</v>
      </c>
      <c r="F870">
        <v>7</v>
      </c>
      <c r="G870">
        <v>43.004080000000002</v>
      </c>
      <c r="H870">
        <v>-71.177040000000005</v>
      </c>
      <c r="I870">
        <v>194</v>
      </c>
      <c r="J870">
        <v>70</v>
      </c>
      <c r="K870">
        <v>0</v>
      </c>
      <c r="L870" s="1">
        <v>44784.292384259257</v>
      </c>
      <c r="M870">
        <v>3.4</v>
      </c>
      <c r="N870">
        <v>0</v>
      </c>
      <c r="O870">
        <v>3.4</v>
      </c>
      <c r="P870">
        <v>200</v>
      </c>
      <c r="Q870">
        <v>0.1</v>
      </c>
      <c r="R870">
        <v>0</v>
      </c>
      <c r="S870">
        <v>0.05</v>
      </c>
      <c r="T870" t="s">
        <v>43</v>
      </c>
      <c r="V870">
        <v>70</v>
      </c>
      <c r="W870">
        <v>0</v>
      </c>
      <c r="X870">
        <v>70</v>
      </c>
      <c r="Y870">
        <v>0</v>
      </c>
      <c r="Z870">
        <v>0</v>
      </c>
      <c r="AA870">
        <v>0</v>
      </c>
      <c r="AB870" t="s">
        <v>36</v>
      </c>
      <c r="AC870">
        <v>70</v>
      </c>
    </row>
    <row r="871" spans="1:30" x14ac:dyDescent="0.25">
      <c r="A871" s="1">
        <v>44784.292430555557</v>
      </c>
      <c r="B871" s="1">
        <v>44784.291296296295</v>
      </c>
      <c r="C871">
        <v>12212</v>
      </c>
      <c r="D871" t="s">
        <v>44</v>
      </c>
      <c r="E871" t="s">
        <v>35</v>
      </c>
      <c r="F871">
        <v>7</v>
      </c>
      <c r="G871">
        <v>42.930529999999997</v>
      </c>
      <c r="H871">
        <v>-72.272350000000003</v>
      </c>
      <c r="I871">
        <v>476</v>
      </c>
      <c r="J871">
        <v>73</v>
      </c>
      <c r="K871">
        <v>0</v>
      </c>
      <c r="L871" s="1">
        <v>44784.292384259257</v>
      </c>
      <c r="M871">
        <v>6.1</v>
      </c>
      <c r="N871">
        <v>4.9000000000000004</v>
      </c>
      <c r="O871">
        <v>1.2</v>
      </c>
      <c r="P871">
        <v>22</v>
      </c>
      <c r="Q871">
        <v>0.3</v>
      </c>
      <c r="R871">
        <v>0.1</v>
      </c>
      <c r="S871">
        <v>0.2</v>
      </c>
      <c r="T871" t="s">
        <v>33</v>
      </c>
      <c r="U871">
        <v>5.5</v>
      </c>
      <c r="V871">
        <v>100</v>
      </c>
      <c r="W871">
        <v>0</v>
      </c>
      <c r="X871">
        <v>100</v>
      </c>
      <c r="Y871">
        <v>1</v>
      </c>
      <c r="Z871">
        <v>0</v>
      </c>
      <c r="AA871">
        <v>1</v>
      </c>
      <c r="AB871" t="s">
        <v>36</v>
      </c>
      <c r="AC871">
        <v>100</v>
      </c>
      <c r="AD871">
        <v>-1.49</v>
      </c>
    </row>
    <row r="872" spans="1:30" x14ac:dyDescent="0.25">
      <c r="A872" s="1">
        <v>44784.292430555557</v>
      </c>
      <c r="B872" s="1">
        <v>44769.376736111109</v>
      </c>
      <c r="C872">
        <v>12178</v>
      </c>
      <c r="D872" t="s">
        <v>45</v>
      </c>
      <c r="E872" t="s">
        <v>35</v>
      </c>
      <c r="F872">
        <v>7</v>
      </c>
      <c r="G872">
        <v>42.899563000000001</v>
      </c>
      <c r="H872">
        <v>-71.464650000000006</v>
      </c>
      <c r="I872">
        <v>301</v>
      </c>
      <c r="J872">
        <v>85</v>
      </c>
      <c r="K872">
        <v>0</v>
      </c>
      <c r="L872" s="1">
        <v>44784.292384259257</v>
      </c>
      <c r="M872">
        <v>3.8</v>
      </c>
      <c r="N872">
        <v>3.1</v>
      </c>
      <c r="O872">
        <v>0.7</v>
      </c>
      <c r="P872">
        <v>20</v>
      </c>
      <c r="Q872">
        <v>0</v>
      </c>
      <c r="R872">
        <v>0</v>
      </c>
      <c r="S872">
        <v>0</v>
      </c>
      <c r="T872" t="s">
        <v>32</v>
      </c>
      <c r="V872">
        <v>35</v>
      </c>
      <c r="W872">
        <v>0</v>
      </c>
      <c r="X872">
        <v>35</v>
      </c>
      <c r="Y872">
        <v>0</v>
      </c>
      <c r="Z872">
        <v>0</v>
      </c>
      <c r="AA872">
        <v>0</v>
      </c>
      <c r="AB872" t="s">
        <v>36</v>
      </c>
      <c r="AC872">
        <v>35</v>
      </c>
    </row>
    <row r="873" spans="1:30" x14ac:dyDescent="0.25">
      <c r="A873" s="1">
        <v>44784.292442129627</v>
      </c>
      <c r="B873" s="1">
        <v>44784.292013888888</v>
      </c>
      <c r="C873">
        <v>75981</v>
      </c>
      <c r="D873" t="s">
        <v>46</v>
      </c>
      <c r="E873" t="s">
        <v>35</v>
      </c>
      <c r="F873">
        <v>7</v>
      </c>
      <c r="G873">
        <v>42.97</v>
      </c>
      <c r="H873">
        <v>-71.06</v>
      </c>
      <c r="I873">
        <v>136</v>
      </c>
      <c r="J873">
        <v>75</v>
      </c>
      <c r="K873">
        <v>0</v>
      </c>
      <c r="L873" s="1">
        <v>44784.292384259257</v>
      </c>
      <c r="M873">
        <v>4.4000000000000004</v>
      </c>
      <c r="N873">
        <v>4.0999999999999996</v>
      </c>
      <c r="O873">
        <v>0.3</v>
      </c>
      <c r="P873">
        <v>7</v>
      </c>
      <c r="Q873">
        <v>0.1</v>
      </c>
      <c r="R873">
        <v>0</v>
      </c>
      <c r="S873">
        <v>0.05</v>
      </c>
      <c r="T873" t="s">
        <v>33</v>
      </c>
      <c r="U873">
        <v>4.25</v>
      </c>
      <c r="V873">
        <v>63</v>
      </c>
      <c r="W873">
        <v>0</v>
      </c>
      <c r="X873">
        <v>63</v>
      </c>
      <c r="Y873">
        <v>0</v>
      </c>
      <c r="Z873">
        <v>0</v>
      </c>
      <c r="AA873">
        <v>0</v>
      </c>
      <c r="AB873" t="s">
        <v>36</v>
      </c>
      <c r="AC873">
        <v>63</v>
      </c>
      <c r="AD873">
        <v>0.34</v>
      </c>
    </row>
    <row r="874" spans="1:30" x14ac:dyDescent="0.25">
      <c r="A874" s="1">
        <v>44784.292442129627</v>
      </c>
      <c r="B874" s="1">
        <v>44784.29115740741</v>
      </c>
      <c r="C874">
        <v>115703</v>
      </c>
      <c r="D874" t="s">
        <v>47</v>
      </c>
      <c r="E874" t="s">
        <v>35</v>
      </c>
      <c r="F874">
        <v>7</v>
      </c>
      <c r="G874">
        <v>43.953625000000002</v>
      </c>
      <c r="H874">
        <v>-71.508859999999999</v>
      </c>
      <c r="I874">
        <v>1493</v>
      </c>
      <c r="J874">
        <v>64</v>
      </c>
      <c r="K874">
        <v>0</v>
      </c>
      <c r="L874" s="1">
        <v>44784.292384259257</v>
      </c>
      <c r="M874">
        <v>0</v>
      </c>
      <c r="N874">
        <v>300.89999999999998</v>
      </c>
      <c r="O874">
        <v>300.89999999999998</v>
      </c>
      <c r="P874">
        <v>200</v>
      </c>
      <c r="Q874">
        <v>0</v>
      </c>
      <c r="R874">
        <v>0</v>
      </c>
      <c r="S874">
        <v>0</v>
      </c>
      <c r="T874" t="s">
        <v>48</v>
      </c>
      <c r="V874">
        <v>69</v>
      </c>
      <c r="W874">
        <v>0</v>
      </c>
      <c r="X874">
        <v>69</v>
      </c>
      <c r="Y874">
        <v>0</v>
      </c>
      <c r="Z874">
        <v>0</v>
      </c>
      <c r="AA874">
        <v>0</v>
      </c>
      <c r="AB874" t="s">
        <v>36</v>
      </c>
      <c r="AC874">
        <v>69</v>
      </c>
    </row>
    <row r="875" spans="1:30" x14ac:dyDescent="0.25">
      <c r="A875" s="1">
        <v>44784.292442129627</v>
      </c>
      <c r="B875" s="1">
        <v>44784.290567129632</v>
      </c>
      <c r="C875">
        <v>12050</v>
      </c>
      <c r="D875" t="s">
        <v>49</v>
      </c>
      <c r="E875" t="s">
        <v>35</v>
      </c>
      <c r="F875">
        <v>7</v>
      </c>
      <c r="G875">
        <v>44.220573000000002</v>
      </c>
      <c r="H875">
        <v>-71.732315</v>
      </c>
      <c r="I875">
        <v>999</v>
      </c>
      <c r="J875">
        <v>69</v>
      </c>
      <c r="K875">
        <v>0</v>
      </c>
      <c r="L875" s="1">
        <v>44784.292384259257</v>
      </c>
      <c r="M875">
        <v>3.1</v>
      </c>
      <c r="N875">
        <v>2.9</v>
      </c>
      <c r="O875">
        <v>0.2</v>
      </c>
      <c r="P875">
        <v>7</v>
      </c>
      <c r="Q875">
        <v>0.1</v>
      </c>
      <c r="R875">
        <v>0.1</v>
      </c>
      <c r="S875">
        <v>0.1</v>
      </c>
      <c r="T875" t="s">
        <v>33</v>
      </c>
      <c r="U875">
        <v>3</v>
      </c>
      <c r="V875">
        <v>58</v>
      </c>
      <c r="W875">
        <v>0</v>
      </c>
      <c r="X875">
        <v>58</v>
      </c>
      <c r="Y875">
        <v>1</v>
      </c>
      <c r="Z875">
        <v>0</v>
      </c>
      <c r="AA875">
        <v>1</v>
      </c>
      <c r="AB875" t="s">
        <v>36</v>
      </c>
      <c r="AC875">
        <v>58</v>
      </c>
      <c r="AD875">
        <v>-7.0000000000000007E-2</v>
      </c>
    </row>
    <row r="876" spans="1:30" x14ac:dyDescent="0.25">
      <c r="A876" s="1">
        <v>44784.292442129627</v>
      </c>
      <c r="B876" s="1">
        <v>44784.290671296294</v>
      </c>
      <c r="C876">
        <v>23443</v>
      </c>
      <c r="D876" t="s">
        <v>50</v>
      </c>
      <c r="E876" t="s">
        <v>35</v>
      </c>
      <c r="F876">
        <v>7</v>
      </c>
      <c r="G876">
        <v>43.556139999999999</v>
      </c>
      <c r="H876">
        <v>-72.370990000000006</v>
      </c>
      <c r="I876">
        <v>523</v>
      </c>
      <c r="J876">
        <v>70</v>
      </c>
      <c r="K876">
        <v>0</v>
      </c>
      <c r="L876" s="1">
        <v>44784.292384259257</v>
      </c>
      <c r="M876">
        <v>5.8</v>
      </c>
      <c r="N876">
        <v>5</v>
      </c>
      <c r="O876">
        <v>0.8</v>
      </c>
      <c r="P876">
        <v>15</v>
      </c>
      <c r="Q876">
        <v>0.2</v>
      </c>
      <c r="R876">
        <v>0.1</v>
      </c>
      <c r="S876">
        <v>0.15</v>
      </c>
      <c r="T876" t="s">
        <v>33</v>
      </c>
      <c r="U876">
        <v>5.4</v>
      </c>
      <c r="V876">
        <v>66</v>
      </c>
      <c r="W876">
        <v>0</v>
      </c>
      <c r="X876">
        <v>66</v>
      </c>
      <c r="Y876">
        <v>1</v>
      </c>
      <c r="Z876">
        <v>0</v>
      </c>
      <c r="AA876">
        <v>1</v>
      </c>
      <c r="AB876" t="s">
        <v>36</v>
      </c>
      <c r="AC876">
        <v>66</v>
      </c>
      <c r="AD876">
        <v>0.83</v>
      </c>
    </row>
    <row r="877" spans="1:30" x14ac:dyDescent="0.25">
      <c r="A877" s="1">
        <v>44784.292453703703</v>
      </c>
      <c r="B877" s="1">
        <v>44784.29215277778</v>
      </c>
      <c r="C877">
        <v>58135</v>
      </c>
      <c r="D877" t="s">
        <v>51</v>
      </c>
      <c r="E877" t="s">
        <v>35</v>
      </c>
      <c r="F877">
        <v>7</v>
      </c>
      <c r="G877">
        <v>42.883873000000001</v>
      </c>
      <c r="H877">
        <v>-71.972915999999998</v>
      </c>
      <c r="I877">
        <v>808</v>
      </c>
      <c r="J877">
        <v>72</v>
      </c>
      <c r="K877">
        <v>0</v>
      </c>
      <c r="L877" s="1">
        <v>44784.292384259257</v>
      </c>
      <c r="M877">
        <v>8.5</v>
      </c>
      <c r="N877">
        <v>5.6</v>
      </c>
      <c r="O877">
        <v>2.9</v>
      </c>
      <c r="P877">
        <v>41</v>
      </c>
      <c r="Q877">
        <v>0.1</v>
      </c>
      <c r="R877">
        <v>0.1</v>
      </c>
      <c r="S877">
        <v>0.1</v>
      </c>
      <c r="T877" t="s">
        <v>33</v>
      </c>
      <c r="U877">
        <v>7.05</v>
      </c>
      <c r="V877">
        <v>71</v>
      </c>
      <c r="W877">
        <v>0</v>
      </c>
      <c r="X877">
        <v>71</v>
      </c>
      <c r="Y877">
        <v>1</v>
      </c>
      <c r="Z877">
        <v>0</v>
      </c>
      <c r="AA877">
        <v>1</v>
      </c>
      <c r="AB877" t="s">
        <v>36</v>
      </c>
      <c r="AC877">
        <v>71</v>
      </c>
      <c r="AD877">
        <v>1.49</v>
      </c>
    </row>
    <row r="878" spans="1:30" x14ac:dyDescent="0.25">
      <c r="A878" s="1">
        <v>44784.292453703703</v>
      </c>
      <c r="B878" s="1">
        <v>44784.292199074072</v>
      </c>
      <c r="C878">
        <v>148555</v>
      </c>
      <c r="D878" t="s">
        <v>52</v>
      </c>
      <c r="E878" t="s">
        <v>53</v>
      </c>
      <c r="F878">
        <v>7</v>
      </c>
      <c r="G878">
        <v>42.904949999999999</v>
      </c>
      <c r="H878">
        <v>-71.386764999999997</v>
      </c>
      <c r="I878">
        <v>363</v>
      </c>
      <c r="J878">
        <v>0</v>
      </c>
      <c r="K878">
        <v>0</v>
      </c>
      <c r="L878" s="1">
        <v>44784.292384259257</v>
      </c>
      <c r="M878">
        <v>2.5</v>
      </c>
      <c r="N878">
        <v>3</v>
      </c>
      <c r="O878">
        <v>0.5</v>
      </c>
      <c r="P878">
        <v>18</v>
      </c>
      <c r="Q878">
        <v>0</v>
      </c>
      <c r="R878">
        <v>0</v>
      </c>
      <c r="S878">
        <v>0</v>
      </c>
      <c r="T878" t="s">
        <v>33</v>
      </c>
      <c r="U878">
        <v>2.75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 t="s">
        <v>38</v>
      </c>
    </row>
    <row r="879" spans="1:30" x14ac:dyDescent="0.25">
      <c r="A879" s="1">
        <v>44784.292453703703</v>
      </c>
      <c r="B879" s="1">
        <v>44784.29173611111</v>
      </c>
      <c r="C879">
        <v>146644</v>
      </c>
      <c r="D879" t="s">
        <v>54</v>
      </c>
      <c r="E879" t="s">
        <v>53</v>
      </c>
      <c r="F879">
        <v>7</v>
      </c>
      <c r="G879">
        <v>43.06015</v>
      </c>
      <c r="H879">
        <v>-70.758930000000007</v>
      </c>
      <c r="I879">
        <v>35</v>
      </c>
      <c r="J879">
        <v>72</v>
      </c>
      <c r="K879">
        <v>73</v>
      </c>
      <c r="L879" s="1">
        <v>44784.292384259257</v>
      </c>
      <c r="M879">
        <v>6.2</v>
      </c>
      <c r="N879">
        <v>5</v>
      </c>
      <c r="O879">
        <v>1.2</v>
      </c>
      <c r="P879">
        <v>21</v>
      </c>
      <c r="Q879">
        <v>0.1</v>
      </c>
      <c r="R879">
        <v>0.1</v>
      </c>
      <c r="S879">
        <v>0.1</v>
      </c>
      <c r="T879" t="s">
        <v>33</v>
      </c>
      <c r="U879">
        <v>5.6</v>
      </c>
      <c r="V879">
        <v>66</v>
      </c>
      <c r="W879">
        <v>70</v>
      </c>
      <c r="X879">
        <v>4</v>
      </c>
      <c r="Y879">
        <v>1</v>
      </c>
      <c r="Z879">
        <v>2</v>
      </c>
      <c r="AA879">
        <v>1</v>
      </c>
      <c r="AB879" t="s">
        <v>33</v>
      </c>
      <c r="AC879">
        <v>68</v>
      </c>
      <c r="AD879">
        <v>0.82</v>
      </c>
    </row>
    <row r="880" spans="1:30" x14ac:dyDescent="0.25">
      <c r="A880" s="1">
        <v>44784.292453703703</v>
      </c>
      <c r="B880" s="1">
        <v>43755.283437500002</v>
      </c>
      <c r="C880">
        <v>12188</v>
      </c>
      <c r="D880" t="s">
        <v>55</v>
      </c>
      <c r="E880" t="s">
        <v>35</v>
      </c>
      <c r="F880">
        <v>4.1100000000000003</v>
      </c>
      <c r="G880">
        <v>42.927050000000001</v>
      </c>
      <c r="H880">
        <v>-72.279610000000005</v>
      </c>
      <c r="I880">
        <v>475</v>
      </c>
      <c r="J880">
        <v>95</v>
      </c>
      <c r="K880">
        <v>0</v>
      </c>
      <c r="L880" s="1">
        <v>44784.292384259257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 t="s">
        <v>32</v>
      </c>
      <c r="V880">
        <v>77</v>
      </c>
      <c r="W880">
        <v>0</v>
      </c>
      <c r="X880">
        <v>77</v>
      </c>
      <c r="Y880">
        <v>0</v>
      </c>
      <c r="Z880">
        <v>0</v>
      </c>
      <c r="AA880">
        <v>0</v>
      </c>
      <c r="AB880" t="s">
        <v>36</v>
      </c>
      <c r="AC880">
        <v>77</v>
      </c>
    </row>
    <row r="881" spans="1:30" x14ac:dyDescent="0.25">
      <c r="A881" s="1">
        <v>44784.29246527778</v>
      </c>
      <c r="B881" s="1">
        <v>44784.292060185187</v>
      </c>
      <c r="C881">
        <v>1224</v>
      </c>
      <c r="D881" t="s">
        <v>56</v>
      </c>
      <c r="E881" t="s">
        <v>35</v>
      </c>
      <c r="F881" t="s">
        <v>57</v>
      </c>
      <c r="G881">
        <v>42.938034000000002</v>
      </c>
      <c r="H881">
        <v>-72.259299999999996</v>
      </c>
      <c r="I881">
        <v>792</v>
      </c>
      <c r="J881">
        <v>76</v>
      </c>
      <c r="K881">
        <v>0</v>
      </c>
      <c r="L881" s="1">
        <v>44784.292384259257</v>
      </c>
      <c r="M881">
        <v>4.0999999999999996</v>
      </c>
      <c r="N881">
        <v>0</v>
      </c>
      <c r="O881">
        <v>4.0999999999999996</v>
      </c>
      <c r="P881">
        <v>200</v>
      </c>
      <c r="Q881">
        <v>0.2</v>
      </c>
      <c r="R881">
        <v>0</v>
      </c>
      <c r="S881">
        <v>0.1</v>
      </c>
      <c r="T881" t="s">
        <v>43</v>
      </c>
      <c r="V881">
        <v>86</v>
      </c>
      <c r="W881">
        <v>0</v>
      </c>
      <c r="X881">
        <v>86</v>
      </c>
      <c r="Y881">
        <v>1</v>
      </c>
      <c r="Z881">
        <v>0</v>
      </c>
      <c r="AA881">
        <v>1</v>
      </c>
      <c r="AB881" t="s">
        <v>36</v>
      </c>
      <c r="AC881">
        <v>86</v>
      </c>
    </row>
    <row r="882" spans="1:30" x14ac:dyDescent="0.25">
      <c r="A882" s="1">
        <v>44784.29246527778</v>
      </c>
      <c r="B882" s="1">
        <v>44784.291493055556</v>
      </c>
      <c r="C882">
        <v>1202</v>
      </c>
      <c r="D882" t="s">
        <v>58</v>
      </c>
      <c r="E882" t="s">
        <v>35</v>
      </c>
      <c r="F882" t="s">
        <v>57</v>
      </c>
      <c r="G882">
        <v>42.936554000000001</v>
      </c>
      <c r="H882">
        <v>-72.271019999999993</v>
      </c>
      <c r="I882">
        <v>488</v>
      </c>
      <c r="J882">
        <v>0</v>
      </c>
      <c r="K882">
        <v>0</v>
      </c>
      <c r="L882" s="1">
        <v>44784.292384259257</v>
      </c>
      <c r="M882">
        <v>5.6</v>
      </c>
      <c r="N882">
        <v>5.3</v>
      </c>
      <c r="O882">
        <v>0.3</v>
      </c>
      <c r="P882">
        <v>6</v>
      </c>
      <c r="Q882">
        <v>0.6</v>
      </c>
      <c r="R882">
        <v>0.7</v>
      </c>
      <c r="S882">
        <v>0.64999999999999902</v>
      </c>
      <c r="T882" t="s">
        <v>33</v>
      </c>
      <c r="U882">
        <v>5.45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 t="s">
        <v>38</v>
      </c>
    </row>
    <row r="883" spans="1:30" x14ac:dyDescent="0.25">
      <c r="A883" s="1">
        <v>44784.29246527778</v>
      </c>
      <c r="B883" s="1">
        <v>44612.080023148148</v>
      </c>
      <c r="C883">
        <v>25985</v>
      </c>
      <c r="D883" t="s">
        <v>59</v>
      </c>
      <c r="E883" t="s">
        <v>35</v>
      </c>
      <c r="F883">
        <v>6.01</v>
      </c>
      <c r="G883">
        <v>42.927326000000001</v>
      </c>
      <c r="H883">
        <v>-72.279979999999995</v>
      </c>
      <c r="I883">
        <v>477</v>
      </c>
      <c r="J883">
        <v>78</v>
      </c>
      <c r="K883">
        <v>0</v>
      </c>
      <c r="L883" s="1">
        <v>44784.292384259257</v>
      </c>
      <c r="M883">
        <v>1.1000000000000001</v>
      </c>
      <c r="N883">
        <v>1</v>
      </c>
      <c r="O883">
        <v>0.1</v>
      </c>
      <c r="P883">
        <v>10</v>
      </c>
      <c r="Q883">
        <v>0</v>
      </c>
      <c r="R883">
        <v>0</v>
      </c>
      <c r="S883">
        <v>0</v>
      </c>
      <c r="T883" t="s">
        <v>32</v>
      </c>
      <c r="V883">
        <v>22</v>
      </c>
      <c r="W883">
        <v>0</v>
      </c>
      <c r="X883">
        <v>22</v>
      </c>
      <c r="Y883">
        <v>0</v>
      </c>
      <c r="Z883">
        <v>0</v>
      </c>
      <c r="AA883">
        <v>0</v>
      </c>
      <c r="AB883" t="s">
        <v>36</v>
      </c>
      <c r="AC883">
        <v>22</v>
      </c>
    </row>
    <row r="884" spans="1:30" x14ac:dyDescent="0.25">
      <c r="A884" s="1">
        <v>44784.299351851849</v>
      </c>
      <c r="B884" s="1">
        <v>44775.701319444444</v>
      </c>
      <c r="C884">
        <v>151708</v>
      </c>
      <c r="D884" t="s">
        <v>30</v>
      </c>
      <c r="E884" t="s">
        <v>31</v>
      </c>
      <c r="F884">
        <v>7</v>
      </c>
      <c r="G884">
        <v>43.192042999999998</v>
      </c>
      <c r="H884">
        <v>-71.541579999999996</v>
      </c>
      <c r="I884">
        <v>291</v>
      </c>
      <c r="J884">
        <v>93</v>
      </c>
      <c r="K884">
        <v>94</v>
      </c>
      <c r="L884" s="1">
        <v>44784.299340277779</v>
      </c>
      <c r="M884">
        <v>7.9</v>
      </c>
      <c r="N884">
        <v>7.6</v>
      </c>
      <c r="O884">
        <v>0.3</v>
      </c>
      <c r="P884">
        <v>4</v>
      </c>
      <c r="Q884">
        <v>0</v>
      </c>
      <c r="R884">
        <v>0</v>
      </c>
      <c r="S884">
        <v>0</v>
      </c>
      <c r="T884" t="s">
        <v>32</v>
      </c>
      <c r="V884">
        <v>42</v>
      </c>
      <c r="W884">
        <v>41</v>
      </c>
      <c r="X884">
        <v>1</v>
      </c>
      <c r="Y884">
        <v>0</v>
      </c>
      <c r="Z884">
        <v>0</v>
      </c>
      <c r="AA884">
        <v>0</v>
      </c>
      <c r="AB884" t="s">
        <v>33</v>
      </c>
      <c r="AC884">
        <v>41.5</v>
      </c>
    </row>
    <row r="885" spans="1:30" x14ac:dyDescent="0.25">
      <c r="A885" s="1">
        <v>44784.299351851849</v>
      </c>
      <c r="B885" s="1">
        <v>44784.297662037039</v>
      </c>
      <c r="C885">
        <v>143456</v>
      </c>
      <c r="D885" t="s">
        <v>34</v>
      </c>
      <c r="E885" t="s">
        <v>35</v>
      </c>
      <c r="F885">
        <v>7</v>
      </c>
      <c r="G885">
        <v>43.08963</v>
      </c>
      <c r="H885">
        <v>-71.502440000000007</v>
      </c>
      <c r="I885">
        <v>619</v>
      </c>
      <c r="J885">
        <v>69</v>
      </c>
      <c r="K885">
        <v>0</v>
      </c>
      <c r="L885" s="1">
        <v>44784.299340277779</v>
      </c>
      <c r="M885">
        <v>3.4</v>
      </c>
      <c r="N885">
        <v>3.5</v>
      </c>
      <c r="O885">
        <v>0.1</v>
      </c>
      <c r="P885">
        <v>3</v>
      </c>
      <c r="Q885">
        <v>0</v>
      </c>
      <c r="R885">
        <v>0.1</v>
      </c>
      <c r="S885">
        <v>0.05</v>
      </c>
      <c r="T885" t="s">
        <v>33</v>
      </c>
      <c r="U885">
        <v>3.45</v>
      </c>
      <c r="V885">
        <v>72</v>
      </c>
      <c r="W885">
        <v>0</v>
      </c>
      <c r="X885">
        <v>72</v>
      </c>
      <c r="Y885">
        <v>0</v>
      </c>
      <c r="Z885">
        <v>0</v>
      </c>
      <c r="AA885">
        <v>0</v>
      </c>
      <c r="AB885" t="s">
        <v>36</v>
      </c>
      <c r="AC885">
        <v>72</v>
      </c>
      <c r="AD885">
        <v>-0.78</v>
      </c>
    </row>
    <row r="886" spans="1:30" x14ac:dyDescent="0.25">
      <c r="A886" s="1">
        <v>44784.299363425926</v>
      </c>
      <c r="B886" s="1">
        <v>44784.297835648147</v>
      </c>
      <c r="C886">
        <v>151702</v>
      </c>
      <c r="D886" t="s">
        <v>37</v>
      </c>
      <c r="E886" t="s">
        <v>31</v>
      </c>
      <c r="F886">
        <v>7</v>
      </c>
      <c r="G886">
        <v>43.118609999999997</v>
      </c>
      <c r="H886">
        <v>-71.61618</v>
      </c>
      <c r="I886">
        <v>885</v>
      </c>
      <c r="J886">
        <v>0</v>
      </c>
      <c r="K886">
        <v>0</v>
      </c>
      <c r="L886" s="1">
        <v>44784.299340277779</v>
      </c>
      <c r="M886">
        <v>4.4000000000000004</v>
      </c>
      <c r="N886">
        <v>4.4000000000000004</v>
      </c>
      <c r="O886">
        <v>0</v>
      </c>
      <c r="P886">
        <v>0</v>
      </c>
      <c r="Q886">
        <v>0.1</v>
      </c>
      <c r="R886">
        <v>0.1</v>
      </c>
      <c r="S886">
        <v>0.1</v>
      </c>
      <c r="T886" t="s">
        <v>33</v>
      </c>
      <c r="U886">
        <v>4.4000000000000004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 t="s">
        <v>38</v>
      </c>
    </row>
    <row r="887" spans="1:30" x14ac:dyDescent="0.25">
      <c r="A887" s="1">
        <v>44784.299363425926</v>
      </c>
      <c r="B887" s="1">
        <v>44784.297731481478</v>
      </c>
      <c r="C887">
        <v>151700</v>
      </c>
      <c r="D887" t="s">
        <v>30</v>
      </c>
      <c r="E887" t="s">
        <v>31</v>
      </c>
      <c r="F887">
        <v>7</v>
      </c>
      <c r="G887">
        <v>43.19211</v>
      </c>
      <c r="H887">
        <v>-71.541460000000001</v>
      </c>
      <c r="I887">
        <v>286</v>
      </c>
      <c r="J887">
        <v>71</v>
      </c>
      <c r="K887">
        <v>0</v>
      </c>
      <c r="L887" s="1">
        <v>44784.299340277779</v>
      </c>
      <c r="M887">
        <v>4.3</v>
      </c>
      <c r="N887">
        <v>4.8</v>
      </c>
      <c r="O887">
        <v>0.5</v>
      </c>
      <c r="P887">
        <v>11</v>
      </c>
      <c r="Q887">
        <v>0</v>
      </c>
      <c r="R887">
        <v>0</v>
      </c>
      <c r="S887">
        <v>0</v>
      </c>
      <c r="T887" t="s">
        <v>33</v>
      </c>
      <c r="U887">
        <v>4.55</v>
      </c>
      <c r="V887">
        <v>68</v>
      </c>
      <c r="W887">
        <v>0</v>
      </c>
      <c r="X887">
        <v>68</v>
      </c>
      <c r="Y887">
        <v>1</v>
      </c>
      <c r="Z887">
        <v>0</v>
      </c>
      <c r="AA887">
        <v>1</v>
      </c>
      <c r="AB887" t="s">
        <v>36</v>
      </c>
      <c r="AC887">
        <v>68</v>
      </c>
      <c r="AD887">
        <v>0.18</v>
      </c>
    </row>
    <row r="888" spans="1:30" x14ac:dyDescent="0.25">
      <c r="A888" s="1">
        <v>44784.299363425926</v>
      </c>
      <c r="B888" s="1">
        <v>44784.298148148147</v>
      </c>
      <c r="C888">
        <v>135984</v>
      </c>
      <c r="D888" t="s">
        <v>39</v>
      </c>
      <c r="E888" t="s">
        <v>31</v>
      </c>
      <c r="F888">
        <v>7</v>
      </c>
      <c r="G888">
        <v>43.565852999999997</v>
      </c>
      <c r="H888">
        <v>-71.496129999999994</v>
      </c>
      <c r="I888">
        <v>708</v>
      </c>
      <c r="J888">
        <v>68</v>
      </c>
      <c r="K888">
        <v>0</v>
      </c>
      <c r="L888" s="1">
        <v>44784.299340277779</v>
      </c>
      <c r="M888">
        <v>7.7</v>
      </c>
      <c r="N888">
        <v>7</v>
      </c>
      <c r="O888">
        <v>0.7</v>
      </c>
      <c r="P888">
        <v>10</v>
      </c>
      <c r="Q888">
        <v>0</v>
      </c>
      <c r="R888">
        <v>0.2</v>
      </c>
      <c r="S888">
        <v>0.1</v>
      </c>
      <c r="T888" t="s">
        <v>33</v>
      </c>
      <c r="U888">
        <v>7.35</v>
      </c>
      <c r="V888">
        <v>91</v>
      </c>
      <c r="W888">
        <v>0</v>
      </c>
      <c r="X888">
        <v>91</v>
      </c>
      <c r="Y888">
        <v>1</v>
      </c>
      <c r="Z888">
        <v>0</v>
      </c>
      <c r="AA888">
        <v>1</v>
      </c>
      <c r="AB888" t="s">
        <v>36</v>
      </c>
      <c r="AC888">
        <v>91</v>
      </c>
      <c r="AD888">
        <v>0.27</v>
      </c>
    </row>
    <row r="889" spans="1:30" x14ac:dyDescent="0.25">
      <c r="A889" s="1">
        <v>44784.299363425926</v>
      </c>
      <c r="B889" s="1">
        <v>44780.394780092596</v>
      </c>
      <c r="C889">
        <v>151712</v>
      </c>
      <c r="D889" t="s">
        <v>40</v>
      </c>
      <c r="E889" t="s">
        <v>31</v>
      </c>
      <c r="F889">
        <v>7</v>
      </c>
      <c r="G889">
        <v>43.289763999999998</v>
      </c>
      <c r="H889">
        <v>-71.564260000000004</v>
      </c>
      <c r="I889">
        <v>370</v>
      </c>
      <c r="J889">
        <v>86</v>
      </c>
      <c r="K889">
        <v>0</v>
      </c>
      <c r="L889" s="1">
        <v>44784.299340277779</v>
      </c>
      <c r="M889">
        <v>14</v>
      </c>
      <c r="N889">
        <v>13.2</v>
      </c>
      <c r="O889">
        <v>0.8</v>
      </c>
      <c r="P889">
        <v>6</v>
      </c>
      <c r="Q889">
        <v>0</v>
      </c>
      <c r="R889">
        <v>0</v>
      </c>
      <c r="S889">
        <v>0</v>
      </c>
      <c r="T889" t="s">
        <v>32</v>
      </c>
      <c r="V889">
        <v>59</v>
      </c>
      <c r="W889">
        <v>0</v>
      </c>
      <c r="X889">
        <v>59</v>
      </c>
      <c r="Y889">
        <v>0</v>
      </c>
      <c r="Z889">
        <v>0</v>
      </c>
      <c r="AA889">
        <v>0</v>
      </c>
      <c r="AB889" t="s">
        <v>36</v>
      </c>
      <c r="AC889">
        <v>59</v>
      </c>
    </row>
    <row r="890" spans="1:30" x14ac:dyDescent="0.25">
      <c r="A890" s="1">
        <v>44784.299375000002</v>
      </c>
      <c r="B890" s="1">
        <v>44784.298831018517</v>
      </c>
      <c r="C890">
        <v>151710</v>
      </c>
      <c r="D890" t="s">
        <v>41</v>
      </c>
      <c r="E890" t="s">
        <v>31</v>
      </c>
      <c r="F890">
        <v>7</v>
      </c>
      <c r="G890">
        <v>43.132477000000002</v>
      </c>
      <c r="H890">
        <v>-71.458374000000006</v>
      </c>
      <c r="I890">
        <v>230</v>
      </c>
      <c r="J890">
        <v>70</v>
      </c>
      <c r="K890">
        <v>0</v>
      </c>
      <c r="L890" s="1">
        <v>44784.299340277779</v>
      </c>
      <c r="M890">
        <v>6.8</v>
      </c>
      <c r="N890">
        <v>5</v>
      </c>
      <c r="O890">
        <v>1.8</v>
      </c>
      <c r="P890">
        <v>31</v>
      </c>
      <c r="Q890">
        <v>0.1</v>
      </c>
      <c r="R890">
        <v>0.1</v>
      </c>
      <c r="S890">
        <v>0.1</v>
      </c>
      <c r="T890" t="s">
        <v>33</v>
      </c>
      <c r="U890">
        <v>5.9</v>
      </c>
      <c r="V890">
        <v>66</v>
      </c>
      <c r="W890">
        <v>0</v>
      </c>
      <c r="X890">
        <v>66</v>
      </c>
      <c r="Y890">
        <v>1</v>
      </c>
      <c r="Z890">
        <v>0</v>
      </c>
      <c r="AA890">
        <v>1</v>
      </c>
      <c r="AB890" t="s">
        <v>36</v>
      </c>
      <c r="AC890">
        <v>66</v>
      </c>
      <c r="AD890">
        <v>1.1399999999999999</v>
      </c>
    </row>
    <row r="891" spans="1:30" x14ac:dyDescent="0.25">
      <c r="A891" s="1">
        <v>44784.299375000002</v>
      </c>
      <c r="B891" s="1">
        <v>44784.298518518517</v>
      </c>
      <c r="C891">
        <v>151706</v>
      </c>
      <c r="D891" t="s">
        <v>42</v>
      </c>
      <c r="E891" t="s">
        <v>31</v>
      </c>
      <c r="F891">
        <v>7</v>
      </c>
      <c r="G891">
        <v>43.004080000000002</v>
      </c>
      <c r="H891">
        <v>-71.177040000000005</v>
      </c>
      <c r="I891">
        <v>194</v>
      </c>
      <c r="J891">
        <v>70</v>
      </c>
      <c r="K891">
        <v>0</v>
      </c>
      <c r="L891" s="1">
        <v>44784.299340277779</v>
      </c>
      <c r="M891">
        <v>3.2</v>
      </c>
      <c r="N891">
        <v>0</v>
      </c>
      <c r="O891">
        <v>3.2</v>
      </c>
      <c r="P891">
        <v>200</v>
      </c>
      <c r="Q891">
        <v>0.2</v>
      </c>
      <c r="R891">
        <v>0</v>
      </c>
      <c r="S891">
        <v>0.1</v>
      </c>
      <c r="T891" t="s">
        <v>43</v>
      </c>
      <c r="V891">
        <v>70</v>
      </c>
      <c r="W891">
        <v>0</v>
      </c>
      <c r="X891">
        <v>70</v>
      </c>
      <c r="Y891">
        <v>0</v>
      </c>
      <c r="Z891">
        <v>0</v>
      </c>
      <c r="AA891">
        <v>0</v>
      </c>
      <c r="AB891" t="s">
        <v>36</v>
      </c>
      <c r="AC891">
        <v>70</v>
      </c>
    </row>
    <row r="892" spans="1:30" x14ac:dyDescent="0.25">
      <c r="A892" s="1">
        <v>44784.299375000002</v>
      </c>
      <c r="B892" s="1">
        <v>44784.29824074074</v>
      </c>
      <c r="C892">
        <v>12212</v>
      </c>
      <c r="D892" t="s">
        <v>44</v>
      </c>
      <c r="E892" t="s">
        <v>35</v>
      </c>
      <c r="F892">
        <v>7</v>
      </c>
      <c r="G892">
        <v>42.930529999999997</v>
      </c>
      <c r="H892">
        <v>-72.272350000000003</v>
      </c>
      <c r="I892">
        <v>476</v>
      </c>
      <c r="J892">
        <v>72</v>
      </c>
      <c r="K892">
        <v>0</v>
      </c>
      <c r="L892" s="1">
        <v>44784.299340277779</v>
      </c>
      <c r="M892">
        <v>6</v>
      </c>
      <c r="N892">
        <v>4.8</v>
      </c>
      <c r="O892">
        <v>1.2</v>
      </c>
      <c r="P892">
        <v>22</v>
      </c>
      <c r="Q892">
        <v>0.1</v>
      </c>
      <c r="R892">
        <v>0.1</v>
      </c>
      <c r="S892">
        <v>0.1</v>
      </c>
      <c r="T892" t="s">
        <v>33</v>
      </c>
      <c r="U892">
        <v>5.4</v>
      </c>
      <c r="V892">
        <v>100</v>
      </c>
      <c r="W892">
        <v>0</v>
      </c>
      <c r="X892">
        <v>100</v>
      </c>
      <c r="Y892">
        <v>0</v>
      </c>
      <c r="Z892">
        <v>0</v>
      </c>
      <c r="AA892">
        <v>0</v>
      </c>
      <c r="AB892" t="s">
        <v>36</v>
      </c>
      <c r="AC892">
        <v>100</v>
      </c>
      <c r="AD892">
        <v>-1.55</v>
      </c>
    </row>
    <row r="893" spans="1:30" x14ac:dyDescent="0.25">
      <c r="A893" s="1">
        <v>44784.299386574072</v>
      </c>
      <c r="B893" s="1">
        <v>44769.376736111109</v>
      </c>
      <c r="C893">
        <v>12178</v>
      </c>
      <c r="D893" t="s">
        <v>45</v>
      </c>
      <c r="E893" t="s">
        <v>35</v>
      </c>
      <c r="F893">
        <v>7</v>
      </c>
      <c r="G893">
        <v>42.899563000000001</v>
      </c>
      <c r="H893">
        <v>-71.464650000000006</v>
      </c>
      <c r="I893">
        <v>301</v>
      </c>
      <c r="J893">
        <v>85</v>
      </c>
      <c r="K893">
        <v>0</v>
      </c>
      <c r="L893" s="1">
        <v>44784.299340277779</v>
      </c>
      <c r="M893">
        <v>3.8</v>
      </c>
      <c r="N893">
        <v>3.1</v>
      </c>
      <c r="O893">
        <v>0.7</v>
      </c>
      <c r="P893">
        <v>20</v>
      </c>
      <c r="Q893">
        <v>0</v>
      </c>
      <c r="R893">
        <v>0</v>
      </c>
      <c r="S893">
        <v>0</v>
      </c>
      <c r="T893" t="s">
        <v>32</v>
      </c>
      <c r="V893">
        <v>35</v>
      </c>
      <c r="W893">
        <v>0</v>
      </c>
      <c r="X893">
        <v>35</v>
      </c>
      <c r="Y893">
        <v>0</v>
      </c>
      <c r="Z893">
        <v>0</v>
      </c>
      <c r="AA893">
        <v>0</v>
      </c>
      <c r="AB893" t="s">
        <v>36</v>
      </c>
      <c r="AC893">
        <v>35</v>
      </c>
    </row>
    <row r="894" spans="1:30" x14ac:dyDescent="0.25">
      <c r="A894" s="1">
        <v>44784.299386574072</v>
      </c>
      <c r="B894" s="1">
        <v>44784.297569444447</v>
      </c>
      <c r="C894">
        <v>75981</v>
      </c>
      <c r="D894" t="s">
        <v>46</v>
      </c>
      <c r="E894" t="s">
        <v>35</v>
      </c>
      <c r="F894">
        <v>7</v>
      </c>
      <c r="G894">
        <v>42.97</v>
      </c>
      <c r="H894">
        <v>-71.06</v>
      </c>
      <c r="I894">
        <v>136</v>
      </c>
      <c r="J894">
        <v>75</v>
      </c>
      <c r="K894">
        <v>0</v>
      </c>
      <c r="L894" s="1">
        <v>44784.299340277779</v>
      </c>
      <c r="M894">
        <v>4.4000000000000004</v>
      </c>
      <c r="N894">
        <v>4.0999999999999996</v>
      </c>
      <c r="O894">
        <v>0.3</v>
      </c>
      <c r="P894">
        <v>7</v>
      </c>
      <c r="Q894">
        <v>0</v>
      </c>
      <c r="R894">
        <v>0</v>
      </c>
      <c r="S894">
        <v>0</v>
      </c>
      <c r="T894" t="s">
        <v>33</v>
      </c>
      <c r="U894">
        <v>4.25</v>
      </c>
      <c r="V894">
        <v>62</v>
      </c>
      <c r="W894">
        <v>0</v>
      </c>
      <c r="X894">
        <v>62</v>
      </c>
      <c r="Y894">
        <v>1</v>
      </c>
      <c r="Z894">
        <v>0</v>
      </c>
      <c r="AA894">
        <v>1</v>
      </c>
      <c r="AB894" t="s">
        <v>36</v>
      </c>
      <c r="AC894">
        <v>62</v>
      </c>
      <c r="AD894">
        <v>0.41</v>
      </c>
    </row>
    <row r="895" spans="1:30" x14ac:dyDescent="0.25">
      <c r="A895" s="1">
        <v>44784.299386574072</v>
      </c>
      <c r="B895" s="1">
        <v>44784.298090277778</v>
      </c>
      <c r="C895">
        <v>115703</v>
      </c>
      <c r="D895" t="s">
        <v>47</v>
      </c>
      <c r="E895" t="s">
        <v>35</v>
      </c>
      <c r="F895">
        <v>7</v>
      </c>
      <c r="G895">
        <v>43.953625000000002</v>
      </c>
      <c r="H895">
        <v>-71.508859999999999</v>
      </c>
      <c r="I895">
        <v>1493</v>
      </c>
      <c r="J895">
        <v>64</v>
      </c>
      <c r="K895">
        <v>0</v>
      </c>
      <c r="L895" s="1">
        <v>44784.299340277779</v>
      </c>
      <c r="M895">
        <v>0</v>
      </c>
      <c r="N895">
        <v>300.89999999999998</v>
      </c>
      <c r="O895">
        <v>300.89999999999998</v>
      </c>
      <c r="P895">
        <v>200</v>
      </c>
      <c r="Q895">
        <v>0</v>
      </c>
      <c r="R895">
        <v>0</v>
      </c>
      <c r="S895">
        <v>0</v>
      </c>
      <c r="T895" t="s">
        <v>48</v>
      </c>
      <c r="V895">
        <v>70</v>
      </c>
      <c r="W895">
        <v>0</v>
      </c>
      <c r="X895">
        <v>70</v>
      </c>
      <c r="Y895">
        <v>1</v>
      </c>
      <c r="Z895">
        <v>0</v>
      </c>
      <c r="AA895">
        <v>1</v>
      </c>
      <c r="AB895" t="s">
        <v>36</v>
      </c>
      <c r="AC895">
        <v>70</v>
      </c>
    </row>
    <row r="896" spans="1:30" x14ac:dyDescent="0.25">
      <c r="A896" s="1">
        <v>44784.299386574072</v>
      </c>
      <c r="B896" s="1">
        <v>44784.298900462964</v>
      </c>
      <c r="C896">
        <v>12050</v>
      </c>
      <c r="D896" t="s">
        <v>49</v>
      </c>
      <c r="E896" t="s">
        <v>35</v>
      </c>
      <c r="F896">
        <v>7</v>
      </c>
      <c r="G896">
        <v>44.220573000000002</v>
      </c>
      <c r="H896">
        <v>-71.732315</v>
      </c>
      <c r="I896">
        <v>999</v>
      </c>
      <c r="J896">
        <v>69</v>
      </c>
      <c r="K896">
        <v>0</v>
      </c>
      <c r="L896" s="1">
        <v>44784.299340277779</v>
      </c>
      <c r="M896">
        <v>3.1</v>
      </c>
      <c r="N896">
        <v>2.9</v>
      </c>
      <c r="O896">
        <v>0.2</v>
      </c>
      <c r="P896">
        <v>7</v>
      </c>
      <c r="Q896">
        <v>0</v>
      </c>
      <c r="R896">
        <v>0</v>
      </c>
      <c r="S896">
        <v>0</v>
      </c>
      <c r="T896" t="s">
        <v>33</v>
      </c>
      <c r="U896">
        <v>3</v>
      </c>
      <c r="V896">
        <v>58</v>
      </c>
      <c r="W896">
        <v>0</v>
      </c>
      <c r="X896">
        <v>58</v>
      </c>
      <c r="Y896">
        <v>0</v>
      </c>
      <c r="Z896">
        <v>0</v>
      </c>
      <c r="AA896">
        <v>0</v>
      </c>
      <c r="AB896" t="s">
        <v>36</v>
      </c>
      <c r="AC896">
        <v>58</v>
      </c>
      <c r="AD896">
        <v>-7.0000000000000007E-2</v>
      </c>
    </row>
    <row r="897" spans="1:30" x14ac:dyDescent="0.25">
      <c r="A897" s="1">
        <v>44784.299398148149</v>
      </c>
      <c r="B897" s="1">
        <v>44784.297615740739</v>
      </c>
      <c r="C897">
        <v>23443</v>
      </c>
      <c r="D897" t="s">
        <v>50</v>
      </c>
      <c r="E897" t="s">
        <v>35</v>
      </c>
      <c r="F897">
        <v>7</v>
      </c>
      <c r="G897">
        <v>43.556139999999999</v>
      </c>
      <c r="H897">
        <v>-72.370990000000006</v>
      </c>
      <c r="I897">
        <v>523</v>
      </c>
      <c r="J897">
        <v>70</v>
      </c>
      <c r="K897">
        <v>0</v>
      </c>
      <c r="L897" s="1">
        <v>44784.299340277779</v>
      </c>
      <c r="M897">
        <v>5.7</v>
      </c>
      <c r="N897">
        <v>5</v>
      </c>
      <c r="O897">
        <v>0.7</v>
      </c>
      <c r="P897">
        <v>13</v>
      </c>
      <c r="Q897">
        <v>0.1</v>
      </c>
      <c r="R897">
        <v>0</v>
      </c>
      <c r="S897">
        <v>0.05</v>
      </c>
      <c r="T897" t="s">
        <v>33</v>
      </c>
      <c r="U897">
        <v>5.35</v>
      </c>
      <c r="V897">
        <v>65</v>
      </c>
      <c r="W897">
        <v>0</v>
      </c>
      <c r="X897">
        <v>65</v>
      </c>
      <c r="Y897">
        <v>1</v>
      </c>
      <c r="Z897">
        <v>0</v>
      </c>
      <c r="AA897">
        <v>1</v>
      </c>
      <c r="AB897" t="s">
        <v>36</v>
      </c>
      <c r="AC897">
        <v>65</v>
      </c>
      <c r="AD897">
        <v>0.87</v>
      </c>
    </row>
    <row r="898" spans="1:30" x14ac:dyDescent="0.25">
      <c r="A898" s="1">
        <v>44784.299398148149</v>
      </c>
      <c r="B898" s="1">
        <v>44784.297708333332</v>
      </c>
      <c r="C898">
        <v>58135</v>
      </c>
      <c r="D898" t="s">
        <v>51</v>
      </c>
      <c r="E898" t="s">
        <v>35</v>
      </c>
      <c r="F898">
        <v>7</v>
      </c>
      <c r="G898">
        <v>42.883873000000001</v>
      </c>
      <c r="H898">
        <v>-71.972915999999998</v>
      </c>
      <c r="I898">
        <v>808</v>
      </c>
      <c r="J898">
        <v>70</v>
      </c>
      <c r="K898">
        <v>0</v>
      </c>
      <c r="L898" s="1">
        <v>44784.299340277779</v>
      </c>
      <c r="M898">
        <v>8.6999999999999993</v>
      </c>
      <c r="N898">
        <v>5.6</v>
      </c>
      <c r="O898">
        <v>3.1</v>
      </c>
      <c r="P898">
        <v>43</v>
      </c>
      <c r="Q898">
        <v>0.2</v>
      </c>
      <c r="R898">
        <v>0</v>
      </c>
      <c r="S898">
        <v>0.1</v>
      </c>
      <c r="T898" t="s">
        <v>33</v>
      </c>
      <c r="U898">
        <v>7.15</v>
      </c>
      <c r="V898">
        <v>70</v>
      </c>
      <c r="W898">
        <v>0</v>
      </c>
      <c r="X898">
        <v>70</v>
      </c>
      <c r="Y898">
        <v>1</v>
      </c>
      <c r="Z898">
        <v>0</v>
      </c>
      <c r="AA898">
        <v>1</v>
      </c>
      <c r="AB898" t="s">
        <v>36</v>
      </c>
      <c r="AC898">
        <v>70</v>
      </c>
      <c r="AD898">
        <v>1.62</v>
      </c>
    </row>
    <row r="899" spans="1:30" x14ac:dyDescent="0.25">
      <c r="A899" s="1">
        <v>44784.299398148149</v>
      </c>
      <c r="B899" s="1">
        <v>44784.297754629632</v>
      </c>
      <c r="C899">
        <v>148555</v>
      </c>
      <c r="D899" t="s">
        <v>52</v>
      </c>
      <c r="E899" t="s">
        <v>53</v>
      </c>
      <c r="F899">
        <v>7</v>
      </c>
      <c r="G899">
        <v>42.904949999999999</v>
      </c>
      <c r="H899">
        <v>-71.386764999999997</v>
      </c>
      <c r="I899">
        <v>363</v>
      </c>
      <c r="J899">
        <v>0</v>
      </c>
      <c r="K899">
        <v>0</v>
      </c>
      <c r="L899" s="1">
        <v>44784.299340277779</v>
      </c>
      <c r="M899">
        <v>2.6</v>
      </c>
      <c r="N899">
        <v>3</v>
      </c>
      <c r="O899">
        <v>0.4</v>
      </c>
      <c r="P899">
        <v>14</v>
      </c>
      <c r="Q899">
        <v>0.1</v>
      </c>
      <c r="R899">
        <v>0</v>
      </c>
      <c r="S899">
        <v>0.05</v>
      </c>
      <c r="T899" t="s">
        <v>33</v>
      </c>
      <c r="U899">
        <v>2.8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 t="s">
        <v>38</v>
      </c>
    </row>
    <row r="900" spans="1:30" x14ac:dyDescent="0.25">
      <c r="A900" s="1">
        <v>44784.299409722225</v>
      </c>
      <c r="B900" s="1">
        <v>44784.298680555556</v>
      </c>
      <c r="C900">
        <v>146644</v>
      </c>
      <c r="D900" t="s">
        <v>54</v>
      </c>
      <c r="E900" t="s">
        <v>53</v>
      </c>
      <c r="F900">
        <v>7</v>
      </c>
      <c r="G900">
        <v>43.06015</v>
      </c>
      <c r="H900">
        <v>-70.758930000000007</v>
      </c>
      <c r="I900">
        <v>35</v>
      </c>
      <c r="J900">
        <v>72</v>
      </c>
      <c r="K900">
        <v>73</v>
      </c>
      <c r="L900" s="1">
        <v>44784.299340277779</v>
      </c>
      <c r="M900">
        <v>6.6</v>
      </c>
      <c r="N900">
        <v>5.4</v>
      </c>
      <c r="O900">
        <v>1.2</v>
      </c>
      <c r="P900">
        <v>20</v>
      </c>
      <c r="Q900">
        <v>0.4</v>
      </c>
      <c r="R900">
        <v>0.4</v>
      </c>
      <c r="S900">
        <v>0.4</v>
      </c>
      <c r="T900" t="s">
        <v>33</v>
      </c>
      <c r="U900">
        <v>6</v>
      </c>
      <c r="V900">
        <v>67</v>
      </c>
      <c r="W900">
        <v>71</v>
      </c>
      <c r="X900">
        <v>4</v>
      </c>
      <c r="Y900">
        <v>1</v>
      </c>
      <c r="Z900">
        <v>1</v>
      </c>
      <c r="AA900">
        <v>0</v>
      </c>
      <c r="AB900" t="s">
        <v>33</v>
      </c>
      <c r="AC900">
        <v>69</v>
      </c>
      <c r="AD900">
        <v>0.99</v>
      </c>
    </row>
    <row r="901" spans="1:30" x14ac:dyDescent="0.25">
      <c r="A901" s="1">
        <v>44784.299409722225</v>
      </c>
      <c r="B901" s="1">
        <v>43755.283437500002</v>
      </c>
      <c r="C901">
        <v>12188</v>
      </c>
      <c r="D901" t="s">
        <v>55</v>
      </c>
      <c r="E901" t="s">
        <v>35</v>
      </c>
      <c r="F901">
        <v>4.1100000000000003</v>
      </c>
      <c r="G901">
        <v>42.927050000000001</v>
      </c>
      <c r="H901">
        <v>-72.279610000000005</v>
      </c>
      <c r="I901">
        <v>475</v>
      </c>
      <c r="J901">
        <v>95</v>
      </c>
      <c r="K901">
        <v>0</v>
      </c>
      <c r="L901" s="1">
        <v>44784.299340277779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 t="s">
        <v>32</v>
      </c>
      <c r="V901">
        <v>77</v>
      </c>
      <c r="W901">
        <v>0</v>
      </c>
      <c r="X901">
        <v>77</v>
      </c>
      <c r="Y901">
        <v>0</v>
      </c>
      <c r="Z901">
        <v>0</v>
      </c>
      <c r="AA901">
        <v>0</v>
      </c>
      <c r="AB901" t="s">
        <v>36</v>
      </c>
      <c r="AC901">
        <v>77</v>
      </c>
    </row>
    <row r="902" spans="1:30" x14ac:dyDescent="0.25">
      <c r="A902" s="1">
        <v>44784.299409722225</v>
      </c>
      <c r="B902" s="1">
        <v>44784.297615740739</v>
      </c>
      <c r="C902">
        <v>1224</v>
      </c>
      <c r="D902" t="s">
        <v>56</v>
      </c>
      <c r="E902" t="s">
        <v>35</v>
      </c>
      <c r="F902" t="s">
        <v>57</v>
      </c>
      <c r="G902">
        <v>42.938034000000002</v>
      </c>
      <c r="H902">
        <v>-72.259299999999996</v>
      </c>
      <c r="I902">
        <v>792</v>
      </c>
      <c r="J902">
        <v>76</v>
      </c>
      <c r="K902">
        <v>0</v>
      </c>
      <c r="L902" s="1">
        <v>44784.299340277779</v>
      </c>
      <c r="M902">
        <v>4</v>
      </c>
      <c r="N902">
        <v>0</v>
      </c>
      <c r="O902">
        <v>4</v>
      </c>
      <c r="P902">
        <v>200</v>
      </c>
      <c r="Q902">
        <v>0.1</v>
      </c>
      <c r="R902">
        <v>0</v>
      </c>
      <c r="S902">
        <v>0.05</v>
      </c>
      <c r="T902" t="s">
        <v>43</v>
      </c>
      <c r="V902">
        <v>86</v>
      </c>
      <c r="W902">
        <v>0</v>
      </c>
      <c r="X902">
        <v>86</v>
      </c>
      <c r="Y902">
        <v>0</v>
      </c>
      <c r="Z902">
        <v>0</v>
      </c>
      <c r="AA902">
        <v>0</v>
      </c>
      <c r="AB902" t="s">
        <v>36</v>
      </c>
      <c r="AC902">
        <v>86</v>
      </c>
    </row>
    <row r="903" spans="1:30" x14ac:dyDescent="0.25">
      <c r="A903" s="1">
        <v>44784.299409722225</v>
      </c>
      <c r="B903" s="1">
        <v>44784.298449074071</v>
      </c>
      <c r="C903">
        <v>1202</v>
      </c>
      <c r="D903" t="s">
        <v>58</v>
      </c>
      <c r="E903" t="s">
        <v>35</v>
      </c>
      <c r="F903" t="s">
        <v>57</v>
      </c>
      <c r="G903">
        <v>42.936554000000001</v>
      </c>
      <c r="H903">
        <v>-72.271019999999993</v>
      </c>
      <c r="I903">
        <v>488</v>
      </c>
      <c r="J903">
        <v>0</v>
      </c>
      <c r="K903">
        <v>0</v>
      </c>
      <c r="L903" s="1">
        <v>44784.299340277779</v>
      </c>
      <c r="M903">
        <v>5.9</v>
      </c>
      <c r="N903">
        <v>5.5</v>
      </c>
      <c r="O903">
        <v>0.4</v>
      </c>
      <c r="P903">
        <v>7</v>
      </c>
      <c r="Q903">
        <v>0.3</v>
      </c>
      <c r="R903">
        <v>0.2</v>
      </c>
      <c r="S903">
        <v>0.25</v>
      </c>
      <c r="T903" t="s">
        <v>33</v>
      </c>
      <c r="U903">
        <v>5.7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 t="s">
        <v>38</v>
      </c>
    </row>
    <row r="904" spans="1:30" x14ac:dyDescent="0.25">
      <c r="A904" s="1">
        <v>44784.299421296295</v>
      </c>
      <c r="B904" s="1">
        <v>44612.080023148148</v>
      </c>
      <c r="C904">
        <v>25985</v>
      </c>
      <c r="D904" t="s">
        <v>59</v>
      </c>
      <c r="E904" t="s">
        <v>35</v>
      </c>
      <c r="F904">
        <v>6.01</v>
      </c>
      <c r="G904">
        <v>42.927326000000001</v>
      </c>
      <c r="H904">
        <v>-72.279979999999995</v>
      </c>
      <c r="I904">
        <v>477</v>
      </c>
      <c r="J904">
        <v>78</v>
      </c>
      <c r="K904">
        <v>0</v>
      </c>
      <c r="L904" s="1">
        <v>44784.299340277779</v>
      </c>
      <c r="M904">
        <v>1.1000000000000001</v>
      </c>
      <c r="N904">
        <v>1</v>
      </c>
      <c r="O904">
        <v>0.1</v>
      </c>
      <c r="P904">
        <v>10</v>
      </c>
      <c r="Q904">
        <v>0</v>
      </c>
      <c r="R904">
        <v>0</v>
      </c>
      <c r="S904">
        <v>0</v>
      </c>
      <c r="T904" t="s">
        <v>32</v>
      </c>
      <c r="V904">
        <v>22</v>
      </c>
      <c r="W904">
        <v>0</v>
      </c>
      <c r="X904">
        <v>22</v>
      </c>
      <c r="Y904">
        <v>0</v>
      </c>
      <c r="Z904">
        <v>0</v>
      </c>
      <c r="AA904">
        <v>0</v>
      </c>
      <c r="AB904" t="s">
        <v>36</v>
      </c>
      <c r="AC904">
        <v>22</v>
      </c>
    </row>
    <row r="905" spans="1:30" x14ac:dyDescent="0.25">
      <c r="A905" s="1">
        <v>44784.306296296294</v>
      </c>
      <c r="B905" s="1">
        <v>44775.701319444444</v>
      </c>
      <c r="C905">
        <v>151708</v>
      </c>
      <c r="D905" t="s">
        <v>30</v>
      </c>
      <c r="E905" t="s">
        <v>31</v>
      </c>
      <c r="F905">
        <v>7</v>
      </c>
      <c r="G905">
        <v>43.192042999999998</v>
      </c>
      <c r="H905">
        <v>-71.541579999999996</v>
      </c>
      <c r="I905">
        <v>291</v>
      </c>
      <c r="J905">
        <v>93</v>
      </c>
      <c r="K905">
        <v>94</v>
      </c>
      <c r="L905" s="1">
        <v>44784.306273148148</v>
      </c>
      <c r="M905">
        <v>7.9</v>
      </c>
      <c r="N905">
        <v>7.6</v>
      </c>
      <c r="O905">
        <v>0.3</v>
      </c>
      <c r="P905">
        <v>4</v>
      </c>
      <c r="Q905">
        <v>0</v>
      </c>
      <c r="R905">
        <v>0</v>
      </c>
      <c r="S905">
        <v>0</v>
      </c>
      <c r="T905" t="s">
        <v>32</v>
      </c>
      <c r="V905">
        <v>42</v>
      </c>
      <c r="W905">
        <v>41</v>
      </c>
      <c r="X905">
        <v>1</v>
      </c>
      <c r="Y905">
        <v>0</v>
      </c>
      <c r="Z905">
        <v>0</v>
      </c>
      <c r="AA905">
        <v>0</v>
      </c>
      <c r="AB905" t="s">
        <v>33</v>
      </c>
      <c r="AC905">
        <v>41.5</v>
      </c>
    </row>
    <row r="906" spans="1:30" x14ac:dyDescent="0.25">
      <c r="A906" s="1">
        <v>44784.306296296294</v>
      </c>
      <c r="B906" s="1">
        <v>44784.305995370371</v>
      </c>
      <c r="C906">
        <v>143456</v>
      </c>
      <c r="D906" t="s">
        <v>34</v>
      </c>
      <c r="E906" t="s">
        <v>35</v>
      </c>
      <c r="F906">
        <v>7</v>
      </c>
      <c r="G906">
        <v>43.08963</v>
      </c>
      <c r="H906">
        <v>-71.502440000000007</v>
      </c>
      <c r="I906">
        <v>619</v>
      </c>
      <c r="J906">
        <v>70</v>
      </c>
      <c r="K906">
        <v>0</v>
      </c>
      <c r="L906" s="1">
        <v>44784.306273148148</v>
      </c>
      <c r="M906">
        <v>3.2</v>
      </c>
      <c r="N906">
        <v>3.4</v>
      </c>
      <c r="O906">
        <v>0.2</v>
      </c>
      <c r="P906">
        <v>6</v>
      </c>
      <c r="Q906">
        <v>0.2</v>
      </c>
      <c r="R906">
        <v>0.1</v>
      </c>
      <c r="S906">
        <v>0.15</v>
      </c>
      <c r="T906" t="s">
        <v>33</v>
      </c>
      <c r="U906">
        <v>3.3</v>
      </c>
      <c r="V906">
        <v>72</v>
      </c>
      <c r="W906">
        <v>0</v>
      </c>
      <c r="X906">
        <v>72</v>
      </c>
      <c r="Y906">
        <v>0</v>
      </c>
      <c r="Z906">
        <v>0</v>
      </c>
      <c r="AA906">
        <v>0</v>
      </c>
      <c r="AB906" t="s">
        <v>36</v>
      </c>
      <c r="AC906">
        <v>72</v>
      </c>
      <c r="AD906">
        <v>-0.87</v>
      </c>
    </row>
    <row r="907" spans="1:30" x14ac:dyDescent="0.25">
      <c r="A907" s="1">
        <v>44784.306296296294</v>
      </c>
      <c r="B907" s="1">
        <v>44784.306168981479</v>
      </c>
      <c r="C907">
        <v>151702</v>
      </c>
      <c r="D907" t="s">
        <v>37</v>
      </c>
      <c r="E907" t="s">
        <v>31</v>
      </c>
      <c r="F907">
        <v>7</v>
      </c>
      <c r="G907">
        <v>43.118609999999997</v>
      </c>
      <c r="H907">
        <v>-71.61618</v>
      </c>
      <c r="I907">
        <v>885</v>
      </c>
      <c r="J907">
        <v>0</v>
      </c>
      <c r="K907">
        <v>0</v>
      </c>
      <c r="L907" s="1">
        <v>44784.306273148148</v>
      </c>
      <c r="M907">
        <v>4.5999999999999996</v>
      </c>
      <c r="N907">
        <v>4.5</v>
      </c>
      <c r="O907">
        <v>0.1</v>
      </c>
      <c r="P907">
        <v>2</v>
      </c>
      <c r="Q907">
        <v>0.2</v>
      </c>
      <c r="R907">
        <v>0.1</v>
      </c>
      <c r="S907">
        <v>0.15</v>
      </c>
      <c r="T907" t="s">
        <v>33</v>
      </c>
      <c r="U907">
        <v>4.55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 t="s">
        <v>38</v>
      </c>
    </row>
    <row r="908" spans="1:30" x14ac:dyDescent="0.25">
      <c r="A908" s="1">
        <v>44784.306307870371</v>
      </c>
      <c r="B908" s="1">
        <v>44784.306064814817</v>
      </c>
      <c r="C908">
        <v>151700</v>
      </c>
      <c r="D908" t="s">
        <v>30</v>
      </c>
      <c r="E908" t="s">
        <v>31</v>
      </c>
      <c r="F908">
        <v>7</v>
      </c>
      <c r="G908">
        <v>43.19211</v>
      </c>
      <c r="H908">
        <v>-71.541460000000001</v>
      </c>
      <c r="I908">
        <v>286</v>
      </c>
      <c r="J908">
        <v>71</v>
      </c>
      <c r="K908">
        <v>0</v>
      </c>
      <c r="L908" s="1">
        <v>44784.306273148148</v>
      </c>
      <c r="M908">
        <v>4.0999999999999996</v>
      </c>
      <c r="N908">
        <v>4.5</v>
      </c>
      <c r="O908">
        <v>0.4</v>
      </c>
      <c r="P908">
        <v>9</v>
      </c>
      <c r="Q908">
        <v>0.2</v>
      </c>
      <c r="R908">
        <v>0.3</v>
      </c>
      <c r="S908">
        <v>0.25</v>
      </c>
      <c r="T908" t="s">
        <v>33</v>
      </c>
      <c r="U908">
        <v>4.3</v>
      </c>
      <c r="V908">
        <v>68</v>
      </c>
      <c r="W908">
        <v>0</v>
      </c>
      <c r="X908">
        <v>68</v>
      </c>
      <c r="Y908">
        <v>0</v>
      </c>
      <c r="Z908">
        <v>0</v>
      </c>
      <c r="AA908">
        <v>0</v>
      </c>
      <c r="AB908" t="s">
        <v>36</v>
      </c>
      <c r="AC908">
        <v>68</v>
      </c>
      <c r="AD908">
        <v>0.02</v>
      </c>
    </row>
    <row r="909" spans="1:30" x14ac:dyDescent="0.25">
      <c r="A909" s="1">
        <v>44784.306307870371</v>
      </c>
      <c r="B909" s="1">
        <v>44784.305092592593</v>
      </c>
      <c r="C909">
        <v>135984</v>
      </c>
      <c r="D909" t="s">
        <v>39</v>
      </c>
      <c r="E909" t="s">
        <v>31</v>
      </c>
      <c r="F909">
        <v>7</v>
      </c>
      <c r="G909">
        <v>43.565852999999997</v>
      </c>
      <c r="H909">
        <v>-71.496129999999994</v>
      </c>
      <c r="I909">
        <v>708</v>
      </c>
      <c r="J909">
        <v>69</v>
      </c>
      <c r="K909">
        <v>0</v>
      </c>
      <c r="L909" s="1">
        <v>44784.306273148148</v>
      </c>
      <c r="M909">
        <v>7.3</v>
      </c>
      <c r="N909">
        <v>6.6</v>
      </c>
      <c r="O909">
        <v>0.7</v>
      </c>
      <c r="P909">
        <v>10</v>
      </c>
      <c r="Q909">
        <v>0.4</v>
      </c>
      <c r="R909">
        <v>0.4</v>
      </c>
      <c r="S909">
        <v>0.4</v>
      </c>
      <c r="T909" t="s">
        <v>33</v>
      </c>
      <c r="U909">
        <v>6.95</v>
      </c>
      <c r="V909">
        <v>90</v>
      </c>
      <c r="W909">
        <v>0</v>
      </c>
      <c r="X909">
        <v>90</v>
      </c>
      <c r="Y909">
        <v>1</v>
      </c>
      <c r="Z909">
        <v>0</v>
      </c>
      <c r="AA909">
        <v>1</v>
      </c>
      <c r="AB909" t="s">
        <v>36</v>
      </c>
      <c r="AC909">
        <v>90</v>
      </c>
      <c r="AD909">
        <v>0.1</v>
      </c>
    </row>
    <row r="910" spans="1:30" x14ac:dyDescent="0.25">
      <c r="A910" s="1">
        <v>44784.306307870371</v>
      </c>
      <c r="B910" s="1">
        <v>44780.394780092596</v>
      </c>
      <c r="C910">
        <v>151712</v>
      </c>
      <c r="D910" t="s">
        <v>40</v>
      </c>
      <c r="E910" t="s">
        <v>31</v>
      </c>
      <c r="F910">
        <v>7</v>
      </c>
      <c r="G910">
        <v>43.289763999999998</v>
      </c>
      <c r="H910">
        <v>-71.564260000000004</v>
      </c>
      <c r="I910">
        <v>370</v>
      </c>
      <c r="J910">
        <v>86</v>
      </c>
      <c r="K910">
        <v>0</v>
      </c>
      <c r="L910" s="1">
        <v>44784.306273148148</v>
      </c>
      <c r="M910">
        <v>14</v>
      </c>
      <c r="N910">
        <v>13.2</v>
      </c>
      <c r="O910">
        <v>0.8</v>
      </c>
      <c r="P910">
        <v>6</v>
      </c>
      <c r="Q910">
        <v>0</v>
      </c>
      <c r="R910">
        <v>0</v>
      </c>
      <c r="S910">
        <v>0</v>
      </c>
      <c r="T910" t="s">
        <v>32</v>
      </c>
      <c r="V910">
        <v>59</v>
      </c>
      <c r="W910">
        <v>0</v>
      </c>
      <c r="X910">
        <v>59</v>
      </c>
      <c r="Y910">
        <v>0</v>
      </c>
      <c r="Z910">
        <v>0</v>
      </c>
      <c r="AA910">
        <v>0</v>
      </c>
      <c r="AB910" t="s">
        <v>36</v>
      </c>
      <c r="AC910">
        <v>59</v>
      </c>
    </row>
    <row r="911" spans="1:30" x14ac:dyDescent="0.25">
      <c r="A911" s="1">
        <v>44784.306307870371</v>
      </c>
      <c r="B911" s="1">
        <v>44784.305775462963</v>
      </c>
      <c r="C911">
        <v>151710</v>
      </c>
      <c r="D911" t="s">
        <v>41</v>
      </c>
      <c r="E911" t="s">
        <v>31</v>
      </c>
      <c r="F911">
        <v>7</v>
      </c>
      <c r="G911">
        <v>43.132477000000002</v>
      </c>
      <c r="H911">
        <v>-71.458374000000006</v>
      </c>
      <c r="I911">
        <v>230</v>
      </c>
      <c r="J911">
        <v>71</v>
      </c>
      <c r="K911">
        <v>0</v>
      </c>
      <c r="L911" s="1">
        <v>44784.306273148148</v>
      </c>
      <c r="M911">
        <v>6.3</v>
      </c>
      <c r="N911">
        <v>5</v>
      </c>
      <c r="O911">
        <v>1.3</v>
      </c>
      <c r="P911">
        <v>23</v>
      </c>
      <c r="Q911">
        <v>0.5</v>
      </c>
      <c r="R911">
        <v>0</v>
      </c>
      <c r="S911">
        <v>0.25</v>
      </c>
      <c r="T911" t="s">
        <v>33</v>
      </c>
      <c r="U911">
        <v>5.65</v>
      </c>
      <c r="V911">
        <v>66</v>
      </c>
      <c r="W911">
        <v>0</v>
      </c>
      <c r="X911">
        <v>66</v>
      </c>
      <c r="Y911">
        <v>0</v>
      </c>
      <c r="Z911">
        <v>0</v>
      </c>
      <c r="AA911">
        <v>0</v>
      </c>
      <c r="AB911" t="s">
        <v>36</v>
      </c>
      <c r="AC911">
        <v>66</v>
      </c>
      <c r="AD911">
        <v>0.99</v>
      </c>
    </row>
    <row r="912" spans="1:30" x14ac:dyDescent="0.25">
      <c r="A912" s="1">
        <v>44784.306319444448</v>
      </c>
      <c r="B912" s="1">
        <v>44784.305462962962</v>
      </c>
      <c r="C912">
        <v>151706</v>
      </c>
      <c r="D912" t="s">
        <v>42</v>
      </c>
      <c r="E912" t="s">
        <v>31</v>
      </c>
      <c r="F912">
        <v>7</v>
      </c>
      <c r="G912">
        <v>43.004080000000002</v>
      </c>
      <c r="H912">
        <v>-71.177040000000005</v>
      </c>
      <c r="I912">
        <v>194</v>
      </c>
      <c r="J912">
        <v>71</v>
      </c>
      <c r="K912">
        <v>0</v>
      </c>
      <c r="L912" s="1">
        <v>44784.306273148148</v>
      </c>
      <c r="M912">
        <v>3.3</v>
      </c>
      <c r="N912">
        <v>0</v>
      </c>
      <c r="O912">
        <v>3.3</v>
      </c>
      <c r="P912">
        <v>200</v>
      </c>
      <c r="Q912">
        <v>0.1</v>
      </c>
      <c r="R912">
        <v>0</v>
      </c>
      <c r="S912">
        <v>0.05</v>
      </c>
      <c r="T912" t="s">
        <v>43</v>
      </c>
      <c r="V912">
        <v>69</v>
      </c>
      <c r="W912">
        <v>0</v>
      </c>
      <c r="X912">
        <v>69</v>
      </c>
      <c r="Y912">
        <v>1</v>
      </c>
      <c r="Z912">
        <v>0</v>
      </c>
      <c r="AA912">
        <v>1</v>
      </c>
      <c r="AB912" t="s">
        <v>36</v>
      </c>
      <c r="AC912">
        <v>69</v>
      </c>
    </row>
    <row r="913" spans="1:30" x14ac:dyDescent="0.25">
      <c r="A913" s="1">
        <v>44784.306319444448</v>
      </c>
      <c r="B913" s="1">
        <v>44784.305185185185</v>
      </c>
      <c r="C913">
        <v>12212</v>
      </c>
      <c r="D913" t="s">
        <v>44</v>
      </c>
      <c r="E913" t="s">
        <v>35</v>
      </c>
      <c r="F913">
        <v>7</v>
      </c>
      <c r="G913">
        <v>42.930529999999997</v>
      </c>
      <c r="H913">
        <v>-72.272350000000003</v>
      </c>
      <c r="I913">
        <v>476</v>
      </c>
      <c r="J913">
        <v>72</v>
      </c>
      <c r="K913">
        <v>0</v>
      </c>
      <c r="L913" s="1">
        <v>44784.306273148148</v>
      </c>
      <c r="M913">
        <v>6.1</v>
      </c>
      <c r="N913">
        <v>5</v>
      </c>
      <c r="O913">
        <v>1.1000000000000001</v>
      </c>
      <c r="P913">
        <v>20</v>
      </c>
      <c r="Q913">
        <v>0.1</v>
      </c>
      <c r="R913">
        <v>0.2</v>
      </c>
      <c r="S913">
        <v>0.15</v>
      </c>
      <c r="T913" t="s">
        <v>33</v>
      </c>
      <c r="U913">
        <v>5.55</v>
      </c>
      <c r="V913">
        <v>100</v>
      </c>
      <c r="W913">
        <v>0</v>
      </c>
      <c r="X913">
        <v>100</v>
      </c>
      <c r="Y913">
        <v>0</v>
      </c>
      <c r="Z913">
        <v>0</v>
      </c>
      <c r="AA913">
        <v>0</v>
      </c>
      <c r="AB913" t="s">
        <v>36</v>
      </c>
      <c r="AC913">
        <v>100</v>
      </c>
      <c r="AD913">
        <v>-1.45</v>
      </c>
    </row>
    <row r="914" spans="1:30" x14ac:dyDescent="0.25">
      <c r="A914" s="1">
        <v>44784.306319444448</v>
      </c>
      <c r="B914" s="1">
        <v>44769.376736111109</v>
      </c>
      <c r="C914">
        <v>12178</v>
      </c>
      <c r="D914" t="s">
        <v>45</v>
      </c>
      <c r="E914" t="s">
        <v>35</v>
      </c>
      <c r="F914">
        <v>7</v>
      </c>
      <c r="G914">
        <v>42.899563000000001</v>
      </c>
      <c r="H914">
        <v>-71.464650000000006</v>
      </c>
      <c r="I914">
        <v>301</v>
      </c>
      <c r="J914">
        <v>85</v>
      </c>
      <c r="K914">
        <v>0</v>
      </c>
      <c r="L914" s="1">
        <v>44784.306273148148</v>
      </c>
      <c r="M914">
        <v>3.8</v>
      </c>
      <c r="N914">
        <v>3.1</v>
      </c>
      <c r="O914">
        <v>0.7</v>
      </c>
      <c r="P914">
        <v>20</v>
      </c>
      <c r="Q914">
        <v>0</v>
      </c>
      <c r="R914">
        <v>0</v>
      </c>
      <c r="S914">
        <v>0</v>
      </c>
      <c r="T914" t="s">
        <v>32</v>
      </c>
      <c r="V914">
        <v>35</v>
      </c>
      <c r="W914">
        <v>0</v>
      </c>
      <c r="X914">
        <v>35</v>
      </c>
      <c r="Y914">
        <v>0</v>
      </c>
      <c r="Z914">
        <v>0</v>
      </c>
      <c r="AA914">
        <v>0</v>
      </c>
      <c r="AB914" t="s">
        <v>36</v>
      </c>
      <c r="AC914">
        <v>35</v>
      </c>
    </row>
    <row r="915" spans="1:30" x14ac:dyDescent="0.25">
      <c r="A915" s="1">
        <v>44784.306331018517</v>
      </c>
      <c r="B915" s="1">
        <v>44784.304513888892</v>
      </c>
      <c r="C915">
        <v>75981</v>
      </c>
      <c r="D915" t="s">
        <v>46</v>
      </c>
      <c r="E915" t="s">
        <v>35</v>
      </c>
      <c r="F915">
        <v>7</v>
      </c>
      <c r="G915">
        <v>42.97</v>
      </c>
      <c r="H915">
        <v>-71.06</v>
      </c>
      <c r="I915">
        <v>136</v>
      </c>
      <c r="J915">
        <v>75</v>
      </c>
      <c r="K915">
        <v>0</v>
      </c>
      <c r="L915" s="1">
        <v>44784.306273148148</v>
      </c>
      <c r="M915">
        <v>4.5999999999999996</v>
      </c>
      <c r="N915">
        <v>4.2</v>
      </c>
      <c r="O915">
        <v>0.4</v>
      </c>
      <c r="P915">
        <v>9</v>
      </c>
      <c r="Q915">
        <v>0.2</v>
      </c>
      <c r="R915">
        <v>0.1</v>
      </c>
      <c r="S915">
        <v>0.15</v>
      </c>
      <c r="T915" t="s">
        <v>33</v>
      </c>
      <c r="U915">
        <v>4.4000000000000004</v>
      </c>
      <c r="V915">
        <v>62</v>
      </c>
      <c r="W915">
        <v>0</v>
      </c>
      <c r="X915">
        <v>62</v>
      </c>
      <c r="Y915">
        <v>0</v>
      </c>
      <c r="Z915">
        <v>0</v>
      </c>
      <c r="AA915">
        <v>0</v>
      </c>
      <c r="AB915" t="s">
        <v>36</v>
      </c>
      <c r="AC915">
        <v>62</v>
      </c>
      <c r="AD915">
        <v>0.5</v>
      </c>
    </row>
    <row r="916" spans="1:30" x14ac:dyDescent="0.25">
      <c r="A916" s="1">
        <v>44784.306331018517</v>
      </c>
      <c r="B916" s="1">
        <v>44784.305034722223</v>
      </c>
      <c r="C916">
        <v>115703</v>
      </c>
      <c r="D916" t="s">
        <v>47</v>
      </c>
      <c r="E916" t="s">
        <v>35</v>
      </c>
      <c r="F916">
        <v>7</v>
      </c>
      <c r="G916">
        <v>43.953625000000002</v>
      </c>
      <c r="H916">
        <v>-71.508859999999999</v>
      </c>
      <c r="I916">
        <v>1493</v>
      </c>
      <c r="J916">
        <v>64</v>
      </c>
      <c r="K916">
        <v>0</v>
      </c>
      <c r="L916" s="1">
        <v>44784.306273148148</v>
      </c>
      <c r="M916">
        <v>0</v>
      </c>
      <c r="N916">
        <v>300.89999999999998</v>
      </c>
      <c r="O916">
        <v>300.89999999999998</v>
      </c>
      <c r="P916">
        <v>200</v>
      </c>
      <c r="Q916">
        <v>0</v>
      </c>
      <c r="R916">
        <v>0</v>
      </c>
      <c r="S916">
        <v>0</v>
      </c>
      <c r="T916" t="s">
        <v>48</v>
      </c>
      <c r="V916">
        <v>70</v>
      </c>
      <c r="W916">
        <v>0</v>
      </c>
      <c r="X916">
        <v>70</v>
      </c>
      <c r="Y916">
        <v>0</v>
      </c>
      <c r="Z916">
        <v>0</v>
      </c>
      <c r="AA916">
        <v>0</v>
      </c>
      <c r="AB916" t="s">
        <v>36</v>
      </c>
      <c r="AC916">
        <v>70</v>
      </c>
    </row>
    <row r="917" spans="1:30" x14ac:dyDescent="0.25">
      <c r="A917" s="1">
        <v>44784.306331018517</v>
      </c>
      <c r="B917" s="1">
        <v>44784.304456018515</v>
      </c>
      <c r="C917">
        <v>12050</v>
      </c>
      <c r="D917" t="s">
        <v>49</v>
      </c>
      <c r="E917" t="s">
        <v>35</v>
      </c>
      <c r="F917">
        <v>7</v>
      </c>
      <c r="G917">
        <v>44.220573000000002</v>
      </c>
      <c r="H917">
        <v>-71.732315</v>
      </c>
      <c r="I917">
        <v>999</v>
      </c>
      <c r="J917">
        <v>69</v>
      </c>
      <c r="K917">
        <v>0</v>
      </c>
      <c r="L917" s="1">
        <v>44784.306273148148</v>
      </c>
      <c r="M917">
        <v>3.2</v>
      </c>
      <c r="N917">
        <v>3.1</v>
      </c>
      <c r="O917">
        <v>0.1</v>
      </c>
      <c r="P917">
        <v>3</v>
      </c>
      <c r="Q917">
        <v>0.1</v>
      </c>
      <c r="R917">
        <v>0.2</v>
      </c>
      <c r="S917">
        <v>0.15</v>
      </c>
      <c r="T917" t="s">
        <v>33</v>
      </c>
      <c r="U917">
        <v>3.15</v>
      </c>
      <c r="V917">
        <v>58</v>
      </c>
      <c r="W917">
        <v>0</v>
      </c>
      <c r="X917">
        <v>58</v>
      </c>
      <c r="Y917">
        <v>0</v>
      </c>
      <c r="Z917">
        <v>0</v>
      </c>
      <c r="AA917">
        <v>0</v>
      </c>
      <c r="AB917" t="s">
        <v>36</v>
      </c>
      <c r="AC917">
        <v>58</v>
      </c>
      <c r="AD917">
        <v>0.02</v>
      </c>
    </row>
    <row r="918" spans="1:30" x14ac:dyDescent="0.25">
      <c r="A918" s="1">
        <v>44784.306331018517</v>
      </c>
      <c r="B918" s="1">
        <v>44784.304560185185</v>
      </c>
      <c r="C918">
        <v>23443</v>
      </c>
      <c r="D918" t="s">
        <v>50</v>
      </c>
      <c r="E918" t="s">
        <v>35</v>
      </c>
      <c r="F918">
        <v>7</v>
      </c>
      <c r="G918">
        <v>43.556139999999999</v>
      </c>
      <c r="H918">
        <v>-72.370990000000006</v>
      </c>
      <c r="I918">
        <v>523</v>
      </c>
      <c r="J918">
        <v>71</v>
      </c>
      <c r="K918">
        <v>0</v>
      </c>
      <c r="L918" s="1">
        <v>44784.306273148148</v>
      </c>
      <c r="M918">
        <v>5.5</v>
      </c>
      <c r="N918">
        <v>5</v>
      </c>
      <c r="O918">
        <v>0.5</v>
      </c>
      <c r="P918">
        <v>10</v>
      </c>
      <c r="Q918">
        <v>0.2</v>
      </c>
      <c r="R918">
        <v>0</v>
      </c>
      <c r="S918">
        <v>0.1</v>
      </c>
      <c r="T918" t="s">
        <v>33</v>
      </c>
      <c r="U918">
        <v>5.25</v>
      </c>
      <c r="V918">
        <v>65</v>
      </c>
      <c r="W918">
        <v>0</v>
      </c>
      <c r="X918">
        <v>65</v>
      </c>
      <c r="Y918">
        <v>0</v>
      </c>
      <c r="Z918">
        <v>0</v>
      </c>
      <c r="AA918">
        <v>0</v>
      </c>
      <c r="AB918" t="s">
        <v>36</v>
      </c>
      <c r="AC918">
        <v>65</v>
      </c>
      <c r="AD918">
        <v>0.81</v>
      </c>
    </row>
    <row r="919" spans="1:30" x14ac:dyDescent="0.25">
      <c r="A919" s="1">
        <v>44784.306342592594</v>
      </c>
      <c r="B919" s="1">
        <v>44784.306064814817</v>
      </c>
      <c r="C919">
        <v>58135</v>
      </c>
      <c r="D919" t="s">
        <v>51</v>
      </c>
      <c r="E919" t="s">
        <v>35</v>
      </c>
      <c r="F919">
        <v>7</v>
      </c>
      <c r="G919">
        <v>42.883873000000001</v>
      </c>
      <c r="H919">
        <v>-71.972915999999998</v>
      </c>
      <c r="I919">
        <v>808</v>
      </c>
      <c r="J919">
        <v>69</v>
      </c>
      <c r="K919">
        <v>0</v>
      </c>
      <c r="L919" s="1">
        <v>44784.306273148148</v>
      </c>
      <c r="M919">
        <v>8.6</v>
      </c>
      <c r="N919">
        <v>5.7</v>
      </c>
      <c r="O919">
        <v>2.9</v>
      </c>
      <c r="P919">
        <v>41</v>
      </c>
      <c r="Q919">
        <v>0.1</v>
      </c>
      <c r="R919">
        <v>0.1</v>
      </c>
      <c r="S919">
        <v>0.1</v>
      </c>
      <c r="T919" t="s">
        <v>33</v>
      </c>
      <c r="U919">
        <v>7.15</v>
      </c>
      <c r="V919">
        <v>69</v>
      </c>
      <c r="W919">
        <v>0</v>
      </c>
      <c r="X919">
        <v>69</v>
      </c>
      <c r="Y919">
        <v>1</v>
      </c>
      <c r="Z919">
        <v>0</v>
      </c>
      <c r="AA919">
        <v>1</v>
      </c>
      <c r="AB919" t="s">
        <v>36</v>
      </c>
      <c r="AC919">
        <v>69</v>
      </c>
      <c r="AD919">
        <v>1.69</v>
      </c>
    </row>
    <row r="920" spans="1:30" x14ac:dyDescent="0.25">
      <c r="A920" s="1">
        <v>44784.306342592594</v>
      </c>
      <c r="B920" s="1">
        <v>44784.304699074077</v>
      </c>
      <c r="C920">
        <v>148555</v>
      </c>
      <c r="D920" t="s">
        <v>52</v>
      </c>
      <c r="E920" t="s">
        <v>53</v>
      </c>
      <c r="F920">
        <v>7</v>
      </c>
      <c r="G920">
        <v>42.904949999999999</v>
      </c>
      <c r="H920">
        <v>-71.386764999999997</v>
      </c>
      <c r="I920">
        <v>363</v>
      </c>
      <c r="J920">
        <v>0</v>
      </c>
      <c r="K920">
        <v>0</v>
      </c>
      <c r="L920" s="1">
        <v>44784.306273148148</v>
      </c>
      <c r="M920">
        <v>2.6</v>
      </c>
      <c r="N920">
        <v>3.1</v>
      </c>
      <c r="O920">
        <v>0.5</v>
      </c>
      <c r="P920">
        <v>18</v>
      </c>
      <c r="Q920">
        <v>0</v>
      </c>
      <c r="R920">
        <v>0.1</v>
      </c>
      <c r="S920">
        <v>0.05</v>
      </c>
      <c r="T920" t="s">
        <v>33</v>
      </c>
      <c r="U920">
        <v>2.85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 t="s">
        <v>38</v>
      </c>
    </row>
    <row r="921" spans="1:30" x14ac:dyDescent="0.25">
      <c r="A921" s="1">
        <v>44784.306342592594</v>
      </c>
      <c r="B921" s="1">
        <v>44784.305625000001</v>
      </c>
      <c r="C921">
        <v>146644</v>
      </c>
      <c r="D921" t="s">
        <v>54</v>
      </c>
      <c r="E921" t="s">
        <v>53</v>
      </c>
      <c r="F921">
        <v>7</v>
      </c>
      <c r="G921">
        <v>43.06015</v>
      </c>
      <c r="H921">
        <v>-70.758930000000007</v>
      </c>
      <c r="I921">
        <v>35</v>
      </c>
      <c r="J921">
        <v>71</v>
      </c>
      <c r="K921">
        <v>73</v>
      </c>
      <c r="L921" s="1">
        <v>44784.306273148148</v>
      </c>
      <c r="M921">
        <v>6.5</v>
      </c>
      <c r="N921">
        <v>5.3</v>
      </c>
      <c r="O921">
        <v>1.2</v>
      </c>
      <c r="P921">
        <v>20</v>
      </c>
      <c r="Q921">
        <v>0.1</v>
      </c>
      <c r="R921">
        <v>0.1</v>
      </c>
      <c r="S921">
        <v>0.1</v>
      </c>
      <c r="T921" t="s">
        <v>33</v>
      </c>
      <c r="U921">
        <v>5.9</v>
      </c>
      <c r="V921">
        <v>67</v>
      </c>
      <c r="W921">
        <v>71</v>
      </c>
      <c r="X921">
        <v>4</v>
      </c>
      <c r="Y921">
        <v>0</v>
      </c>
      <c r="Z921">
        <v>0</v>
      </c>
      <c r="AA921">
        <v>0</v>
      </c>
      <c r="AB921" t="s">
        <v>33</v>
      </c>
      <c r="AC921">
        <v>69</v>
      </c>
      <c r="AD921">
        <v>0.93</v>
      </c>
    </row>
    <row r="922" spans="1:30" x14ac:dyDescent="0.25">
      <c r="A922" s="1">
        <v>44784.306354166663</v>
      </c>
      <c r="B922" s="1">
        <v>43755.283437500002</v>
      </c>
      <c r="C922">
        <v>12188</v>
      </c>
      <c r="D922" t="s">
        <v>55</v>
      </c>
      <c r="E922" t="s">
        <v>35</v>
      </c>
      <c r="F922">
        <v>4.1100000000000003</v>
      </c>
      <c r="G922">
        <v>42.927050000000001</v>
      </c>
      <c r="H922">
        <v>-72.279610000000005</v>
      </c>
      <c r="I922">
        <v>475</v>
      </c>
      <c r="J922">
        <v>95</v>
      </c>
      <c r="K922">
        <v>0</v>
      </c>
      <c r="L922" s="1">
        <v>44784.306273148148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 t="s">
        <v>32</v>
      </c>
      <c r="V922">
        <v>77</v>
      </c>
      <c r="W922">
        <v>0</v>
      </c>
      <c r="X922">
        <v>77</v>
      </c>
      <c r="Y922">
        <v>0</v>
      </c>
      <c r="Z922">
        <v>0</v>
      </c>
      <c r="AA922">
        <v>0</v>
      </c>
      <c r="AB922" t="s">
        <v>36</v>
      </c>
      <c r="AC922">
        <v>77</v>
      </c>
    </row>
    <row r="923" spans="1:30" x14ac:dyDescent="0.25">
      <c r="A923" s="1">
        <v>44784.306354166663</v>
      </c>
      <c r="B923" s="1">
        <v>44784.305949074071</v>
      </c>
      <c r="C923">
        <v>1224</v>
      </c>
      <c r="D923" t="s">
        <v>56</v>
      </c>
      <c r="E923" t="s">
        <v>35</v>
      </c>
      <c r="F923" t="s">
        <v>57</v>
      </c>
      <c r="G923">
        <v>42.938034000000002</v>
      </c>
      <c r="H923">
        <v>-72.259299999999996</v>
      </c>
      <c r="I923">
        <v>792</v>
      </c>
      <c r="J923">
        <v>75</v>
      </c>
      <c r="K923">
        <v>0</v>
      </c>
      <c r="L923" s="1">
        <v>44784.306273148148</v>
      </c>
      <c r="M923">
        <v>4.2</v>
      </c>
      <c r="N923">
        <v>0</v>
      </c>
      <c r="O923">
        <v>4.2</v>
      </c>
      <c r="P923">
        <v>200</v>
      </c>
      <c r="Q923">
        <v>0.2</v>
      </c>
      <c r="R923">
        <v>0</v>
      </c>
      <c r="S923">
        <v>0.1</v>
      </c>
      <c r="T923" t="s">
        <v>43</v>
      </c>
      <c r="V923">
        <v>87</v>
      </c>
      <c r="W923">
        <v>0</v>
      </c>
      <c r="X923">
        <v>87</v>
      </c>
      <c r="Y923">
        <v>1</v>
      </c>
      <c r="Z923">
        <v>0</v>
      </c>
      <c r="AA923">
        <v>1</v>
      </c>
      <c r="AB923" t="s">
        <v>36</v>
      </c>
      <c r="AC923">
        <v>87</v>
      </c>
    </row>
    <row r="924" spans="1:30" x14ac:dyDescent="0.25">
      <c r="A924" s="1">
        <v>44784.306354166663</v>
      </c>
      <c r="B924" s="1">
        <v>44784.305393518516</v>
      </c>
      <c r="C924">
        <v>1202</v>
      </c>
      <c r="D924" t="s">
        <v>58</v>
      </c>
      <c r="E924" t="s">
        <v>35</v>
      </c>
      <c r="F924" t="s">
        <v>57</v>
      </c>
      <c r="G924">
        <v>42.936554000000001</v>
      </c>
      <c r="H924">
        <v>-72.271019999999993</v>
      </c>
      <c r="I924">
        <v>488</v>
      </c>
      <c r="J924">
        <v>0</v>
      </c>
      <c r="K924">
        <v>0</v>
      </c>
      <c r="L924" s="1">
        <v>44784.306273148148</v>
      </c>
      <c r="M924">
        <v>5.9</v>
      </c>
      <c r="N924">
        <v>5.5</v>
      </c>
      <c r="O924">
        <v>0.4</v>
      </c>
      <c r="P924">
        <v>7</v>
      </c>
      <c r="Q924">
        <v>0</v>
      </c>
      <c r="R924">
        <v>0</v>
      </c>
      <c r="S924">
        <v>0</v>
      </c>
      <c r="T924" t="s">
        <v>33</v>
      </c>
      <c r="U924">
        <v>5.7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 t="s">
        <v>38</v>
      </c>
    </row>
    <row r="925" spans="1:30" x14ac:dyDescent="0.25">
      <c r="A925" s="1">
        <v>44784.30636574074</v>
      </c>
      <c r="B925" s="1">
        <v>44612.080023148148</v>
      </c>
      <c r="C925">
        <v>25985</v>
      </c>
      <c r="D925" t="s">
        <v>59</v>
      </c>
      <c r="E925" t="s">
        <v>35</v>
      </c>
      <c r="F925">
        <v>6.01</v>
      </c>
      <c r="G925">
        <v>42.927326000000001</v>
      </c>
      <c r="H925">
        <v>-72.279979999999995</v>
      </c>
      <c r="I925">
        <v>477</v>
      </c>
      <c r="J925">
        <v>78</v>
      </c>
      <c r="K925">
        <v>0</v>
      </c>
      <c r="L925" s="1">
        <v>44784.306273148148</v>
      </c>
      <c r="M925">
        <v>1.1000000000000001</v>
      </c>
      <c r="N925">
        <v>1</v>
      </c>
      <c r="O925">
        <v>0.1</v>
      </c>
      <c r="P925">
        <v>10</v>
      </c>
      <c r="Q925">
        <v>0</v>
      </c>
      <c r="R925">
        <v>0</v>
      </c>
      <c r="S925">
        <v>0</v>
      </c>
      <c r="T925" t="s">
        <v>32</v>
      </c>
      <c r="V925">
        <v>22</v>
      </c>
      <c r="W925">
        <v>0</v>
      </c>
      <c r="X925">
        <v>22</v>
      </c>
      <c r="Y925">
        <v>0</v>
      </c>
      <c r="Z925">
        <v>0</v>
      </c>
      <c r="AA925">
        <v>0</v>
      </c>
      <c r="AB925" t="s">
        <v>36</v>
      </c>
      <c r="AC925">
        <v>22</v>
      </c>
    </row>
    <row r="926" spans="1:30" x14ac:dyDescent="0.25">
      <c r="A926" s="1">
        <v>44784.313240740739</v>
      </c>
      <c r="B926" s="1">
        <v>44775.701319444444</v>
      </c>
      <c r="C926">
        <v>151708</v>
      </c>
      <c r="D926" t="s">
        <v>30</v>
      </c>
      <c r="E926" t="s">
        <v>31</v>
      </c>
      <c r="F926">
        <v>7</v>
      </c>
      <c r="G926">
        <v>43.192042999999998</v>
      </c>
      <c r="H926">
        <v>-71.541579999999996</v>
      </c>
      <c r="I926">
        <v>291</v>
      </c>
      <c r="J926">
        <v>93</v>
      </c>
      <c r="K926">
        <v>94</v>
      </c>
      <c r="L926" s="1">
        <v>44784.313217592593</v>
      </c>
      <c r="M926">
        <v>7.9</v>
      </c>
      <c r="N926">
        <v>7.6</v>
      </c>
      <c r="O926">
        <v>0.3</v>
      </c>
      <c r="P926">
        <v>4</v>
      </c>
      <c r="Q926">
        <v>0</v>
      </c>
      <c r="R926">
        <v>0</v>
      </c>
      <c r="S926">
        <v>0</v>
      </c>
      <c r="T926" t="s">
        <v>32</v>
      </c>
      <c r="V926">
        <v>42</v>
      </c>
      <c r="W926">
        <v>41</v>
      </c>
      <c r="X926">
        <v>1</v>
      </c>
      <c r="Y926">
        <v>0</v>
      </c>
      <c r="Z926">
        <v>0</v>
      </c>
      <c r="AA926">
        <v>0</v>
      </c>
      <c r="AB926" t="s">
        <v>33</v>
      </c>
      <c r="AC926">
        <v>41.5</v>
      </c>
    </row>
    <row r="927" spans="1:30" x14ac:dyDescent="0.25">
      <c r="A927" s="1">
        <v>44784.313240740739</v>
      </c>
      <c r="B927" s="1">
        <v>44784.311550925922</v>
      </c>
      <c r="C927">
        <v>143456</v>
      </c>
      <c r="D927" t="s">
        <v>34</v>
      </c>
      <c r="E927" t="s">
        <v>35</v>
      </c>
      <c r="F927">
        <v>7</v>
      </c>
      <c r="G927">
        <v>43.08963</v>
      </c>
      <c r="H927">
        <v>-71.502440000000007</v>
      </c>
      <c r="I927">
        <v>619</v>
      </c>
      <c r="J927">
        <v>70</v>
      </c>
      <c r="K927">
        <v>0</v>
      </c>
      <c r="L927" s="1">
        <v>44784.313217592593</v>
      </c>
      <c r="M927">
        <v>3</v>
      </c>
      <c r="N927">
        <v>3.4</v>
      </c>
      <c r="O927">
        <v>0.4</v>
      </c>
      <c r="P927">
        <v>12</v>
      </c>
      <c r="Q927">
        <v>0.2</v>
      </c>
      <c r="R927">
        <v>0</v>
      </c>
      <c r="S927">
        <v>0.1</v>
      </c>
      <c r="T927" t="s">
        <v>33</v>
      </c>
      <c r="U927">
        <v>3.2</v>
      </c>
      <c r="V927">
        <v>72</v>
      </c>
      <c r="W927">
        <v>0</v>
      </c>
      <c r="X927">
        <v>72</v>
      </c>
      <c r="Y927">
        <v>0</v>
      </c>
      <c r="Z927">
        <v>0</v>
      </c>
      <c r="AA927">
        <v>0</v>
      </c>
      <c r="AB927" t="s">
        <v>36</v>
      </c>
      <c r="AC927">
        <v>72</v>
      </c>
      <c r="AD927">
        <v>-0.93</v>
      </c>
    </row>
    <row r="928" spans="1:30" x14ac:dyDescent="0.25">
      <c r="A928" s="1">
        <v>44784.313240740739</v>
      </c>
      <c r="B928" s="1">
        <v>44784.311736111114</v>
      </c>
      <c r="C928">
        <v>151702</v>
      </c>
      <c r="D928" t="s">
        <v>37</v>
      </c>
      <c r="E928" t="s">
        <v>31</v>
      </c>
      <c r="F928">
        <v>7</v>
      </c>
      <c r="G928">
        <v>43.118609999999997</v>
      </c>
      <c r="H928">
        <v>-71.61618</v>
      </c>
      <c r="I928">
        <v>885</v>
      </c>
      <c r="J928">
        <v>0</v>
      </c>
      <c r="K928">
        <v>0</v>
      </c>
      <c r="L928" s="1">
        <v>44784.313217592593</v>
      </c>
      <c r="M928">
        <v>4.5999999999999996</v>
      </c>
      <c r="N928">
        <v>4.4000000000000004</v>
      </c>
      <c r="O928">
        <v>0.2</v>
      </c>
      <c r="P928">
        <v>4</v>
      </c>
      <c r="Q928">
        <v>0</v>
      </c>
      <c r="R928">
        <v>0.1</v>
      </c>
      <c r="S928">
        <v>0.05</v>
      </c>
      <c r="T928" t="s">
        <v>33</v>
      </c>
      <c r="U928">
        <v>4.5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 t="s">
        <v>38</v>
      </c>
    </row>
    <row r="929" spans="1:30" x14ac:dyDescent="0.25">
      <c r="A929" s="1">
        <v>44784.313252314816</v>
      </c>
      <c r="B929" s="1">
        <v>44784.313009259262</v>
      </c>
      <c r="C929">
        <v>151700</v>
      </c>
      <c r="D929" t="s">
        <v>30</v>
      </c>
      <c r="E929" t="s">
        <v>31</v>
      </c>
      <c r="F929">
        <v>7</v>
      </c>
      <c r="G929">
        <v>43.19211</v>
      </c>
      <c r="H929">
        <v>-71.541460000000001</v>
      </c>
      <c r="I929">
        <v>286</v>
      </c>
      <c r="J929">
        <v>72</v>
      </c>
      <c r="K929">
        <v>0</v>
      </c>
      <c r="L929" s="1">
        <v>44784.313217592593</v>
      </c>
      <c r="M929">
        <v>4</v>
      </c>
      <c r="N929">
        <v>4.5999999999999996</v>
      </c>
      <c r="O929">
        <v>0.6</v>
      </c>
      <c r="P929">
        <v>14</v>
      </c>
      <c r="Q929">
        <v>0.1</v>
      </c>
      <c r="R929">
        <v>0.1</v>
      </c>
      <c r="S929">
        <v>0.1</v>
      </c>
      <c r="T929" t="s">
        <v>33</v>
      </c>
      <c r="U929">
        <v>4.3</v>
      </c>
      <c r="V929">
        <v>67</v>
      </c>
      <c r="W929">
        <v>0</v>
      </c>
      <c r="X929">
        <v>67</v>
      </c>
      <c r="Y929">
        <v>1</v>
      </c>
      <c r="Z929">
        <v>0</v>
      </c>
      <c r="AA929">
        <v>1</v>
      </c>
      <c r="AB929" t="s">
        <v>36</v>
      </c>
      <c r="AC929">
        <v>67</v>
      </c>
      <c r="AD929">
        <v>0.09</v>
      </c>
    </row>
    <row r="930" spans="1:30" x14ac:dyDescent="0.25">
      <c r="A930" s="1">
        <v>44784.313252314816</v>
      </c>
      <c r="B930" s="1">
        <v>44784.312037037038</v>
      </c>
      <c r="C930">
        <v>135984</v>
      </c>
      <c r="D930" t="s">
        <v>39</v>
      </c>
      <c r="E930" t="s">
        <v>31</v>
      </c>
      <c r="F930">
        <v>7</v>
      </c>
      <c r="G930">
        <v>43.565852999999997</v>
      </c>
      <c r="H930">
        <v>-71.496129999999994</v>
      </c>
      <c r="I930">
        <v>708</v>
      </c>
      <c r="J930">
        <v>69</v>
      </c>
      <c r="K930">
        <v>0</v>
      </c>
      <c r="L930" s="1">
        <v>44784.313217592593</v>
      </c>
      <c r="M930">
        <v>6.6</v>
      </c>
      <c r="N930">
        <v>5.7</v>
      </c>
      <c r="O930">
        <v>0.9</v>
      </c>
      <c r="P930">
        <v>15</v>
      </c>
      <c r="Q930">
        <v>0.7</v>
      </c>
      <c r="R930">
        <v>0.9</v>
      </c>
      <c r="S930">
        <v>0.8</v>
      </c>
      <c r="T930" t="s">
        <v>33</v>
      </c>
      <c r="U930">
        <v>6.15</v>
      </c>
      <c r="V930">
        <v>88</v>
      </c>
      <c r="W930">
        <v>0</v>
      </c>
      <c r="X930">
        <v>88</v>
      </c>
      <c r="Y930">
        <v>2</v>
      </c>
      <c r="Z930">
        <v>0</v>
      </c>
      <c r="AA930">
        <v>2</v>
      </c>
      <c r="AB930" t="s">
        <v>36</v>
      </c>
      <c r="AC930">
        <v>88</v>
      </c>
      <c r="AD930">
        <v>-0.25</v>
      </c>
    </row>
    <row r="931" spans="1:30" x14ac:dyDescent="0.25">
      <c r="A931" s="1">
        <v>44784.313252314816</v>
      </c>
      <c r="B931" s="1">
        <v>44780.394780092596</v>
      </c>
      <c r="C931">
        <v>151712</v>
      </c>
      <c r="D931" t="s">
        <v>40</v>
      </c>
      <c r="E931" t="s">
        <v>31</v>
      </c>
      <c r="F931">
        <v>7</v>
      </c>
      <c r="G931">
        <v>43.289763999999998</v>
      </c>
      <c r="H931">
        <v>-71.564260000000004</v>
      </c>
      <c r="I931">
        <v>370</v>
      </c>
      <c r="J931">
        <v>86</v>
      </c>
      <c r="K931">
        <v>0</v>
      </c>
      <c r="L931" s="1">
        <v>44784.313217592593</v>
      </c>
      <c r="M931">
        <v>14</v>
      </c>
      <c r="N931">
        <v>13.2</v>
      </c>
      <c r="O931">
        <v>0.8</v>
      </c>
      <c r="P931">
        <v>6</v>
      </c>
      <c r="Q931">
        <v>0</v>
      </c>
      <c r="R931">
        <v>0</v>
      </c>
      <c r="S931">
        <v>0</v>
      </c>
      <c r="T931" t="s">
        <v>32</v>
      </c>
      <c r="V931">
        <v>59</v>
      </c>
      <c r="W931">
        <v>0</v>
      </c>
      <c r="X931">
        <v>59</v>
      </c>
      <c r="Y931">
        <v>0</v>
      </c>
      <c r="Z931">
        <v>0</v>
      </c>
      <c r="AA931">
        <v>0</v>
      </c>
      <c r="AB931" t="s">
        <v>36</v>
      </c>
      <c r="AC931">
        <v>59</v>
      </c>
    </row>
    <row r="932" spans="1:30" x14ac:dyDescent="0.25">
      <c r="A932" s="1">
        <v>44784.313252314816</v>
      </c>
      <c r="B932" s="1">
        <v>44784.311331018522</v>
      </c>
      <c r="C932">
        <v>151710</v>
      </c>
      <c r="D932" t="s">
        <v>41</v>
      </c>
      <c r="E932" t="s">
        <v>31</v>
      </c>
      <c r="F932">
        <v>7</v>
      </c>
      <c r="G932">
        <v>43.132477000000002</v>
      </c>
      <c r="H932">
        <v>-71.458374000000006</v>
      </c>
      <c r="I932">
        <v>230</v>
      </c>
      <c r="J932">
        <v>71</v>
      </c>
      <c r="K932">
        <v>0</v>
      </c>
      <c r="L932" s="1">
        <v>44784.313217592593</v>
      </c>
      <c r="M932">
        <v>5.9</v>
      </c>
      <c r="N932">
        <v>5</v>
      </c>
      <c r="O932">
        <v>0.9</v>
      </c>
      <c r="P932">
        <v>17</v>
      </c>
      <c r="Q932">
        <v>0.4</v>
      </c>
      <c r="R932">
        <v>0</v>
      </c>
      <c r="S932">
        <v>0.2</v>
      </c>
      <c r="T932" t="s">
        <v>33</v>
      </c>
      <c r="U932">
        <v>5.45</v>
      </c>
      <c r="V932">
        <v>66</v>
      </c>
      <c r="W932">
        <v>0</v>
      </c>
      <c r="X932">
        <v>66</v>
      </c>
      <c r="Y932">
        <v>0</v>
      </c>
      <c r="Z932">
        <v>0</v>
      </c>
      <c r="AA932">
        <v>0</v>
      </c>
      <c r="AB932" t="s">
        <v>36</v>
      </c>
      <c r="AC932">
        <v>66</v>
      </c>
      <c r="AD932">
        <v>0.86</v>
      </c>
    </row>
    <row r="933" spans="1:30" x14ac:dyDescent="0.25">
      <c r="A933" s="1">
        <v>44784.313263888886</v>
      </c>
      <c r="B933" s="1">
        <v>44784.312407407408</v>
      </c>
      <c r="C933">
        <v>151706</v>
      </c>
      <c r="D933" t="s">
        <v>42</v>
      </c>
      <c r="E933" t="s">
        <v>31</v>
      </c>
      <c r="F933">
        <v>7</v>
      </c>
      <c r="G933">
        <v>43.004080000000002</v>
      </c>
      <c r="H933">
        <v>-71.177040000000005</v>
      </c>
      <c r="I933">
        <v>194</v>
      </c>
      <c r="J933">
        <v>71</v>
      </c>
      <c r="K933">
        <v>0</v>
      </c>
      <c r="L933" s="1">
        <v>44784.313217592593</v>
      </c>
      <c r="M933">
        <v>3.3</v>
      </c>
      <c r="N933">
        <v>0</v>
      </c>
      <c r="O933">
        <v>3.3</v>
      </c>
      <c r="P933">
        <v>200</v>
      </c>
      <c r="Q933">
        <v>0</v>
      </c>
      <c r="R933">
        <v>0</v>
      </c>
      <c r="S933">
        <v>0</v>
      </c>
      <c r="T933" t="s">
        <v>43</v>
      </c>
      <c r="V933">
        <v>69</v>
      </c>
      <c r="W933">
        <v>0</v>
      </c>
      <c r="X933">
        <v>69</v>
      </c>
      <c r="Y933">
        <v>0</v>
      </c>
      <c r="Z933">
        <v>0</v>
      </c>
      <c r="AA933">
        <v>0</v>
      </c>
      <c r="AB933" t="s">
        <v>36</v>
      </c>
      <c r="AC933">
        <v>69</v>
      </c>
    </row>
    <row r="934" spans="1:30" x14ac:dyDescent="0.25">
      <c r="A934" s="1">
        <v>44784.313263888886</v>
      </c>
      <c r="B934" s="1">
        <v>44784.31212962963</v>
      </c>
      <c r="C934">
        <v>12212</v>
      </c>
      <c r="D934" t="s">
        <v>44</v>
      </c>
      <c r="E934" t="s">
        <v>35</v>
      </c>
      <c r="F934">
        <v>7</v>
      </c>
      <c r="G934">
        <v>42.930529999999997</v>
      </c>
      <c r="H934">
        <v>-72.272350000000003</v>
      </c>
      <c r="I934">
        <v>476</v>
      </c>
      <c r="J934">
        <v>73</v>
      </c>
      <c r="K934">
        <v>0</v>
      </c>
      <c r="L934" s="1">
        <v>44784.313217592593</v>
      </c>
      <c r="M934">
        <v>6.1</v>
      </c>
      <c r="N934">
        <v>5</v>
      </c>
      <c r="O934">
        <v>1.1000000000000001</v>
      </c>
      <c r="P934">
        <v>20</v>
      </c>
      <c r="Q934">
        <v>0</v>
      </c>
      <c r="R934">
        <v>0</v>
      </c>
      <c r="S934">
        <v>0</v>
      </c>
      <c r="T934" t="s">
        <v>33</v>
      </c>
      <c r="U934">
        <v>5.55</v>
      </c>
      <c r="V934">
        <v>100</v>
      </c>
      <c r="W934">
        <v>0</v>
      </c>
      <c r="X934">
        <v>100</v>
      </c>
      <c r="Y934">
        <v>0</v>
      </c>
      <c r="Z934">
        <v>0</v>
      </c>
      <c r="AA934">
        <v>0</v>
      </c>
      <c r="AB934" t="s">
        <v>36</v>
      </c>
      <c r="AC934">
        <v>100</v>
      </c>
      <c r="AD934">
        <v>-1.45</v>
      </c>
    </row>
    <row r="935" spans="1:30" x14ac:dyDescent="0.25">
      <c r="A935" s="1">
        <v>44784.313263888886</v>
      </c>
      <c r="B935" s="1">
        <v>44769.376736111109</v>
      </c>
      <c r="C935">
        <v>12178</v>
      </c>
      <c r="D935" t="s">
        <v>45</v>
      </c>
      <c r="E935" t="s">
        <v>35</v>
      </c>
      <c r="F935">
        <v>7</v>
      </c>
      <c r="G935">
        <v>42.899563000000001</v>
      </c>
      <c r="H935">
        <v>-71.464650000000006</v>
      </c>
      <c r="I935">
        <v>301</v>
      </c>
      <c r="J935">
        <v>85</v>
      </c>
      <c r="K935">
        <v>0</v>
      </c>
      <c r="L935" s="1">
        <v>44784.313217592593</v>
      </c>
      <c r="M935">
        <v>3.8</v>
      </c>
      <c r="N935">
        <v>3.1</v>
      </c>
      <c r="O935">
        <v>0.7</v>
      </c>
      <c r="P935">
        <v>20</v>
      </c>
      <c r="Q935">
        <v>0</v>
      </c>
      <c r="R935">
        <v>0</v>
      </c>
      <c r="S935">
        <v>0</v>
      </c>
      <c r="T935" t="s">
        <v>32</v>
      </c>
      <c r="V935">
        <v>35</v>
      </c>
      <c r="W935">
        <v>0</v>
      </c>
      <c r="X935">
        <v>35</v>
      </c>
      <c r="Y935">
        <v>0</v>
      </c>
      <c r="Z935">
        <v>0</v>
      </c>
      <c r="AA935">
        <v>0</v>
      </c>
      <c r="AB935" t="s">
        <v>36</v>
      </c>
      <c r="AC935">
        <v>35</v>
      </c>
    </row>
    <row r="936" spans="1:30" x14ac:dyDescent="0.25">
      <c r="A936" s="1">
        <v>44784.313263888886</v>
      </c>
      <c r="B936" s="1">
        <v>44784.312847222223</v>
      </c>
      <c r="C936">
        <v>75981</v>
      </c>
      <c r="D936" t="s">
        <v>46</v>
      </c>
      <c r="E936" t="s">
        <v>35</v>
      </c>
      <c r="F936">
        <v>7</v>
      </c>
      <c r="G936">
        <v>42.97</v>
      </c>
      <c r="H936">
        <v>-71.06</v>
      </c>
      <c r="I936">
        <v>136</v>
      </c>
      <c r="J936">
        <v>75</v>
      </c>
      <c r="K936">
        <v>0</v>
      </c>
      <c r="L936" s="1">
        <v>44784.313217592593</v>
      </c>
      <c r="M936">
        <v>4.9000000000000004</v>
      </c>
      <c r="N936">
        <v>4.5</v>
      </c>
      <c r="O936">
        <v>0.4</v>
      </c>
      <c r="P936">
        <v>9</v>
      </c>
      <c r="Q936">
        <v>0.3</v>
      </c>
      <c r="R936">
        <v>0.3</v>
      </c>
      <c r="S936">
        <v>0.3</v>
      </c>
      <c r="T936" t="s">
        <v>33</v>
      </c>
      <c r="U936">
        <v>4.7</v>
      </c>
      <c r="V936">
        <v>62</v>
      </c>
      <c r="W936">
        <v>0</v>
      </c>
      <c r="X936">
        <v>62</v>
      </c>
      <c r="Y936">
        <v>0</v>
      </c>
      <c r="Z936">
        <v>0</v>
      </c>
      <c r="AA936">
        <v>0</v>
      </c>
      <c r="AB936" t="s">
        <v>36</v>
      </c>
      <c r="AC936">
        <v>62</v>
      </c>
      <c r="AD936">
        <v>0.69</v>
      </c>
    </row>
    <row r="937" spans="1:30" x14ac:dyDescent="0.25">
      <c r="A937" s="1">
        <v>44784.313275462962</v>
      </c>
      <c r="B937" s="1">
        <v>44784.311990740738</v>
      </c>
      <c r="C937">
        <v>115703</v>
      </c>
      <c r="D937" t="s">
        <v>47</v>
      </c>
      <c r="E937" t="s">
        <v>35</v>
      </c>
      <c r="F937">
        <v>7</v>
      </c>
      <c r="G937">
        <v>43.953625000000002</v>
      </c>
      <c r="H937">
        <v>-71.508859999999999</v>
      </c>
      <c r="I937">
        <v>1493</v>
      </c>
      <c r="J937">
        <v>65</v>
      </c>
      <c r="K937">
        <v>0</v>
      </c>
      <c r="L937" s="1">
        <v>44784.313217592593</v>
      </c>
      <c r="M937">
        <v>0</v>
      </c>
      <c r="N937">
        <v>300.89999999999998</v>
      </c>
      <c r="O937">
        <v>300.89999999999998</v>
      </c>
      <c r="P937">
        <v>200</v>
      </c>
      <c r="Q937">
        <v>0</v>
      </c>
      <c r="R937">
        <v>0</v>
      </c>
      <c r="S937">
        <v>0</v>
      </c>
      <c r="T937" t="s">
        <v>48</v>
      </c>
      <c r="V937">
        <v>69</v>
      </c>
      <c r="W937">
        <v>0</v>
      </c>
      <c r="X937">
        <v>69</v>
      </c>
      <c r="Y937">
        <v>1</v>
      </c>
      <c r="Z937">
        <v>0</v>
      </c>
      <c r="AA937">
        <v>1</v>
      </c>
      <c r="AB937" t="s">
        <v>36</v>
      </c>
      <c r="AC937">
        <v>69</v>
      </c>
    </row>
    <row r="938" spans="1:30" x14ac:dyDescent="0.25">
      <c r="A938" s="1">
        <v>44784.313275462962</v>
      </c>
      <c r="B938" s="1">
        <v>44784.312789351854</v>
      </c>
      <c r="C938">
        <v>12050</v>
      </c>
      <c r="D938" t="s">
        <v>49</v>
      </c>
      <c r="E938" t="s">
        <v>35</v>
      </c>
      <c r="F938">
        <v>7</v>
      </c>
      <c r="G938">
        <v>44.220573000000002</v>
      </c>
      <c r="H938">
        <v>-71.732315</v>
      </c>
      <c r="I938">
        <v>999</v>
      </c>
      <c r="J938">
        <v>70</v>
      </c>
      <c r="K938">
        <v>0</v>
      </c>
      <c r="L938" s="1">
        <v>44784.313217592593</v>
      </c>
      <c r="M938">
        <v>3.2</v>
      </c>
      <c r="N938">
        <v>3.2</v>
      </c>
      <c r="O938">
        <v>0</v>
      </c>
      <c r="P938">
        <v>0</v>
      </c>
      <c r="Q938">
        <v>0</v>
      </c>
      <c r="R938">
        <v>0.1</v>
      </c>
      <c r="S938">
        <v>0.05</v>
      </c>
      <c r="T938" t="s">
        <v>33</v>
      </c>
      <c r="U938">
        <v>3.2</v>
      </c>
      <c r="V938">
        <v>58</v>
      </c>
      <c r="W938">
        <v>0</v>
      </c>
      <c r="X938">
        <v>58</v>
      </c>
      <c r="Y938">
        <v>0</v>
      </c>
      <c r="Z938">
        <v>0</v>
      </c>
      <c r="AA938">
        <v>0</v>
      </c>
      <c r="AB938" t="s">
        <v>36</v>
      </c>
      <c r="AC938">
        <v>58</v>
      </c>
      <c r="AD938">
        <v>0.05</v>
      </c>
    </row>
    <row r="939" spans="1:30" x14ac:dyDescent="0.25">
      <c r="A939" s="1">
        <v>44784.313275462962</v>
      </c>
      <c r="B939" s="1">
        <v>44784.312893518516</v>
      </c>
      <c r="C939">
        <v>23443</v>
      </c>
      <c r="D939" t="s">
        <v>50</v>
      </c>
      <c r="E939" t="s">
        <v>35</v>
      </c>
      <c r="F939">
        <v>7</v>
      </c>
      <c r="G939">
        <v>43.556139999999999</v>
      </c>
      <c r="H939">
        <v>-72.370990000000006</v>
      </c>
      <c r="I939">
        <v>523</v>
      </c>
      <c r="J939">
        <v>71</v>
      </c>
      <c r="K939">
        <v>0</v>
      </c>
      <c r="L939" s="1">
        <v>44784.313217592593</v>
      </c>
      <c r="M939">
        <v>5.6</v>
      </c>
      <c r="N939">
        <v>5</v>
      </c>
      <c r="O939">
        <v>0.6</v>
      </c>
      <c r="P939">
        <v>11</v>
      </c>
      <c r="Q939">
        <v>0.1</v>
      </c>
      <c r="R939">
        <v>0</v>
      </c>
      <c r="S939">
        <v>0.05</v>
      </c>
      <c r="T939" t="s">
        <v>33</v>
      </c>
      <c r="U939">
        <v>5.3</v>
      </c>
      <c r="V939">
        <v>64</v>
      </c>
      <c r="W939">
        <v>0</v>
      </c>
      <c r="X939">
        <v>64</v>
      </c>
      <c r="Y939">
        <v>1</v>
      </c>
      <c r="Z939">
        <v>0</v>
      </c>
      <c r="AA939">
        <v>1</v>
      </c>
      <c r="AB939" t="s">
        <v>36</v>
      </c>
      <c r="AC939">
        <v>64</v>
      </c>
      <c r="AD939">
        <v>0.91</v>
      </c>
    </row>
    <row r="940" spans="1:30" x14ac:dyDescent="0.25">
      <c r="A940" s="1">
        <v>44784.313275462962</v>
      </c>
      <c r="B940" s="1">
        <v>44784.312986111108</v>
      </c>
      <c r="C940">
        <v>58135</v>
      </c>
      <c r="D940" t="s">
        <v>51</v>
      </c>
      <c r="E940" t="s">
        <v>35</v>
      </c>
      <c r="F940">
        <v>7</v>
      </c>
      <c r="G940">
        <v>42.883873000000001</v>
      </c>
      <c r="H940">
        <v>-71.972915999999998</v>
      </c>
      <c r="I940">
        <v>808</v>
      </c>
      <c r="J940">
        <v>74</v>
      </c>
      <c r="K940">
        <v>0</v>
      </c>
      <c r="L940" s="1">
        <v>44784.313217592593</v>
      </c>
      <c r="M940">
        <v>8.6999999999999993</v>
      </c>
      <c r="N940">
        <v>6.7</v>
      </c>
      <c r="O940">
        <v>2</v>
      </c>
      <c r="P940">
        <v>26</v>
      </c>
      <c r="Q940">
        <v>0.1</v>
      </c>
      <c r="R940">
        <v>1</v>
      </c>
      <c r="S940">
        <v>0.55000000000000004</v>
      </c>
      <c r="T940" t="s">
        <v>33</v>
      </c>
      <c r="U940">
        <v>7.7</v>
      </c>
      <c r="V940">
        <v>69</v>
      </c>
      <c r="W940">
        <v>0</v>
      </c>
      <c r="X940">
        <v>69</v>
      </c>
      <c r="Y940">
        <v>0</v>
      </c>
      <c r="Z940">
        <v>0</v>
      </c>
      <c r="AA940">
        <v>0</v>
      </c>
      <c r="AB940" t="s">
        <v>36</v>
      </c>
      <c r="AC940">
        <v>69</v>
      </c>
      <c r="AD940">
        <v>2.0299999999999998</v>
      </c>
    </row>
    <row r="941" spans="1:30" x14ac:dyDescent="0.25">
      <c r="A941" s="1">
        <v>44784.313287037039</v>
      </c>
      <c r="B941" s="1">
        <v>44784.313032407408</v>
      </c>
      <c r="C941">
        <v>148555</v>
      </c>
      <c r="D941" t="s">
        <v>52</v>
      </c>
      <c r="E941" t="s">
        <v>53</v>
      </c>
      <c r="F941">
        <v>7</v>
      </c>
      <c r="G941">
        <v>42.904949999999999</v>
      </c>
      <c r="H941">
        <v>-71.386764999999997</v>
      </c>
      <c r="I941">
        <v>363</v>
      </c>
      <c r="J941">
        <v>0</v>
      </c>
      <c r="K941">
        <v>0</v>
      </c>
      <c r="L941" s="1">
        <v>44784.313217592593</v>
      </c>
      <c r="M941">
        <v>3</v>
      </c>
      <c r="N941">
        <v>3.4</v>
      </c>
      <c r="O941">
        <v>0.4</v>
      </c>
      <c r="P941">
        <v>12</v>
      </c>
      <c r="Q941">
        <v>0.4</v>
      </c>
      <c r="R941">
        <v>0.3</v>
      </c>
      <c r="S941">
        <v>0.35</v>
      </c>
      <c r="T941" t="s">
        <v>33</v>
      </c>
      <c r="U941">
        <v>3.2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 t="s">
        <v>38</v>
      </c>
    </row>
    <row r="942" spans="1:30" x14ac:dyDescent="0.25">
      <c r="A942" s="1">
        <v>44784.313287037039</v>
      </c>
      <c r="B942" s="1">
        <v>44784.312581018516</v>
      </c>
      <c r="C942">
        <v>146644</v>
      </c>
      <c r="D942" t="s">
        <v>54</v>
      </c>
      <c r="E942" t="s">
        <v>53</v>
      </c>
      <c r="F942">
        <v>7</v>
      </c>
      <c r="G942">
        <v>43.06015</v>
      </c>
      <c r="H942">
        <v>-70.758930000000007</v>
      </c>
      <c r="I942">
        <v>35</v>
      </c>
      <c r="J942">
        <v>72</v>
      </c>
      <c r="K942">
        <v>73</v>
      </c>
      <c r="L942" s="1">
        <v>44784.313217592593</v>
      </c>
      <c r="M942">
        <v>6.5</v>
      </c>
      <c r="N942">
        <v>5.3</v>
      </c>
      <c r="O942">
        <v>1.2</v>
      </c>
      <c r="P942">
        <v>20</v>
      </c>
      <c r="Q942">
        <v>0</v>
      </c>
      <c r="R942">
        <v>0</v>
      </c>
      <c r="S942">
        <v>0</v>
      </c>
      <c r="T942" t="s">
        <v>33</v>
      </c>
      <c r="U942">
        <v>5.9</v>
      </c>
      <c r="V942">
        <v>66</v>
      </c>
      <c r="W942">
        <v>71</v>
      </c>
      <c r="X942">
        <v>5</v>
      </c>
      <c r="Y942">
        <v>1</v>
      </c>
      <c r="Z942">
        <v>0</v>
      </c>
      <c r="AA942">
        <v>1</v>
      </c>
      <c r="AB942" t="s">
        <v>33</v>
      </c>
      <c r="AC942">
        <v>68.5</v>
      </c>
      <c r="AD942">
        <v>0.96</v>
      </c>
    </row>
    <row r="943" spans="1:30" x14ac:dyDescent="0.25">
      <c r="A943" s="1">
        <v>44784.313287037039</v>
      </c>
      <c r="B943" s="1">
        <v>43755.283437500002</v>
      </c>
      <c r="C943">
        <v>12188</v>
      </c>
      <c r="D943" t="s">
        <v>55</v>
      </c>
      <c r="E943" t="s">
        <v>35</v>
      </c>
      <c r="F943">
        <v>4.1100000000000003</v>
      </c>
      <c r="G943">
        <v>42.927050000000001</v>
      </c>
      <c r="H943">
        <v>-72.279610000000005</v>
      </c>
      <c r="I943">
        <v>475</v>
      </c>
      <c r="J943">
        <v>95</v>
      </c>
      <c r="K943">
        <v>0</v>
      </c>
      <c r="L943" s="1">
        <v>44784.313217592593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 t="s">
        <v>32</v>
      </c>
      <c r="V943">
        <v>77</v>
      </c>
      <c r="W943">
        <v>0</v>
      </c>
      <c r="X943">
        <v>77</v>
      </c>
      <c r="Y943">
        <v>0</v>
      </c>
      <c r="Z943">
        <v>0</v>
      </c>
      <c r="AA943">
        <v>0</v>
      </c>
      <c r="AB943" t="s">
        <v>36</v>
      </c>
      <c r="AC943">
        <v>77</v>
      </c>
    </row>
    <row r="944" spans="1:30" x14ac:dyDescent="0.25">
      <c r="A944" s="1">
        <v>44784.313287037039</v>
      </c>
      <c r="B944" s="1">
        <v>44784.31150462963</v>
      </c>
      <c r="C944">
        <v>1224</v>
      </c>
      <c r="D944" t="s">
        <v>56</v>
      </c>
      <c r="E944" t="s">
        <v>35</v>
      </c>
      <c r="F944" t="s">
        <v>57</v>
      </c>
      <c r="G944">
        <v>42.938034000000002</v>
      </c>
      <c r="H944">
        <v>-72.259299999999996</v>
      </c>
      <c r="I944">
        <v>792</v>
      </c>
      <c r="J944">
        <v>75</v>
      </c>
      <c r="K944">
        <v>0</v>
      </c>
      <c r="L944" s="1">
        <v>44784.313217592593</v>
      </c>
      <c r="M944">
        <v>4.5999999999999996</v>
      </c>
      <c r="N944">
        <v>0.2</v>
      </c>
      <c r="O944">
        <v>4.4000000000000004</v>
      </c>
      <c r="P944">
        <v>183</v>
      </c>
      <c r="Q944">
        <v>0.4</v>
      </c>
      <c r="R944">
        <v>0.2</v>
      </c>
      <c r="S944">
        <v>0.3</v>
      </c>
      <c r="T944" t="s">
        <v>33</v>
      </c>
      <c r="U944">
        <v>2.4</v>
      </c>
      <c r="V944">
        <v>87</v>
      </c>
      <c r="W944">
        <v>0</v>
      </c>
      <c r="X944">
        <v>87</v>
      </c>
      <c r="Y944">
        <v>0</v>
      </c>
      <c r="Z944">
        <v>0</v>
      </c>
      <c r="AA944">
        <v>0</v>
      </c>
      <c r="AB944" t="s">
        <v>36</v>
      </c>
      <c r="AC944">
        <v>87</v>
      </c>
      <c r="AD944">
        <v>-2.4700000000000002</v>
      </c>
    </row>
    <row r="945" spans="1:30" x14ac:dyDescent="0.25">
      <c r="A945" s="1">
        <v>44784.313298611109</v>
      </c>
      <c r="B945" s="1">
        <v>44784.312337962961</v>
      </c>
      <c r="C945">
        <v>1202</v>
      </c>
      <c r="D945" t="s">
        <v>58</v>
      </c>
      <c r="E945" t="s">
        <v>35</v>
      </c>
      <c r="F945" t="s">
        <v>57</v>
      </c>
      <c r="G945">
        <v>42.936554000000001</v>
      </c>
      <c r="H945">
        <v>-72.271019999999993</v>
      </c>
      <c r="I945">
        <v>488</v>
      </c>
      <c r="J945">
        <v>0</v>
      </c>
      <c r="K945">
        <v>0</v>
      </c>
      <c r="L945" s="1">
        <v>44784.313217592593</v>
      </c>
      <c r="M945">
        <v>5.9</v>
      </c>
      <c r="N945">
        <v>5.7</v>
      </c>
      <c r="O945">
        <v>0.2</v>
      </c>
      <c r="P945">
        <v>3</v>
      </c>
      <c r="Q945">
        <v>0</v>
      </c>
      <c r="R945">
        <v>0.2</v>
      </c>
      <c r="S945">
        <v>0.1</v>
      </c>
      <c r="T945" t="s">
        <v>33</v>
      </c>
      <c r="U945">
        <v>5.8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 t="s">
        <v>38</v>
      </c>
    </row>
    <row r="946" spans="1:30" x14ac:dyDescent="0.25">
      <c r="A946" s="1">
        <v>44784.313298611109</v>
      </c>
      <c r="B946" s="1">
        <v>44612.080023148148</v>
      </c>
      <c r="C946">
        <v>25985</v>
      </c>
      <c r="D946" t="s">
        <v>59</v>
      </c>
      <c r="E946" t="s">
        <v>35</v>
      </c>
      <c r="F946">
        <v>6.01</v>
      </c>
      <c r="G946">
        <v>42.927326000000001</v>
      </c>
      <c r="H946">
        <v>-72.279979999999995</v>
      </c>
      <c r="I946">
        <v>477</v>
      </c>
      <c r="J946">
        <v>78</v>
      </c>
      <c r="K946">
        <v>0</v>
      </c>
      <c r="L946" s="1">
        <v>44784.313217592593</v>
      </c>
      <c r="M946">
        <v>1.1000000000000001</v>
      </c>
      <c r="N946">
        <v>1</v>
      </c>
      <c r="O946">
        <v>0.1</v>
      </c>
      <c r="P946">
        <v>10</v>
      </c>
      <c r="Q946">
        <v>0</v>
      </c>
      <c r="R946">
        <v>0</v>
      </c>
      <c r="S946">
        <v>0</v>
      </c>
      <c r="T946" t="s">
        <v>32</v>
      </c>
      <c r="V946">
        <v>22</v>
      </c>
      <c r="W946">
        <v>0</v>
      </c>
      <c r="X946">
        <v>22</v>
      </c>
      <c r="Y946">
        <v>0</v>
      </c>
      <c r="Z946">
        <v>0</v>
      </c>
      <c r="AA946">
        <v>0</v>
      </c>
      <c r="AB946" t="s">
        <v>36</v>
      </c>
      <c r="AC946">
        <v>22</v>
      </c>
    </row>
    <row r="947" spans="1:30" x14ac:dyDescent="0.25">
      <c r="A947" s="1">
        <v>44784.320185185185</v>
      </c>
      <c r="B947" s="1">
        <v>44775.701319444444</v>
      </c>
      <c r="C947">
        <v>151708</v>
      </c>
      <c r="D947" t="s">
        <v>30</v>
      </c>
      <c r="E947" t="s">
        <v>31</v>
      </c>
      <c r="F947">
        <v>7</v>
      </c>
      <c r="G947">
        <v>43.192042999999998</v>
      </c>
      <c r="H947">
        <v>-71.541579999999996</v>
      </c>
      <c r="I947">
        <v>291</v>
      </c>
      <c r="J947">
        <v>93</v>
      </c>
      <c r="K947">
        <v>94</v>
      </c>
      <c r="L947" s="1">
        <v>44784.320162037038</v>
      </c>
      <c r="M947">
        <v>7.9</v>
      </c>
      <c r="N947">
        <v>7.6</v>
      </c>
      <c r="O947">
        <v>0.3</v>
      </c>
      <c r="P947">
        <v>4</v>
      </c>
      <c r="Q947">
        <v>0</v>
      </c>
      <c r="R947">
        <v>0</v>
      </c>
      <c r="S947">
        <v>0</v>
      </c>
      <c r="T947" t="s">
        <v>32</v>
      </c>
      <c r="V947">
        <v>42</v>
      </c>
      <c r="W947">
        <v>41</v>
      </c>
      <c r="X947">
        <v>1</v>
      </c>
      <c r="Y947">
        <v>0</v>
      </c>
      <c r="Z947">
        <v>0</v>
      </c>
      <c r="AA947">
        <v>0</v>
      </c>
      <c r="AB947" t="s">
        <v>33</v>
      </c>
      <c r="AC947">
        <v>41.5</v>
      </c>
    </row>
    <row r="948" spans="1:30" x14ac:dyDescent="0.25">
      <c r="A948" s="1">
        <v>44784.320185185185</v>
      </c>
      <c r="B948" s="1">
        <v>44784.318495370368</v>
      </c>
      <c r="C948">
        <v>143456</v>
      </c>
      <c r="D948" t="s">
        <v>34</v>
      </c>
      <c r="E948" t="s">
        <v>35</v>
      </c>
      <c r="F948">
        <v>7</v>
      </c>
      <c r="G948">
        <v>43.08963</v>
      </c>
      <c r="H948">
        <v>-71.502440000000007</v>
      </c>
      <c r="I948">
        <v>619</v>
      </c>
      <c r="J948">
        <v>71</v>
      </c>
      <c r="K948">
        <v>0</v>
      </c>
      <c r="L948" s="1">
        <v>44784.320162037038</v>
      </c>
      <c r="M948">
        <v>3.8</v>
      </c>
      <c r="N948">
        <v>4.2</v>
      </c>
      <c r="O948">
        <v>0.4</v>
      </c>
      <c r="P948">
        <v>10</v>
      </c>
      <c r="Q948">
        <v>0.8</v>
      </c>
      <c r="R948">
        <v>0.8</v>
      </c>
      <c r="S948">
        <v>0.8</v>
      </c>
      <c r="T948" t="s">
        <v>33</v>
      </c>
      <c r="U948">
        <v>4</v>
      </c>
      <c r="V948">
        <v>71</v>
      </c>
      <c r="W948">
        <v>0</v>
      </c>
      <c r="X948">
        <v>71</v>
      </c>
      <c r="Y948">
        <v>1</v>
      </c>
      <c r="Z948">
        <v>0</v>
      </c>
      <c r="AA948">
        <v>1</v>
      </c>
      <c r="AB948" t="s">
        <v>36</v>
      </c>
      <c r="AC948">
        <v>71</v>
      </c>
      <c r="AD948">
        <v>-0.37</v>
      </c>
    </row>
    <row r="949" spans="1:30" x14ac:dyDescent="0.25">
      <c r="A949" s="1">
        <v>44784.320185185185</v>
      </c>
      <c r="B949" s="1">
        <v>44784.318680555552</v>
      </c>
      <c r="C949">
        <v>151702</v>
      </c>
      <c r="D949" t="s">
        <v>37</v>
      </c>
      <c r="E949" t="s">
        <v>31</v>
      </c>
      <c r="F949">
        <v>7</v>
      </c>
      <c r="G949">
        <v>43.118609999999997</v>
      </c>
      <c r="H949">
        <v>-71.61618</v>
      </c>
      <c r="I949">
        <v>885</v>
      </c>
      <c r="J949">
        <v>0</v>
      </c>
      <c r="K949">
        <v>0</v>
      </c>
      <c r="L949" s="1">
        <v>44784.320162037038</v>
      </c>
      <c r="M949">
        <v>4.5999999999999996</v>
      </c>
      <c r="N949">
        <v>4.4000000000000004</v>
      </c>
      <c r="O949">
        <v>0.2</v>
      </c>
      <c r="P949">
        <v>4</v>
      </c>
      <c r="Q949">
        <v>0</v>
      </c>
      <c r="R949">
        <v>0</v>
      </c>
      <c r="S949">
        <v>0</v>
      </c>
      <c r="T949" t="s">
        <v>33</v>
      </c>
      <c r="U949">
        <v>4.5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 t="s">
        <v>38</v>
      </c>
    </row>
    <row r="950" spans="1:30" x14ac:dyDescent="0.25">
      <c r="A950" s="1">
        <v>44784.320196759261</v>
      </c>
      <c r="B950" s="1">
        <v>44784.318564814814</v>
      </c>
      <c r="C950">
        <v>151700</v>
      </c>
      <c r="D950" t="s">
        <v>30</v>
      </c>
      <c r="E950" t="s">
        <v>31</v>
      </c>
      <c r="F950">
        <v>7</v>
      </c>
      <c r="G950">
        <v>43.19211</v>
      </c>
      <c r="H950">
        <v>-71.541460000000001</v>
      </c>
      <c r="I950">
        <v>286</v>
      </c>
      <c r="J950">
        <v>72</v>
      </c>
      <c r="K950">
        <v>0</v>
      </c>
      <c r="L950" s="1">
        <v>44784.320162037038</v>
      </c>
      <c r="M950">
        <v>4.0999999999999996</v>
      </c>
      <c r="N950">
        <v>4.5999999999999996</v>
      </c>
      <c r="O950">
        <v>0.5</v>
      </c>
      <c r="P950">
        <v>11</v>
      </c>
      <c r="Q950">
        <v>0.1</v>
      </c>
      <c r="R950">
        <v>0</v>
      </c>
      <c r="S950">
        <v>0.05</v>
      </c>
      <c r="T950" t="s">
        <v>33</v>
      </c>
      <c r="U950">
        <v>4.3499999999999996</v>
      </c>
      <c r="V950">
        <v>67</v>
      </c>
      <c r="W950">
        <v>0</v>
      </c>
      <c r="X950">
        <v>67</v>
      </c>
      <c r="Y950">
        <v>0</v>
      </c>
      <c r="Z950">
        <v>0</v>
      </c>
      <c r="AA950">
        <v>0</v>
      </c>
      <c r="AB950" t="s">
        <v>36</v>
      </c>
      <c r="AC950">
        <v>67</v>
      </c>
      <c r="AD950">
        <v>0.12</v>
      </c>
    </row>
    <row r="951" spans="1:30" x14ac:dyDescent="0.25">
      <c r="A951" s="1">
        <v>44784.320196759261</v>
      </c>
      <c r="B951" s="1">
        <v>44784.318981481483</v>
      </c>
      <c r="C951">
        <v>135984</v>
      </c>
      <c r="D951" t="s">
        <v>39</v>
      </c>
      <c r="E951" t="s">
        <v>31</v>
      </c>
      <c r="F951">
        <v>7</v>
      </c>
      <c r="G951">
        <v>43.565852999999997</v>
      </c>
      <c r="H951">
        <v>-71.496129999999994</v>
      </c>
      <c r="I951">
        <v>708</v>
      </c>
      <c r="J951">
        <v>69</v>
      </c>
      <c r="K951">
        <v>0</v>
      </c>
      <c r="L951" s="1">
        <v>44784.320162037038</v>
      </c>
      <c r="M951">
        <v>5.7</v>
      </c>
      <c r="N951">
        <v>4.8</v>
      </c>
      <c r="O951">
        <v>0.9</v>
      </c>
      <c r="P951">
        <v>17</v>
      </c>
      <c r="Q951">
        <v>0.9</v>
      </c>
      <c r="R951">
        <v>0.9</v>
      </c>
      <c r="S951">
        <v>0.9</v>
      </c>
      <c r="T951" t="s">
        <v>33</v>
      </c>
      <c r="U951">
        <v>5.25</v>
      </c>
      <c r="V951">
        <v>86</v>
      </c>
      <c r="W951">
        <v>0</v>
      </c>
      <c r="X951">
        <v>86</v>
      </c>
      <c r="Y951">
        <v>2</v>
      </c>
      <c r="Z951">
        <v>0</v>
      </c>
      <c r="AA951">
        <v>2</v>
      </c>
      <c r="AB951" t="s">
        <v>36</v>
      </c>
      <c r="AC951">
        <v>86</v>
      </c>
      <c r="AD951">
        <v>-0.66</v>
      </c>
    </row>
    <row r="952" spans="1:30" x14ac:dyDescent="0.25">
      <c r="A952" s="1">
        <v>44784.320208333331</v>
      </c>
      <c r="B952" s="1">
        <v>44780.394780092596</v>
      </c>
      <c r="C952">
        <v>151712</v>
      </c>
      <c r="D952" t="s">
        <v>40</v>
      </c>
      <c r="E952" t="s">
        <v>31</v>
      </c>
      <c r="F952">
        <v>7</v>
      </c>
      <c r="G952">
        <v>43.289763999999998</v>
      </c>
      <c r="H952">
        <v>-71.564260000000004</v>
      </c>
      <c r="I952">
        <v>370</v>
      </c>
      <c r="J952">
        <v>86</v>
      </c>
      <c r="K952">
        <v>0</v>
      </c>
      <c r="L952" s="1">
        <v>44784.320162037038</v>
      </c>
      <c r="M952">
        <v>14</v>
      </c>
      <c r="N952">
        <v>13.2</v>
      </c>
      <c r="O952">
        <v>0.8</v>
      </c>
      <c r="P952">
        <v>6</v>
      </c>
      <c r="Q952">
        <v>0</v>
      </c>
      <c r="R952">
        <v>0</v>
      </c>
      <c r="S952">
        <v>0</v>
      </c>
      <c r="T952" t="s">
        <v>32</v>
      </c>
      <c r="V952">
        <v>59</v>
      </c>
      <c r="W952">
        <v>0</v>
      </c>
      <c r="X952">
        <v>59</v>
      </c>
      <c r="Y952">
        <v>0</v>
      </c>
      <c r="Z952">
        <v>0</v>
      </c>
      <c r="AA952">
        <v>0</v>
      </c>
      <c r="AB952" t="s">
        <v>36</v>
      </c>
      <c r="AC952">
        <v>59</v>
      </c>
    </row>
    <row r="953" spans="1:30" x14ac:dyDescent="0.25">
      <c r="A953" s="1">
        <v>44784.320208333331</v>
      </c>
      <c r="B953" s="1">
        <v>44784.31827546296</v>
      </c>
      <c r="C953">
        <v>151710</v>
      </c>
      <c r="D953" t="s">
        <v>41</v>
      </c>
      <c r="E953" t="s">
        <v>31</v>
      </c>
      <c r="F953">
        <v>7</v>
      </c>
      <c r="G953">
        <v>43.132477000000002</v>
      </c>
      <c r="H953">
        <v>-71.458374000000006</v>
      </c>
      <c r="I953">
        <v>230</v>
      </c>
      <c r="J953">
        <v>72</v>
      </c>
      <c r="K953">
        <v>0</v>
      </c>
      <c r="L953" s="1">
        <v>44784.320162037038</v>
      </c>
      <c r="M953">
        <v>6</v>
      </c>
      <c r="N953">
        <v>5</v>
      </c>
      <c r="O953">
        <v>1</v>
      </c>
      <c r="P953">
        <v>18</v>
      </c>
      <c r="Q953">
        <v>0.1</v>
      </c>
      <c r="R953">
        <v>0</v>
      </c>
      <c r="S953">
        <v>0.05</v>
      </c>
      <c r="T953" t="s">
        <v>33</v>
      </c>
      <c r="U953">
        <v>5.5</v>
      </c>
      <c r="V953">
        <v>65</v>
      </c>
      <c r="W953">
        <v>0</v>
      </c>
      <c r="X953">
        <v>65</v>
      </c>
      <c r="Y953">
        <v>1</v>
      </c>
      <c r="Z953">
        <v>0</v>
      </c>
      <c r="AA953">
        <v>1</v>
      </c>
      <c r="AB953" t="s">
        <v>36</v>
      </c>
      <c r="AC953">
        <v>65</v>
      </c>
      <c r="AD953">
        <v>0.96</v>
      </c>
    </row>
    <row r="954" spans="1:30" x14ac:dyDescent="0.25">
      <c r="A954" s="1">
        <v>44784.320208333331</v>
      </c>
      <c r="B954" s="1">
        <v>44784.319351851853</v>
      </c>
      <c r="C954">
        <v>151706</v>
      </c>
      <c r="D954" t="s">
        <v>42</v>
      </c>
      <c r="E954" t="s">
        <v>31</v>
      </c>
      <c r="F954">
        <v>7</v>
      </c>
      <c r="G954">
        <v>43.004080000000002</v>
      </c>
      <c r="H954">
        <v>-71.177040000000005</v>
      </c>
      <c r="I954">
        <v>194</v>
      </c>
      <c r="J954">
        <v>72</v>
      </c>
      <c r="K954">
        <v>0</v>
      </c>
      <c r="L954" s="1">
        <v>44784.320162037038</v>
      </c>
      <c r="M954">
        <v>3.4</v>
      </c>
      <c r="N954">
        <v>0</v>
      </c>
      <c r="O954">
        <v>3.4</v>
      </c>
      <c r="P954">
        <v>200</v>
      </c>
      <c r="Q954">
        <v>0.1</v>
      </c>
      <c r="R954">
        <v>0</v>
      </c>
      <c r="S954">
        <v>0.05</v>
      </c>
      <c r="T954" t="s">
        <v>43</v>
      </c>
      <c r="V954">
        <v>69</v>
      </c>
      <c r="W954">
        <v>0</v>
      </c>
      <c r="X954">
        <v>69</v>
      </c>
      <c r="Y954">
        <v>0</v>
      </c>
      <c r="Z954">
        <v>0</v>
      </c>
      <c r="AA954">
        <v>0</v>
      </c>
      <c r="AB954" t="s">
        <v>36</v>
      </c>
      <c r="AC954">
        <v>69</v>
      </c>
    </row>
    <row r="955" spans="1:30" x14ac:dyDescent="0.25">
      <c r="A955" s="1">
        <v>44784.320208333331</v>
      </c>
      <c r="B955" s="1">
        <v>44784.319085648145</v>
      </c>
      <c r="C955">
        <v>12212</v>
      </c>
      <c r="D955" t="s">
        <v>44</v>
      </c>
      <c r="E955" t="s">
        <v>35</v>
      </c>
      <c r="F955">
        <v>7</v>
      </c>
      <c r="G955">
        <v>42.930529999999997</v>
      </c>
      <c r="H955">
        <v>-72.272350000000003</v>
      </c>
      <c r="I955">
        <v>476</v>
      </c>
      <c r="J955">
        <v>74</v>
      </c>
      <c r="K955">
        <v>0</v>
      </c>
      <c r="L955" s="1">
        <v>44784.320162037038</v>
      </c>
      <c r="M955">
        <v>6.1</v>
      </c>
      <c r="N955">
        <v>5.0999999999999996</v>
      </c>
      <c r="O955">
        <v>1</v>
      </c>
      <c r="P955">
        <v>18</v>
      </c>
      <c r="Q955">
        <v>0</v>
      </c>
      <c r="R955">
        <v>0.1</v>
      </c>
      <c r="S955">
        <v>0.05</v>
      </c>
      <c r="T955" t="s">
        <v>33</v>
      </c>
      <c r="U955">
        <v>5.6</v>
      </c>
      <c r="V955">
        <v>96</v>
      </c>
      <c r="W955">
        <v>0</v>
      </c>
      <c r="X955">
        <v>96</v>
      </c>
      <c r="Y955">
        <v>4</v>
      </c>
      <c r="Z955">
        <v>0</v>
      </c>
      <c r="AA955">
        <v>4</v>
      </c>
      <c r="AB955" t="s">
        <v>36</v>
      </c>
      <c r="AC955">
        <v>96</v>
      </c>
      <c r="AD955">
        <v>-1.1399999999999999</v>
      </c>
    </row>
    <row r="956" spans="1:30" x14ac:dyDescent="0.25">
      <c r="A956" s="1">
        <v>44784.320219907408</v>
      </c>
      <c r="B956" s="1">
        <v>44769.376736111109</v>
      </c>
      <c r="C956">
        <v>12178</v>
      </c>
      <c r="D956" t="s">
        <v>45</v>
      </c>
      <c r="E956" t="s">
        <v>35</v>
      </c>
      <c r="F956">
        <v>7</v>
      </c>
      <c r="G956">
        <v>42.899563000000001</v>
      </c>
      <c r="H956">
        <v>-71.464650000000006</v>
      </c>
      <c r="I956">
        <v>301</v>
      </c>
      <c r="J956">
        <v>85</v>
      </c>
      <c r="K956">
        <v>0</v>
      </c>
      <c r="L956" s="1">
        <v>44784.320162037038</v>
      </c>
      <c r="M956">
        <v>3.8</v>
      </c>
      <c r="N956">
        <v>3.1</v>
      </c>
      <c r="O956">
        <v>0.7</v>
      </c>
      <c r="P956">
        <v>20</v>
      </c>
      <c r="Q956">
        <v>0</v>
      </c>
      <c r="R956">
        <v>0</v>
      </c>
      <c r="S956">
        <v>0</v>
      </c>
      <c r="T956" t="s">
        <v>32</v>
      </c>
      <c r="V956">
        <v>35</v>
      </c>
      <c r="W956">
        <v>0</v>
      </c>
      <c r="X956">
        <v>35</v>
      </c>
      <c r="Y956">
        <v>0</v>
      </c>
      <c r="Z956">
        <v>0</v>
      </c>
      <c r="AA956">
        <v>0</v>
      </c>
      <c r="AB956" t="s">
        <v>36</v>
      </c>
      <c r="AC956">
        <v>35</v>
      </c>
    </row>
    <row r="957" spans="1:30" x14ac:dyDescent="0.25">
      <c r="A957" s="1">
        <v>44784.320219907408</v>
      </c>
      <c r="B957" s="1">
        <v>44784.318402777775</v>
      </c>
      <c r="C957">
        <v>75981</v>
      </c>
      <c r="D957" t="s">
        <v>46</v>
      </c>
      <c r="E957" t="s">
        <v>35</v>
      </c>
      <c r="F957">
        <v>7</v>
      </c>
      <c r="G957">
        <v>42.97</v>
      </c>
      <c r="H957">
        <v>-71.06</v>
      </c>
      <c r="I957">
        <v>136</v>
      </c>
      <c r="J957">
        <v>76</v>
      </c>
      <c r="K957">
        <v>0</v>
      </c>
      <c r="L957" s="1">
        <v>44784.320162037038</v>
      </c>
      <c r="M957">
        <v>5.0999999999999996</v>
      </c>
      <c r="N957">
        <v>4.8</v>
      </c>
      <c r="O957">
        <v>0.3</v>
      </c>
      <c r="P957">
        <v>6</v>
      </c>
      <c r="Q957">
        <v>0.2</v>
      </c>
      <c r="R957">
        <v>0.3</v>
      </c>
      <c r="S957">
        <v>0.25</v>
      </c>
      <c r="T957" t="s">
        <v>33</v>
      </c>
      <c r="U957">
        <v>4.95</v>
      </c>
      <c r="V957">
        <v>62</v>
      </c>
      <c r="W957">
        <v>0</v>
      </c>
      <c r="X957">
        <v>62</v>
      </c>
      <c r="Y957">
        <v>0</v>
      </c>
      <c r="Z957">
        <v>0</v>
      </c>
      <c r="AA957">
        <v>0</v>
      </c>
      <c r="AB957" t="s">
        <v>36</v>
      </c>
      <c r="AC957">
        <v>62</v>
      </c>
      <c r="AD957">
        <v>0.84</v>
      </c>
    </row>
    <row r="958" spans="1:30" x14ac:dyDescent="0.25">
      <c r="A958" s="1">
        <v>44784.320219907408</v>
      </c>
      <c r="B958" s="1">
        <v>44784.318935185183</v>
      </c>
      <c r="C958">
        <v>115703</v>
      </c>
      <c r="D958" t="s">
        <v>47</v>
      </c>
      <c r="E958" t="s">
        <v>35</v>
      </c>
      <c r="F958">
        <v>7</v>
      </c>
      <c r="G958">
        <v>43.953625000000002</v>
      </c>
      <c r="H958">
        <v>-71.508859999999999</v>
      </c>
      <c r="I958">
        <v>1493</v>
      </c>
      <c r="J958">
        <v>65</v>
      </c>
      <c r="K958">
        <v>0</v>
      </c>
      <c r="L958" s="1">
        <v>44784.320162037038</v>
      </c>
      <c r="M958">
        <v>0</v>
      </c>
      <c r="N958">
        <v>300.89999999999998</v>
      </c>
      <c r="O958">
        <v>300.89999999999998</v>
      </c>
      <c r="P958">
        <v>200</v>
      </c>
      <c r="Q958">
        <v>0</v>
      </c>
      <c r="R958">
        <v>0</v>
      </c>
      <c r="S958">
        <v>0</v>
      </c>
      <c r="T958" t="s">
        <v>48</v>
      </c>
      <c r="V958">
        <v>69</v>
      </c>
      <c r="W958">
        <v>0</v>
      </c>
      <c r="X958">
        <v>69</v>
      </c>
      <c r="Y958">
        <v>0</v>
      </c>
      <c r="Z958">
        <v>0</v>
      </c>
      <c r="AA958">
        <v>0</v>
      </c>
      <c r="AB958" t="s">
        <v>36</v>
      </c>
      <c r="AC958">
        <v>69</v>
      </c>
    </row>
    <row r="959" spans="1:30" x14ac:dyDescent="0.25">
      <c r="A959" s="1">
        <v>44784.320219907408</v>
      </c>
      <c r="B959" s="1">
        <v>44784.319733796299</v>
      </c>
      <c r="C959">
        <v>12050</v>
      </c>
      <c r="D959" t="s">
        <v>49</v>
      </c>
      <c r="E959" t="s">
        <v>35</v>
      </c>
      <c r="F959">
        <v>7</v>
      </c>
      <c r="G959">
        <v>44.220573000000002</v>
      </c>
      <c r="H959">
        <v>-71.732315</v>
      </c>
      <c r="I959">
        <v>999</v>
      </c>
      <c r="J959">
        <v>70</v>
      </c>
      <c r="K959">
        <v>0</v>
      </c>
      <c r="L959" s="1">
        <v>44784.320162037038</v>
      </c>
      <c r="M959">
        <v>3.2</v>
      </c>
      <c r="N959">
        <v>3.3</v>
      </c>
      <c r="O959">
        <v>0.1</v>
      </c>
      <c r="P959">
        <v>3</v>
      </c>
      <c r="Q959">
        <v>0</v>
      </c>
      <c r="R959">
        <v>0.1</v>
      </c>
      <c r="S959">
        <v>0.05</v>
      </c>
      <c r="T959" t="s">
        <v>33</v>
      </c>
      <c r="U959">
        <v>3.25</v>
      </c>
      <c r="V959">
        <v>57</v>
      </c>
      <c r="W959">
        <v>0</v>
      </c>
      <c r="X959">
        <v>57</v>
      </c>
      <c r="Y959">
        <v>1</v>
      </c>
      <c r="Z959">
        <v>0</v>
      </c>
      <c r="AA959">
        <v>1</v>
      </c>
      <c r="AB959" t="s">
        <v>36</v>
      </c>
      <c r="AC959">
        <v>57</v>
      </c>
      <c r="AD959">
        <v>0.15</v>
      </c>
    </row>
    <row r="960" spans="1:30" x14ac:dyDescent="0.25">
      <c r="A960" s="1">
        <v>44784.320231481484</v>
      </c>
      <c r="B960" s="1">
        <v>44784.319837962961</v>
      </c>
      <c r="C960">
        <v>23443</v>
      </c>
      <c r="D960" t="s">
        <v>50</v>
      </c>
      <c r="E960" t="s">
        <v>35</v>
      </c>
      <c r="F960">
        <v>7</v>
      </c>
      <c r="G960">
        <v>43.556139999999999</v>
      </c>
      <c r="H960">
        <v>-72.370990000000006</v>
      </c>
      <c r="I960">
        <v>523</v>
      </c>
      <c r="J960">
        <v>71</v>
      </c>
      <c r="K960">
        <v>0</v>
      </c>
      <c r="L960" s="1">
        <v>44784.320162037038</v>
      </c>
      <c r="M960">
        <v>5.6</v>
      </c>
      <c r="N960">
        <v>5</v>
      </c>
      <c r="O960">
        <v>0.6</v>
      </c>
      <c r="P960">
        <v>11</v>
      </c>
      <c r="Q960">
        <v>0</v>
      </c>
      <c r="R960">
        <v>0</v>
      </c>
      <c r="S960">
        <v>0</v>
      </c>
      <c r="T960" t="s">
        <v>33</v>
      </c>
      <c r="U960">
        <v>5.3</v>
      </c>
      <c r="V960">
        <v>64</v>
      </c>
      <c r="W960">
        <v>0</v>
      </c>
      <c r="X960">
        <v>64</v>
      </c>
      <c r="Y960">
        <v>0</v>
      </c>
      <c r="Z960">
        <v>0</v>
      </c>
      <c r="AA960">
        <v>0</v>
      </c>
      <c r="AB960" t="s">
        <v>36</v>
      </c>
      <c r="AC960">
        <v>64</v>
      </c>
      <c r="AD960">
        <v>0.91</v>
      </c>
    </row>
    <row r="961" spans="1:30" x14ac:dyDescent="0.25">
      <c r="A961" s="1">
        <v>44784.320231481484</v>
      </c>
      <c r="B961" s="1">
        <v>44784.319930555554</v>
      </c>
      <c r="C961">
        <v>58135</v>
      </c>
      <c r="D961" t="s">
        <v>51</v>
      </c>
      <c r="E961" t="s">
        <v>35</v>
      </c>
      <c r="F961">
        <v>7</v>
      </c>
      <c r="G961">
        <v>42.883873000000001</v>
      </c>
      <c r="H961">
        <v>-71.972915999999998</v>
      </c>
      <c r="I961">
        <v>808</v>
      </c>
      <c r="J961">
        <v>74</v>
      </c>
      <c r="K961">
        <v>0</v>
      </c>
      <c r="L961" s="1">
        <v>44784.320162037038</v>
      </c>
      <c r="M961">
        <v>8.6999999999999993</v>
      </c>
      <c r="N961">
        <v>14.8</v>
      </c>
      <c r="O961">
        <v>6.1</v>
      </c>
      <c r="P961">
        <v>52</v>
      </c>
      <c r="Q961">
        <v>0</v>
      </c>
      <c r="R961">
        <v>8.1</v>
      </c>
      <c r="S961">
        <v>4.05</v>
      </c>
      <c r="T961" t="s">
        <v>33</v>
      </c>
      <c r="U961">
        <v>11.75</v>
      </c>
      <c r="V961">
        <v>68</v>
      </c>
      <c r="W961">
        <v>0</v>
      </c>
      <c r="X961">
        <v>68</v>
      </c>
      <c r="Y961">
        <v>1</v>
      </c>
      <c r="Z961">
        <v>0</v>
      </c>
      <c r="AA961">
        <v>1</v>
      </c>
      <c r="AB961" t="s">
        <v>36</v>
      </c>
      <c r="AC961">
        <v>68</v>
      </c>
      <c r="AD961">
        <v>4.57</v>
      </c>
    </row>
    <row r="962" spans="1:30" x14ac:dyDescent="0.25">
      <c r="A962" s="1">
        <v>44784.320231481484</v>
      </c>
      <c r="B962" s="1">
        <v>44784.31858796296</v>
      </c>
      <c r="C962">
        <v>148555</v>
      </c>
      <c r="D962" t="s">
        <v>52</v>
      </c>
      <c r="E962" t="s">
        <v>53</v>
      </c>
      <c r="F962">
        <v>7</v>
      </c>
      <c r="G962">
        <v>42.904949999999999</v>
      </c>
      <c r="H962">
        <v>-71.386764999999997</v>
      </c>
      <c r="I962">
        <v>363</v>
      </c>
      <c r="J962">
        <v>0</v>
      </c>
      <c r="K962">
        <v>0</v>
      </c>
      <c r="L962" s="1">
        <v>44784.320162037038</v>
      </c>
      <c r="M962">
        <v>3.4</v>
      </c>
      <c r="N962">
        <v>3.7</v>
      </c>
      <c r="O962">
        <v>0.3</v>
      </c>
      <c r="P962">
        <v>8</v>
      </c>
      <c r="Q962">
        <v>0.4</v>
      </c>
      <c r="R962">
        <v>0.3</v>
      </c>
      <c r="S962">
        <v>0.35</v>
      </c>
      <c r="T962" t="s">
        <v>33</v>
      </c>
      <c r="U962">
        <v>3.55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 t="s">
        <v>38</v>
      </c>
    </row>
    <row r="963" spans="1:30" x14ac:dyDescent="0.25">
      <c r="A963" s="1">
        <v>44784.320231481484</v>
      </c>
      <c r="B963" s="1">
        <v>44784.319525462961</v>
      </c>
      <c r="C963">
        <v>146644</v>
      </c>
      <c r="D963" t="s">
        <v>54</v>
      </c>
      <c r="E963" t="s">
        <v>53</v>
      </c>
      <c r="F963">
        <v>7</v>
      </c>
      <c r="G963">
        <v>43.06015</v>
      </c>
      <c r="H963">
        <v>-70.758930000000007</v>
      </c>
      <c r="I963">
        <v>35</v>
      </c>
      <c r="J963">
        <v>72</v>
      </c>
      <c r="K963">
        <v>73</v>
      </c>
      <c r="L963" s="1">
        <v>44784.320162037038</v>
      </c>
      <c r="M963">
        <v>6.7</v>
      </c>
      <c r="N963">
        <v>5.4</v>
      </c>
      <c r="O963">
        <v>1.3</v>
      </c>
      <c r="P963">
        <v>21</v>
      </c>
      <c r="Q963">
        <v>0.2</v>
      </c>
      <c r="R963">
        <v>0.1</v>
      </c>
      <c r="S963">
        <v>0.15</v>
      </c>
      <c r="T963" t="s">
        <v>33</v>
      </c>
      <c r="U963">
        <v>6.05</v>
      </c>
      <c r="V963">
        <v>65</v>
      </c>
      <c r="W963">
        <v>70</v>
      </c>
      <c r="X963">
        <v>5</v>
      </c>
      <c r="Y963">
        <v>1</v>
      </c>
      <c r="Z963">
        <v>1</v>
      </c>
      <c r="AA963">
        <v>0</v>
      </c>
      <c r="AB963" t="s">
        <v>33</v>
      </c>
      <c r="AC963">
        <v>67.5</v>
      </c>
      <c r="AD963">
        <v>1.1299999999999999</v>
      </c>
    </row>
    <row r="964" spans="1:30" x14ac:dyDescent="0.25">
      <c r="A964" s="1">
        <v>44784.320289351854</v>
      </c>
      <c r="B964" s="1">
        <v>43755.283437500002</v>
      </c>
      <c r="C964">
        <v>12188</v>
      </c>
      <c r="D964" t="s">
        <v>55</v>
      </c>
      <c r="E964" t="s">
        <v>35</v>
      </c>
      <c r="F964">
        <v>4.1100000000000003</v>
      </c>
      <c r="G964">
        <v>42.927050000000001</v>
      </c>
      <c r="H964">
        <v>-72.279610000000005</v>
      </c>
      <c r="I964">
        <v>475</v>
      </c>
      <c r="J964">
        <v>95</v>
      </c>
      <c r="K964">
        <v>0</v>
      </c>
      <c r="L964" s="1">
        <v>44784.320162037038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 t="s">
        <v>32</v>
      </c>
      <c r="V964">
        <v>77</v>
      </c>
      <c r="W964">
        <v>0</v>
      </c>
      <c r="X964">
        <v>77</v>
      </c>
      <c r="Y964">
        <v>0</v>
      </c>
      <c r="Z964">
        <v>0</v>
      </c>
      <c r="AA964">
        <v>0</v>
      </c>
      <c r="AB964" t="s">
        <v>36</v>
      </c>
      <c r="AC964">
        <v>77</v>
      </c>
    </row>
    <row r="965" spans="1:30" x14ac:dyDescent="0.25">
      <c r="A965" s="1">
        <v>44784.320289351854</v>
      </c>
      <c r="B965" s="1">
        <v>44784.319849537038</v>
      </c>
      <c r="C965">
        <v>1224</v>
      </c>
      <c r="D965" t="s">
        <v>56</v>
      </c>
      <c r="E965" t="s">
        <v>35</v>
      </c>
      <c r="F965" t="s">
        <v>57</v>
      </c>
      <c r="G965">
        <v>42.938034000000002</v>
      </c>
      <c r="H965">
        <v>-72.259299999999996</v>
      </c>
      <c r="I965">
        <v>792</v>
      </c>
      <c r="J965">
        <v>75</v>
      </c>
      <c r="K965">
        <v>0</v>
      </c>
      <c r="L965" s="1">
        <v>44784.320162037038</v>
      </c>
      <c r="M965">
        <v>5.5</v>
      </c>
      <c r="N965">
        <v>0.1</v>
      </c>
      <c r="O965">
        <v>5.4</v>
      </c>
      <c r="P965">
        <v>193</v>
      </c>
      <c r="Q965">
        <v>0.9</v>
      </c>
      <c r="R965">
        <v>0.1</v>
      </c>
      <c r="S965">
        <v>0.5</v>
      </c>
      <c r="T965" t="s">
        <v>33</v>
      </c>
      <c r="U965">
        <v>2.8</v>
      </c>
      <c r="V965">
        <v>88</v>
      </c>
      <c r="W965">
        <v>0</v>
      </c>
      <c r="X965">
        <v>88</v>
      </c>
      <c r="Y965">
        <v>1</v>
      </c>
      <c r="Z965">
        <v>0</v>
      </c>
      <c r="AA965">
        <v>1</v>
      </c>
      <c r="AB965" t="s">
        <v>36</v>
      </c>
      <c r="AC965">
        <v>88</v>
      </c>
      <c r="AD965">
        <v>-2.29</v>
      </c>
    </row>
    <row r="966" spans="1:30" x14ac:dyDescent="0.25">
      <c r="A966" s="1">
        <v>44784.320289351854</v>
      </c>
      <c r="B966" s="1">
        <v>44784.319282407407</v>
      </c>
      <c r="C966">
        <v>1202</v>
      </c>
      <c r="D966" t="s">
        <v>58</v>
      </c>
      <c r="E966" t="s">
        <v>35</v>
      </c>
      <c r="F966" t="s">
        <v>57</v>
      </c>
      <c r="G966">
        <v>42.936554000000001</v>
      </c>
      <c r="H966">
        <v>-72.271019999999993</v>
      </c>
      <c r="I966">
        <v>488</v>
      </c>
      <c r="J966">
        <v>0</v>
      </c>
      <c r="K966">
        <v>0</v>
      </c>
      <c r="L966" s="1">
        <v>44784.320162037038</v>
      </c>
      <c r="M966">
        <v>6</v>
      </c>
      <c r="N966">
        <v>5.8</v>
      </c>
      <c r="O966">
        <v>0.2</v>
      </c>
      <c r="P966">
        <v>3</v>
      </c>
      <c r="Q966">
        <v>0.1</v>
      </c>
      <c r="R966">
        <v>0.1</v>
      </c>
      <c r="S966">
        <v>0.1</v>
      </c>
      <c r="T966" t="s">
        <v>33</v>
      </c>
      <c r="U966">
        <v>5.9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 t="s">
        <v>38</v>
      </c>
    </row>
    <row r="967" spans="1:30" x14ac:dyDescent="0.25">
      <c r="A967" s="1">
        <v>44784.320300925923</v>
      </c>
      <c r="B967" s="1">
        <v>44612.080023148148</v>
      </c>
      <c r="C967">
        <v>25985</v>
      </c>
      <c r="D967" t="s">
        <v>59</v>
      </c>
      <c r="E967" t="s">
        <v>35</v>
      </c>
      <c r="F967">
        <v>6.01</v>
      </c>
      <c r="G967">
        <v>42.927326000000001</v>
      </c>
      <c r="H967">
        <v>-72.279979999999995</v>
      </c>
      <c r="I967">
        <v>477</v>
      </c>
      <c r="J967">
        <v>78</v>
      </c>
      <c r="K967">
        <v>0</v>
      </c>
      <c r="L967" s="1">
        <v>44784.320162037038</v>
      </c>
      <c r="M967">
        <v>1.1000000000000001</v>
      </c>
      <c r="N967">
        <v>1</v>
      </c>
      <c r="O967">
        <v>0.1</v>
      </c>
      <c r="P967">
        <v>10</v>
      </c>
      <c r="Q967">
        <v>0</v>
      </c>
      <c r="R967">
        <v>0</v>
      </c>
      <c r="S967">
        <v>0</v>
      </c>
      <c r="T967" t="s">
        <v>32</v>
      </c>
      <c r="V967">
        <v>22</v>
      </c>
      <c r="W967">
        <v>0</v>
      </c>
      <c r="X967">
        <v>22</v>
      </c>
      <c r="Y967">
        <v>0</v>
      </c>
      <c r="Z967">
        <v>0</v>
      </c>
      <c r="AA967">
        <v>0</v>
      </c>
      <c r="AB967" t="s">
        <v>36</v>
      </c>
      <c r="AC967">
        <v>22</v>
      </c>
    </row>
    <row r="968" spans="1:30" x14ac:dyDescent="0.25">
      <c r="A968" s="1">
        <v>44784.32712962963</v>
      </c>
      <c r="B968" s="1">
        <v>44775.701319444444</v>
      </c>
      <c r="C968">
        <v>151708</v>
      </c>
      <c r="D968" t="s">
        <v>30</v>
      </c>
      <c r="E968" t="s">
        <v>31</v>
      </c>
      <c r="F968">
        <v>7</v>
      </c>
      <c r="G968">
        <v>43.192042999999998</v>
      </c>
      <c r="H968">
        <v>-71.541579999999996</v>
      </c>
      <c r="I968">
        <v>291</v>
      </c>
      <c r="J968">
        <v>93</v>
      </c>
      <c r="K968">
        <v>94</v>
      </c>
      <c r="L968" s="1">
        <v>44784.327106481483</v>
      </c>
      <c r="M968">
        <v>7.9</v>
      </c>
      <c r="N968">
        <v>7.6</v>
      </c>
      <c r="O968">
        <v>0.3</v>
      </c>
      <c r="P968">
        <v>4</v>
      </c>
      <c r="Q968">
        <v>0</v>
      </c>
      <c r="R968">
        <v>0</v>
      </c>
      <c r="S968">
        <v>0</v>
      </c>
      <c r="T968" t="s">
        <v>32</v>
      </c>
      <c r="V968">
        <v>42</v>
      </c>
      <c r="W968">
        <v>41</v>
      </c>
      <c r="X968">
        <v>1</v>
      </c>
      <c r="Y968">
        <v>0</v>
      </c>
      <c r="Z968">
        <v>0</v>
      </c>
      <c r="AA968">
        <v>0</v>
      </c>
      <c r="AB968" t="s">
        <v>33</v>
      </c>
      <c r="AC968">
        <v>41.5</v>
      </c>
    </row>
    <row r="969" spans="1:30" x14ac:dyDescent="0.25">
      <c r="A969" s="1">
        <v>44784.32712962963</v>
      </c>
      <c r="B969" s="1">
        <v>44784.32545138889</v>
      </c>
      <c r="C969">
        <v>143456</v>
      </c>
      <c r="D969" t="s">
        <v>34</v>
      </c>
      <c r="E969" t="s">
        <v>35</v>
      </c>
      <c r="F969">
        <v>7</v>
      </c>
      <c r="G969">
        <v>43.08963</v>
      </c>
      <c r="H969">
        <v>-71.502440000000007</v>
      </c>
      <c r="I969">
        <v>619</v>
      </c>
      <c r="J969">
        <v>71</v>
      </c>
      <c r="K969">
        <v>0</v>
      </c>
      <c r="L969" s="1">
        <v>44784.327106481483</v>
      </c>
      <c r="M969">
        <v>4.2</v>
      </c>
      <c r="N969">
        <v>4.4000000000000004</v>
      </c>
      <c r="O969">
        <v>0.2</v>
      </c>
      <c r="P969">
        <v>5</v>
      </c>
      <c r="Q969">
        <v>0.4</v>
      </c>
      <c r="R969">
        <v>0.2</v>
      </c>
      <c r="S969">
        <v>0.3</v>
      </c>
      <c r="T969" t="s">
        <v>33</v>
      </c>
      <c r="U969">
        <v>4.3</v>
      </c>
      <c r="V969">
        <v>71</v>
      </c>
      <c r="W969">
        <v>0</v>
      </c>
      <c r="X969">
        <v>71</v>
      </c>
      <c r="Y969">
        <v>0</v>
      </c>
      <c r="Z969">
        <v>0</v>
      </c>
      <c r="AA969">
        <v>0</v>
      </c>
      <c r="AB969" t="s">
        <v>36</v>
      </c>
      <c r="AC969">
        <v>71</v>
      </c>
      <c r="AD969">
        <v>-0.19</v>
      </c>
    </row>
    <row r="970" spans="1:30" x14ac:dyDescent="0.25">
      <c r="A970" s="1">
        <v>44784.327141203707</v>
      </c>
      <c r="B970" s="1">
        <v>44784.327013888891</v>
      </c>
      <c r="C970">
        <v>151702</v>
      </c>
      <c r="D970" t="s">
        <v>37</v>
      </c>
      <c r="E970" t="s">
        <v>31</v>
      </c>
      <c r="F970">
        <v>7</v>
      </c>
      <c r="G970">
        <v>43.118609999999997</v>
      </c>
      <c r="H970">
        <v>-71.61618</v>
      </c>
      <c r="I970">
        <v>885</v>
      </c>
      <c r="J970">
        <v>0</v>
      </c>
      <c r="K970">
        <v>0</v>
      </c>
      <c r="L970" s="1">
        <v>44784.327106481483</v>
      </c>
      <c r="M970">
        <v>4.7</v>
      </c>
      <c r="N970">
        <v>4.5999999999999996</v>
      </c>
      <c r="O970">
        <v>0.1</v>
      </c>
      <c r="P970">
        <v>2</v>
      </c>
      <c r="Q970">
        <v>0.1</v>
      </c>
      <c r="R970">
        <v>0.2</v>
      </c>
      <c r="S970">
        <v>0.15</v>
      </c>
      <c r="T970" t="s">
        <v>33</v>
      </c>
      <c r="U970">
        <v>4.6500000000000004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 t="s">
        <v>38</v>
      </c>
    </row>
    <row r="971" spans="1:30" x14ac:dyDescent="0.25">
      <c r="A971" s="1">
        <v>44784.327141203707</v>
      </c>
      <c r="B971" s="1">
        <v>44784.326898148145</v>
      </c>
      <c r="C971">
        <v>151700</v>
      </c>
      <c r="D971" t="s">
        <v>30</v>
      </c>
      <c r="E971" t="s">
        <v>31</v>
      </c>
      <c r="F971">
        <v>7</v>
      </c>
      <c r="G971">
        <v>43.19211</v>
      </c>
      <c r="H971">
        <v>-71.541460000000001</v>
      </c>
      <c r="I971">
        <v>286</v>
      </c>
      <c r="J971">
        <v>72</v>
      </c>
      <c r="K971">
        <v>0</v>
      </c>
      <c r="L971" s="1">
        <v>44784.327106481483</v>
      </c>
      <c r="M971">
        <v>4.5</v>
      </c>
      <c r="N971">
        <v>5.3</v>
      </c>
      <c r="O971">
        <v>0.8</v>
      </c>
      <c r="P971">
        <v>16</v>
      </c>
      <c r="Q971">
        <v>0.4</v>
      </c>
      <c r="R971">
        <v>0.7</v>
      </c>
      <c r="S971">
        <v>0.55000000000000004</v>
      </c>
      <c r="T971" t="s">
        <v>33</v>
      </c>
      <c r="U971">
        <v>4.9000000000000004</v>
      </c>
      <c r="V971">
        <v>67</v>
      </c>
      <c r="W971">
        <v>0</v>
      </c>
      <c r="X971">
        <v>67</v>
      </c>
      <c r="Y971">
        <v>0</v>
      </c>
      <c r="Z971">
        <v>0</v>
      </c>
      <c r="AA971">
        <v>0</v>
      </c>
      <c r="AB971" t="s">
        <v>36</v>
      </c>
      <c r="AC971">
        <v>67</v>
      </c>
      <c r="AD971">
        <v>0.46</v>
      </c>
    </row>
    <row r="972" spans="1:30" x14ac:dyDescent="0.25">
      <c r="A972" s="1">
        <v>44784.327141203707</v>
      </c>
      <c r="B972" s="1">
        <v>44784.325925925928</v>
      </c>
      <c r="C972">
        <v>135984</v>
      </c>
      <c r="D972" t="s">
        <v>39</v>
      </c>
      <c r="E972" t="s">
        <v>31</v>
      </c>
      <c r="F972">
        <v>7</v>
      </c>
      <c r="G972">
        <v>43.565852999999997</v>
      </c>
      <c r="H972">
        <v>-71.496129999999994</v>
      </c>
      <c r="I972">
        <v>708</v>
      </c>
      <c r="J972">
        <v>70</v>
      </c>
      <c r="K972">
        <v>0</v>
      </c>
      <c r="L972" s="1">
        <v>44784.327106481483</v>
      </c>
      <c r="M972">
        <v>5.5</v>
      </c>
      <c r="N972">
        <v>4.5</v>
      </c>
      <c r="O972">
        <v>1</v>
      </c>
      <c r="P972">
        <v>20</v>
      </c>
      <c r="Q972">
        <v>0.2</v>
      </c>
      <c r="R972">
        <v>0.3</v>
      </c>
      <c r="S972">
        <v>0.25</v>
      </c>
      <c r="T972" t="s">
        <v>33</v>
      </c>
      <c r="U972">
        <v>5</v>
      </c>
      <c r="V972">
        <v>86</v>
      </c>
      <c r="W972">
        <v>0</v>
      </c>
      <c r="X972">
        <v>86</v>
      </c>
      <c r="Y972">
        <v>0</v>
      </c>
      <c r="Z972">
        <v>0</v>
      </c>
      <c r="AA972">
        <v>0</v>
      </c>
      <c r="AB972" t="s">
        <v>36</v>
      </c>
      <c r="AC972">
        <v>86</v>
      </c>
      <c r="AD972">
        <v>-0.81</v>
      </c>
    </row>
    <row r="973" spans="1:30" x14ac:dyDescent="0.25">
      <c r="A973" s="1">
        <v>44784.327141203707</v>
      </c>
      <c r="B973" s="1">
        <v>44780.394780092596</v>
      </c>
      <c r="C973">
        <v>151712</v>
      </c>
      <c r="D973" t="s">
        <v>40</v>
      </c>
      <c r="E973" t="s">
        <v>31</v>
      </c>
      <c r="F973">
        <v>7</v>
      </c>
      <c r="G973">
        <v>43.289763999999998</v>
      </c>
      <c r="H973">
        <v>-71.564260000000004</v>
      </c>
      <c r="I973">
        <v>370</v>
      </c>
      <c r="J973">
        <v>86</v>
      </c>
      <c r="K973">
        <v>0</v>
      </c>
      <c r="L973" s="1">
        <v>44784.327106481483</v>
      </c>
      <c r="M973">
        <v>14</v>
      </c>
      <c r="N973">
        <v>13.2</v>
      </c>
      <c r="O973">
        <v>0.8</v>
      </c>
      <c r="P973">
        <v>6</v>
      </c>
      <c r="Q973">
        <v>0</v>
      </c>
      <c r="R973">
        <v>0</v>
      </c>
      <c r="S973">
        <v>0</v>
      </c>
      <c r="T973" t="s">
        <v>32</v>
      </c>
      <c r="V973">
        <v>59</v>
      </c>
      <c r="W973">
        <v>0</v>
      </c>
      <c r="X973">
        <v>59</v>
      </c>
      <c r="Y973">
        <v>0</v>
      </c>
      <c r="Z973">
        <v>0</v>
      </c>
      <c r="AA973">
        <v>0</v>
      </c>
      <c r="AB973" t="s">
        <v>36</v>
      </c>
      <c r="AC973">
        <v>59</v>
      </c>
    </row>
    <row r="974" spans="1:30" x14ac:dyDescent="0.25">
      <c r="A974" s="1">
        <v>44784.327152777776</v>
      </c>
      <c r="B974" s="1">
        <v>44784.326620370368</v>
      </c>
      <c r="C974">
        <v>151710</v>
      </c>
      <c r="D974" t="s">
        <v>41</v>
      </c>
      <c r="E974" t="s">
        <v>31</v>
      </c>
      <c r="F974">
        <v>7</v>
      </c>
      <c r="G974">
        <v>43.132477000000002</v>
      </c>
      <c r="H974">
        <v>-71.458374000000006</v>
      </c>
      <c r="I974">
        <v>230</v>
      </c>
      <c r="J974">
        <v>73</v>
      </c>
      <c r="K974">
        <v>0</v>
      </c>
      <c r="L974" s="1">
        <v>44784.327106481483</v>
      </c>
      <c r="M974">
        <v>5.9</v>
      </c>
      <c r="N974">
        <v>4.9000000000000004</v>
      </c>
      <c r="O974">
        <v>1</v>
      </c>
      <c r="P974">
        <v>19</v>
      </c>
      <c r="Q974">
        <v>0.1</v>
      </c>
      <c r="R974">
        <v>0.1</v>
      </c>
      <c r="S974">
        <v>0.1</v>
      </c>
      <c r="T974" t="s">
        <v>33</v>
      </c>
      <c r="U974">
        <v>5.4</v>
      </c>
      <c r="V974">
        <v>64</v>
      </c>
      <c r="W974">
        <v>0</v>
      </c>
      <c r="X974">
        <v>64</v>
      </c>
      <c r="Y974">
        <v>1</v>
      </c>
      <c r="Z974">
        <v>0</v>
      </c>
      <c r="AA974">
        <v>1</v>
      </c>
      <c r="AB974" t="s">
        <v>36</v>
      </c>
      <c r="AC974">
        <v>64</v>
      </c>
      <c r="AD974">
        <v>0.97</v>
      </c>
    </row>
    <row r="975" spans="1:30" x14ac:dyDescent="0.25">
      <c r="A975" s="1">
        <v>44784.327152777776</v>
      </c>
      <c r="B975" s="1">
        <v>44784.326296296298</v>
      </c>
      <c r="C975">
        <v>151706</v>
      </c>
      <c r="D975" t="s">
        <v>42</v>
      </c>
      <c r="E975" t="s">
        <v>31</v>
      </c>
      <c r="F975">
        <v>7</v>
      </c>
      <c r="G975">
        <v>43.004080000000002</v>
      </c>
      <c r="H975">
        <v>-71.177040000000005</v>
      </c>
      <c r="I975">
        <v>194</v>
      </c>
      <c r="J975">
        <v>73</v>
      </c>
      <c r="K975">
        <v>0</v>
      </c>
      <c r="L975" s="1">
        <v>44784.327106481483</v>
      </c>
      <c r="M975">
        <v>3.7</v>
      </c>
      <c r="N975">
        <v>0</v>
      </c>
      <c r="O975">
        <v>3.7</v>
      </c>
      <c r="P975">
        <v>200</v>
      </c>
      <c r="Q975">
        <v>0.3</v>
      </c>
      <c r="R975">
        <v>0</v>
      </c>
      <c r="S975">
        <v>0.15</v>
      </c>
      <c r="T975" t="s">
        <v>43</v>
      </c>
      <c r="V975">
        <v>67</v>
      </c>
      <c r="W975">
        <v>0</v>
      </c>
      <c r="X975">
        <v>67</v>
      </c>
      <c r="Y975">
        <v>2</v>
      </c>
      <c r="Z975">
        <v>0</v>
      </c>
      <c r="AA975">
        <v>2</v>
      </c>
      <c r="AB975" t="s">
        <v>36</v>
      </c>
      <c r="AC975">
        <v>67</v>
      </c>
    </row>
    <row r="976" spans="1:30" x14ac:dyDescent="0.25">
      <c r="A976" s="1">
        <v>44784.327152777776</v>
      </c>
      <c r="B976" s="1">
        <v>44784.32603009259</v>
      </c>
      <c r="C976">
        <v>12212</v>
      </c>
      <c r="D976" t="s">
        <v>44</v>
      </c>
      <c r="E976" t="s">
        <v>35</v>
      </c>
      <c r="F976">
        <v>7</v>
      </c>
      <c r="G976">
        <v>42.930529999999997</v>
      </c>
      <c r="H976">
        <v>-72.272350000000003</v>
      </c>
      <c r="I976">
        <v>476</v>
      </c>
      <c r="J976">
        <v>74</v>
      </c>
      <c r="K976">
        <v>0</v>
      </c>
      <c r="L976" s="1">
        <v>44784.327106481483</v>
      </c>
      <c r="M976">
        <v>6.7</v>
      </c>
      <c r="N976">
        <v>5.7</v>
      </c>
      <c r="O976">
        <v>1</v>
      </c>
      <c r="P976">
        <v>16</v>
      </c>
      <c r="Q976">
        <v>0.6</v>
      </c>
      <c r="R976">
        <v>0.6</v>
      </c>
      <c r="S976">
        <v>0.6</v>
      </c>
      <c r="T976" t="s">
        <v>33</v>
      </c>
      <c r="U976">
        <v>6.2</v>
      </c>
      <c r="V976">
        <v>95</v>
      </c>
      <c r="W976">
        <v>0</v>
      </c>
      <c r="X976">
        <v>95</v>
      </c>
      <c r="Y976">
        <v>1</v>
      </c>
      <c r="Z976">
        <v>0</v>
      </c>
      <c r="AA976">
        <v>1</v>
      </c>
      <c r="AB976" t="s">
        <v>36</v>
      </c>
      <c r="AC976">
        <v>95</v>
      </c>
      <c r="AD976">
        <v>-0.71</v>
      </c>
    </row>
    <row r="977" spans="1:30" x14ac:dyDescent="0.25">
      <c r="A977" s="1">
        <v>44784.327152777776</v>
      </c>
      <c r="B977" s="1">
        <v>44769.376736111109</v>
      </c>
      <c r="C977">
        <v>12178</v>
      </c>
      <c r="D977" t="s">
        <v>45</v>
      </c>
      <c r="E977" t="s">
        <v>35</v>
      </c>
      <c r="F977">
        <v>7</v>
      </c>
      <c r="G977">
        <v>42.899563000000001</v>
      </c>
      <c r="H977">
        <v>-71.464650000000006</v>
      </c>
      <c r="I977">
        <v>301</v>
      </c>
      <c r="J977">
        <v>85</v>
      </c>
      <c r="K977">
        <v>0</v>
      </c>
      <c r="L977" s="1">
        <v>44784.327106481483</v>
      </c>
      <c r="M977">
        <v>3.8</v>
      </c>
      <c r="N977">
        <v>3.1</v>
      </c>
      <c r="O977">
        <v>0.7</v>
      </c>
      <c r="P977">
        <v>20</v>
      </c>
      <c r="Q977">
        <v>0</v>
      </c>
      <c r="R977">
        <v>0</v>
      </c>
      <c r="S977">
        <v>0</v>
      </c>
      <c r="T977" t="s">
        <v>32</v>
      </c>
      <c r="V977">
        <v>35</v>
      </c>
      <c r="W977">
        <v>0</v>
      </c>
      <c r="X977">
        <v>35</v>
      </c>
      <c r="Y977">
        <v>0</v>
      </c>
      <c r="Z977">
        <v>0</v>
      </c>
      <c r="AA977">
        <v>0</v>
      </c>
      <c r="AB977" t="s">
        <v>36</v>
      </c>
      <c r="AC977">
        <v>35</v>
      </c>
    </row>
    <row r="978" spans="1:30" x14ac:dyDescent="0.25">
      <c r="A978" s="1">
        <v>44784.327164351853</v>
      </c>
      <c r="B978" s="1">
        <v>44784.326736111114</v>
      </c>
      <c r="C978">
        <v>75981</v>
      </c>
      <c r="D978" t="s">
        <v>46</v>
      </c>
      <c r="E978" t="s">
        <v>35</v>
      </c>
      <c r="F978">
        <v>7</v>
      </c>
      <c r="G978">
        <v>42.97</v>
      </c>
      <c r="H978">
        <v>-71.06</v>
      </c>
      <c r="I978">
        <v>136</v>
      </c>
      <c r="J978">
        <v>76</v>
      </c>
      <c r="K978">
        <v>0</v>
      </c>
      <c r="L978" s="1">
        <v>44784.327106481483</v>
      </c>
      <c r="M978">
        <v>5.7</v>
      </c>
      <c r="N978">
        <v>5.3</v>
      </c>
      <c r="O978">
        <v>0.4</v>
      </c>
      <c r="P978">
        <v>7</v>
      </c>
      <c r="Q978">
        <v>0.6</v>
      </c>
      <c r="R978">
        <v>0.5</v>
      </c>
      <c r="S978">
        <v>0.55000000000000004</v>
      </c>
      <c r="T978" t="s">
        <v>33</v>
      </c>
      <c r="U978">
        <v>5.5</v>
      </c>
      <c r="V978">
        <v>61</v>
      </c>
      <c r="W978">
        <v>0</v>
      </c>
      <c r="X978">
        <v>61</v>
      </c>
      <c r="Y978">
        <v>1</v>
      </c>
      <c r="Z978">
        <v>0</v>
      </c>
      <c r="AA978">
        <v>1</v>
      </c>
      <c r="AB978" t="s">
        <v>36</v>
      </c>
      <c r="AC978">
        <v>61</v>
      </c>
      <c r="AD978">
        <v>1.24</v>
      </c>
    </row>
    <row r="979" spans="1:30" x14ac:dyDescent="0.25">
      <c r="A979" s="1">
        <v>44784.327164351853</v>
      </c>
      <c r="B979" s="1">
        <v>44784.325879629629</v>
      </c>
      <c r="C979">
        <v>115703</v>
      </c>
      <c r="D979" t="s">
        <v>47</v>
      </c>
      <c r="E979" t="s">
        <v>35</v>
      </c>
      <c r="F979">
        <v>7</v>
      </c>
      <c r="G979">
        <v>43.953625000000002</v>
      </c>
      <c r="H979">
        <v>-71.508859999999999</v>
      </c>
      <c r="I979">
        <v>1493</v>
      </c>
      <c r="J979">
        <v>66</v>
      </c>
      <c r="K979">
        <v>0</v>
      </c>
      <c r="L979" s="1">
        <v>44784.327106481483</v>
      </c>
      <c r="M979">
        <v>0</v>
      </c>
      <c r="N979">
        <v>300.89999999999998</v>
      </c>
      <c r="O979">
        <v>300.89999999999998</v>
      </c>
      <c r="P979">
        <v>200</v>
      </c>
      <c r="Q979">
        <v>0</v>
      </c>
      <c r="R979">
        <v>0</v>
      </c>
      <c r="S979">
        <v>0</v>
      </c>
      <c r="T979" t="s">
        <v>48</v>
      </c>
      <c r="V979">
        <v>68</v>
      </c>
      <c r="W979">
        <v>0</v>
      </c>
      <c r="X979">
        <v>68</v>
      </c>
      <c r="Y979">
        <v>1</v>
      </c>
      <c r="Z979">
        <v>0</v>
      </c>
      <c r="AA979">
        <v>1</v>
      </c>
      <c r="AB979" t="s">
        <v>36</v>
      </c>
      <c r="AC979">
        <v>68</v>
      </c>
    </row>
    <row r="980" spans="1:30" x14ac:dyDescent="0.25">
      <c r="A980" s="1">
        <v>44784.327164351853</v>
      </c>
      <c r="B980" s="1">
        <v>44784.326678240737</v>
      </c>
      <c r="C980">
        <v>12050</v>
      </c>
      <c r="D980" t="s">
        <v>49</v>
      </c>
      <c r="E980" t="s">
        <v>35</v>
      </c>
      <c r="F980">
        <v>7</v>
      </c>
      <c r="G980">
        <v>44.220573000000002</v>
      </c>
      <c r="H980">
        <v>-71.732315</v>
      </c>
      <c r="I980">
        <v>999</v>
      </c>
      <c r="J980">
        <v>71</v>
      </c>
      <c r="K980">
        <v>0</v>
      </c>
      <c r="L980" s="1">
        <v>44784.327106481483</v>
      </c>
      <c r="M980">
        <v>3.3</v>
      </c>
      <c r="N980">
        <v>3.4</v>
      </c>
      <c r="O980">
        <v>0.1</v>
      </c>
      <c r="P980">
        <v>3</v>
      </c>
      <c r="Q980">
        <v>0.1</v>
      </c>
      <c r="R980">
        <v>0.1</v>
      </c>
      <c r="S980">
        <v>0.1</v>
      </c>
      <c r="T980" t="s">
        <v>33</v>
      </c>
      <c r="U980">
        <v>3.35</v>
      </c>
      <c r="V980">
        <v>55</v>
      </c>
      <c r="W980">
        <v>0</v>
      </c>
      <c r="X980">
        <v>55</v>
      </c>
      <c r="Y980">
        <v>2</v>
      </c>
      <c r="Z980">
        <v>0</v>
      </c>
      <c r="AA980">
        <v>2</v>
      </c>
      <c r="AB980" t="s">
        <v>36</v>
      </c>
      <c r="AC980">
        <v>55</v>
      </c>
      <c r="AD980">
        <v>0.35</v>
      </c>
    </row>
    <row r="981" spans="1:30" x14ac:dyDescent="0.25">
      <c r="A981" s="1">
        <v>44784.327175925922</v>
      </c>
      <c r="B981" s="1">
        <v>44784.326793981483</v>
      </c>
      <c r="C981">
        <v>23443</v>
      </c>
      <c r="D981" t="s">
        <v>50</v>
      </c>
      <c r="E981" t="s">
        <v>35</v>
      </c>
      <c r="F981">
        <v>7</v>
      </c>
      <c r="G981">
        <v>43.556139999999999</v>
      </c>
      <c r="H981">
        <v>-72.370990000000006</v>
      </c>
      <c r="I981">
        <v>523</v>
      </c>
      <c r="J981">
        <v>72</v>
      </c>
      <c r="K981">
        <v>0</v>
      </c>
      <c r="L981" s="1">
        <v>44784.327106481483</v>
      </c>
      <c r="M981">
        <v>5.8</v>
      </c>
      <c r="N981">
        <v>5.0999999999999996</v>
      </c>
      <c r="O981">
        <v>0.7</v>
      </c>
      <c r="P981">
        <v>13</v>
      </c>
      <c r="Q981">
        <v>0.2</v>
      </c>
      <c r="R981">
        <v>0.1</v>
      </c>
      <c r="S981">
        <v>0.15</v>
      </c>
      <c r="T981" t="s">
        <v>33</v>
      </c>
      <c r="U981">
        <v>5.45</v>
      </c>
      <c r="V981">
        <v>64</v>
      </c>
      <c r="W981">
        <v>0</v>
      </c>
      <c r="X981">
        <v>64</v>
      </c>
      <c r="Y981">
        <v>0</v>
      </c>
      <c r="Z981">
        <v>0</v>
      </c>
      <c r="AA981">
        <v>0</v>
      </c>
      <c r="AB981" t="s">
        <v>36</v>
      </c>
      <c r="AC981">
        <v>64</v>
      </c>
      <c r="AD981">
        <v>1</v>
      </c>
    </row>
    <row r="982" spans="1:30" x14ac:dyDescent="0.25">
      <c r="A982" s="1">
        <v>44784.327175925922</v>
      </c>
      <c r="B982" s="1">
        <v>44784.326909722222</v>
      </c>
      <c r="C982">
        <v>58135</v>
      </c>
      <c r="D982" t="s">
        <v>51</v>
      </c>
      <c r="E982" t="s">
        <v>35</v>
      </c>
      <c r="F982">
        <v>7</v>
      </c>
      <c r="G982">
        <v>42.883873000000001</v>
      </c>
      <c r="H982">
        <v>-71.972915999999998</v>
      </c>
      <c r="I982">
        <v>808</v>
      </c>
      <c r="J982">
        <v>74</v>
      </c>
      <c r="K982">
        <v>0</v>
      </c>
      <c r="L982" s="1">
        <v>44784.327106481483</v>
      </c>
      <c r="M982">
        <v>8.9</v>
      </c>
      <c r="N982">
        <v>24.7</v>
      </c>
      <c r="O982">
        <v>15.8</v>
      </c>
      <c r="P982">
        <v>94</v>
      </c>
      <c r="Q982">
        <v>0.2</v>
      </c>
      <c r="R982">
        <v>9.9</v>
      </c>
      <c r="S982">
        <v>5.05</v>
      </c>
      <c r="T982" t="s">
        <v>60</v>
      </c>
      <c r="V982">
        <v>68</v>
      </c>
      <c r="W982">
        <v>0</v>
      </c>
      <c r="X982">
        <v>68</v>
      </c>
      <c r="Y982">
        <v>0</v>
      </c>
      <c r="Z982">
        <v>0</v>
      </c>
      <c r="AA982">
        <v>0</v>
      </c>
      <c r="AB982" t="s">
        <v>36</v>
      </c>
      <c r="AC982">
        <v>68</v>
      </c>
    </row>
    <row r="983" spans="1:30" x14ac:dyDescent="0.25">
      <c r="A983" s="1">
        <v>44784.327175925922</v>
      </c>
      <c r="B983" s="1">
        <v>44784.326921296299</v>
      </c>
      <c r="C983">
        <v>148555</v>
      </c>
      <c r="D983" t="s">
        <v>52</v>
      </c>
      <c r="E983" t="s">
        <v>53</v>
      </c>
      <c r="F983">
        <v>7</v>
      </c>
      <c r="G983">
        <v>42.904949999999999</v>
      </c>
      <c r="H983">
        <v>-71.386764999999997</v>
      </c>
      <c r="I983">
        <v>363</v>
      </c>
      <c r="J983">
        <v>0</v>
      </c>
      <c r="K983">
        <v>0</v>
      </c>
      <c r="L983" s="1">
        <v>44784.327106481483</v>
      </c>
      <c r="M983">
        <v>3.7</v>
      </c>
      <c r="N983">
        <v>4.2</v>
      </c>
      <c r="O983">
        <v>0.5</v>
      </c>
      <c r="P983">
        <v>13</v>
      </c>
      <c r="Q983">
        <v>0.3</v>
      </c>
      <c r="R983">
        <v>0.5</v>
      </c>
      <c r="S983">
        <v>0.4</v>
      </c>
      <c r="T983" t="s">
        <v>33</v>
      </c>
      <c r="U983">
        <v>3.95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 t="s">
        <v>38</v>
      </c>
    </row>
    <row r="984" spans="1:30" x14ac:dyDescent="0.25">
      <c r="A984" s="1">
        <v>44784.327175925922</v>
      </c>
      <c r="B984" s="1">
        <v>44784.326458333337</v>
      </c>
      <c r="C984">
        <v>146644</v>
      </c>
      <c r="D984" t="s">
        <v>54</v>
      </c>
      <c r="E984" t="s">
        <v>53</v>
      </c>
      <c r="F984">
        <v>7</v>
      </c>
      <c r="G984">
        <v>43.06015</v>
      </c>
      <c r="H984">
        <v>-70.758930000000007</v>
      </c>
      <c r="I984">
        <v>35</v>
      </c>
      <c r="J984">
        <v>72</v>
      </c>
      <c r="K984">
        <v>74</v>
      </c>
      <c r="L984" s="1">
        <v>44784.327106481483</v>
      </c>
      <c r="M984">
        <v>6.9</v>
      </c>
      <c r="N984">
        <v>5.6</v>
      </c>
      <c r="O984">
        <v>1.3</v>
      </c>
      <c r="P984">
        <v>21</v>
      </c>
      <c r="Q984">
        <v>0.2</v>
      </c>
      <c r="R984">
        <v>0.2</v>
      </c>
      <c r="S984">
        <v>0.2</v>
      </c>
      <c r="T984" t="s">
        <v>33</v>
      </c>
      <c r="U984">
        <v>6.25</v>
      </c>
      <c r="V984">
        <v>65</v>
      </c>
      <c r="W984">
        <v>70</v>
      </c>
      <c r="X984">
        <v>5</v>
      </c>
      <c r="Y984">
        <v>0</v>
      </c>
      <c r="Z984">
        <v>0</v>
      </c>
      <c r="AA984">
        <v>0</v>
      </c>
      <c r="AB984" t="s">
        <v>33</v>
      </c>
      <c r="AC984">
        <v>67.5</v>
      </c>
      <c r="AD984">
        <v>1.25</v>
      </c>
    </row>
    <row r="985" spans="1:30" x14ac:dyDescent="0.25">
      <c r="A985" s="1">
        <v>44784.327187499999</v>
      </c>
      <c r="B985" s="1">
        <v>43755.283437500002</v>
      </c>
      <c r="C985">
        <v>12188</v>
      </c>
      <c r="D985" t="s">
        <v>55</v>
      </c>
      <c r="E985" t="s">
        <v>35</v>
      </c>
      <c r="F985">
        <v>4.1100000000000003</v>
      </c>
      <c r="G985">
        <v>42.927050000000001</v>
      </c>
      <c r="H985">
        <v>-72.279610000000005</v>
      </c>
      <c r="I985">
        <v>475</v>
      </c>
      <c r="J985">
        <v>95</v>
      </c>
      <c r="K985">
        <v>0</v>
      </c>
      <c r="L985" s="1">
        <v>44784.327106481483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 t="s">
        <v>32</v>
      </c>
      <c r="V985">
        <v>77</v>
      </c>
      <c r="W985">
        <v>0</v>
      </c>
      <c r="X985">
        <v>77</v>
      </c>
      <c r="Y985">
        <v>0</v>
      </c>
      <c r="Z985">
        <v>0</v>
      </c>
      <c r="AA985">
        <v>0</v>
      </c>
      <c r="AB985" t="s">
        <v>36</v>
      </c>
      <c r="AC985">
        <v>77</v>
      </c>
    </row>
    <row r="986" spans="1:30" x14ac:dyDescent="0.25">
      <c r="A986" s="1">
        <v>44784.327187499999</v>
      </c>
      <c r="B986" s="1">
        <v>44784.326793981483</v>
      </c>
      <c r="C986">
        <v>1224</v>
      </c>
      <c r="D986" t="s">
        <v>56</v>
      </c>
      <c r="E986" t="s">
        <v>35</v>
      </c>
      <c r="F986" t="s">
        <v>57</v>
      </c>
      <c r="G986">
        <v>42.938034000000002</v>
      </c>
      <c r="H986">
        <v>-72.259299999999996</v>
      </c>
      <c r="I986">
        <v>792</v>
      </c>
      <c r="J986">
        <v>75</v>
      </c>
      <c r="K986">
        <v>0</v>
      </c>
      <c r="L986" s="1">
        <v>44784.327106481483</v>
      </c>
      <c r="M986">
        <v>6.4</v>
      </c>
      <c r="N986">
        <v>0.1</v>
      </c>
      <c r="O986">
        <v>6.3</v>
      </c>
      <c r="P986">
        <v>194</v>
      </c>
      <c r="Q986">
        <v>0.9</v>
      </c>
      <c r="R986">
        <v>0</v>
      </c>
      <c r="S986">
        <v>0.45</v>
      </c>
      <c r="T986" t="s">
        <v>33</v>
      </c>
      <c r="U986">
        <v>3.25</v>
      </c>
      <c r="V986">
        <v>88</v>
      </c>
      <c r="W986">
        <v>0</v>
      </c>
      <c r="X986">
        <v>88</v>
      </c>
      <c r="Y986">
        <v>0</v>
      </c>
      <c r="Z986">
        <v>0</v>
      </c>
      <c r="AA986">
        <v>0</v>
      </c>
      <c r="AB986" t="s">
        <v>36</v>
      </c>
      <c r="AC986">
        <v>88</v>
      </c>
      <c r="AD986">
        <v>-2.02</v>
      </c>
    </row>
    <row r="987" spans="1:30" x14ac:dyDescent="0.25">
      <c r="A987" s="1">
        <v>44784.327187499999</v>
      </c>
      <c r="B987" s="1">
        <v>44784.326226851852</v>
      </c>
      <c r="C987">
        <v>1202</v>
      </c>
      <c r="D987" t="s">
        <v>58</v>
      </c>
      <c r="E987" t="s">
        <v>35</v>
      </c>
      <c r="F987" t="s">
        <v>57</v>
      </c>
      <c r="G987">
        <v>42.936554000000001</v>
      </c>
      <c r="H987">
        <v>-72.271019999999993</v>
      </c>
      <c r="I987">
        <v>488</v>
      </c>
      <c r="J987">
        <v>0</v>
      </c>
      <c r="K987">
        <v>0</v>
      </c>
      <c r="L987" s="1">
        <v>44784.327106481483</v>
      </c>
      <c r="M987">
        <v>6.1</v>
      </c>
      <c r="N987">
        <v>6</v>
      </c>
      <c r="O987">
        <v>0.1</v>
      </c>
      <c r="P987">
        <v>2</v>
      </c>
      <c r="Q987">
        <v>0.1</v>
      </c>
      <c r="R987">
        <v>0.2</v>
      </c>
      <c r="S987">
        <v>0.15</v>
      </c>
      <c r="T987" t="s">
        <v>33</v>
      </c>
      <c r="U987">
        <v>6.05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 t="s">
        <v>38</v>
      </c>
    </row>
    <row r="988" spans="1:30" x14ac:dyDescent="0.25">
      <c r="A988" s="1">
        <v>44784.327187499999</v>
      </c>
      <c r="B988" s="1">
        <v>44612.080023148148</v>
      </c>
      <c r="C988">
        <v>25985</v>
      </c>
      <c r="D988" t="s">
        <v>59</v>
      </c>
      <c r="E988" t="s">
        <v>35</v>
      </c>
      <c r="F988">
        <v>6.01</v>
      </c>
      <c r="G988">
        <v>42.927326000000001</v>
      </c>
      <c r="H988">
        <v>-72.279979999999995</v>
      </c>
      <c r="I988">
        <v>477</v>
      </c>
      <c r="J988">
        <v>78</v>
      </c>
      <c r="K988">
        <v>0</v>
      </c>
      <c r="L988" s="1">
        <v>44784.327106481483</v>
      </c>
      <c r="M988">
        <v>1.1000000000000001</v>
      </c>
      <c r="N988">
        <v>1</v>
      </c>
      <c r="O988">
        <v>0.1</v>
      </c>
      <c r="P988">
        <v>10</v>
      </c>
      <c r="Q988">
        <v>0</v>
      </c>
      <c r="R988">
        <v>0</v>
      </c>
      <c r="S988">
        <v>0</v>
      </c>
      <c r="T988" t="s">
        <v>32</v>
      </c>
      <c r="V988">
        <v>22</v>
      </c>
      <c r="W988">
        <v>0</v>
      </c>
      <c r="X988">
        <v>22</v>
      </c>
      <c r="Y988">
        <v>0</v>
      </c>
      <c r="Z988">
        <v>0</v>
      </c>
      <c r="AA988">
        <v>0</v>
      </c>
      <c r="AB988" t="s">
        <v>36</v>
      </c>
      <c r="AC988">
        <v>22</v>
      </c>
    </row>
    <row r="989" spans="1:30" x14ac:dyDescent="0.25">
      <c r="A989" s="1">
        <v>44784.334074074075</v>
      </c>
      <c r="B989" s="1">
        <v>44775.701319444444</v>
      </c>
      <c r="C989">
        <v>151708</v>
      </c>
      <c r="D989" t="s">
        <v>30</v>
      </c>
      <c r="E989" t="s">
        <v>31</v>
      </c>
      <c r="F989">
        <v>7</v>
      </c>
      <c r="G989">
        <v>43.192042999999998</v>
      </c>
      <c r="H989">
        <v>-71.541579999999996</v>
      </c>
      <c r="I989">
        <v>291</v>
      </c>
      <c r="J989">
        <v>93</v>
      </c>
      <c r="K989">
        <v>94</v>
      </c>
      <c r="L989" s="1">
        <v>44784.334050925929</v>
      </c>
      <c r="M989">
        <v>7.9</v>
      </c>
      <c r="N989">
        <v>7.6</v>
      </c>
      <c r="O989">
        <v>0.3</v>
      </c>
      <c r="P989">
        <v>4</v>
      </c>
      <c r="Q989">
        <v>0</v>
      </c>
      <c r="R989">
        <v>0</v>
      </c>
      <c r="S989">
        <v>0</v>
      </c>
      <c r="T989" t="s">
        <v>32</v>
      </c>
      <c r="V989">
        <v>42</v>
      </c>
      <c r="W989">
        <v>41</v>
      </c>
      <c r="X989">
        <v>1</v>
      </c>
      <c r="Y989">
        <v>0</v>
      </c>
      <c r="Z989">
        <v>0</v>
      </c>
      <c r="AA989">
        <v>0</v>
      </c>
      <c r="AB989" t="s">
        <v>33</v>
      </c>
      <c r="AC989">
        <v>41.5</v>
      </c>
    </row>
    <row r="990" spans="1:30" x14ac:dyDescent="0.25">
      <c r="A990" s="1">
        <v>44784.334074074075</v>
      </c>
      <c r="B990" s="1">
        <v>44784.333784722221</v>
      </c>
      <c r="C990">
        <v>143456</v>
      </c>
      <c r="D990" t="s">
        <v>34</v>
      </c>
      <c r="E990" t="s">
        <v>35</v>
      </c>
      <c r="F990">
        <v>7</v>
      </c>
      <c r="G990">
        <v>43.08963</v>
      </c>
      <c r="H990">
        <v>-71.502440000000007</v>
      </c>
      <c r="I990">
        <v>619</v>
      </c>
      <c r="J990">
        <v>71</v>
      </c>
      <c r="K990">
        <v>0</v>
      </c>
      <c r="L990" s="1">
        <v>44784.334050925929</v>
      </c>
      <c r="M990">
        <v>4</v>
      </c>
      <c r="N990">
        <v>4.3</v>
      </c>
      <c r="O990">
        <v>0.3</v>
      </c>
      <c r="P990">
        <v>7</v>
      </c>
      <c r="Q990">
        <v>0.2</v>
      </c>
      <c r="R990">
        <v>0.1</v>
      </c>
      <c r="S990">
        <v>0.15</v>
      </c>
      <c r="T990" t="s">
        <v>33</v>
      </c>
      <c r="U990">
        <v>4.1500000000000004</v>
      </c>
      <c r="V990">
        <v>71</v>
      </c>
      <c r="W990">
        <v>0</v>
      </c>
      <c r="X990">
        <v>71</v>
      </c>
      <c r="Y990">
        <v>0</v>
      </c>
      <c r="Z990">
        <v>0</v>
      </c>
      <c r="AA990">
        <v>0</v>
      </c>
      <c r="AB990" t="s">
        <v>36</v>
      </c>
      <c r="AC990">
        <v>71</v>
      </c>
      <c r="AD990">
        <v>-0.28000000000000003</v>
      </c>
    </row>
    <row r="991" spans="1:30" x14ac:dyDescent="0.25">
      <c r="A991" s="1">
        <v>44784.334074074075</v>
      </c>
      <c r="B991" s="1">
        <v>44784.333958333336</v>
      </c>
      <c r="C991">
        <v>151702</v>
      </c>
      <c r="D991" t="s">
        <v>37</v>
      </c>
      <c r="E991" t="s">
        <v>31</v>
      </c>
      <c r="F991">
        <v>7</v>
      </c>
      <c r="G991">
        <v>43.118609999999997</v>
      </c>
      <c r="H991">
        <v>-71.61618</v>
      </c>
      <c r="I991">
        <v>885</v>
      </c>
      <c r="J991">
        <v>0</v>
      </c>
      <c r="K991">
        <v>0</v>
      </c>
      <c r="L991" s="1">
        <v>44784.334050925929</v>
      </c>
      <c r="M991">
        <v>4.5999999999999996</v>
      </c>
      <c r="N991">
        <v>4.5999999999999996</v>
      </c>
      <c r="O991">
        <v>0</v>
      </c>
      <c r="P991">
        <v>0</v>
      </c>
      <c r="Q991">
        <v>0.1</v>
      </c>
      <c r="R991">
        <v>0</v>
      </c>
      <c r="S991">
        <v>0.05</v>
      </c>
      <c r="T991" t="s">
        <v>33</v>
      </c>
      <c r="U991">
        <v>4.5999999999999996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 t="s">
        <v>38</v>
      </c>
    </row>
    <row r="992" spans="1:30" x14ac:dyDescent="0.25">
      <c r="A992" s="1">
        <v>44784.334085648145</v>
      </c>
      <c r="B992" s="1">
        <v>44784.33384259259</v>
      </c>
      <c r="C992">
        <v>151700</v>
      </c>
      <c r="D992" t="s">
        <v>30</v>
      </c>
      <c r="E992" t="s">
        <v>31</v>
      </c>
      <c r="F992">
        <v>7</v>
      </c>
      <c r="G992">
        <v>43.19211</v>
      </c>
      <c r="H992">
        <v>-71.541460000000001</v>
      </c>
      <c r="I992">
        <v>286</v>
      </c>
      <c r="J992">
        <v>72</v>
      </c>
      <c r="K992">
        <v>0</v>
      </c>
      <c r="L992" s="1">
        <v>44784.334050925929</v>
      </c>
      <c r="M992">
        <v>4.8</v>
      </c>
      <c r="N992">
        <v>5.6</v>
      </c>
      <c r="O992">
        <v>0.8</v>
      </c>
      <c r="P992">
        <v>15</v>
      </c>
      <c r="Q992">
        <v>0.3</v>
      </c>
      <c r="R992">
        <v>0.3</v>
      </c>
      <c r="S992">
        <v>0.3</v>
      </c>
      <c r="T992" t="s">
        <v>33</v>
      </c>
      <c r="U992">
        <v>5.2</v>
      </c>
      <c r="V992">
        <v>67</v>
      </c>
      <c r="W992">
        <v>0</v>
      </c>
      <c r="X992">
        <v>67</v>
      </c>
      <c r="Y992">
        <v>0</v>
      </c>
      <c r="Z992">
        <v>0</v>
      </c>
      <c r="AA992">
        <v>0</v>
      </c>
      <c r="AB992" t="s">
        <v>36</v>
      </c>
      <c r="AC992">
        <v>67</v>
      </c>
      <c r="AD992">
        <v>0.64</v>
      </c>
    </row>
    <row r="993" spans="1:30" x14ac:dyDescent="0.25">
      <c r="A993" s="1">
        <v>44784.334085648145</v>
      </c>
      <c r="B993" s="1">
        <v>44784.332870370374</v>
      </c>
      <c r="C993">
        <v>135984</v>
      </c>
      <c r="D993" t="s">
        <v>39</v>
      </c>
      <c r="E993" t="s">
        <v>31</v>
      </c>
      <c r="F993">
        <v>7</v>
      </c>
      <c r="G993">
        <v>43.565852999999997</v>
      </c>
      <c r="H993">
        <v>-71.496129999999994</v>
      </c>
      <c r="I993">
        <v>708</v>
      </c>
      <c r="J993">
        <v>72</v>
      </c>
      <c r="K993">
        <v>0</v>
      </c>
      <c r="L993" s="1">
        <v>44784.334050925929</v>
      </c>
      <c r="M993">
        <v>5.0999999999999996</v>
      </c>
      <c r="N993">
        <v>4.2</v>
      </c>
      <c r="O993">
        <v>0.9</v>
      </c>
      <c r="P993">
        <v>19</v>
      </c>
      <c r="Q993">
        <v>0.4</v>
      </c>
      <c r="R993">
        <v>0.3</v>
      </c>
      <c r="S993">
        <v>0.35</v>
      </c>
      <c r="T993" t="s">
        <v>33</v>
      </c>
      <c r="U993">
        <v>4.6500000000000004</v>
      </c>
      <c r="V993">
        <v>83</v>
      </c>
      <c r="W993">
        <v>0</v>
      </c>
      <c r="X993">
        <v>83</v>
      </c>
      <c r="Y993">
        <v>3</v>
      </c>
      <c r="Z993">
        <v>0</v>
      </c>
      <c r="AA993">
        <v>3</v>
      </c>
      <c r="AB993" t="s">
        <v>36</v>
      </c>
      <c r="AC993">
        <v>83</v>
      </c>
      <c r="AD993">
        <v>-0.81</v>
      </c>
    </row>
    <row r="994" spans="1:30" x14ac:dyDescent="0.25">
      <c r="A994" s="1">
        <v>44784.334085648145</v>
      </c>
      <c r="B994" s="1">
        <v>44780.394780092596</v>
      </c>
      <c r="C994">
        <v>151712</v>
      </c>
      <c r="D994" t="s">
        <v>40</v>
      </c>
      <c r="E994" t="s">
        <v>31</v>
      </c>
      <c r="F994">
        <v>7</v>
      </c>
      <c r="G994">
        <v>43.289763999999998</v>
      </c>
      <c r="H994">
        <v>-71.564260000000004</v>
      </c>
      <c r="I994">
        <v>370</v>
      </c>
      <c r="J994">
        <v>86</v>
      </c>
      <c r="K994">
        <v>0</v>
      </c>
      <c r="L994" s="1">
        <v>44784.334050925929</v>
      </c>
      <c r="M994">
        <v>14</v>
      </c>
      <c r="N994">
        <v>13.2</v>
      </c>
      <c r="O994">
        <v>0.8</v>
      </c>
      <c r="P994">
        <v>6</v>
      </c>
      <c r="Q994">
        <v>0</v>
      </c>
      <c r="R994">
        <v>0</v>
      </c>
      <c r="S994">
        <v>0</v>
      </c>
      <c r="T994" t="s">
        <v>32</v>
      </c>
      <c r="V994">
        <v>59</v>
      </c>
      <c r="W994">
        <v>0</v>
      </c>
      <c r="X994">
        <v>59</v>
      </c>
      <c r="Y994">
        <v>0</v>
      </c>
      <c r="Z994">
        <v>0</v>
      </c>
      <c r="AA994">
        <v>0</v>
      </c>
      <c r="AB994" t="s">
        <v>36</v>
      </c>
      <c r="AC994">
        <v>59</v>
      </c>
    </row>
    <row r="995" spans="1:30" x14ac:dyDescent="0.25">
      <c r="A995" s="1">
        <v>44784.334097222221</v>
      </c>
      <c r="B995" s="1">
        <v>44784.333564814813</v>
      </c>
      <c r="C995">
        <v>151710</v>
      </c>
      <c r="D995" t="s">
        <v>41</v>
      </c>
      <c r="E995" t="s">
        <v>31</v>
      </c>
      <c r="F995">
        <v>7</v>
      </c>
      <c r="G995">
        <v>43.132477000000002</v>
      </c>
      <c r="H995">
        <v>-71.458374000000006</v>
      </c>
      <c r="I995">
        <v>230</v>
      </c>
      <c r="J995">
        <v>73</v>
      </c>
      <c r="K995">
        <v>0</v>
      </c>
      <c r="L995" s="1">
        <v>44784.334050925929</v>
      </c>
      <c r="M995">
        <v>6.4</v>
      </c>
      <c r="N995">
        <v>5</v>
      </c>
      <c r="O995">
        <v>1.4</v>
      </c>
      <c r="P995">
        <v>25</v>
      </c>
      <c r="Q995">
        <v>0.5</v>
      </c>
      <c r="R995">
        <v>0.1</v>
      </c>
      <c r="S995">
        <v>0.3</v>
      </c>
      <c r="T995" t="s">
        <v>33</v>
      </c>
      <c r="U995">
        <v>5.7</v>
      </c>
      <c r="V995">
        <v>64</v>
      </c>
      <c r="W995">
        <v>0</v>
      </c>
      <c r="X995">
        <v>64</v>
      </c>
      <c r="Y995">
        <v>0</v>
      </c>
      <c r="Z995">
        <v>0</v>
      </c>
      <c r="AA995">
        <v>0</v>
      </c>
      <c r="AB995" t="s">
        <v>36</v>
      </c>
      <c r="AC995">
        <v>64</v>
      </c>
      <c r="AD995">
        <v>1.1599999999999999</v>
      </c>
    </row>
    <row r="996" spans="1:30" x14ac:dyDescent="0.25">
      <c r="A996" s="1">
        <v>44784.334097222221</v>
      </c>
      <c r="B996" s="1">
        <v>44784.333240740743</v>
      </c>
      <c r="C996">
        <v>151706</v>
      </c>
      <c r="D996" t="s">
        <v>42</v>
      </c>
      <c r="E996" t="s">
        <v>31</v>
      </c>
      <c r="F996">
        <v>7</v>
      </c>
      <c r="G996">
        <v>43.004080000000002</v>
      </c>
      <c r="H996">
        <v>-71.177040000000005</v>
      </c>
      <c r="I996">
        <v>194</v>
      </c>
      <c r="J996">
        <v>73</v>
      </c>
      <c r="K996">
        <v>0</v>
      </c>
      <c r="L996" s="1">
        <v>44784.334050925929</v>
      </c>
      <c r="M996">
        <v>4</v>
      </c>
      <c r="N996">
        <v>0</v>
      </c>
      <c r="O996">
        <v>4</v>
      </c>
      <c r="P996">
        <v>200</v>
      </c>
      <c r="Q996">
        <v>0.3</v>
      </c>
      <c r="R996">
        <v>0</v>
      </c>
      <c r="S996">
        <v>0.15</v>
      </c>
      <c r="T996" t="s">
        <v>43</v>
      </c>
      <c r="V996">
        <v>65</v>
      </c>
      <c r="W996">
        <v>0</v>
      </c>
      <c r="X996">
        <v>65</v>
      </c>
      <c r="Y996">
        <v>2</v>
      </c>
      <c r="Z996">
        <v>0</v>
      </c>
      <c r="AA996">
        <v>2</v>
      </c>
      <c r="AB996" t="s">
        <v>36</v>
      </c>
      <c r="AC996">
        <v>65</v>
      </c>
    </row>
    <row r="997" spans="1:30" x14ac:dyDescent="0.25">
      <c r="A997" s="1">
        <v>44784.334097222221</v>
      </c>
      <c r="B997" s="1">
        <v>44784.332974537036</v>
      </c>
      <c r="C997">
        <v>12212</v>
      </c>
      <c r="D997" t="s">
        <v>44</v>
      </c>
      <c r="E997" t="s">
        <v>35</v>
      </c>
      <c r="F997">
        <v>7</v>
      </c>
      <c r="G997">
        <v>42.930529999999997</v>
      </c>
      <c r="H997">
        <v>-72.272350000000003</v>
      </c>
      <c r="I997">
        <v>476</v>
      </c>
      <c r="J997">
        <v>76</v>
      </c>
      <c r="K997">
        <v>0</v>
      </c>
      <c r="L997" s="1">
        <v>44784.334050925929</v>
      </c>
      <c r="M997">
        <v>6.8</v>
      </c>
      <c r="N997">
        <v>5.7</v>
      </c>
      <c r="O997">
        <v>1.1000000000000001</v>
      </c>
      <c r="P997">
        <v>18</v>
      </c>
      <c r="Q997">
        <v>0.1</v>
      </c>
      <c r="R997">
        <v>0</v>
      </c>
      <c r="S997">
        <v>0.05</v>
      </c>
      <c r="T997" t="s">
        <v>33</v>
      </c>
      <c r="U997">
        <v>6.25</v>
      </c>
      <c r="V997">
        <v>85</v>
      </c>
      <c r="W997">
        <v>0</v>
      </c>
      <c r="X997">
        <v>85</v>
      </c>
      <c r="Y997">
        <v>10</v>
      </c>
      <c r="Z997">
        <v>0</v>
      </c>
      <c r="AA997">
        <v>10</v>
      </c>
      <c r="AB997" t="s">
        <v>36</v>
      </c>
      <c r="AC997">
        <v>85</v>
      </c>
      <c r="AD997">
        <v>0.02</v>
      </c>
    </row>
    <row r="998" spans="1:30" x14ac:dyDescent="0.25">
      <c r="A998" s="1">
        <v>44784.334108796298</v>
      </c>
      <c r="B998" s="1">
        <v>44769.376736111109</v>
      </c>
      <c r="C998">
        <v>12178</v>
      </c>
      <c r="D998" t="s">
        <v>45</v>
      </c>
      <c r="E998" t="s">
        <v>35</v>
      </c>
      <c r="F998">
        <v>7</v>
      </c>
      <c r="G998">
        <v>42.899563000000001</v>
      </c>
      <c r="H998">
        <v>-71.464650000000006</v>
      </c>
      <c r="I998">
        <v>301</v>
      </c>
      <c r="J998">
        <v>85</v>
      </c>
      <c r="K998">
        <v>0</v>
      </c>
      <c r="L998" s="1">
        <v>44784.334050925929</v>
      </c>
      <c r="M998">
        <v>3.8</v>
      </c>
      <c r="N998">
        <v>3.1</v>
      </c>
      <c r="O998">
        <v>0.7</v>
      </c>
      <c r="P998">
        <v>20</v>
      </c>
      <c r="Q998">
        <v>0</v>
      </c>
      <c r="R998">
        <v>0</v>
      </c>
      <c r="S998">
        <v>0</v>
      </c>
      <c r="T998" t="s">
        <v>32</v>
      </c>
      <c r="V998">
        <v>35</v>
      </c>
      <c r="W998">
        <v>0</v>
      </c>
      <c r="X998">
        <v>35</v>
      </c>
      <c r="Y998">
        <v>0</v>
      </c>
      <c r="Z998">
        <v>0</v>
      </c>
      <c r="AA998">
        <v>0</v>
      </c>
      <c r="AB998" t="s">
        <v>36</v>
      </c>
      <c r="AC998">
        <v>35</v>
      </c>
    </row>
    <row r="999" spans="1:30" x14ac:dyDescent="0.25">
      <c r="A999" s="1">
        <v>44784.334108796298</v>
      </c>
      <c r="B999" s="1">
        <v>44784.333680555559</v>
      </c>
      <c r="C999">
        <v>75981</v>
      </c>
      <c r="D999" t="s">
        <v>46</v>
      </c>
      <c r="E999" t="s">
        <v>35</v>
      </c>
      <c r="F999">
        <v>7</v>
      </c>
      <c r="G999">
        <v>42.97</v>
      </c>
      <c r="H999">
        <v>-71.06</v>
      </c>
      <c r="I999">
        <v>136</v>
      </c>
      <c r="J999">
        <v>77</v>
      </c>
      <c r="K999">
        <v>0</v>
      </c>
      <c r="L999" s="1">
        <v>44784.334050925929</v>
      </c>
      <c r="M999">
        <v>6.3</v>
      </c>
      <c r="N999">
        <v>6</v>
      </c>
      <c r="O999">
        <v>0.3</v>
      </c>
      <c r="P999">
        <v>5</v>
      </c>
      <c r="Q999">
        <v>0.6</v>
      </c>
      <c r="R999">
        <v>0.7</v>
      </c>
      <c r="S999">
        <v>0.64999999999999902</v>
      </c>
      <c r="T999" t="s">
        <v>33</v>
      </c>
      <c r="U999">
        <v>6.15</v>
      </c>
      <c r="V999">
        <v>61</v>
      </c>
      <c r="W999">
        <v>0</v>
      </c>
      <c r="X999">
        <v>61</v>
      </c>
      <c r="Y999">
        <v>0</v>
      </c>
      <c r="Z999">
        <v>0</v>
      </c>
      <c r="AA999">
        <v>0</v>
      </c>
      <c r="AB999" t="s">
        <v>36</v>
      </c>
      <c r="AC999">
        <v>61</v>
      </c>
      <c r="AD999">
        <v>1.64</v>
      </c>
    </row>
    <row r="1000" spans="1:30" x14ac:dyDescent="0.25">
      <c r="A1000" s="1">
        <v>44784.334108796298</v>
      </c>
      <c r="B1000" s="1">
        <v>44784.332824074074</v>
      </c>
      <c r="C1000">
        <v>115703</v>
      </c>
      <c r="D1000" t="s">
        <v>47</v>
      </c>
      <c r="E1000" t="s">
        <v>35</v>
      </c>
      <c r="F1000">
        <v>7</v>
      </c>
      <c r="G1000">
        <v>43.953625000000002</v>
      </c>
      <c r="H1000">
        <v>-71.508859999999999</v>
      </c>
      <c r="I1000">
        <v>1493</v>
      </c>
      <c r="J1000">
        <v>67</v>
      </c>
      <c r="K1000">
        <v>0</v>
      </c>
      <c r="L1000" s="1">
        <v>44784.334050925929</v>
      </c>
      <c r="M1000">
        <v>0</v>
      </c>
      <c r="N1000">
        <v>300.89999999999998</v>
      </c>
      <c r="O1000">
        <v>300.89999999999998</v>
      </c>
      <c r="P1000">
        <v>200</v>
      </c>
      <c r="Q1000">
        <v>0</v>
      </c>
      <c r="R1000">
        <v>0</v>
      </c>
      <c r="S1000">
        <v>0</v>
      </c>
      <c r="T1000" t="s">
        <v>48</v>
      </c>
      <c r="V1000">
        <v>67</v>
      </c>
      <c r="W1000">
        <v>0</v>
      </c>
      <c r="X1000">
        <v>67</v>
      </c>
      <c r="Y1000">
        <v>1</v>
      </c>
      <c r="Z1000">
        <v>0</v>
      </c>
      <c r="AA1000">
        <v>1</v>
      </c>
      <c r="AB1000" t="s">
        <v>36</v>
      </c>
      <c r="AC1000">
        <v>67</v>
      </c>
    </row>
    <row r="1001" spans="1:30" x14ac:dyDescent="0.25">
      <c r="A1001" s="1">
        <v>44784.334120370368</v>
      </c>
      <c r="B1001" s="1">
        <v>44784.333634259259</v>
      </c>
      <c r="C1001">
        <v>12050</v>
      </c>
      <c r="D1001" t="s">
        <v>49</v>
      </c>
      <c r="E1001" t="s">
        <v>35</v>
      </c>
      <c r="F1001">
        <v>7</v>
      </c>
      <c r="G1001">
        <v>44.220573000000002</v>
      </c>
      <c r="H1001">
        <v>-71.732315</v>
      </c>
      <c r="I1001">
        <v>999</v>
      </c>
      <c r="J1001">
        <v>71</v>
      </c>
      <c r="K1001">
        <v>0</v>
      </c>
      <c r="L1001" s="1">
        <v>44784.334050925929</v>
      </c>
      <c r="M1001">
        <v>3.5</v>
      </c>
      <c r="N1001">
        <v>3.6</v>
      </c>
      <c r="O1001">
        <v>0.1</v>
      </c>
      <c r="P1001">
        <v>3</v>
      </c>
      <c r="Q1001">
        <v>0.2</v>
      </c>
      <c r="R1001">
        <v>0.2</v>
      </c>
      <c r="S1001">
        <v>0.2</v>
      </c>
      <c r="T1001" t="s">
        <v>33</v>
      </c>
      <c r="U1001">
        <v>3.55</v>
      </c>
      <c r="V1001">
        <v>55</v>
      </c>
      <c r="W1001">
        <v>0</v>
      </c>
      <c r="X1001">
        <v>55</v>
      </c>
      <c r="Y1001">
        <v>0</v>
      </c>
      <c r="Z1001">
        <v>0</v>
      </c>
      <c r="AA1001">
        <v>0</v>
      </c>
      <c r="AB1001" t="s">
        <v>36</v>
      </c>
      <c r="AC1001">
        <v>55</v>
      </c>
      <c r="AD1001">
        <v>0.48</v>
      </c>
    </row>
    <row r="1002" spans="1:30" x14ac:dyDescent="0.25">
      <c r="A1002" s="1">
        <v>44784.334120370368</v>
      </c>
      <c r="B1002" s="1">
        <v>44784.333738425928</v>
      </c>
      <c r="C1002">
        <v>23443</v>
      </c>
      <c r="D1002" t="s">
        <v>50</v>
      </c>
      <c r="E1002" t="s">
        <v>35</v>
      </c>
      <c r="F1002">
        <v>7</v>
      </c>
      <c r="G1002">
        <v>43.556139999999999</v>
      </c>
      <c r="H1002">
        <v>-72.370990000000006</v>
      </c>
      <c r="I1002">
        <v>523</v>
      </c>
      <c r="J1002">
        <v>73</v>
      </c>
      <c r="K1002">
        <v>0</v>
      </c>
      <c r="L1002" s="1">
        <v>44784.334050925929</v>
      </c>
      <c r="M1002">
        <v>6</v>
      </c>
      <c r="N1002">
        <v>5.2</v>
      </c>
      <c r="O1002">
        <v>0.8</v>
      </c>
      <c r="P1002">
        <v>14</v>
      </c>
      <c r="Q1002">
        <v>0.2</v>
      </c>
      <c r="R1002">
        <v>0.1</v>
      </c>
      <c r="S1002">
        <v>0.15</v>
      </c>
      <c r="T1002" t="s">
        <v>33</v>
      </c>
      <c r="U1002">
        <v>5.6</v>
      </c>
      <c r="V1002">
        <v>62</v>
      </c>
      <c r="W1002">
        <v>0</v>
      </c>
      <c r="X1002">
        <v>62</v>
      </c>
      <c r="Y1002">
        <v>2</v>
      </c>
      <c r="Z1002">
        <v>0</v>
      </c>
      <c r="AA1002">
        <v>2</v>
      </c>
      <c r="AB1002" t="s">
        <v>36</v>
      </c>
      <c r="AC1002">
        <v>62</v>
      </c>
      <c r="AD1002">
        <v>1.24</v>
      </c>
    </row>
    <row r="1003" spans="1:30" x14ac:dyDescent="0.25">
      <c r="A1003" s="1">
        <v>44784.334120370368</v>
      </c>
      <c r="B1003" s="1">
        <v>44784.333819444444</v>
      </c>
      <c r="C1003">
        <v>58135</v>
      </c>
      <c r="D1003" t="s">
        <v>51</v>
      </c>
      <c r="E1003" t="s">
        <v>35</v>
      </c>
      <c r="F1003">
        <v>7</v>
      </c>
      <c r="G1003">
        <v>42.883873000000001</v>
      </c>
      <c r="H1003">
        <v>-71.972915999999998</v>
      </c>
      <c r="I1003">
        <v>808</v>
      </c>
      <c r="J1003">
        <v>74</v>
      </c>
      <c r="K1003">
        <v>0</v>
      </c>
      <c r="L1003" s="1">
        <v>44784.334050925929</v>
      </c>
      <c r="M1003">
        <v>8.8000000000000007</v>
      </c>
      <c r="N1003">
        <v>26.5</v>
      </c>
      <c r="O1003">
        <v>17.7</v>
      </c>
      <c r="P1003">
        <v>100</v>
      </c>
      <c r="Q1003">
        <v>0.1</v>
      </c>
      <c r="R1003">
        <v>1.8</v>
      </c>
      <c r="S1003">
        <v>0.95</v>
      </c>
      <c r="T1003" t="s">
        <v>60</v>
      </c>
      <c r="V1003">
        <v>67</v>
      </c>
      <c r="W1003">
        <v>0</v>
      </c>
      <c r="X1003">
        <v>67</v>
      </c>
      <c r="Y1003">
        <v>1</v>
      </c>
      <c r="Z1003">
        <v>0</v>
      </c>
      <c r="AA1003">
        <v>1</v>
      </c>
      <c r="AB1003" t="s">
        <v>36</v>
      </c>
      <c r="AC1003">
        <v>67</v>
      </c>
    </row>
    <row r="1004" spans="1:30" x14ac:dyDescent="0.25">
      <c r="A1004" s="1">
        <v>44784.334120370368</v>
      </c>
      <c r="B1004" s="1">
        <v>44784.333865740744</v>
      </c>
      <c r="C1004">
        <v>148555</v>
      </c>
      <c r="D1004" t="s">
        <v>52</v>
      </c>
      <c r="E1004" t="s">
        <v>53</v>
      </c>
      <c r="F1004">
        <v>7</v>
      </c>
      <c r="G1004">
        <v>42.904949999999999</v>
      </c>
      <c r="H1004">
        <v>-71.386764999999997</v>
      </c>
      <c r="I1004">
        <v>363</v>
      </c>
      <c r="J1004">
        <v>0</v>
      </c>
      <c r="K1004">
        <v>0</v>
      </c>
      <c r="L1004" s="1">
        <v>44784.334050925929</v>
      </c>
      <c r="M1004">
        <v>4</v>
      </c>
      <c r="N1004">
        <v>4.5</v>
      </c>
      <c r="O1004">
        <v>0.5</v>
      </c>
      <c r="P1004">
        <v>12</v>
      </c>
      <c r="Q1004">
        <v>0.3</v>
      </c>
      <c r="R1004">
        <v>0.3</v>
      </c>
      <c r="S1004">
        <v>0.3</v>
      </c>
      <c r="T1004" t="s">
        <v>33</v>
      </c>
      <c r="U1004">
        <v>4.25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 t="s">
        <v>38</v>
      </c>
    </row>
    <row r="1005" spans="1:30" x14ac:dyDescent="0.25">
      <c r="A1005" s="1">
        <v>44784.334131944444</v>
      </c>
      <c r="B1005" s="1">
        <v>44784.333414351851</v>
      </c>
      <c r="C1005">
        <v>146644</v>
      </c>
      <c r="D1005" t="s">
        <v>54</v>
      </c>
      <c r="E1005" t="s">
        <v>53</v>
      </c>
      <c r="F1005">
        <v>7</v>
      </c>
      <c r="G1005">
        <v>43.06015</v>
      </c>
      <c r="H1005">
        <v>-70.758930000000007</v>
      </c>
      <c r="I1005">
        <v>35</v>
      </c>
      <c r="J1005">
        <v>72</v>
      </c>
      <c r="K1005">
        <v>74</v>
      </c>
      <c r="L1005" s="1">
        <v>44784.334050925929</v>
      </c>
      <c r="M1005">
        <v>7</v>
      </c>
      <c r="N1005">
        <v>5.7</v>
      </c>
      <c r="O1005">
        <v>1.3</v>
      </c>
      <c r="P1005">
        <v>20</v>
      </c>
      <c r="Q1005">
        <v>0.1</v>
      </c>
      <c r="R1005">
        <v>0.1</v>
      </c>
      <c r="S1005">
        <v>0.1</v>
      </c>
      <c r="T1005" t="s">
        <v>33</v>
      </c>
      <c r="U1005">
        <v>6.35</v>
      </c>
      <c r="V1005">
        <v>66</v>
      </c>
      <c r="W1005">
        <v>70</v>
      </c>
      <c r="X1005">
        <v>4</v>
      </c>
      <c r="Y1005">
        <v>1</v>
      </c>
      <c r="Z1005">
        <v>0</v>
      </c>
      <c r="AA1005">
        <v>1</v>
      </c>
      <c r="AB1005" t="s">
        <v>33</v>
      </c>
      <c r="AC1005">
        <v>68</v>
      </c>
      <c r="AD1005">
        <v>1.27</v>
      </c>
    </row>
    <row r="1006" spans="1:30" x14ac:dyDescent="0.25">
      <c r="A1006" s="1">
        <v>44784.334131944444</v>
      </c>
      <c r="B1006" s="1">
        <v>43755.283437500002</v>
      </c>
      <c r="C1006">
        <v>12188</v>
      </c>
      <c r="D1006" t="s">
        <v>55</v>
      </c>
      <c r="E1006" t="s">
        <v>35</v>
      </c>
      <c r="F1006">
        <v>4.1100000000000003</v>
      </c>
      <c r="G1006">
        <v>42.927050000000001</v>
      </c>
      <c r="H1006">
        <v>-72.279610000000005</v>
      </c>
      <c r="I1006">
        <v>475</v>
      </c>
      <c r="J1006">
        <v>95</v>
      </c>
      <c r="K1006">
        <v>0</v>
      </c>
      <c r="L1006" s="1">
        <v>44784.334050925929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 t="s">
        <v>32</v>
      </c>
      <c r="V1006">
        <v>77</v>
      </c>
      <c r="W1006">
        <v>0</v>
      </c>
      <c r="X1006">
        <v>77</v>
      </c>
      <c r="Y1006">
        <v>0</v>
      </c>
      <c r="Z1006">
        <v>0</v>
      </c>
      <c r="AA1006">
        <v>0</v>
      </c>
      <c r="AB1006" t="s">
        <v>36</v>
      </c>
      <c r="AC1006">
        <v>77</v>
      </c>
    </row>
    <row r="1007" spans="1:30" x14ac:dyDescent="0.25">
      <c r="A1007" s="1">
        <v>44784.334131944444</v>
      </c>
      <c r="B1007" s="1">
        <v>44784.333738425928</v>
      </c>
      <c r="C1007">
        <v>1224</v>
      </c>
      <c r="D1007" t="s">
        <v>56</v>
      </c>
      <c r="E1007" t="s">
        <v>35</v>
      </c>
      <c r="F1007" t="s">
        <v>57</v>
      </c>
      <c r="G1007">
        <v>42.938034000000002</v>
      </c>
      <c r="H1007">
        <v>-72.259299999999996</v>
      </c>
      <c r="I1007">
        <v>792</v>
      </c>
      <c r="J1007">
        <v>76</v>
      </c>
      <c r="K1007">
        <v>0</v>
      </c>
      <c r="L1007" s="1">
        <v>44784.334050925929</v>
      </c>
      <c r="M1007">
        <v>6.9</v>
      </c>
      <c r="N1007">
        <v>0</v>
      </c>
      <c r="O1007">
        <v>6.9</v>
      </c>
      <c r="P1007">
        <v>200</v>
      </c>
      <c r="Q1007">
        <v>0.5</v>
      </c>
      <c r="R1007">
        <v>0.1</v>
      </c>
      <c r="S1007">
        <v>0.3</v>
      </c>
      <c r="T1007" t="s">
        <v>43</v>
      </c>
      <c r="V1007">
        <v>87</v>
      </c>
      <c r="W1007">
        <v>0</v>
      </c>
      <c r="X1007">
        <v>87</v>
      </c>
      <c r="Y1007">
        <v>1</v>
      </c>
      <c r="Z1007">
        <v>0</v>
      </c>
      <c r="AA1007">
        <v>1</v>
      </c>
      <c r="AB1007" t="s">
        <v>36</v>
      </c>
      <c r="AC1007">
        <v>87</v>
      </c>
    </row>
    <row r="1008" spans="1:30" x14ac:dyDescent="0.25">
      <c r="A1008" s="1">
        <v>44784.334143518521</v>
      </c>
      <c r="B1008" s="1">
        <v>44784.333171296297</v>
      </c>
      <c r="C1008">
        <v>1202</v>
      </c>
      <c r="D1008" t="s">
        <v>58</v>
      </c>
      <c r="E1008" t="s">
        <v>35</v>
      </c>
      <c r="F1008" t="s">
        <v>57</v>
      </c>
      <c r="G1008">
        <v>42.936554000000001</v>
      </c>
      <c r="H1008">
        <v>-72.271019999999993</v>
      </c>
      <c r="I1008">
        <v>488</v>
      </c>
      <c r="J1008">
        <v>0</v>
      </c>
      <c r="K1008">
        <v>0</v>
      </c>
      <c r="L1008" s="1">
        <v>44784.334050925929</v>
      </c>
      <c r="M1008">
        <v>6.7</v>
      </c>
      <c r="N1008">
        <v>6.3</v>
      </c>
      <c r="O1008">
        <v>0.4</v>
      </c>
      <c r="P1008">
        <v>6</v>
      </c>
      <c r="Q1008">
        <v>0.6</v>
      </c>
      <c r="R1008">
        <v>0.3</v>
      </c>
      <c r="S1008">
        <v>0.44999999999999901</v>
      </c>
      <c r="T1008" t="s">
        <v>33</v>
      </c>
      <c r="U1008">
        <v>6.5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 t="s">
        <v>38</v>
      </c>
    </row>
    <row r="1009" spans="1:30" x14ac:dyDescent="0.25">
      <c r="A1009" s="1">
        <v>44784.334143518521</v>
      </c>
      <c r="B1009" s="1">
        <v>44612.080023148148</v>
      </c>
      <c r="C1009">
        <v>25985</v>
      </c>
      <c r="D1009" t="s">
        <v>59</v>
      </c>
      <c r="E1009" t="s">
        <v>35</v>
      </c>
      <c r="F1009">
        <v>6.01</v>
      </c>
      <c r="G1009">
        <v>42.927326000000001</v>
      </c>
      <c r="H1009">
        <v>-72.279979999999995</v>
      </c>
      <c r="I1009">
        <v>477</v>
      </c>
      <c r="J1009">
        <v>78</v>
      </c>
      <c r="K1009">
        <v>0</v>
      </c>
      <c r="L1009" s="1">
        <v>44784.334050925929</v>
      </c>
      <c r="M1009">
        <v>1.1000000000000001</v>
      </c>
      <c r="N1009">
        <v>1</v>
      </c>
      <c r="O1009">
        <v>0.1</v>
      </c>
      <c r="P1009">
        <v>10</v>
      </c>
      <c r="Q1009">
        <v>0</v>
      </c>
      <c r="R1009">
        <v>0</v>
      </c>
      <c r="S1009">
        <v>0</v>
      </c>
      <c r="T1009" t="s">
        <v>32</v>
      </c>
      <c r="V1009">
        <v>22</v>
      </c>
      <c r="W1009">
        <v>0</v>
      </c>
      <c r="X1009">
        <v>22</v>
      </c>
      <c r="Y1009">
        <v>0</v>
      </c>
      <c r="Z1009">
        <v>0</v>
      </c>
      <c r="AA1009">
        <v>0</v>
      </c>
      <c r="AB1009" t="s">
        <v>36</v>
      </c>
      <c r="AC1009">
        <v>22</v>
      </c>
    </row>
    <row r="1010" spans="1:30" x14ac:dyDescent="0.25">
      <c r="A1010" s="1">
        <v>44784.34101851852</v>
      </c>
      <c r="B1010" s="1">
        <v>44775.701319444444</v>
      </c>
      <c r="C1010">
        <v>151708</v>
      </c>
      <c r="D1010" t="s">
        <v>30</v>
      </c>
      <c r="E1010" t="s">
        <v>31</v>
      </c>
      <c r="F1010">
        <v>7</v>
      </c>
      <c r="G1010">
        <v>43.192042999999998</v>
      </c>
      <c r="H1010">
        <v>-71.541579999999996</v>
      </c>
      <c r="I1010">
        <v>291</v>
      </c>
      <c r="J1010">
        <v>93</v>
      </c>
      <c r="K1010">
        <v>94</v>
      </c>
      <c r="L1010" s="1">
        <v>44784.340995370374</v>
      </c>
      <c r="M1010">
        <v>7.9</v>
      </c>
      <c r="N1010">
        <v>7.6</v>
      </c>
      <c r="O1010">
        <v>0.3</v>
      </c>
      <c r="P1010">
        <v>4</v>
      </c>
      <c r="Q1010">
        <v>0</v>
      </c>
      <c r="R1010">
        <v>0</v>
      </c>
      <c r="S1010">
        <v>0</v>
      </c>
      <c r="T1010" t="s">
        <v>32</v>
      </c>
      <c r="V1010">
        <v>42</v>
      </c>
      <c r="W1010">
        <v>41</v>
      </c>
      <c r="X1010">
        <v>1</v>
      </c>
      <c r="Y1010">
        <v>0</v>
      </c>
      <c r="Z1010">
        <v>0</v>
      </c>
      <c r="AA1010">
        <v>0</v>
      </c>
      <c r="AB1010" t="s">
        <v>33</v>
      </c>
      <c r="AC1010">
        <v>41.5</v>
      </c>
    </row>
    <row r="1011" spans="1:30" x14ac:dyDescent="0.25">
      <c r="A1011" s="1">
        <v>44784.34101851852</v>
      </c>
      <c r="B1011" s="1">
        <v>44784.339328703703</v>
      </c>
      <c r="C1011">
        <v>143456</v>
      </c>
      <c r="D1011" t="s">
        <v>34</v>
      </c>
      <c r="E1011" t="s">
        <v>35</v>
      </c>
      <c r="F1011">
        <v>7</v>
      </c>
      <c r="G1011">
        <v>43.08963</v>
      </c>
      <c r="H1011">
        <v>-71.502440000000007</v>
      </c>
      <c r="I1011">
        <v>619</v>
      </c>
      <c r="J1011">
        <v>71</v>
      </c>
      <c r="K1011">
        <v>0</v>
      </c>
      <c r="L1011" s="1">
        <v>44784.340995370374</v>
      </c>
      <c r="M1011">
        <v>3.9</v>
      </c>
      <c r="N1011">
        <v>4.0999999999999996</v>
      </c>
      <c r="O1011">
        <v>0.2</v>
      </c>
      <c r="P1011">
        <v>5</v>
      </c>
      <c r="Q1011">
        <v>0.1</v>
      </c>
      <c r="R1011">
        <v>0.2</v>
      </c>
      <c r="S1011">
        <v>0.15</v>
      </c>
      <c r="T1011" t="s">
        <v>33</v>
      </c>
      <c r="U1011">
        <v>4</v>
      </c>
      <c r="V1011">
        <v>71</v>
      </c>
      <c r="W1011">
        <v>0</v>
      </c>
      <c r="X1011">
        <v>71</v>
      </c>
      <c r="Y1011">
        <v>0</v>
      </c>
      <c r="Z1011">
        <v>0</v>
      </c>
      <c r="AA1011">
        <v>0</v>
      </c>
      <c r="AB1011" t="s">
        <v>36</v>
      </c>
      <c r="AC1011">
        <v>71</v>
      </c>
      <c r="AD1011">
        <v>-0.37</v>
      </c>
    </row>
    <row r="1012" spans="1:30" x14ac:dyDescent="0.25">
      <c r="A1012" s="1">
        <v>44784.34103009259</v>
      </c>
      <c r="B1012" s="1">
        <v>44784.339513888888</v>
      </c>
      <c r="C1012">
        <v>151702</v>
      </c>
      <c r="D1012" t="s">
        <v>37</v>
      </c>
      <c r="E1012" t="s">
        <v>31</v>
      </c>
      <c r="F1012">
        <v>7</v>
      </c>
      <c r="G1012">
        <v>43.118609999999997</v>
      </c>
      <c r="H1012">
        <v>-71.61618</v>
      </c>
      <c r="I1012">
        <v>885</v>
      </c>
      <c r="J1012">
        <v>0</v>
      </c>
      <c r="K1012">
        <v>0</v>
      </c>
      <c r="L1012" s="1">
        <v>44784.340995370374</v>
      </c>
      <c r="M1012">
        <v>4.5</v>
      </c>
      <c r="N1012">
        <v>4.7</v>
      </c>
      <c r="O1012">
        <v>0.2</v>
      </c>
      <c r="P1012">
        <v>4</v>
      </c>
      <c r="Q1012">
        <v>0.1</v>
      </c>
      <c r="R1012">
        <v>0.1</v>
      </c>
      <c r="S1012">
        <v>0.1</v>
      </c>
      <c r="T1012" t="s">
        <v>33</v>
      </c>
      <c r="U1012">
        <v>4.5999999999999996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 t="s">
        <v>38</v>
      </c>
    </row>
    <row r="1013" spans="1:30" x14ac:dyDescent="0.25">
      <c r="A1013" s="1">
        <v>44784.34103009259</v>
      </c>
      <c r="B1013" s="1">
        <v>44784.339398148149</v>
      </c>
      <c r="C1013">
        <v>151700</v>
      </c>
      <c r="D1013" t="s">
        <v>30</v>
      </c>
      <c r="E1013" t="s">
        <v>31</v>
      </c>
      <c r="F1013">
        <v>7</v>
      </c>
      <c r="G1013">
        <v>43.19211</v>
      </c>
      <c r="H1013">
        <v>-71.541460000000001</v>
      </c>
      <c r="I1013">
        <v>286</v>
      </c>
      <c r="J1013">
        <v>73</v>
      </c>
      <c r="K1013">
        <v>0</v>
      </c>
      <c r="L1013" s="1">
        <v>44784.340995370374</v>
      </c>
      <c r="M1013">
        <v>5.0999999999999996</v>
      </c>
      <c r="N1013">
        <v>5.8</v>
      </c>
      <c r="O1013">
        <v>0.7</v>
      </c>
      <c r="P1013">
        <v>13</v>
      </c>
      <c r="Q1013">
        <v>0.3</v>
      </c>
      <c r="R1013">
        <v>0.2</v>
      </c>
      <c r="S1013">
        <v>0.25</v>
      </c>
      <c r="T1013" t="s">
        <v>33</v>
      </c>
      <c r="U1013">
        <v>5.45</v>
      </c>
      <c r="V1013">
        <v>66</v>
      </c>
      <c r="W1013">
        <v>0</v>
      </c>
      <c r="X1013">
        <v>66</v>
      </c>
      <c r="Y1013">
        <v>1</v>
      </c>
      <c r="Z1013">
        <v>0</v>
      </c>
      <c r="AA1013">
        <v>1</v>
      </c>
      <c r="AB1013" t="s">
        <v>36</v>
      </c>
      <c r="AC1013">
        <v>66</v>
      </c>
      <c r="AD1013">
        <v>0.86</v>
      </c>
    </row>
    <row r="1014" spans="1:30" x14ac:dyDescent="0.25">
      <c r="A1014" s="1">
        <v>44784.34103009259</v>
      </c>
      <c r="B1014" s="1">
        <v>44784.339814814812</v>
      </c>
      <c r="C1014">
        <v>135984</v>
      </c>
      <c r="D1014" t="s">
        <v>39</v>
      </c>
      <c r="E1014" t="s">
        <v>31</v>
      </c>
      <c r="F1014">
        <v>7</v>
      </c>
      <c r="G1014">
        <v>43.565852999999997</v>
      </c>
      <c r="H1014">
        <v>-71.496129999999994</v>
      </c>
      <c r="I1014">
        <v>708</v>
      </c>
      <c r="J1014">
        <v>73</v>
      </c>
      <c r="K1014">
        <v>0</v>
      </c>
      <c r="L1014" s="1">
        <v>44784.340995370374</v>
      </c>
      <c r="M1014">
        <v>4.7</v>
      </c>
      <c r="N1014">
        <v>3.8</v>
      </c>
      <c r="O1014">
        <v>0.9</v>
      </c>
      <c r="P1014">
        <v>21</v>
      </c>
      <c r="Q1014">
        <v>0.4</v>
      </c>
      <c r="R1014">
        <v>0.4</v>
      </c>
      <c r="S1014">
        <v>0.4</v>
      </c>
      <c r="T1014" t="s">
        <v>33</v>
      </c>
      <c r="U1014">
        <v>4.25</v>
      </c>
      <c r="V1014">
        <v>80</v>
      </c>
      <c r="W1014">
        <v>0</v>
      </c>
      <c r="X1014">
        <v>80</v>
      </c>
      <c r="Y1014">
        <v>3</v>
      </c>
      <c r="Z1014">
        <v>0</v>
      </c>
      <c r="AA1014">
        <v>3</v>
      </c>
      <c r="AB1014" t="s">
        <v>36</v>
      </c>
      <c r="AC1014">
        <v>80</v>
      </c>
      <c r="AD1014">
        <v>-0.85</v>
      </c>
    </row>
    <row r="1015" spans="1:30" x14ac:dyDescent="0.25">
      <c r="A1015" s="1">
        <v>44784.34103009259</v>
      </c>
      <c r="B1015" s="1">
        <v>44780.394780092596</v>
      </c>
      <c r="C1015">
        <v>151712</v>
      </c>
      <c r="D1015" t="s">
        <v>40</v>
      </c>
      <c r="E1015" t="s">
        <v>31</v>
      </c>
      <c r="F1015">
        <v>7</v>
      </c>
      <c r="G1015">
        <v>43.289763999999998</v>
      </c>
      <c r="H1015">
        <v>-71.564260000000004</v>
      </c>
      <c r="I1015">
        <v>370</v>
      </c>
      <c r="J1015">
        <v>86</v>
      </c>
      <c r="K1015">
        <v>0</v>
      </c>
      <c r="L1015" s="1">
        <v>44784.340995370374</v>
      </c>
      <c r="M1015">
        <v>14</v>
      </c>
      <c r="N1015">
        <v>13.2</v>
      </c>
      <c r="O1015">
        <v>0.8</v>
      </c>
      <c r="P1015">
        <v>6</v>
      </c>
      <c r="Q1015">
        <v>0</v>
      </c>
      <c r="R1015">
        <v>0</v>
      </c>
      <c r="S1015">
        <v>0</v>
      </c>
      <c r="T1015" t="s">
        <v>32</v>
      </c>
      <c r="V1015">
        <v>59</v>
      </c>
      <c r="W1015">
        <v>0</v>
      </c>
      <c r="X1015">
        <v>59</v>
      </c>
      <c r="Y1015">
        <v>0</v>
      </c>
      <c r="Z1015">
        <v>0</v>
      </c>
      <c r="AA1015">
        <v>0</v>
      </c>
      <c r="AB1015" t="s">
        <v>36</v>
      </c>
      <c r="AC1015">
        <v>59</v>
      </c>
    </row>
    <row r="1016" spans="1:30" x14ac:dyDescent="0.25">
      <c r="A1016" s="1">
        <v>44784.341041666667</v>
      </c>
      <c r="B1016" s="1">
        <v>44784.339120370372</v>
      </c>
      <c r="C1016">
        <v>151710</v>
      </c>
      <c r="D1016" t="s">
        <v>41</v>
      </c>
      <c r="E1016" t="s">
        <v>31</v>
      </c>
      <c r="F1016">
        <v>7</v>
      </c>
      <c r="G1016">
        <v>43.132477000000002</v>
      </c>
      <c r="H1016">
        <v>-71.458374000000006</v>
      </c>
      <c r="I1016">
        <v>230</v>
      </c>
      <c r="J1016">
        <v>73</v>
      </c>
      <c r="K1016">
        <v>0</v>
      </c>
      <c r="L1016" s="1">
        <v>44784.340995370374</v>
      </c>
      <c r="M1016">
        <v>6.8</v>
      </c>
      <c r="N1016">
        <v>5.2</v>
      </c>
      <c r="O1016">
        <v>1.6</v>
      </c>
      <c r="P1016">
        <v>27</v>
      </c>
      <c r="Q1016">
        <v>0.4</v>
      </c>
      <c r="R1016">
        <v>0.2</v>
      </c>
      <c r="S1016">
        <v>0.3</v>
      </c>
      <c r="T1016" t="s">
        <v>33</v>
      </c>
      <c r="U1016">
        <v>6</v>
      </c>
      <c r="V1016">
        <v>63</v>
      </c>
      <c r="W1016">
        <v>0</v>
      </c>
      <c r="X1016">
        <v>63</v>
      </c>
      <c r="Y1016">
        <v>1</v>
      </c>
      <c r="Z1016">
        <v>0</v>
      </c>
      <c r="AA1016">
        <v>1</v>
      </c>
      <c r="AB1016" t="s">
        <v>36</v>
      </c>
      <c r="AC1016">
        <v>63</v>
      </c>
      <c r="AD1016">
        <v>1.41</v>
      </c>
    </row>
    <row r="1017" spans="1:30" x14ac:dyDescent="0.25">
      <c r="A1017" s="1">
        <v>44784.341041666667</v>
      </c>
      <c r="B1017" s="1">
        <v>44784.340185185189</v>
      </c>
      <c r="C1017">
        <v>151706</v>
      </c>
      <c r="D1017" t="s">
        <v>42</v>
      </c>
      <c r="E1017" t="s">
        <v>31</v>
      </c>
      <c r="F1017">
        <v>7</v>
      </c>
      <c r="G1017">
        <v>43.004080000000002</v>
      </c>
      <c r="H1017">
        <v>-71.177040000000005</v>
      </c>
      <c r="I1017">
        <v>194</v>
      </c>
      <c r="J1017">
        <v>74</v>
      </c>
      <c r="K1017">
        <v>0</v>
      </c>
      <c r="L1017" s="1">
        <v>44784.340995370374</v>
      </c>
      <c r="M1017">
        <v>4.3</v>
      </c>
      <c r="N1017">
        <v>0</v>
      </c>
      <c r="O1017">
        <v>4.3</v>
      </c>
      <c r="P1017">
        <v>200</v>
      </c>
      <c r="Q1017">
        <v>0.3</v>
      </c>
      <c r="R1017">
        <v>0</v>
      </c>
      <c r="S1017">
        <v>0.15</v>
      </c>
      <c r="T1017" t="s">
        <v>43</v>
      </c>
      <c r="V1017">
        <v>65</v>
      </c>
      <c r="W1017">
        <v>0</v>
      </c>
      <c r="X1017">
        <v>65</v>
      </c>
      <c r="Y1017">
        <v>0</v>
      </c>
      <c r="Z1017">
        <v>0</v>
      </c>
      <c r="AA1017">
        <v>0</v>
      </c>
      <c r="AB1017" t="s">
        <v>36</v>
      </c>
      <c r="AC1017">
        <v>65</v>
      </c>
    </row>
    <row r="1018" spans="1:30" x14ac:dyDescent="0.25">
      <c r="A1018" s="1">
        <v>44784.341041666667</v>
      </c>
      <c r="B1018" s="1">
        <v>44784.339918981481</v>
      </c>
      <c r="C1018">
        <v>12212</v>
      </c>
      <c r="D1018" t="s">
        <v>44</v>
      </c>
      <c r="E1018" t="s">
        <v>35</v>
      </c>
      <c r="F1018">
        <v>7</v>
      </c>
      <c r="G1018">
        <v>42.930529999999997</v>
      </c>
      <c r="H1018">
        <v>-72.272350000000003</v>
      </c>
      <c r="I1018">
        <v>476</v>
      </c>
      <c r="J1018">
        <v>78</v>
      </c>
      <c r="K1018">
        <v>0</v>
      </c>
      <c r="L1018" s="1">
        <v>44784.340995370374</v>
      </c>
      <c r="M1018">
        <v>7.3</v>
      </c>
      <c r="N1018">
        <v>6.2</v>
      </c>
      <c r="O1018">
        <v>1.1000000000000001</v>
      </c>
      <c r="P1018">
        <v>16</v>
      </c>
      <c r="Q1018">
        <v>0.5</v>
      </c>
      <c r="R1018">
        <v>0.5</v>
      </c>
      <c r="S1018">
        <v>0.5</v>
      </c>
      <c r="T1018" t="s">
        <v>33</v>
      </c>
      <c r="U1018">
        <v>6.75</v>
      </c>
      <c r="V1018">
        <v>84</v>
      </c>
      <c r="W1018">
        <v>0</v>
      </c>
      <c r="X1018">
        <v>84</v>
      </c>
      <c r="Y1018">
        <v>1</v>
      </c>
      <c r="Z1018">
        <v>0</v>
      </c>
      <c r="AA1018">
        <v>1</v>
      </c>
      <c r="AB1018" t="s">
        <v>36</v>
      </c>
      <c r="AC1018">
        <v>84</v>
      </c>
      <c r="AD1018">
        <v>0.4</v>
      </c>
    </row>
    <row r="1019" spans="1:30" x14ac:dyDescent="0.25">
      <c r="A1019" s="1">
        <v>44784.341053240743</v>
      </c>
      <c r="B1019" s="1">
        <v>44769.376736111109</v>
      </c>
      <c r="C1019">
        <v>12178</v>
      </c>
      <c r="D1019" t="s">
        <v>45</v>
      </c>
      <c r="E1019" t="s">
        <v>35</v>
      </c>
      <c r="F1019">
        <v>7</v>
      </c>
      <c r="G1019">
        <v>42.899563000000001</v>
      </c>
      <c r="H1019">
        <v>-71.464650000000006</v>
      </c>
      <c r="I1019">
        <v>301</v>
      </c>
      <c r="J1019">
        <v>85</v>
      </c>
      <c r="K1019">
        <v>0</v>
      </c>
      <c r="L1019" s="1">
        <v>44784.340995370374</v>
      </c>
      <c r="M1019">
        <v>3.8</v>
      </c>
      <c r="N1019">
        <v>3.1</v>
      </c>
      <c r="O1019">
        <v>0.7</v>
      </c>
      <c r="P1019">
        <v>20</v>
      </c>
      <c r="Q1019">
        <v>0</v>
      </c>
      <c r="R1019">
        <v>0</v>
      </c>
      <c r="S1019">
        <v>0</v>
      </c>
      <c r="T1019" t="s">
        <v>32</v>
      </c>
      <c r="V1019">
        <v>35</v>
      </c>
      <c r="W1019">
        <v>0</v>
      </c>
      <c r="X1019">
        <v>35</v>
      </c>
      <c r="Y1019">
        <v>0</v>
      </c>
      <c r="Z1019">
        <v>0</v>
      </c>
      <c r="AA1019">
        <v>0</v>
      </c>
      <c r="AB1019" t="s">
        <v>36</v>
      </c>
      <c r="AC1019">
        <v>35</v>
      </c>
    </row>
    <row r="1020" spans="1:30" x14ac:dyDescent="0.25">
      <c r="A1020" s="1">
        <v>44784.341053240743</v>
      </c>
      <c r="B1020" s="1">
        <v>44784.339236111111</v>
      </c>
      <c r="C1020">
        <v>75981</v>
      </c>
      <c r="D1020" t="s">
        <v>46</v>
      </c>
      <c r="E1020" t="s">
        <v>35</v>
      </c>
      <c r="F1020">
        <v>7</v>
      </c>
      <c r="G1020">
        <v>42.97</v>
      </c>
      <c r="H1020">
        <v>-71.06</v>
      </c>
      <c r="I1020">
        <v>136</v>
      </c>
      <c r="J1020">
        <v>77</v>
      </c>
      <c r="K1020">
        <v>0</v>
      </c>
      <c r="L1020" s="1">
        <v>44784.340995370374</v>
      </c>
      <c r="M1020">
        <v>6.8</v>
      </c>
      <c r="N1020">
        <v>6.4</v>
      </c>
      <c r="O1020">
        <v>0.4</v>
      </c>
      <c r="P1020">
        <v>6</v>
      </c>
      <c r="Q1020">
        <v>0.5</v>
      </c>
      <c r="R1020">
        <v>0.4</v>
      </c>
      <c r="S1020">
        <v>0.45</v>
      </c>
      <c r="T1020" t="s">
        <v>33</v>
      </c>
      <c r="U1020">
        <v>6.6</v>
      </c>
      <c r="V1020">
        <v>61</v>
      </c>
      <c r="W1020">
        <v>0</v>
      </c>
      <c r="X1020">
        <v>61</v>
      </c>
      <c r="Y1020">
        <v>0</v>
      </c>
      <c r="Z1020">
        <v>0</v>
      </c>
      <c r="AA1020">
        <v>0</v>
      </c>
      <c r="AB1020" t="s">
        <v>36</v>
      </c>
      <c r="AC1020">
        <v>61</v>
      </c>
      <c r="AD1020">
        <v>1.92</v>
      </c>
    </row>
    <row r="1021" spans="1:30" x14ac:dyDescent="0.25">
      <c r="A1021" s="1">
        <v>44784.341053240743</v>
      </c>
      <c r="B1021" s="1">
        <v>44784.339768518519</v>
      </c>
      <c r="C1021">
        <v>115703</v>
      </c>
      <c r="D1021" t="s">
        <v>47</v>
      </c>
      <c r="E1021" t="s">
        <v>35</v>
      </c>
      <c r="F1021">
        <v>7</v>
      </c>
      <c r="G1021">
        <v>43.953625000000002</v>
      </c>
      <c r="H1021">
        <v>-71.508859999999999</v>
      </c>
      <c r="I1021">
        <v>1493</v>
      </c>
      <c r="J1021">
        <v>67</v>
      </c>
      <c r="K1021">
        <v>0</v>
      </c>
      <c r="L1021" s="1">
        <v>44784.340995370374</v>
      </c>
      <c r="M1021">
        <v>0</v>
      </c>
      <c r="N1021">
        <v>300.89999999999998</v>
      </c>
      <c r="O1021">
        <v>300.89999999999998</v>
      </c>
      <c r="P1021">
        <v>200</v>
      </c>
      <c r="Q1021">
        <v>0</v>
      </c>
      <c r="R1021">
        <v>0</v>
      </c>
      <c r="S1021">
        <v>0</v>
      </c>
      <c r="T1021" t="s">
        <v>48</v>
      </c>
      <c r="V1021">
        <v>66</v>
      </c>
      <c r="W1021">
        <v>0</v>
      </c>
      <c r="X1021">
        <v>66</v>
      </c>
      <c r="Y1021">
        <v>1</v>
      </c>
      <c r="Z1021">
        <v>0</v>
      </c>
      <c r="AA1021">
        <v>1</v>
      </c>
      <c r="AB1021" t="s">
        <v>36</v>
      </c>
      <c r="AC1021">
        <v>66</v>
      </c>
    </row>
    <row r="1022" spans="1:30" x14ac:dyDescent="0.25">
      <c r="A1022" s="1">
        <v>44784.341053240743</v>
      </c>
      <c r="B1022" s="1">
        <v>44784.339189814818</v>
      </c>
      <c r="C1022">
        <v>12050</v>
      </c>
      <c r="D1022" t="s">
        <v>49</v>
      </c>
      <c r="E1022" t="s">
        <v>35</v>
      </c>
      <c r="F1022">
        <v>7</v>
      </c>
      <c r="G1022">
        <v>44.220573000000002</v>
      </c>
      <c r="H1022">
        <v>-71.732315</v>
      </c>
      <c r="I1022">
        <v>999</v>
      </c>
      <c r="J1022">
        <v>72</v>
      </c>
      <c r="K1022">
        <v>0</v>
      </c>
      <c r="L1022" s="1">
        <v>44784.340995370374</v>
      </c>
      <c r="M1022">
        <v>3.5</v>
      </c>
      <c r="N1022">
        <v>3.7</v>
      </c>
      <c r="O1022">
        <v>0.2</v>
      </c>
      <c r="P1022">
        <v>6</v>
      </c>
      <c r="Q1022">
        <v>0</v>
      </c>
      <c r="R1022">
        <v>0.1</v>
      </c>
      <c r="S1022">
        <v>0.05</v>
      </c>
      <c r="T1022" t="s">
        <v>33</v>
      </c>
      <c r="U1022">
        <v>3.6</v>
      </c>
      <c r="V1022">
        <v>55</v>
      </c>
      <c r="W1022">
        <v>0</v>
      </c>
      <c r="X1022">
        <v>55</v>
      </c>
      <c r="Y1022">
        <v>0</v>
      </c>
      <c r="Z1022">
        <v>0</v>
      </c>
      <c r="AA1022">
        <v>0</v>
      </c>
      <c r="AB1022" t="s">
        <v>36</v>
      </c>
      <c r="AC1022">
        <v>55</v>
      </c>
      <c r="AD1022">
        <v>0.51</v>
      </c>
    </row>
    <row r="1023" spans="1:30" x14ac:dyDescent="0.25">
      <c r="A1023" s="1">
        <v>44784.341064814813</v>
      </c>
      <c r="B1023" s="1">
        <v>44784.33929398148</v>
      </c>
      <c r="C1023">
        <v>23443</v>
      </c>
      <c r="D1023" t="s">
        <v>50</v>
      </c>
      <c r="E1023" t="s">
        <v>35</v>
      </c>
      <c r="F1023">
        <v>7</v>
      </c>
      <c r="G1023">
        <v>43.556139999999999</v>
      </c>
      <c r="H1023">
        <v>-72.370990000000006</v>
      </c>
      <c r="I1023">
        <v>523</v>
      </c>
      <c r="J1023">
        <v>73</v>
      </c>
      <c r="K1023">
        <v>0</v>
      </c>
      <c r="L1023" s="1">
        <v>44784.340995370374</v>
      </c>
      <c r="M1023">
        <v>5.9</v>
      </c>
      <c r="N1023">
        <v>5.3</v>
      </c>
      <c r="O1023">
        <v>0.6</v>
      </c>
      <c r="P1023">
        <v>11</v>
      </c>
      <c r="Q1023">
        <v>0.1</v>
      </c>
      <c r="R1023">
        <v>0.1</v>
      </c>
      <c r="S1023">
        <v>0.1</v>
      </c>
      <c r="T1023" t="s">
        <v>33</v>
      </c>
      <c r="U1023">
        <v>5.6</v>
      </c>
      <c r="V1023">
        <v>62</v>
      </c>
      <c r="W1023">
        <v>0</v>
      </c>
      <c r="X1023">
        <v>62</v>
      </c>
      <c r="Y1023">
        <v>0</v>
      </c>
      <c r="Z1023">
        <v>0</v>
      </c>
      <c r="AA1023">
        <v>0</v>
      </c>
      <c r="AB1023" t="s">
        <v>36</v>
      </c>
      <c r="AC1023">
        <v>62</v>
      </c>
      <c r="AD1023">
        <v>1.24</v>
      </c>
    </row>
    <row r="1024" spans="1:30" x14ac:dyDescent="0.25">
      <c r="A1024" s="1">
        <v>44784.341064814813</v>
      </c>
      <c r="B1024" s="1">
        <v>44784.339375000003</v>
      </c>
      <c r="C1024">
        <v>58135</v>
      </c>
      <c r="D1024" t="s">
        <v>51</v>
      </c>
      <c r="E1024" t="s">
        <v>35</v>
      </c>
      <c r="F1024">
        <v>7</v>
      </c>
      <c r="G1024">
        <v>42.883873000000001</v>
      </c>
      <c r="H1024">
        <v>-71.972915999999998</v>
      </c>
      <c r="I1024">
        <v>808</v>
      </c>
      <c r="J1024">
        <v>74</v>
      </c>
      <c r="K1024">
        <v>0</v>
      </c>
      <c r="L1024" s="1">
        <v>44784.340995370374</v>
      </c>
      <c r="M1024">
        <v>8.6999999999999993</v>
      </c>
      <c r="N1024">
        <v>30.3</v>
      </c>
      <c r="O1024">
        <v>21.6</v>
      </c>
      <c r="P1024">
        <v>111</v>
      </c>
      <c r="Q1024">
        <v>0.1</v>
      </c>
      <c r="R1024">
        <v>3.8</v>
      </c>
      <c r="S1024">
        <v>1.95</v>
      </c>
      <c r="T1024" t="s">
        <v>60</v>
      </c>
      <c r="V1024">
        <v>67</v>
      </c>
      <c r="W1024">
        <v>0</v>
      </c>
      <c r="X1024">
        <v>67</v>
      </c>
      <c r="Y1024">
        <v>0</v>
      </c>
      <c r="Z1024">
        <v>0</v>
      </c>
      <c r="AA1024">
        <v>0</v>
      </c>
      <c r="AB1024" t="s">
        <v>36</v>
      </c>
      <c r="AC1024">
        <v>67</v>
      </c>
    </row>
    <row r="1025" spans="1:30" x14ac:dyDescent="0.25">
      <c r="A1025" s="1">
        <v>44784.341145833336</v>
      </c>
      <c r="B1025" s="1">
        <v>44784.340821759259</v>
      </c>
      <c r="C1025">
        <v>148555</v>
      </c>
      <c r="D1025" t="s">
        <v>52</v>
      </c>
      <c r="E1025" t="s">
        <v>53</v>
      </c>
      <c r="F1025">
        <v>7</v>
      </c>
      <c r="G1025">
        <v>42.904949999999999</v>
      </c>
      <c r="H1025">
        <v>-71.386764999999997</v>
      </c>
      <c r="I1025">
        <v>363</v>
      </c>
      <c r="J1025">
        <v>0</v>
      </c>
      <c r="K1025">
        <v>0</v>
      </c>
      <c r="L1025" s="1">
        <v>44784.340995370374</v>
      </c>
      <c r="M1025">
        <v>4.2</v>
      </c>
      <c r="N1025">
        <v>4.5999999999999996</v>
      </c>
      <c r="O1025">
        <v>0.4</v>
      </c>
      <c r="P1025">
        <v>9</v>
      </c>
      <c r="Q1025">
        <v>0.2</v>
      </c>
      <c r="R1025">
        <v>0.1</v>
      </c>
      <c r="S1025">
        <v>0.15</v>
      </c>
      <c r="T1025" t="s">
        <v>33</v>
      </c>
      <c r="U1025">
        <v>4.4000000000000004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 t="s">
        <v>38</v>
      </c>
    </row>
    <row r="1026" spans="1:30" x14ac:dyDescent="0.25">
      <c r="A1026" s="1">
        <v>44784.341145833336</v>
      </c>
      <c r="B1026" s="1">
        <v>44784.34034722222</v>
      </c>
      <c r="C1026">
        <v>146644</v>
      </c>
      <c r="D1026" t="s">
        <v>54</v>
      </c>
      <c r="E1026" t="s">
        <v>53</v>
      </c>
      <c r="F1026">
        <v>7</v>
      </c>
      <c r="G1026">
        <v>43.06015</v>
      </c>
      <c r="H1026">
        <v>-70.758930000000007</v>
      </c>
      <c r="I1026">
        <v>35</v>
      </c>
      <c r="J1026">
        <v>72</v>
      </c>
      <c r="K1026">
        <v>73</v>
      </c>
      <c r="L1026" s="1">
        <v>44784.340995370374</v>
      </c>
      <c r="M1026">
        <v>7.2</v>
      </c>
      <c r="N1026">
        <v>5.9</v>
      </c>
      <c r="O1026">
        <v>1.3</v>
      </c>
      <c r="P1026">
        <v>20</v>
      </c>
      <c r="Q1026">
        <v>0.2</v>
      </c>
      <c r="R1026">
        <v>0.2</v>
      </c>
      <c r="S1026">
        <v>0.2</v>
      </c>
      <c r="T1026" t="s">
        <v>33</v>
      </c>
      <c r="U1026">
        <v>6.55</v>
      </c>
      <c r="V1026">
        <v>65</v>
      </c>
      <c r="W1026">
        <v>70</v>
      </c>
      <c r="X1026">
        <v>5</v>
      </c>
      <c r="Y1026">
        <v>1</v>
      </c>
      <c r="Z1026">
        <v>0</v>
      </c>
      <c r="AA1026">
        <v>1</v>
      </c>
      <c r="AB1026" t="s">
        <v>33</v>
      </c>
      <c r="AC1026">
        <v>67.5</v>
      </c>
      <c r="AD1026">
        <v>1.43</v>
      </c>
    </row>
    <row r="1027" spans="1:30" x14ac:dyDescent="0.25">
      <c r="A1027" s="1">
        <v>44784.341145833336</v>
      </c>
      <c r="B1027" s="1">
        <v>43755.283437500002</v>
      </c>
      <c r="C1027">
        <v>12188</v>
      </c>
      <c r="D1027" t="s">
        <v>55</v>
      </c>
      <c r="E1027" t="s">
        <v>35</v>
      </c>
      <c r="F1027">
        <v>4.1100000000000003</v>
      </c>
      <c r="G1027">
        <v>42.927050000000001</v>
      </c>
      <c r="H1027">
        <v>-72.279610000000005</v>
      </c>
      <c r="I1027">
        <v>475</v>
      </c>
      <c r="J1027">
        <v>95</v>
      </c>
      <c r="K1027">
        <v>0</v>
      </c>
      <c r="L1027" s="1">
        <v>44784.340995370374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 t="s">
        <v>32</v>
      </c>
      <c r="V1027">
        <v>77</v>
      </c>
      <c r="W1027">
        <v>0</v>
      </c>
      <c r="X1027">
        <v>77</v>
      </c>
      <c r="Y1027">
        <v>0</v>
      </c>
      <c r="Z1027">
        <v>0</v>
      </c>
      <c r="AA1027">
        <v>0</v>
      </c>
      <c r="AB1027" t="s">
        <v>36</v>
      </c>
      <c r="AC1027">
        <v>77</v>
      </c>
    </row>
    <row r="1028" spans="1:30" x14ac:dyDescent="0.25">
      <c r="A1028" s="1">
        <v>44784.341145833336</v>
      </c>
      <c r="B1028" s="1">
        <v>44784.340682870374</v>
      </c>
      <c r="C1028">
        <v>1224</v>
      </c>
      <c r="D1028" t="s">
        <v>56</v>
      </c>
      <c r="E1028" t="s">
        <v>35</v>
      </c>
      <c r="F1028" t="s">
        <v>57</v>
      </c>
      <c r="G1028">
        <v>42.938034000000002</v>
      </c>
      <c r="H1028">
        <v>-72.259299999999996</v>
      </c>
      <c r="I1028">
        <v>792</v>
      </c>
      <c r="J1028">
        <v>76</v>
      </c>
      <c r="K1028">
        <v>0</v>
      </c>
      <c r="L1028" s="1">
        <v>44784.340995370374</v>
      </c>
      <c r="M1028">
        <v>7.3</v>
      </c>
      <c r="N1028">
        <v>0</v>
      </c>
      <c r="O1028">
        <v>7.3</v>
      </c>
      <c r="P1028">
        <v>200</v>
      </c>
      <c r="Q1028">
        <v>0.4</v>
      </c>
      <c r="R1028">
        <v>0</v>
      </c>
      <c r="S1028">
        <v>0.2</v>
      </c>
      <c r="T1028" t="s">
        <v>43</v>
      </c>
      <c r="V1028">
        <v>86</v>
      </c>
      <c r="W1028">
        <v>0</v>
      </c>
      <c r="X1028">
        <v>86</v>
      </c>
      <c r="Y1028">
        <v>1</v>
      </c>
      <c r="Z1028">
        <v>0</v>
      </c>
      <c r="AA1028">
        <v>1</v>
      </c>
      <c r="AB1028" t="s">
        <v>36</v>
      </c>
      <c r="AC1028">
        <v>86</v>
      </c>
    </row>
    <row r="1029" spans="1:30" x14ac:dyDescent="0.25">
      <c r="A1029" s="1">
        <v>44784.341157407405</v>
      </c>
      <c r="B1029" s="1">
        <v>44784.340127314812</v>
      </c>
      <c r="C1029">
        <v>1202</v>
      </c>
      <c r="D1029" t="s">
        <v>58</v>
      </c>
      <c r="E1029" t="s">
        <v>35</v>
      </c>
      <c r="F1029" t="s">
        <v>57</v>
      </c>
      <c r="G1029">
        <v>42.936554000000001</v>
      </c>
      <c r="H1029">
        <v>-72.271019999999993</v>
      </c>
      <c r="I1029">
        <v>488</v>
      </c>
      <c r="J1029">
        <v>0</v>
      </c>
      <c r="K1029">
        <v>0</v>
      </c>
      <c r="L1029" s="1">
        <v>44784.340995370374</v>
      </c>
      <c r="M1029">
        <v>7.1</v>
      </c>
      <c r="N1029">
        <v>6.6</v>
      </c>
      <c r="O1029">
        <v>0.5</v>
      </c>
      <c r="P1029">
        <v>7</v>
      </c>
      <c r="Q1029">
        <v>0.4</v>
      </c>
      <c r="R1029">
        <v>0.3</v>
      </c>
      <c r="S1029">
        <v>0.35</v>
      </c>
      <c r="T1029" t="s">
        <v>33</v>
      </c>
      <c r="U1029">
        <v>6.85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 t="s">
        <v>38</v>
      </c>
    </row>
    <row r="1030" spans="1:30" x14ac:dyDescent="0.25">
      <c r="A1030" s="1">
        <v>44784.341157407405</v>
      </c>
      <c r="B1030" s="1">
        <v>44612.080023148148</v>
      </c>
      <c r="C1030">
        <v>25985</v>
      </c>
      <c r="D1030" t="s">
        <v>59</v>
      </c>
      <c r="E1030" t="s">
        <v>35</v>
      </c>
      <c r="F1030">
        <v>6.01</v>
      </c>
      <c r="G1030">
        <v>42.927326000000001</v>
      </c>
      <c r="H1030">
        <v>-72.279979999999995</v>
      </c>
      <c r="I1030">
        <v>477</v>
      </c>
      <c r="J1030">
        <v>78</v>
      </c>
      <c r="K1030">
        <v>0</v>
      </c>
      <c r="L1030" s="1">
        <v>44784.340995370374</v>
      </c>
      <c r="M1030">
        <v>1.1000000000000001</v>
      </c>
      <c r="N1030">
        <v>1</v>
      </c>
      <c r="O1030">
        <v>0.1</v>
      </c>
      <c r="P1030">
        <v>10</v>
      </c>
      <c r="Q1030">
        <v>0</v>
      </c>
      <c r="R1030">
        <v>0</v>
      </c>
      <c r="S1030">
        <v>0</v>
      </c>
      <c r="T1030" t="s">
        <v>32</v>
      </c>
      <c r="V1030">
        <v>22</v>
      </c>
      <c r="W1030">
        <v>0</v>
      </c>
      <c r="X1030">
        <v>22</v>
      </c>
      <c r="Y1030">
        <v>0</v>
      </c>
      <c r="Z1030">
        <v>0</v>
      </c>
      <c r="AA1030">
        <v>0</v>
      </c>
      <c r="AB1030" t="s">
        <v>36</v>
      </c>
      <c r="AC1030">
        <v>22</v>
      </c>
    </row>
    <row r="1031" spans="1:30" x14ac:dyDescent="0.25">
      <c r="A1031" s="1">
        <v>44784.347962962966</v>
      </c>
      <c r="B1031" s="1">
        <v>44775.701319444444</v>
      </c>
      <c r="C1031">
        <v>151708</v>
      </c>
      <c r="D1031" t="s">
        <v>30</v>
      </c>
      <c r="E1031" t="s">
        <v>31</v>
      </c>
      <c r="F1031">
        <v>7</v>
      </c>
      <c r="G1031">
        <v>43.192042999999998</v>
      </c>
      <c r="H1031">
        <v>-71.541579999999996</v>
      </c>
      <c r="I1031">
        <v>291</v>
      </c>
      <c r="J1031">
        <v>93</v>
      </c>
      <c r="K1031">
        <v>94</v>
      </c>
      <c r="L1031" s="1">
        <v>44784.347951388889</v>
      </c>
      <c r="M1031">
        <v>7.9</v>
      </c>
      <c r="N1031">
        <v>7.6</v>
      </c>
      <c r="O1031">
        <v>0.3</v>
      </c>
      <c r="P1031">
        <v>4</v>
      </c>
      <c r="Q1031">
        <v>0</v>
      </c>
      <c r="R1031">
        <v>0</v>
      </c>
      <c r="S1031">
        <v>0</v>
      </c>
      <c r="T1031" t="s">
        <v>32</v>
      </c>
      <c r="V1031">
        <v>42</v>
      </c>
      <c r="W1031">
        <v>41</v>
      </c>
      <c r="X1031">
        <v>1</v>
      </c>
      <c r="Y1031">
        <v>0</v>
      </c>
      <c r="Z1031">
        <v>0</v>
      </c>
      <c r="AA1031">
        <v>0</v>
      </c>
      <c r="AB1031" t="s">
        <v>33</v>
      </c>
      <c r="AC1031">
        <v>41.5</v>
      </c>
    </row>
    <row r="1032" spans="1:30" x14ac:dyDescent="0.25">
      <c r="A1032" s="1">
        <v>44784.347962962966</v>
      </c>
      <c r="B1032" s="1">
        <v>44784.346284722225</v>
      </c>
      <c r="C1032">
        <v>143456</v>
      </c>
      <c r="D1032" t="s">
        <v>34</v>
      </c>
      <c r="E1032" t="s">
        <v>35</v>
      </c>
      <c r="F1032">
        <v>7</v>
      </c>
      <c r="G1032">
        <v>43.08963</v>
      </c>
      <c r="H1032">
        <v>-71.502440000000007</v>
      </c>
      <c r="I1032">
        <v>619</v>
      </c>
      <c r="J1032">
        <v>71</v>
      </c>
      <c r="K1032">
        <v>0</v>
      </c>
      <c r="L1032" s="1">
        <v>44784.347951388889</v>
      </c>
      <c r="M1032">
        <v>3.9</v>
      </c>
      <c r="N1032">
        <v>4.0999999999999996</v>
      </c>
      <c r="O1032">
        <v>0.2</v>
      </c>
      <c r="P1032">
        <v>5</v>
      </c>
      <c r="Q1032">
        <v>0</v>
      </c>
      <c r="R1032">
        <v>0</v>
      </c>
      <c r="S1032">
        <v>0</v>
      </c>
      <c r="T1032" t="s">
        <v>33</v>
      </c>
      <c r="U1032">
        <v>4</v>
      </c>
      <c r="V1032">
        <v>72</v>
      </c>
      <c r="W1032">
        <v>0</v>
      </c>
      <c r="X1032">
        <v>72</v>
      </c>
      <c r="Y1032">
        <v>1</v>
      </c>
      <c r="Z1032">
        <v>0</v>
      </c>
      <c r="AA1032">
        <v>1</v>
      </c>
      <c r="AB1032" t="s">
        <v>36</v>
      </c>
      <c r="AC1032">
        <v>72</v>
      </c>
      <c r="AD1032">
        <v>-0.44</v>
      </c>
    </row>
    <row r="1033" spans="1:30" x14ac:dyDescent="0.25">
      <c r="A1033" s="1">
        <v>44784.347974537035</v>
      </c>
      <c r="B1033" s="1">
        <v>44784.346458333333</v>
      </c>
      <c r="C1033">
        <v>151702</v>
      </c>
      <c r="D1033" t="s">
        <v>37</v>
      </c>
      <c r="E1033" t="s">
        <v>31</v>
      </c>
      <c r="F1033">
        <v>7</v>
      </c>
      <c r="G1033">
        <v>43.118609999999997</v>
      </c>
      <c r="H1033">
        <v>-71.61618</v>
      </c>
      <c r="I1033">
        <v>885</v>
      </c>
      <c r="J1033">
        <v>0</v>
      </c>
      <c r="K1033">
        <v>0</v>
      </c>
      <c r="L1033" s="1">
        <v>44784.347951388889</v>
      </c>
      <c r="M1033">
        <v>4.3</v>
      </c>
      <c r="N1033">
        <v>4.5</v>
      </c>
      <c r="O1033">
        <v>0.2</v>
      </c>
      <c r="P1033">
        <v>5</v>
      </c>
      <c r="Q1033">
        <v>0.2</v>
      </c>
      <c r="R1033">
        <v>0.2</v>
      </c>
      <c r="S1033">
        <v>0.2</v>
      </c>
      <c r="T1033" t="s">
        <v>33</v>
      </c>
      <c r="U1033">
        <v>4.4000000000000004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 t="s">
        <v>38</v>
      </c>
    </row>
    <row r="1034" spans="1:30" x14ac:dyDescent="0.25">
      <c r="A1034" s="1">
        <v>44784.347974537035</v>
      </c>
      <c r="B1034" s="1">
        <v>44784.346342592595</v>
      </c>
      <c r="C1034">
        <v>151700</v>
      </c>
      <c r="D1034" t="s">
        <v>30</v>
      </c>
      <c r="E1034" t="s">
        <v>31</v>
      </c>
      <c r="F1034">
        <v>7</v>
      </c>
      <c r="G1034">
        <v>43.19211</v>
      </c>
      <c r="H1034">
        <v>-71.541460000000001</v>
      </c>
      <c r="I1034">
        <v>286</v>
      </c>
      <c r="J1034">
        <v>73</v>
      </c>
      <c r="K1034">
        <v>0</v>
      </c>
      <c r="L1034" s="1">
        <v>44784.347951388889</v>
      </c>
      <c r="M1034">
        <v>5.0999999999999996</v>
      </c>
      <c r="N1034">
        <v>6</v>
      </c>
      <c r="O1034">
        <v>0.9</v>
      </c>
      <c r="P1034">
        <v>16</v>
      </c>
      <c r="Q1034">
        <v>0</v>
      </c>
      <c r="R1034">
        <v>0.2</v>
      </c>
      <c r="S1034">
        <v>0.1</v>
      </c>
      <c r="T1034" t="s">
        <v>33</v>
      </c>
      <c r="U1034">
        <v>5.55</v>
      </c>
      <c r="V1034">
        <v>66</v>
      </c>
      <c r="W1034">
        <v>0</v>
      </c>
      <c r="X1034">
        <v>66</v>
      </c>
      <c r="Y1034">
        <v>0</v>
      </c>
      <c r="Z1034">
        <v>0</v>
      </c>
      <c r="AA1034">
        <v>0</v>
      </c>
      <c r="AB1034" t="s">
        <v>36</v>
      </c>
      <c r="AC1034">
        <v>66</v>
      </c>
      <c r="AD1034">
        <v>0.93</v>
      </c>
    </row>
    <row r="1035" spans="1:30" x14ac:dyDescent="0.25">
      <c r="A1035" s="1">
        <v>44784.347974537035</v>
      </c>
      <c r="B1035" s="1">
        <v>44784.346770833334</v>
      </c>
      <c r="C1035">
        <v>135984</v>
      </c>
      <c r="D1035" t="s">
        <v>39</v>
      </c>
      <c r="E1035" t="s">
        <v>31</v>
      </c>
      <c r="F1035">
        <v>7</v>
      </c>
      <c r="G1035">
        <v>43.565852999999997</v>
      </c>
      <c r="H1035">
        <v>-71.496129999999994</v>
      </c>
      <c r="I1035">
        <v>708</v>
      </c>
      <c r="J1035">
        <v>74</v>
      </c>
      <c r="K1035">
        <v>0</v>
      </c>
      <c r="L1035" s="1">
        <v>44784.347951388889</v>
      </c>
      <c r="M1035">
        <v>4.4000000000000004</v>
      </c>
      <c r="N1035">
        <v>3.4</v>
      </c>
      <c r="O1035">
        <v>1</v>
      </c>
      <c r="P1035">
        <v>26</v>
      </c>
      <c r="Q1035">
        <v>0.3</v>
      </c>
      <c r="R1035">
        <v>0.4</v>
      </c>
      <c r="S1035">
        <v>0.35</v>
      </c>
      <c r="T1035" t="s">
        <v>33</v>
      </c>
      <c r="U1035">
        <v>3.9</v>
      </c>
      <c r="V1035">
        <v>77</v>
      </c>
      <c r="W1035">
        <v>0</v>
      </c>
      <c r="X1035">
        <v>77</v>
      </c>
      <c r="Y1035">
        <v>3</v>
      </c>
      <c r="Z1035">
        <v>0</v>
      </c>
      <c r="AA1035">
        <v>3</v>
      </c>
      <c r="AB1035" t="s">
        <v>36</v>
      </c>
      <c r="AC1035">
        <v>77</v>
      </c>
      <c r="AD1035">
        <v>-0.85</v>
      </c>
    </row>
    <row r="1036" spans="1:30" x14ac:dyDescent="0.25">
      <c r="A1036" s="1">
        <v>44784.347974537035</v>
      </c>
      <c r="B1036" s="1">
        <v>44780.394780092596</v>
      </c>
      <c r="C1036">
        <v>151712</v>
      </c>
      <c r="D1036" t="s">
        <v>40</v>
      </c>
      <c r="E1036" t="s">
        <v>31</v>
      </c>
      <c r="F1036">
        <v>7</v>
      </c>
      <c r="G1036">
        <v>43.289763999999998</v>
      </c>
      <c r="H1036">
        <v>-71.564260000000004</v>
      </c>
      <c r="I1036">
        <v>370</v>
      </c>
      <c r="J1036">
        <v>86</v>
      </c>
      <c r="K1036">
        <v>0</v>
      </c>
      <c r="L1036" s="1">
        <v>44784.347951388889</v>
      </c>
      <c r="M1036">
        <v>14</v>
      </c>
      <c r="N1036">
        <v>13.2</v>
      </c>
      <c r="O1036">
        <v>0.8</v>
      </c>
      <c r="P1036">
        <v>6</v>
      </c>
      <c r="Q1036">
        <v>0</v>
      </c>
      <c r="R1036">
        <v>0</v>
      </c>
      <c r="S1036">
        <v>0</v>
      </c>
      <c r="T1036" t="s">
        <v>32</v>
      </c>
      <c r="V1036">
        <v>59</v>
      </c>
      <c r="W1036">
        <v>0</v>
      </c>
      <c r="X1036">
        <v>59</v>
      </c>
      <c r="Y1036">
        <v>0</v>
      </c>
      <c r="Z1036">
        <v>0</v>
      </c>
      <c r="AA1036">
        <v>0</v>
      </c>
      <c r="AB1036" t="s">
        <v>36</v>
      </c>
      <c r="AC1036">
        <v>59</v>
      </c>
    </row>
    <row r="1037" spans="1:30" x14ac:dyDescent="0.25">
      <c r="A1037" s="1">
        <v>44784.347986111112</v>
      </c>
      <c r="B1037" s="1">
        <v>44784.346064814818</v>
      </c>
      <c r="C1037">
        <v>151710</v>
      </c>
      <c r="D1037" t="s">
        <v>41</v>
      </c>
      <c r="E1037" t="s">
        <v>31</v>
      </c>
      <c r="F1037">
        <v>7</v>
      </c>
      <c r="G1037">
        <v>43.132477000000002</v>
      </c>
      <c r="H1037">
        <v>-71.458374000000006</v>
      </c>
      <c r="I1037">
        <v>230</v>
      </c>
      <c r="J1037">
        <v>74</v>
      </c>
      <c r="K1037">
        <v>0</v>
      </c>
      <c r="L1037" s="1">
        <v>44784.347951388889</v>
      </c>
      <c r="M1037">
        <v>7</v>
      </c>
      <c r="N1037">
        <v>5.4</v>
      </c>
      <c r="O1037">
        <v>1.6</v>
      </c>
      <c r="P1037">
        <v>26</v>
      </c>
      <c r="Q1037">
        <v>0.2</v>
      </c>
      <c r="R1037">
        <v>0.2</v>
      </c>
      <c r="S1037">
        <v>0.2</v>
      </c>
      <c r="T1037" t="s">
        <v>33</v>
      </c>
      <c r="U1037">
        <v>6.2</v>
      </c>
      <c r="V1037">
        <v>62</v>
      </c>
      <c r="W1037">
        <v>0</v>
      </c>
      <c r="X1037">
        <v>62</v>
      </c>
      <c r="Y1037">
        <v>1</v>
      </c>
      <c r="Z1037">
        <v>0</v>
      </c>
      <c r="AA1037">
        <v>1</v>
      </c>
      <c r="AB1037" t="s">
        <v>36</v>
      </c>
      <c r="AC1037">
        <v>62</v>
      </c>
      <c r="AD1037">
        <v>1.6</v>
      </c>
    </row>
    <row r="1038" spans="1:30" x14ac:dyDescent="0.25">
      <c r="A1038" s="1">
        <v>44784.347986111112</v>
      </c>
      <c r="B1038" s="1">
        <v>44784.347129629627</v>
      </c>
      <c r="C1038">
        <v>151706</v>
      </c>
      <c r="D1038" t="s">
        <v>42</v>
      </c>
      <c r="E1038" t="s">
        <v>31</v>
      </c>
      <c r="F1038">
        <v>7</v>
      </c>
      <c r="G1038">
        <v>43.004080000000002</v>
      </c>
      <c r="H1038">
        <v>-71.177040000000005</v>
      </c>
      <c r="I1038">
        <v>194</v>
      </c>
      <c r="J1038">
        <v>74</v>
      </c>
      <c r="K1038">
        <v>0</v>
      </c>
      <c r="L1038" s="1">
        <v>44784.347951388889</v>
      </c>
      <c r="M1038">
        <v>4.7</v>
      </c>
      <c r="N1038">
        <v>0</v>
      </c>
      <c r="O1038">
        <v>4.7</v>
      </c>
      <c r="P1038">
        <v>200</v>
      </c>
      <c r="Q1038">
        <v>0.4</v>
      </c>
      <c r="R1038">
        <v>0</v>
      </c>
      <c r="S1038">
        <v>0.2</v>
      </c>
      <c r="T1038" t="s">
        <v>43</v>
      </c>
      <c r="V1038">
        <v>64</v>
      </c>
      <c r="W1038">
        <v>0</v>
      </c>
      <c r="X1038">
        <v>64</v>
      </c>
      <c r="Y1038">
        <v>1</v>
      </c>
      <c r="Z1038">
        <v>0</v>
      </c>
      <c r="AA1038">
        <v>1</v>
      </c>
      <c r="AB1038" t="s">
        <v>36</v>
      </c>
      <c r="AC1038">
        <v>64</v>
      </c>
    </row>
    <row r="1039" spans="1:30" x14ac:dyDescent="0.25">
      <c r="A1039" s="1">
        <v>44784.347986111112</v>
      </c>
      <c r="B1039" s="1">
        <v>44784.346863425926</v>
      </c>
      <c r="C1039">
        <v>12212</v>
      </c>
      <c r="D1039" t="s">
        <v>44</v>
      </c>
      <c r="E1039" t="s">
        <v>35</v>
      </c>
      <c r="F1039">
        <v>7</v>
      </c>
      <c r="G1039">
        <v>42.930529999999997</v>
      </c>
      <c r="H1039">
        <v>-72.272350000000003</v>
      </c>
      <c r="I1039">
        <v>476</v>
      </c>
      <c r="J1039">
        <v>77</v>
      </c>
      <c r="K1039">
        <v>0</v>
      </c>
      <c r="L1039" s="1">
        <v>44784.347951388889</v>
      </c>
      <c r="M1039">
        <v>7.8</v>
      </c>
      <c r="N1039">
        <v>6.8</v>
      </c>
      <c r="O1039">
        <v>1</v>
      </c>
      <c r="P1039">
        <v>14</v>
      </c>
      <c r="Q1039">
        <v>0.5</v>
      </c>
      <c r="R1039">
        <v>0.6</v>
      </c>
      <c r="S1039">
        <v>0.55000000000000004</v>
      </c>
      <c r="T1039" t="s">
        <v>33</v>
      </c>
      <c r="U1039">
        <v>7.3</v>
      </c>
      <c r="V1039">
        <v>76</v>
      </c>
      <c r="W1039">
        <v>0</v>
      </c>
      <c r="X1039">
        <v>76</v>
      </c>
      <c r="Y1039">
        <v>8</v>
      </c>
      <c r="Z1039">
        <v>0</v>
      </c>
      <c r="AA1039">
        <v>8</v>
      </c>
      <c r="AB1039" t="s">
        <v>36</v>
      </c>
      <c r="AC1039">
        <v>76</v>
      </c>
      <c r="AD1039">
        <v>1.29</v>
      </c>
    </row>
    <row r="1040" spans="1:30" x14ac:dyDescent="0.25">
      <c r="A1040" s="1">
        <v>44784.347997685189</v>
      </c>
      <c r="B1040" s="1">
        <v>44769.376736111109</v>
      </c>
      <c r="C1040">
        <v>12178</v>
      </c>
      <c r="D1040" t="s">
        <v>45</v>
      </c>
      <c r="E1040" t="s">
        <v>35</v>
      </c>
      <c r="F1040">
        <v>7</v>
      </c>
      <c r="G1040">
        <v>42.899563000000001</v>
      </c>
      <c r="H1040">
        <v>-71.464650000000006</v>
      </c>
      <c r="I1040">
        <v>301</v>
      </c>
      <c r="J1040">
        <v>85</v>
      </c>
      <c r="K1040">
        <v>0</v>
      </c>
      <c r="L1040" s="1">
        <v>44784.347951388889</v>
      </c>
      <c r="M1040">
        <v>3.8</v>
      </c>
      <c r="N1040">
        <v>3.1</v>
      </c>
      <c r="O1040">
        <v>0.7</v>
      </c>
      <c r="P1040">
        <v>20</v>
      </c>
      <c r="Q1040">
        <v>0</v>
      </c>
      <c r="R1040">
        <v>0</v>
      </c>
      <c r="S1040">
        <v>0</v>
      </c>
      <c r="T1040" t="s">
        <v>32</v>
      </c>
      <c r="V1040">
        <v>35</v>
      </c>
      <c r="W1040">
        <v>0</v>
      </c>
      <c r="X1040">
        <v>35</v>
      </c>
      <c r="Y1040">
        <v>0</v>
      </c>
      <c r="Z1040">
        <v>0</v>
      </c>
      <c r="AA1040">
        <v>0</v>
      </c>
      <c r="AB1040" t="s">
        <v>36</v>
      </c>
      <c r="AC1040">
        <v>35</v>
      </c>
    </row>
    <row r="1041" spans="1:30" x14ac:dyDescent="0.25">
      <c r="A1041" s="1">
        <v>44784.347997685189</v>
      </c>
      <c r="B1041" s="1">
        <v>44784.346180555556</v>
      </c>
      <c r="C1041">
        <v>75981</v>
      </c>
      <c r="D1041" t="s">
        <v>46</v>
      </c>
      <c r="E1041" t="s">
        <v>35</v>
      </c>
      <c r="F1041">
        <v>7</v>
      </c>
      <c r="G1041">
        <v>42.97</v>
      </c>
      <c r="H1041">
        <v>-71.06</v>
      </c>
      <c r="I1041">
        <v>136</v>
      </c>
      <c r="J1041">
        <v>77</v>
      </c>
      <c r="K1041">
        <v>0</v>
      </c>
      <c r="L1041" s="1">
        <v>44784.347951388889</v>
      </c>
      <c r="M1041">
        <v>7.4</v>
      </c>
      <c r="N1041">
        <v>7.1</v>
      </c>
      <c r="O1041">
        <v>0.3</v>
      </c>
      <c r="P1041">
        <v>4</v>
      </c>
      <c r="Q1041">
        <v>0.6</v>
      </c>
      <c r="R1041">
        <v>0.7</v>
      </c>
      <c r="S1041">
        <v>0.64999999999999902</v>
      </c>
      <c r="T1041" t="s">
        <v>33</v>
      </c>
      <c r="U1041">
        <v>7.25</v>
      </c>
      <c r="V1041">
        <v>60</v>
      </c>
      <c r="W1041">
        <v>0</v>
      </c>
      <c r="X1041">
        <v>60</v>
      </c>
      <c r="Y1041">
        <v>1</v>
      </c>
      <c r="Z1041">
        <v>0</v>
      </c>
      <c r="AA1041">
        <v>1</v>
      </c>
      <c r="AB1041" t="s">
        <v>36</v>
      </c>
      <c r="AC1041">
        <v>60</v>
      </c>
      <c r="AD1041">
        <v>2.38</v>
      </c>
    </row>
    <row r="1042" spans="1:30" x14ac:dyDescent="0.25">
      <c r="A1042" s="1">
        <v>44784.347997685189</v>
      </c>
      <c r="B1042" s="1">
        <v>44784.346712962964</v>
      </c>
      <c r="C1042">
        <v>115703</v>
      </c>
      <c r="D1042" t="s">
        <v>47</v>
      </c>
      <c r="E1042" t="s">
        <v>35</v>
      </c>
      <c r="F1042">
        <v>7</v>
      </c>
      <c r="G1042">
        <v>43.953625000000002</v>
      </c>
      <c r="H1042">
        <v>-71.508859999999999</v>
      </c>
      <c r="I1042">
        <v>1493</v>
      </c>
      <c r="J1042">
        <v>68</v>
      </c>
      <c r="K1042">
        <v>0</v>
      </c>
      <c r="L1042" s="1">
        <v>44784.347951388889</v>
      </c>
      <c r="M1042">
        <v>0.1</v>
      </c>
      <c r="N1042">
        <v>300.89999999999998</v>
      </c>
      <c r="O1042">
        <v>300.8</v>
      </c>
      <c r="P1042">
        <v>200</v>
      </c>
      <c r="Q1042">
        <v>0.1</v>
      </c>
      <c r="R1042">
        <v>0</v>
      </c>
      <c r="S1042">
        <v>0.05</v>
      </c>
      <c r="T1042" t="s">
        <v>60</v>
      </c>
      <c r="V1042">
        <v>64</v>
      </c>
      <c r="W1042">
        <v>0</v>
      </c>
      <c r="X1042">
        <v>64</v>
      </c>
      <c r="Y1042">
        <v>2</v>
      </c>
      <c r="Z1042">
        <v>0</v>
      </c>
      <c r="AA1042">
        <v>2</v>
      </c>
      <c r="AB1042" t="s">
        <v>36</v>
      </c>
      <c r="AC1042">
        <v>64</v>
      </c>
    </row>
    <row r="1043" spans="1:30" x14ac:dyDescent="0.25">
      <c r="A1043" s="1">
        <v>44784.347997685189</v>
      </c>
      <c r="B1043" s="1">
        <v>44784.346134259256</v>
      </c>
      <c r="C1043">
        <v>12050</v>
      </c>
      <c r="D1043" t="s">
        <v>49</v>
      </c>
      <c r="E1043" t="s">
        <v>35</v>
      </c>
      <c r="F1043">
        <v>7</v>
      </c>
      <c r="G1043">
        <v>44.220573000000002</v>
      </c>
      <c r="H1043">
        <v>-71.732315</v>
      </c>
      <c r="I1043">
        <v>999</v>
      </c>
      <c r="J1043">
        <v>73</v>
      </c>
      <c r="K1043">
        <v>0</v>
      </c>
      <c r="L1043" s="1">
        <v>44784.347951388889</v>
      </c>
      <c r="M1043">
        <v>3.6</v>
      </c>
      <c r="N1043">
        <v>3.7</v>
      </c>
      <c r="O1043">
        <v>0.1</v>
      </c>
      <c r="P1043">
        <v>3</v>
      </c>
      <c r="Q1043">
        <v>0.1</v>
      </c>
      <c r="R1043">
        <v>0</v>
      </c>
      <c r="S1043">
        <v>0.05</v>
      </c>
      <c r="T1043" t="s">
        <v>33</v>
      </c>
      <c r="U1043">
        <v>3.65</v>
      </c>
      <c r="V1043">
        <v>54</v>
      </c>
      <c r="W1043">
        <v>0</v>
      </c>
      <c r="X1043">
        <v>54</v>
      </c>
      <c r="Y1043">
        <v>1</v>
      </c>
      <c r="Z1043">
        <v>0</v>
      </c>
      <c r="AA1043">
        <v>1</v>
      </c>
      <c r="AB1043" t="s">
        <v>36</v>
      </c>
      <c r="AC1043">
        <v>54</v>
      </c>
      <c r="AD1043">
        <v>0.61</v>
      </c>
    </row>
    <row r="1044" spans="1:30" x14ac:dyDescent="0.25">
      <c r="A1044" s="1">
        <v>44784.348009259258</v>
      </c>
      <c r="B1044" s="1">
        <v>44784.346238425926</v>
      </c>
      <c r="C1044">
        <v>23443</v>
      </c>
      <c r="D1044" t="s">
        <v>50</v>
      </c>
      <c r="E1044" t="s">
        <v>35</v>
      </c>
      <c r="F1044">
        <v>7</v>
      </c>
      <c r="G1044">
        <v>43.556139999999999</v>
      </c>
      <c r="H1044">
        <v>-72.370990000000006</v>
      </c>
      <c r="I1044">
        <v>523</v>
      </c>
      <c r="J1044">
        <v>74</v>
      </c>
      <c r="K1044">
        <v>0</v>
      </c>
      <c r="L1044" s="1">
        <v>44784.347951388889</v>
      </c>
      <c r="M1044">
        <v>6</v>
      </c>
      <c r="N1044">
        <v>5</v>
      </c>
      <c r="O1044">
        <v>1</v>
      </c>
      <c r="P1044">
        <v>18</v>
      </c>
      <c r="Q1044">
        <v>0.1</v>
      </c>
      <c r="R1044">
        <v>0.3</v>
      </c>
      <c r="S1044">
        <v>0.2</v>
      </c>
      <c r="T1044" t="s">
        <v>33</v>
      </c>
      <c r="U1044">
        <v>5.5</v>
      </c>
      <c r="V1044">
        <v>59</v>
      </c>
      <c r="W1044">
        <v>0</v>
      </c>
      <c r="X1044">
        <v>59</v>
      </c>
      <c r="Y1044">
        <v>3</v>
      </c>
      <c r="Z1044">
        <v>0</v>
      </c>
      <c r="AA1044">
        <v>3</v>
      </c>
      <c r="AB1044" t="s">
        <v>36</v>
      </c>
      <c r="AC1044">
        <v>59</v>
      </c>
      <c r="AD1044">
        <v>1.38</v>
      </c>
    </row>
    <row r="1045" spans="1:30" x14ac:dyDescent="0.25">
      <c r="A1045" s="1">
        <v>44784.348009259258</v>
      </c>
      <c r="B1045" s="1">
        <v>44784.346331018518</v>
      </c>
      <c r="C1045">
        <v>58135</v>
      </c>
      <c r="D1045" t="s">
        <v>51</v>
      </c>
      <c r="E1045" t="s">
        <v>35</v>
      </c>
      <c r="F1045">
        <v>7</v>
      </c>
      <c r="G1045">
        <v>42.883873000000001</v>
      </c>
      <c r="H1045">
        <v>-71.972915999999998</v>
      </c>
      <c r="I1045">
        <v>808</v>
      </c>
      <c r="J1045">
        <v>75</v>
      </c>
      <c r="K1045">
        <v>0</v>
      </c>
      <c r="L1045" s="1">
        <v>44784.347951388889</v>
      </c>
      <c r="M1045">
        <v>8.4</v>
      </c>
      <c r="N1045">
        <v>29.2</v>
      </c>
      <c r="O1045">
        <v>20.8</v>
      </c>
      <c r="P1045">
        <v>111</v>
      </c>
      <c r="Q1045">
        <v>0.3</v>
      </c>
      <c r="R1045">
        <v>1.1000000000000001</v>
      </c>
      <c r="S1045">
        <v>0.7</v>
      </c>
      <c r="T1045" t="s">
        <v>60</v>
      </c>
      <c r="V1045">
        <v>67</v>
      </c>
      <c r="W1045">
        <v>0</v>
      </c>
      <c r="X1045">
        <v>67</v>
      </c>
      <c r="Y1045">
        <v>0</v>
      </c>
      <c r="Z1045">
        <v>0</v>
      </c>
      <c r="AA1045">
        <v>0</v>
      </c>
      <c r="AB1045" t="s">
        <v>36</v>
      </c>
      <c r="AC1045">
        <v>67</v>
      </c>
    </row>
    <row r="1046" spans="1:30" x14ac:dyDescent="0.25">
      <c r="A1046" s="1">
        <v>44784.348009259258</v>
      </c>
      <c r="B1046" s="1">
        <v>44784.346377314818</v>
      </c>
      <c r="C1046">
        <v>148555</v>
      </c>
      <c r="D1046" t="s">
        <v>52</v>
      </c>
      <c r="E1046" t="s">
        <v>53</v>
      </c>
      <c r="F1046">
        <v>7</v>
      </c>
      <c r="G1046">
        <v>42.904949999999999</v>
      </c>
      <c r="H1046">
        <v>-71.386764999999997</v>
      </c>
      <c r="I1046">
        <v>363</v>
      </c>
      <c r="J1046">
        <v>0</v>
      </c>
      <c r="K1046">
        <v>0</v>
      </c>
      <c r="L1046" s="1">
        <v>44784.347951388889</v>
      </c>
      <c r="M1046">
        <v>4.3</v>
      </c>
      <c r="N1046">
        <v>4.8</v>
      </c>
      <c r="O1046">
        <v>0.5</v>
      </c>
      <c r="P1046">
        <v>11</v>
      </c>
      <c r="Q1046">
        <v>0.1</v>
      </c>
      <c r="R1046">
        <v>0.2</v>
      </c>
      <c r="S1046">
        <v>0.15</v>
      </c>
      <c r="T1046" t="s">
        <v>33</v>
      </c>
      <c r="U1046">
        <v>4.55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 t="s">
        <v>38</v>
      </c>
    </row>
    <row r="1047" spans="1:30" x14ac:dyDescent="0.25">
      <c r="A1047" s="1">
        <v>44784.348020833335</v>
      </c>
      <c r="B1047" s="1">
        <v>44784.347256944442</v>
      </c>
      <c r="C1047">
        <v>146644</v>
      </c>
      <c r="D1047" t="s">
        <v>54</v>
      </c>
      <c r="E1047" t="s">
        <v>53</v>
      </c>
      <c r="F1047">
        <v>7</v>
      </c>
      <c r="G1047">
        <v>43.06015</v>
      </c>
      <c r="H1047">
        <v>-70.758930000000007</v>
      </c>
      <c r="I1047">
        <v>35</v>
      </c>
      <c r="J1047">
        <v>73</v>
      </c>
      <c r="K1047">
        <v>75</v>
      </c>
      <c r="L1047" s="1">
        <v>44784.347951388889</v>
      </c>
      <c r="M1047">
        <v>7.3</v>
      </c>
      <c r="N1047">
        <v>6</v>
      </c>
      <c r="O1047">
        <v>1.3</v>
      </c>
      <c r="P1047">
        <v>20</v>
      </c>
      <c r="Q1047">
        <v>0.1</v>
      </c>
      <c r="R1047">
        <v>0.1</v>
      </c>
      <c r="S1047">
        <v>0.1</v>
      </c>
      <c r="T1047" t="s">
        <v>33</v>
      </c>
      <c r="U1047">
        <v>6.65</v>
      </c>
      <c r="V1047">
        <v>65</v>
      </c>
      <c r="W1047">
        <v>69</v>
      </c>
      <c r="X1047">
        <v>4</v>
      </c>
      <c r="Y1047">
        <v>0</v>
      </c>
      <c r="Z1047">
        <v>1</v>
      </c>
      <c r="AA1047">
        <v>1</v>
      </c>
      <c r="AB1047" t="s">
        <v>33</v>
      </c>
      <c r="AC1047">
        <v>67</v>
      </c>
      <c r="AD1047">
        <v>1.53</v>
      </c>
    </row>
    <row r="1048" spans="1:30" x14ac:dyDescent="0.25">
      <c r="A1048" s="1">
        <v>44784.348020833335</v>
      </c>
      <c r="B1048" s="1">
        <v>43755.283437500002</v>
      </c>
      <c r="C1048">
        <v>12188</v>
      </c>
      <c r="D1048" t="s">
        <v>55</v>
      </c>
      <c r="E1048" t="s">
        <v>35</v>
      </c>
      <c r="F1048">
        <v>4.1100000000000003</v>
      </c>
      <c r="G1048">
        <v>42.927050000000001</v>
      </c>
      <c r="H1048">
        <v>-72.279610000000005</v>
      </c>
      <c r="I1048">
        <v>475</v>
      </c>
      <c r="J1048">
        <v>95</v>
      </c>
      <c r="K1048">
        <v>0</v>
      </c>
      <c r="L1048" s="1">
        <v>44784.347951388889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 t="s">
        <v>32</v>
      </c>
      <c r="V1048">
        <v>77</v>
      </c>
      <c r="W1048">
        <v>0</v>
      </c>
      <c r="X1048">
        <v>77</v>
      </c>
      <c r="Y1048">
        <v>0</v>
      </c>
      <c r="Z1048">
        <v>0</v>
      </c>
      <c r="AA1048">
        <v>0</v>
      </c>
      <c r="AB1048" t="s">
        <v>36</v>
      </c>
      <c r="AC1048">
        <v>77</v>
      </c>
    </row>
    <row r="1049" spans="1:30" x14ac:dyDescent="0.25">
      <c r="A1049" s="1">
        <v>44784.348020833335</v>
      </c>
      <c r="B1049" s="1">
        <v>44784.346238425926</v>
      </c>
      <c r="C1049">
        <v>1224</v>
      </c>
      <c r="D1049" t="s">
        <v>56</v>
      </c>
      <c r="E1049" t="s">
        <v>35</v>
      </c>
      <c r="F1049" t="s">
        <v>57</v>
      </c>
      <c r="G1049">
        <v>42.938034000000002</v>
      </c>
      <c r="H1049">
        <v>-72.259299999999996</v>
      </c>
      <c r="I1049">
        <v>792</v>
      </c>
      <c r="J1049">
        <v>76</v>
      </c>
      <c r="K1049">
        <v>0</v>
      </c>
      <c r="L1049" s="1">
        <v>44784.347951388889</v>
      </c>
      <c r="M1049">
        <v>7.4</v>
      </c>
      <c r="N1049">
        <v>0.1</v>
      </c>
      <c r="O1049">
        <v>7.3</v>
      </c>
      <c r="P1049">
        <v>195</v>
      </c>
      <c r="Q1049">
        <v>0.1</v>
      </c>
      <c r="R1049">
        <v>0.1</v>
      </c>
      <c r="S1049">
        <v>0.1</v>
      </c>
      <c r="T1049" t="s">
        <v>33</v>
      </c>
      <c r="U1049">
        <v>3.75</v>
      </c>
      <c r="V1049">
        <v>83</v>
      </c>
      <c r="W1049">
        <v>0</v>
      </c>
      <c r="X1049">
        <v>83</v>
      </c>
      <c r="Y1049">
        <v>3</v>
      </c>
      <c r="Z1049">
        <v>0</v>
      </c>
      <c r="AA1049">
        <v>3</v>
      </c>
      <c r="AB1049" t="s">
        <v>36</v>
      </c>
      <c r="AC1049">
        <v>83</v>
      </c>
      <c r="AD1049">
        <v>-1.36</v>
      </c>
    </row>
    <row r="1050" spans="1:30" x14ac:dyDescent="0.25">
      <c r="A1050" s="1">
        <v>44784.348032407404</v>
      </c>
      <c r="B1050" s="1">
        <v>44784.347071759257</v>
      </c>
      <c r="C1050">
        <v>1202</v>
      </c>
      <c r="D1050" t="s">
        <v>58</v>
      </c>
      <c r="E1050" t="s">
        <v>35</v>
      </c>
      <c r="F1050" t="s">
        <v>57</v>
      </c>
      <c r="G1050">
        <v>42.936554000000001</v>
      </c>
      <c r="H1050">
        <v>-72.271019999999993</v>
      </c>
      <c r="I1050">
        <v>488</v>
      </c>
      <c r="J1050">
        <v>0</v>
      </c>
      <c r="K1050">
        <v>0</v>
      </c>
      <c r="L1050" s="1">
        <v>44784.347951388889</v>
      </c>
      <c r="M1050">
        <v>7.2</v>
      </c>
      <c r="N1050">
        <v>6.8</v>
      </c>
      <c r="O1050">
        <v>0.4</v>
      </c>
      <c r="P1050">
        <v>6</v>
      </c>
      <c r="Q1050">
        <v>0.1</v>
      </c>
      <c r="R1050">
        <v>0.2</v>
      </c>
      <c r="S1050">
        <v>0.15</v>
      </c>
      <c r="T1050" t="s">
        <v>33</v>
      </c>
      <c r="U1050">
        <v>7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 t="s">
        <v>38</v>
      </c>
    </row>
    <row r="1051" spans="1:30" x14ac:dyDescent="0.25">
      <c r="A1051" s="1">
        <v>44784.348032407404</v>
      </c>
      <c r="B1051" s="1">
        <v>44612.080023148148</v>
      </c>
      <c r="C1051">
        <v>25985</v>
      </c>
      <c r="D1051" t="s">
        <v>59</v>
      </c>
      <c r="E1051" t="s">
        <v>35</v>
      </c>
      <c r="F1051">
        <v>6.01</v>
      </c>
      <c r="G1051">
        <v>42.927326000000001</v>
      </c>
      <c r="H1051">
        <v>-72.279979999999995</v>
      </c>
      <c r="I1051">
        <v>477</v>
      </c>
      <c r="J1051">
        <v>78</v>
      </c>
      <c r="K1051">
        <v>0</v>
      </c>
      <c r="L1051" s="1">
        <v>44784.347951388889</v>
      </c>
      <c r="M1051">
        <v>1.1000000000000001</v>
      </c>
      <c r="N1051">
        <v>1</v>
      </c>
      <c r="O1051">
        <v>0.1</v>
      </c>
      <c r="P1051">
        <v>10</v>
      </c>
      <c r="Q1051">
        <v>0</v>
      </c>
      <c r="R1051">
        <v>0</v>
      </c>
      <c r="S1051">
        <v>0</v>
      </c>
      <c r="T1051" t="s">
        <v>32</v>
      </c>
      <c r="V1051">
        <v>22</v>
      </c>
      <c r="W1051">
        <v>0</v>
      </c>
      <c r="X1051">
        <v>22</v>
      </c>
      <c r="Y1051">
        <v>0</v>
      </c>
      <c r="Z1051">
        <v>0</v>
      </c>
      <c r="AA1051">
        <v>0</v>
      </c>
      <c r="AB1051" t="s">
        <v>36</v>
      </c>
      <c r="AC1051">
        <v>22</v>
      </c>
    </row>
    <row r="1052" spans="1:30" x14ac:dyDescent="0.25">
      <c r="A1052" s="1">
        <v>44784.354907407411</v>
      </c>
      <c r="B1052" s="1">
        <v>44775.701319444444</v>
      </c>
      <c r="C1052">
        <v>151708</v>
      </c>
      <c r="D1052" t="s">
        <v>30</v>
      </c>
      <c r="E1052" t="s">
        <v>31</v>
      </c>
      <c r="F1052">
        <v>7</v>
      </c>
      <c r="G1052">
        <v>43.192042999999998</v>
      </c>
      <c r="H1052">
        <v>-71.541579999999996</v>
      </c>
      <c r="I1052">
        <v>291</v>
      </c>
      <c r="J1052">
        <v>93</v>
      </c>
      <c r="K1052">
        <v>94</v>
      </c>
      <c r="L1052" s="1">
        <v>44784.354884259257</v>
      </c>
      <c r="M1052">
        <v>7.9</v>
      </c>
      <c r="N1052">
        <v>7.6</v>
      </c>
      <c r="O1052">
        <v>0.3</v>
      </c>
      <c r="P1052">
        <v>4</v>
      </c>
      <c r="Q1052">
        <v>0</v>
      </c>
      <c r="R1052">
        <v>0</v>
      </c>
      <c r="S1052">
        <v>0</v>
      </c>
      <c r="T1052" t="s">
        <v>32</v>
      </c>
      <c r="V1052">
        <v>42</v>
      </c>
      <c r="W1052">
        <v>41</v>
      </c>
      <c r="X1052">
        <v>1</v>
      </c>
      <c r="Y1052">
        <v>0</v>
      </c>
      <c r="Z1052">
        <v>0</v>
      </c>
      <c r="AA1052">
        <v>0</v>
      </c>
      <c r="AB1052" t="s">
        <v>33</v>
      </c>
      <c r="AC1052">
        <v>41.5</v>
      </c>
    </row>
    <row r="1053" spans="1:30" x14ac:dyDescent="0.25">
      <c r="A1053" s="1">
        <v>44784.354907407411</v>
      </c>
      <c r="B1053" s="1">
        <v>44784.353229166663</v>
      </c>
      <c r="C1053">
        <v>143456</v>
      </c>
      <c r="D1053" t="s">
        <v>34</v>
      </c>
      <c r="E1053" t="s">
        <v>35</v>
      </c>
      <c r="F1053">
        <v>7</v>
      </c>
      <c r="G1053">
        <v>43.08963</v>
      </c>
      <c r="H1053">
        <v>-71.502440000000007</v>
      </c>
      <c r="I1053">
        <v>619</v>
      </c>
      <c r="J1053">
        <v>72</v>
      </c>
      <c r="K1053">
        <v>0</v>
      </c>
      <c r="L1053" s="1">
        <v>44784.354884259257</v>
      </c>
      <c r="M1053">
        <v>4</v>
      </c>
      <c r="N1053">
        <v>4.2</v>
      </c>
      <c r="O1053">
        <v>0.2</v>
      </c>
      <c r="P1053">
        <v>5</v>
      </c>
      <c r="Q1053">
        <v>0.1</v>
      </c>
      <c r="R1053">
        <v>0.1</v>
      </c>
      <c r="S1053">
        <v>0.1</v>
      </c>
      <c r="T1053" t="s">
        <v>33</v>
      </c>
      <c r="U1053">
        <v>4.0999999999999996</v>
      </c>
      <c r="V1053">
        <v>70</v>
      </c>
      <c r="W1053">
        <v>0</v>
      </c>
      <c r="X1053">
        <v>70</v>
      </c>
      <c r="Y1053">
        <v>2</v>
      </c>
      <c r="Z1053">
        <v>0</v>
      </c>
      <c r="AA1053">
        <v>2</v>
      </c>
      <c r="AB1053" t="s">
        <v>36</v>
      </c>
      <c r="AC1053">
        <v>70</v>
      </c>
      <c r="AD1053">
        <v>-0.24</v>
      </c>
    </row>
    <row r="1054" spans="1:30" x14ac:dyDescent="0.25">
      <c r="A1054" s="1">
        <v>44784.354907407411</v>
      </c>
      <c r="B1054" s="1">
        <v>44784.353402777779</v>
      </c>
      <c r="C1054">
        <v>151702</v>
      </c>
      <c r="D1054" t="s">
        <v>37</v>
      </c>
      <c r="E1054" t="s">
        <v>31</v>
      </c>
      <c r="F1054">
        <v>7</v>
      </c>
      <c r="G1054">
        <v>43.118609999999997</v>
      </c>
      <c r="H1054">
        <v>-71.61618</v>
      </c>
      <c r="I1054">
        <v>885</v>
      </c>
      <c r="J1054">
        <v>0</v>
      </c>
      <c r="K1054">
        <v>0</v>
      </c>
      <c r="L1054" s="1">
        <v>44784.354884259257</v>
      </c>
      <c r="M1054">
        <v>4.4000000000000004</v>
      </c>
      <c r="N1054">
        <v>4.4000000000000004</v>
      </c>
      <c r="O1054">
        <v>0</v>
      </c>
      <c r="P1054">
        <v>0</v>
      </c>
      <c r="Q1054">
        <v>0.1</v>
      </c>
      <c r="R1054">
        <v>0.1</v>
      </c>
      <c r="S1054">
        <v>0.1</v>
      </c>
      <c r="T1054" t="s">
        <v>33</v>
      </c>
      <c r="U1054">
        <v>4.4000000000000004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 t="s">
        <v>38</v>
      </c>
    </row>
    <row r="1055" spans="1:30" x14ac:dyDescent="0.25">
      <c r="A1055" s="1">
        <v>44784.35491898148</v>
      </c>
      <c r="B1055" s="1">
        <v>44784.35328703704</v>
      </c>
      <c r="C1055">
        <v>151700</v>
      </c>
      <c r="D1055" t="s">
        <v>30</v>
      </c>
      <c r="E1055" t="s">
        <v>31</v>
      </c>
      <c r="F1055">
        <v>7</v>
      </c>
      <c r="G1055">
        <v>43.19211</v>
      </c>
      <c r="H1055">
        <v>-71.541460000000001</v>
      </c>
      <c r="I1055">
        <v>286</v>
      </c>
      <c r="J1055">
        <v>74</v>
      </c>
      <c r="K1055">
        <v>0</v>
      </c>
      <c r="L1055" s="1">
        <v>44784.354884259257</v>
      </c>
      <c r="M1055">
        <v>5</v>
      </c>
      <c r="N1055">
        <v>6.1</v>
      </c>
      <c r="O1055">
        <v>1.1000000000000001</v>
      </c>
      <c r="P1055">
        <v>20</v>
      </c>
      <c r="Q1055">
        <v>0.1</v>
      </c>
      <c r="R1055">
        <v>0.1</v>
      </c>
      <c r="S1055">
        <v>0.1</v>
      </c>
      <c r="T1055" t="s">
        <v>33</v>
      </c>
      <c r="U1055">
        <v>5.55</v>
      </c>
      <c r="V1055">
        <v>65</v>
      </c>
      <c r="W1055">
        <v>0</v>
      </c>
      <c r="X1055">
        <v>65</v>
      </c>
      <c r="Y1055">
        <v>1</v>
      </c>
      <c r="Z1055">
        <v>0</v>
      </c>
      <c r="AA1055">
        <v>1</v>
      </c>
      <c r="AB1055" t="s">
        <v>36</v>
      </c>
      <c r="AC1055">
        <v>65</v>
      </c>
      <c r="AD1055">
        <v>1</v>
      </c>
    </row>
    <row r="1056" spans="1:30" x14ac:dyDescent="0.25">
      <c r="A1056" s="1">
        <v>44784.35491898148</v>
      </c>
      <c r="B1056" s="1">
        <v>44784.353715277779</v>
      </c>
      <c r="C1056">
        <v>135984</v>
      </c>
      <c r="D1056" t="s">
        <v>39</v>
      </c>
      <c r="E1056" t="s">
        <v>31</v>
      </c>
      <c r="F1056">
        <v>7</v>
      </c>
      <c r="G1056">
        <v>43.565852999999997</v>
      </c>
      <c r="H1056">
        <v>-71.496129999999994</v>
      </c>
      <c r="I1056">
        <v>708</v>
      </c>
      <c r="J1056">
        <v>76</v>
      </c>
      <c r="K1056">
        <v>0</v>
      </c>
      <c r="L1056" s="1">
        <v>44784.354884259257</v>
      </c>
      <c r="M1056">
        <v>4.2</v>
      </c>
      <c r="N1056">
        <v>3.2</v>
      </c>
      <c r="O1056">
        <v>1</v>
      </c>
      <c r="P1056">
        <v>27</v>
      </c>
      <c r="Q1056">
        <v>0.2</v>
      </c>
      <c r="R1056">
        <v>0.2</v>
      </c>
      <c r="S1056">
        <v>0.2</v>
      </c>
      <c r="T1056" t="s">
        <v>33</v>
      </c>
      <c r="U1056">
        <v>3.7</v>
      </c>
      <c r="V1056">
        <v>75</v>
      </c>
      <c r="W1056">
        <v>0</v>
      </c>
      <c r="X1056">
        <v>75</v>
      </c>
      <c r="Y1056">
        <v>2</v>
      </c>
      <c r="Z1056">
        <v>0</v>
      </c>
      <c r="AA1056">
        <v>2</v>
      </c>
      <c r="AB1056" t="s">
        <v>36</v>
      </c>
      <c r="AC1056">
        <v>75</v>
      </c>
      <c r="AD1056">
        <v>-0.83</v>
      </c>
    </row>
    <row r="1057" spans="1:30" x14ac:dyDescent="0.25">
      <c r="A1057" s="1">
        <v>44784.35491898148</v>
      </c>
      <c r="B1057" s="1">
        <v>44780.394780092596</v>
      </c>
      <c r="C1057">
        <v>151712</v>
      </c>
      <c r="D1057" t="s">
        <v>40</v>
      </c>
      <c r="E1057" t="s">
        <v>31</v>
      </c>
      <c r="F1057">
        <v>7</v>
      </c>
      <c r="G1057">
        <v>43.289763999999998</v>
      </c>
      <c r="H1057">
        <v>-71.564260000000004</v>
      </c>
      <c r="I1057">
        <v>370</v>
      </c>
      <c r="J1057">
        <v>86</v>
      </c>
      <c r="K1057">
        <v>0</v>
      </c>
      <c r="L1057" s="1">
        <v>44784.354884259257</v>
      </c>
      <c r="M1057">
        <v>14</v>
      </c>
      <c r="N1057">
        <v>13.2</v>
      </c>
      <c r="O1057">
        <v>0.8</v>
      </c>
      <c r="P1057">
        <v>6</v>
      </c>
      <c r="Q1057">
        <v>0</v>
      </c>
      <c r="R1057">
        <v>0</v>
      </c>
      <c r="S1057">
        <v>0</v>
      </c>
      <c r="T1057" t="s">
        <v>32</v>
      </c>
      <c r="V1057">
        <v>59</v>
      </c>
      <c r="W1057">
        <v>0</v>
      </c>
      <c r="X1057">
        <v>59</v>
      </c>
      <c r="Y1057">
        <v>0</v>
      </c>
      <c r="Z1057">
        <v>0</v>
      </c>
      <c r="AA1057">
        <v>0</v>
      </c>
      <c r="AB1057" t="s">
        <v>36</v>
      </c>
      <c r="AC1057">
        <v>59</v>
      </c>
    </row>
    <row r="1058" spans="1:30" x14ac:dyDescent="0.25">
      <c r="A1058" s="1">
        <v>44784.354930555557</v>
      </c>
      <c r="B1058" s="1">
        <v>44784.353009259263</v>
      </c>
      <c r="C1058">
        <v>151710</v>
      </c>
      <c r="D1058" t="s">
        <v>41</v>
      </c>
      <c r="E1058" t="s">
        <v>31</v>
      </c>
      <c r="F1058">
        <v>7</v>
      </c>
      <c r="G1058">
        <v>43.132477000000002</v>
      </c>
      <c r="H1058">
        <v>-71.458374000000006</v>
      </c>
      <c r="I1058">
        <v>230</v>
      </c>
      <c r="J1058">
        <v>76</v>
      </c>
      <c r="K1058">
        <v>0</v>
      </c>
      <c r="L1058" s="1">
        <v>44784.354884259257</v>
      </c>
      <c r="M1058">
        <v>6.9</v>
      </c>
      <c r="N1058">
        <v>5.4</v>
      </c>
      <c r="O1058">
        <v>1.5</v>
      </c>
      <c r="P1058">
        <v>24</v>
      </c>
      <c r="Q1058">
        <v>0.1</v>
      </c>
      <c r="R1058">
        <v>0</v>
      </c>
      <c r="S1058">
        <v>0.05</v>
      </c>
      <c r="T1058" t="s">
        <v>33</v>
      </c>
      <c r="U1058">
        <v>6.15</v>
      </c>
      <c r="V1058">
        <v>58</v>
      </c>
      <c r="W1058">
        <v>0</v>
      </c>
      <c r="X1058">
        <v>58</v>
      </c>
      <c r="Y1058">
        <v>4</v>
      </c>
      <c r="Z1058">
        <v>0</v>
      </c>
      <c r="AA1058">
        <v>4</v>
      </c>
      <c r="AB1058" t="s">
        <v>36</v>
      </c>
      <c r="AC1058">
        <v>58</v>
      </c>
      <c r="AD1058">
        <v>1.85</v>
      </c>
    </row>
    <row r="1059" spans="1:30" x14ac:dyDescent="0.25">
      <c r="A1059" s="1">
        <v>44784.354930555557</v>
      </c>
      <c r="B1059" s="1">
        <v>44784.354074074072</v>
      </c>
      <c r="C1059">
        <v>151706</v>
      </c>
      <c r="D1059" t="s">
        <v>42</v>
      </c>
      <c r="E1059" t="s">
        <v>31</v>
      </c>
      <c r="F1059">
        <v>7</v>
      </c>
      <c r="G1059">
        <v>43.004080000000002</v>
      </c>
      <c r="H1059">
        <v>-71.177040000000005</v>
      </c>
      <c r="I1059">
        <v>194</v>
      </c>
      <c r="J1059">
        <v>75</v>
      </c>
      <c r="K1059">
        <v>0</v>
      </c>
      <c r="L1059" s="1">
        <v>44784.354884259257</v>
      </c>
      <c r="M1059">
        <v>5.0999999999999996</v>
      </c>
      <c r="N1059">
        <v>0</v>
      </c>
      <c r="O1059">
        <v>5.0999999999999996</v>
      </c>
      <c r="P1059">
        <v>200</v>
      </c>
      <c r="Q1059">
        <v>0.4</v>
      </c>
      <c r="R1059">
        <v>0</v>
      </c>
      <c r="S1059">
        <v>0.2</v>
      </c>
      <c r="T1059" t="s">
        <v>43</v>
      </c>
      <c r="V1059">
        <v>64</v>
      </c>
      <c r="W1059">
        <v>0</v>
      </c>
      <c r="X1059">
        <v>64</v>
      </c>
      <c r="Y1059">
        <v>0</v>
      </c>
      <c r="Z1059">
        <v>0</v>
      </c>
      <c r="AA1059">
        <v>0</v>
      </c>
      <c r="AB1059" t="s">
        <v>36</v>
      </c>
      <c r="AC1059">
        <v>64</v>
      </c>
    </row>
    <row r="1060" spans="1:30" x14ac:dyDescent="0.25">
      <c r="A1060" s="1">
        <v>44784.354930555557</v>
      </c>
      <c r="B1060" s="1">
        <v>44784.353807870371</v>
      </c>
      <c r="C1060">
        <v>12212</v>
      </c>
      <c r="D1060" t="s">
        <v>44</v>
      </c>
      <c r="E1060" t="s">
        <v>35</v>
      </c>
      <c r="F1060">
        <v>7</v>
      </c>
      <c r="G1060">
        <v>42.930529999999997</v>
      </c>
      <c r="H1060">
        <v>-72.272350000000003</v>
      </c>
      <c r="I1060">
        <v>476</v>
      </c>
      <c r="J1060">
        <v>77</v>
      </c>
      <c r="K1060">
        <v>0</v>
      </c>
      <c r="L1060" s="1">
        <v>44784.354884259257</v>
      </c>
      <c r="M1060">
        <v>7.2</v>
      </c>
      <c r="N1060">
        <v>6.4</v>
      </c>
      <c r="O1060">
        <v>0.8</v>
      </c>
      <c r="P1060">
        <v>12</v>
      </c>
      <c r="Q1060">
        <v>0.6</v>
      </c>
      <c r="R1060">
        <v>0.4</v>
      </c>
      <c r="S1060">
        <v>0.5</v>
      </c>
      <c r="T1060" t="s">
        <v>33</v>
      </c>
      <c r="U1060">
        <v>6.8</v>
      </c>
      <c r="V1060">
        <v>72</v>
      </c>
      <c r="W1060">
        <v>0</v>
      </c>
      <c r="X1060">
        <v>72</v>
      </c>
      <c r="Y1060">
        <v>4</v>
      </c>
      <c r="Z1060">
        <v>0</v>
      </c>
      <c r="AA1060">
        <v>4</v>
      </c>
      <c r="AB1060" t="s">
        <v>36</v>
      </c>
      <c r="AC1060">
        <v>72</v>
      </c>
      <c r="AD1060">
        <v>1.27</v>
      </c>
    </row>
    <row r="1061" spans="1:30" x14ac:dyDescent="0.25">
      <c r="A1061" s="1">
        <v>44784.354930555557</v>
      </c>
      <c r="B1061" s="1">
        <v>44769.376736111109</v>
      </c>
      <c r="C1061">
        <v>12178</v>
      </c>
      <c r="D1061" t="s">
        <v>45</v>
      </c>
      <c r="E1061" t="s">
        <v>35</v>
      </c>
      <c r="F1061">
        <v>7</v>
      </c>
      <c r="G1061">
        <v>42.899563000000001</v>
      </c>
      <c r="H1061">
        <v>-71.464650000000006</v>
      </c>
      <c r="I1061">
        <v>301</v>
      </c>
      <c r="J1061">
        <v>85</v>
      </c>
      <c r="K1061">
        <v>0</v>
      </c>
      <c r="L1061" s="1">
        <v>44784.354884259257</v>
      </c>
      <c r="M1061">
        <v>3.8</v>
      </c>
      <c r="N1061">
        <v>3.1</v>
      </c>
      <c r="O1061">
        <v>0.7</v>
      </c>
      <c r="P1061">
        <v>20</v>
      </c>
      <c r="Q1061">
        <v>0</v>
      </c>
      <c r="R1061">
        <v>0</v>
      </c>
      <c r="S1061">
        <v>0</v>
      </c>
      <c r="T1061" t="s">
        <v>32</v>
      </c>
      <c r="V1061">
        <v>35</v>
      </c>
      <c r="W1061">
        <v>0</v>
      </c>
      <c r="X1061">
        <v>35</v>
      </c>
      <c r="Y1061">
        <v>0</v>
      </c>
      <c r="Z1061">
        <v>0</v>
      </c>
      <c r="AA1061">
        <v>0</v>
      </c>
      <c r="AB1061" t="s">
        <v>36</v>
      </c>
      <c r="AC1061">
        <v>35</v>
      </c>
    </row>
    <row r="1062" spans="1:30" x14ac:dyDescent="0.25">
      <c r="A1062" s="1">
        <v>44784.354942129627</v>
      </c>
      <c r="B1062" s="1">
        <v>44784.353125000001</v>
      </c>
      <c r="C1062">
        <v>75981</v>
      </c>
      <c r="D1062" t="s">
        <v>46</v>
      </c>
      <c r="E1062" t="s">
        <v>35</v>
      </c>
      <c r="F1062">
        <v>7</v>
      </c>
      <c r="G1062">
        <v>42.97</v>
      </c>
      <c r="H1062">
        <v>-71.06</v>
      </c>
      <c r="I1062">
        <v>136</v>
      </c>
      <c r="J1062">
        <v>78</v>
      </c>
      <c r="K1062">
        <v>0</v>
      </c>
      <c r="L1062" s="1">
        <v>44784.354884259257</v>
      </c>
      <c r="M1062">
        <v>7.8</v>
      </c>
      <c r="N1062">
        <v>7.3</v>
      </c>
      <c r="O1062">
        <v>0.5</v>
      </c>
      <c r="P1062">
        <v>7</v>
      </c>
      <c r="Q1062">
        <v>0.4</v>
      </c>
      <c r="R1062">
        <v>0.2</v>
      </c>
      <c r="S1062">
        <v>0.3</v>
      </c>
      <c r="T1062" t="s">
        <v>33</v>
      </c>
      <c r="U1062">
        <v>7.55</v>
      </c>
      <c r="V1062">
        <v>59</v>
      </c>
      <c r="W1062">
        <v>0</v>
      </c>
      <c r="X1062">
        <v>59</v>
      </c>
      <c r="Y1062">
        <v>1</v>
      </c>
      <c r="Z1062">
        <v>0</v>
      </c>
      <c r="AA1062">
        <v>1</v>
      </c>
      <c r="AB1062" t="s">
        <v>36</v>
      </c>
      <c r="AC1062">
        <v>59</v>
      </c>
      <c r="AD1062">
        <v>2.64</v>
      </c>
    </row>
    <row r="1063" spans="1:30" x14ac:dyDescent="0.25">
      <c r="A1063" s="1">
        <v>44784.354942129627</v>
      </c>
      <c r="B1063" s="1">
        <v>44784.35365740741</v>
      </c>
      <c r="C1063">
        <v>115703</v>
      </c>
      <c r="D1063" t="s">
        <v>47</v>
      </c>
      <c r="E1063" t="s">
        <v>35</v>
      </c>
      <c r="F1063">
        <v>7</v>
      </c>
      <c r="G1063">
        <v>43.953625000000002</v>
      </c>
      <c r="H1063">
        <v>-71.508859999999999</v>
      </c>
      <c r="I1063">
        <v>1493</v>
      </c>
      <c r="J1063">
        <v>69</v>
      </c>
      <c r="K1063">
        <v>0</v>
      </c>
      <c r="L1063" s="1">
        <v>44784.354884259257</v>
      </c>
      <c r="M1063">
        <v>0.1</v>
      </c>
      <c r="N1063">
        <v>300.89999999999998</v>
      </c>
      <c r="O1063">
        <v>300.8</v>
      </c>
      <c r="P1063">
        <v>200</v>
      </c>
      <c r="Q1063">
        <v>0</v>
      </c>
      <c r="R1063">
        <v>0</v>
      </c>
      <c r="S1063">
        <v>0</v>
      </c>
      <c r="T1063" t="s">
        <v>60</v>
      </c>
      <c r="V1063">
        <v>63</v>
      </c>
      <c r="W1063">
        <v>0</v>
      </c>
      <c r="X1063">
        <v>63</v>
      </c>
      <c r="Y1063">
        <v>1</v>
      </c>
      <c r="Z1063">
        <v>0</v>
      </c>
      <c r="AA1063">
        <v>1</v>
      </c>
      <c r="AB1063" t="s">
        <v>36</v>
      </c>
      <c r="AC1063">
        <v>63</v>
      </c>
    </row>
    <row r="1064" spans="1:30" x14ac:dyDescent="0.25">
      <c r="A1064" s="1">
        <v>44784.354942129627</v>
      </c>
      <c r="B1064" s="1">
        <v>44784.353078703702</v>
      </c>
      <c r="C1064">
        <v>12050</v>
      </c>
      <c r="D1064" t="s">
        <v>49</v>
      </c>
      <c r="E1064" t="s">
        <v>35</v>
      </c>
      <c r="F1064">
        <v>7</v>
      </c>
      <c r="G1064">
        <v>44.220573000000002</v>
      </c>
      <c r="H1064">
        <v>-71.732315</v>
      </c>
      <c r="I1064">
        <v>999</v>
      </c>
      <c r="J1064">
        <v>74</v>
      </c>
      <c r="K1064">
        <v>0</v>
      </c>
      <c r="L1064" s="1">
        <v>44784.354884259257</v>
      </c>
      <c r="M1064">
        <v>3.7</v>
      </c>
      <c r="N1064">
        <v>3.5</v>
      </c>
      <c r="O1064">
        <v>0.2</v>
      </c>
      <c r="P1064">
        <v>6</v>
      </c>
      <c r="Q1064">
        <v>0.1</v>
      </c>
      <c r="R1064">
        <v>0.2</v>
      </c>
      <c r="S1064">
        <v>0.15</v>
      </c>
      <c r="T1064" t="s">
        <v>33</v>
      </c>
      <c r="U1064">
        <v>3.6</v>
      </c>
      <c r="V1064">
        <v>53</v>
      </c>
      <c r="W1064">
        <v>0</v>
      </c>
      <c r="X1064">
        <v>53</v>
      </c>
      <c r="Y1064">
        <v>1</v>
      </c>
      <c r="Z1064">
        <v>0</v>
      </c>
      <c r="AA1064">
        <v>1</v>
      </c>
      <c r="AB1064" t="s">
        <v>36</v>
      </c>
      <c r="AC1064">
        <v>53</v>
      </c>
      <c r="AD1064">
        <v>0.65</v>
      </c>
    </row>
    <row r="1065" spans="1:30" x14ac:dyDescent="0.25">
      <c r="A1065" s="1">
        <v>44784.354953703703</v>
      </c>
      <c r="B1065" s="1">
        <v>44784.353182870371</v>
      </c>
      <c r="C1065">
        <v>23443</v>
      </c>
      <c r="D1065" t="s">
        <v>50</v>
      </c>
      <c r="E1065" t="s">
        <v>35</v>
      </c>
      <c r="F1065">
        <v>7</v>
      </c>
      <c r="G1065">
        <v>43.556139999999999</v>
      </c>
      <c r="H1065">
        <v>-72.370990000000006</v>
      </c>
      <c r="I1065">
        <v>523</v>
      </c>
      <c r="J1065">
        <v>75</v>
      </c>
      <c r="K1065">
        <v>0</v>
      </c>
      <c r="L1065" s="1">
        <v>44784.354884259257</v>
      </c>
      <c r="M1065">
        <v>5.9</v>
      </c>
      <c r="N1065">
        <v>5</v>
      </c>
      <c r="O1065">
        <v>0.9</v>
      </c>
      <c r="P1065">
        <v>17</v>
      </c>
      <c r="Q1065">
        <v>0.1</v>
      </c>
      <c r="R1065">
        <v>0</v>
      </c>
      <c r="S1065">
        <v>0.05</v>
      </c>
      <c r="T1065" t="s">
        <v>33</v>
      </c>
      <c r="U1065">
        <v>5.45</v>
      </c>
      <c r="V1065">
        <v>58</v>
      </c>
      <c r="W1065">
        <v>0</v>
      </c>
      <c r="X1065">
        <v>58</v>
      </c>
      <c r="Y1065">
        <v>1</v>
      </c>
      <c r="Z1065">
        <v>0</v>
      </c>
      <c r="AA1065">
        <v>1</v>
      </c>
      <c r="AB1065" t="s">
        <v>36</v>
      </c>
      <c r="AC1065">
        <v>58</v>
      </c>
      <c r="AD1065">
        <v>1.42</v>
      </c>
    </row>
    <row r="1066" spans="1:30" x14ac:dyDescent="0.25">
      <c r="A1066" s="1">
        <v>44784.354953703703</v>
      </c>
      <c r="B1066" s="1">
        <v>44784.353263888886</v>
      </c>
      <c r="C1066">
        <v>58135</v>
      </c>
      <c r="D1066" t="s">
        <v>51</v>
      </c>
      <c r="E1066" t="s">
        <v>35</v>
      </c>
      <c r="F1066">
        <v>7</v>
      </c>
      <c r="G1066">
        <v>42.883873000000001</v>
      </c>
      <c r="H1066">
        <v>-71.972915999999998</v>
      </c>
      <c r="I1066">
        <v>808</v>
      </c>
      <c r="J1066">
        <v>77</v>
      </c>
      <c r="K1066">
        <v>0</v>
      </c>
      <c r="L1066" s="1">
        <v>44784.354884259257</v>
      </c>
      <c r="M1066">
        <v>7.9</v>
      </c>
      <c r="N1066">
        <v>26.4</v>
      </c>
      <c r="O1066">
        <v>18.5</v>
      </c>
      <c r="P1066">
        <v>108</v>
      </c>
      <c r="Q1066">
        <v>0.5</v>
      </c>
      <c r="R1066">
        <v>2.8</v>
      </c>
      <c r="S1066">
        <v>1.65</v>
      </c>
      <c r="T1066" t="s">
        <v>60</v>
      </c>
      <c r="V1066">
        <v>63</v>
      </c>
      <c r="W1066">
        <v>0</v>
      </c>
      <c r="X1066">
        <v>63</v>
      </c>
      <c r="Y1066">
        <v>4</v>
      </c>
      <c r="Z1066">
        <v>0</v>
      </c>
      <c r="AA1066">
        <v>4</v>
      </c>
      <c r="AB1066" t="s">
        <v>36</v>
      </c>
      <c r="AC1066">
        <v>63</v>
      </c>
    </row>
    <row r="1067" spans="1:30" x14ac:dyDescent="0.25">
      <c r="A1067" s="1">
        <v>44784.354953703703</v>
      </c>
      <c r="B1067" s="1">
        <v>44784.353321759256</v>
      </c>
      <c r="C1067">
        <v>148555</v>
      </c>
      <c r="D1067" t="s">
        <v>52</v>
      </c>
      <c r="E1067" t="s">
        <v>53</v>
      </c>
      <c r="F1067">
        <v>7</v>
      </c>
      <c r="G1067">
        <v>42.904949999999999</v>
      </c>
      <c r="H1067">
        <v>-71.386764999999997</v>
      </c>
      <c r="I1067">
        <v>363</v>
      </c>
      <c r="J1067">
        <v>0</v>
      </c>
      <c r="K1067">
        <v>0</v>
      </c>
      <c r="L1067" s="1">
        <v>44784.354884259257</v>
      </c>
      <c r="M1067">
        <v>4.5</v>
      </c>
      <c r="N1067">
        <v>5</v>
      </c>
      <c r="O1067">
        <v>0.5</v>
      </c>
      <c r="P1067">
        <v>11</v>
      </c>
      <c r="Q1067">
        <v>0.2</v>
      </c>
      <c r="R1067">
        <v>0.2</v>
      </c>
      <c r="S1067">
        <v>0.2</v>
      </c>
      <c r="T1067" t="s">
        <v>33</v>
      </c>
      <c r="U1067">
        <v>4.75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 t="s">
        <v>38</v>
      </c>
    </row>
    <row r="1068" spans="1:30" x14ac:dyDescent="0.25">
      <c r="A1068" s="1">
        <v>44784.354953703703</v>
      </c>
      <c r="B1068" s="1">
        <v>44784.354201388887</v>
      </c>
      <c r="C1068">
        <v>146644</v>
      </c>
      <c r="D1068" t="s">
        <v>54</v>
      </c>
      <c r="E1068" t="s">
        <v>53</v>
      </c>
      <c r="F1068">
        <v>7</v>
      </c>
      <c r="G1068">
        <v>43.06015</v>
      </c>
      <c r="H1068">
        <v>-70.758930000000007</v>
      </c>
      <c r="I1068">
        <v>35</v>
      </c>
      <c r="J1068">
        <v>74</v>
      </c>
      <c r="K1068">
        <v>75</v>
      </c>
      <c r="L1068" s="1">
        <v>44784.354884259257</v>
      </c>
      <c r="M1068">
        <v>7.5</v>
      </c>
      <c r="N1068">
        <v>6</v>
      </c>
      <c r="O1068">
        <v>1.5</v>
      </c>
      <c r="P1068">
        <v>22</v>
      </c>
      <c r="Q1068">
        <v>0.2</v>
      </c>
      <c r="R1068">
        <v>0</v>
      </c>
      <c r="S1068">
        <v>0.1</v>
      </c>
      <c r="T1068" t="s">
        <v>33</v>
      </c>
      <c r="U1068">
        <v>6.75</v>
      </c>
      <c r="V1068">
        <v>64</v>
      </c>
      <c r="W1068">
        <v>69</v>
      </c>
      <c r="X1068">
        <v>5</v>
      </c>
      <c r="Y1068">
        <v>1</v>
      </c>
      <c r="Z1068">
        <v>0</v>
      </c>
      <c r="AA1068">
        <v>1</v>
      </c>
      <c r="AB1068" t="s">
        <v>33</v>
      </c>
      <c r="AC1068">
        <v>66.5</v>
      </c>
      <c r="AD1068">
        <v>1.62</v>
      </c>
    </row>
    <row r="1069" spans="1:30" x14ac:dyDescent="0.25">
      <c r="A1069" s="1">
        <v>44784.35496527778</v>
      </c>
      <c r="B1069" s="1">
        <v>43755.283437500002</v>
      </c>
      <c r="C1069">
        <v>12188</v>
      </c>
      <c r="D1069" t="s">
        <v>55</v>
      </c>
      <c r="E1069" t="s">
        <v>35</v>
      </c>
      <c r="F1069">
        <v>4.1100000000000003</v>
      </c>
      <c r="G1069">
        <v>42.927050000000001</v>
      </c>
      <c r="H1069">
        <v>-72.279610000000005</v>
      </c>
      <c r="I1069">
        <v>475</v>
      </c>
      <c r="J1069">
        <v>95</v>
      </c>
      <c r="K1069">
        <v>0</v>
      </c>
      <c r="L1069" s="1">
        <v>44784.354884259257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 t="s">
        <v>32</v>
      </c>
      <c r="V1069">
        <v>77</v>
      </c>
      <c r="W1069">
        <v>0</v>
      </c>
      <c r="X1069">
        <v>77</v>
      </c>
      <c r="Y1069">
        <v>0</v>
      </c>
      <c r="Z1069">
        <v>0</v>
      </c>
      <c r="AA1069">
        <v>0</v>
      </c>
      <c r="AB1069" t="s">
        <v>36</v>
      </c>
      <c r="AC1069">
        <v>77</v>
      </c>
    </row>
    <row r="1070" spans="1:30" x14ac:dyDescent="0.25">
      <c r="A1070" s="1">
        <v>44784.35496527778</v>
      </c>
      <c r="B1070" s="1">
        <v>44784.353182870371</v>
      </c>
      <c r="C1070">
        <v>1224</v>
      </c>
      <c r="D1070" t="s">
        <v>56</v>
      </c>
      <c r="E1070" t="s">
        <v>35</v>
      </c>
      <c r="F1070" t="s">
        <v>57</v>
      </c>
      <c r="G1070">
        <v>42.938034000000002</v>
      </c>
      <c r="H1070">
        <v>-72.259299999999996</v>
      </c>
      <c r="I1070">
        <v>792</v>
      </c>
      <c r="J1070">
        <v>77</v>
      </c>
      <c r="K1070">
        <v>0</v>
      </c>
      <c r="L1070" s="1">
        <v>44784.354884259257</v>
      </c>
      <c r="M1070">
        <v>7.5</v>
      </c>
      <c r="N1070">
        <v>0.2</v>
      </c>
      <c r="O1070">
        <v>7.3</v>
      </c>
      <c r="P1070">
        <v>190</v>
      </c>
      <c r="Q1070">
        <v>0.1</v>
      </c>
      <c r="R1070">
        <v>0.1</v>
      </c>
      <c r="S1070">
        <v>0.1</v>
      </c>
      <c r="T1070" t="s">
        <v>33</v>
      </c>
      <c r="U1070">
        <v>3.85</v>
      </c>
      <c r="V1070">
        <v>81</v>
      </c>
      <c r="W1070">
        <v>0</v>
      </c>
      <c r="X1070">
        <v>81</v>
      </c>
      <c r="Y1070">
        <v>2</v>
      </c>
      <c r="Z1070">
        <v>0</v>
      </c>
      <c r="AA1070">
        <v>2</v>
      </c>
      <c r="AB1070" t="s">
        <v>36</v>
      </c>
      <c r="AC1070">
        <v>81</v>
      </c>
      <c r="AD1070">
        <v>-1.1599999999999999</v>
      </c>
    </row>
    <row r="1071" spans="1:30" x14ac:dyDescent="0.25">
      <c r="A1071" s="1">
        <v>44784.35496527778</v>
      </c>
      <c r="B1071" s="1">
        <v>44784.354016203702</v>
      </c>
      <c r="C1071">
        <v>1202</v>
      </c>
      <c r="D1071" t="s">
        <v>58</v>
      </c>
      <c r="E1071" t="s">
        <v>35</v>
      </c>
      <c r="F1071" t="s">
        <v>57</v>
      </c>
      <c r="G1071">
        <v>42.936554000000001</v>
      </c>
      <c r="H1071">
        <v>-72.271019999999993</v>
      </c>
      <c r="I1071">
        <v>488</v>
      </c>
      <c r="J1071">
        <v>0</v>
      </c>
      <c r="K1071">
        <v>0</v>
      </c>
      <c r="L1071" s="1">
        <v>44784.354884259257</v>
      </c>
      <c r="M1071">
        <v>7.8</v>
      </c>
      <c r="N1071">
        <v>7.3</v>
      </c>
      <c r="O1071">
        <v>0.5</v>
      </c>
      <c r="P1071">
        <v>7</v>
      </c>
      <c r="Q1071">
        <v>0.6</v>
      </c>
      <c r="R1071">
        <v>0.5</v>
      </c>
      <c r="S1071">
        <v>0.55000000000000004</v>
      </c>
      <c r="T1071" t="s">
        <v>33</v>
      </c>
      <c r="U1071">
        <v>7.55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 t="s">
        <v>38</v>
      </c>
    </row>
    <row r="1072" spans="1:30" x14ac:dyDescent="0.25">
      <c r="A1072" s="1">
        <v>44784.35497685185</v>
      </c>
      <c r="B1072" s="1">
        <v>44612.080023148148</v>
      </c>
      <c r="C1072">
        <v>25985</v>
      </c>
      <c r="D1072" t="s">
        <v>59</v>
      </c>
      <c r="E1072" t="s">
        <v>35</v>
      </c>
      <c r="F1072">
        <v>6.01</v>
      </c>
      <c r="G1072">
        <v>42.927326000000001</v>
      </c>
      <c r="H1072">
        <v>-72.279979999999995</v>
      </c>
      <c r="I1072">
        <v>477</v>
      </c>
      <c r="J1072">
        <v>78</v>
      </c>
      <c r="K1072">
        <v>0</v>
      </c>
      <c r="L1072" s="1">
        <v>44784.354884259257</v>
      </c>
      <c r="M1072">
        <v>1.1000000000000001</v>
      </c>
      <c r="N1072">
        <v>1</v>
      </c>
      <c r="O1072">
        <v>0.1</v>
      </c>
      <c r="P1072">
        <v>10</v>
      </c>
      <c r="Q1072">
        <v>0</v>
      </c>
      <c r="R1072">
        <v>0</v>
      </c>
      <c r="S1072">
        <v>0</v>
      </c>
      <c r="T1072" t="s">
        <v>32</v>
      </c>
      <c r="V1072">
        <v>22</v>
      </c>
      <c r="W1072">
        <v>0</v>
      </c>
      <c r="X1072">
        <v>22</v>
      </c>
      <c r="Y1072">
        <v>0</v>
      </c>
      <c r="Z1072">
        <v>0</v>
      </c>
      <c r="AA1072">
        <v>0</v>
      </c>
      <c r="AB1072" t="s">
        <v>36</v>
      </c>
      <c r="AC1072">
        <v>22</v>
      </c>
    </row>
    <row r="1073" spans="1:30" x14ac:dyDescent="0.25">
      <c r="A1073" s="1">
        <v>44784.361851851849</v>
      </c>
      <c r="B1073" s="1">
        <v>44775.701319444444</v>
      </c>
      <c r="C1073">
        <v>151708</v>
      </c>
      <c r="D1073" t="s">
        <v>30</v>
      </c>
      <c r="E1073" t="s">
        <v>31</v>
      </c>
      <c r="F1073">
        <v>7</v>
      </c>
      <c r="G1073">
        <v>43.192042999999998</v>
      </c>
      <c r="H1073">
        <v>-71.541579999999996</v>
      </c>
      <c r="I1073">
        <v>291</v>
      </c>
      <c r="J1073">
        <v>93</v>
      </c>
      <c r="K1073">
        <v>94</v>
      </c>
      <c r="L1073" s="1">
        <v>44784.361828703702</v>
      </c>
      <c r="M1073">
        <v>7.9</v>
      </c>
      <c r="N1073">
        <v>7.6</v>
      </c>
      <c r="O1073">
        <v>0.3</v>
      </c>
      <c r="P1073">
        <v>4</v>
      </c>
      <c r="Q1073">
        <v>0</v>
      </c>
      <c r="R1073">
        <v>0</v>
      </c>
      <c r="S1073">
        <v>0</v>
      </c>
      <c r="T1073" t="s">
        <v>32</v>
      </c>
      <c r="V1073">
        <v>42</v>
      </c>
      <c r="W1073">
        <v>41</v>
      </c>
      <c r="X1073">
        <v>1</v>
      </c>
      <c r="Y1073">
        <v>0</v>
      </c>
      <c r="Z1073">
        <v>0</v>
      </c>
      <c r="AA1073">
        <v>0</v>
      </c>
      <c r="AB1073" t="s">
        <v>33</v>
      </c>
      <c r="AC1073">
        <v>41.5</v>
      </c>
    </row>
    <row r="1074" spans="1:30" x14ac:dyDescent="0.25">
      <c r="A1074" s="1">
        <v>44784.361851851849</v>
      </c>
      <c r="B1074" s="1">
        <v>44784.360173611109</v>
      </c>
      <c r="C1074">
        <v>143456</v>
      </c>
      <c r="D1074" t="s">
        <v>34</v>
      </c>
      <c r="E1074" t="s">
        <v>35</v>
      </c>
      <c r="F1074">
        <v>7</v>
      </c>
      <c r="G1074">
        <v>43.08963</v>
      </c>
      <c r="H1074">
        <v>-71.502440000000007</v>
      </c>
      <c r="I1074">
        <v>619</v>
      </c>
      <c r="J1074">
        <v>72</v>
      </c>
      <c r="K1074">
        <v>0</v>
      </c>
      <c r="L1074" s="1">
        <v>44784.361828703702</v>
      </c>
      <c r="M1074">
        <v>4</v>
      </c>
      <c r="N1074">
        <v>4.3</v>
      </c>
      <c r="O1074">
        <v>0.3</v>
      </c>
      <c r="P1074">
        <v>7</v>
      </c>
      <c r="Q1074">
        <v>0</v>
      </c>
      <c r="R1074">
        <v>0.1</v>
      </c>
      <c r="S1074">
        <v>0.05</v>
      </c>
      <c r="T1074" t="s">
        <v>33</v>
      </c>
      <c r="U1074">
        <v>4.1500000000000004</v>
      </c>
      <c r="V1074">
        <v>70</v>
      </c>
      <c r="W1074">
        <v>0</v>
      </c>
      <c r="X1074">
        <v>70</v>
      </c>
      <c r="Y1074">
        <v>0</v>
      </c>
      <c r="Z1074">
        <v>0</v>
      </c>
      <c r="AA1074">
        <v>0</v>
      </c>
      <c r="AB1074" t="s">
        <v>36</v>
      </c>
      <c r="AC1074">
        <v>70</v>
      </c>
      <c r="AD1074">
        <v>-0.21</v>
      </c>
    </row>
    <row r="1075" spans="1:30" x14ac:dyDescent="0.25">
      <c r="A1075" s="1">
        <v>44784.361851851849</v>
      </c>
      <c r="B1075" s="1">
        <v>44784.360347222224</v>
      </c>
      <c r="C1075">
        <v>151702</v>
      </c>
      <c r="D1075" t="s">
        <v>37</v>
      </c>
      <c r="E1075" t="s">
        <v>31</v>
      </c>
      <c r="F1075">
        <v>7</v>
      </c>
      <c r="G1075">
        <v>43.118609999999997</v>
      </c>
      <c r="H1075">
        <v>-71.61618</v>
      </c>
      <c r="I1075">
        <v>885</v>
      </c>
      <c r="J1075">
        <v>0</v>
      </c>
      <c r="K1075">
        <v>0</v>
      </c>
      <c r="L1075" s="1">
        <v>44784.361828703702</v>
      </c>
      <c r="M1075">
        <v>4.5</v>
      </c>
      <c r="N1075">
        <v>4.5</v>
      </c>
      <c r="O1075">
        <v>0</v>
      </c>
      <c r="P1075">
        <v>0</v>
      </c>
      <c r="Q1075">
        <v>0.1</v>
      </c>
      <c r="R1075">
        <v>0.1</v>
      </c>
      <c r="S1075">
        <v>0.1</v>
      </c>
      <c r="T1075" t="s">
        <v>33</v>
      </c>
      <c r="U1075">
        <v>4.5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 t="s">
        <v>38</v>
      </c>
    </row>
    <row r="1076" spans="1:30" x14ac:dyDescent="0.25">
      <c r="A1076" s="1">
        <v>44784.361863425926</v>
      </c>
      <c r="B1076" s="1">
        <v>44784.360231481478</v>
      </c>
      <c r="C1076">
        <v>151700</v>
      </c>
      <c r="D1076" t="s">
        <v>30</v>
      </c>
      <c r="E1076" t="s">
        <v>31</v>
      </c>
      <c r="F1076">
        <v>7</v>
      </c>
      <c r="G1076">
        <v>43.19211</v>
      </c>
      <c r="H1076">
        <v>-71.541460000000001</v>
      </c>
      <c r="I1076">
        <v>286</v>
      </c>
      <c r="J1076">
        <v>74</v>
      </c>
      <c r="K1076">
        <v>0</v>
      </c>
      <c r="L1076" s="1">
        <v>44784.361828703702</v>
      </c>
      <c r="M1076">
        <v>5.2</v>
      </c>
      <c r="N1076">
        <v>6</v>
      </c>
      <c r="O1076">
        <v>0.8</v>
      </c>
      <c r="P1076">
        <v>14</v>
      </c>
      <c r="Q1076">
        <v>0.2</v>
      </c>
      <c r="R1076">
        <v>0.1</v>
      </c>
      <c r="S1076">
        <v>0.15</v>
      </c>
      <c r="T1076" t="s">
        <v>33</v>
      </c>
      <c r="U1076">
        <v>5.6</v>
      </c>
      <c r="V1076">
        <v>64</v>
      </c>
      <c r="W1076">
        <v>0</v>
      </c>
      <c r="X1076">
        <v>64</v>
      </c>
      <c r="Y1076">
        <v>1</v>
      </c>
      <c r="Z1076">
        <v>0</v>
      </c>
      <c r="AA1076">
        <v>1</v>
      </c>
      <c r="AB1076" t="s">
        <v>36</v>
      </c>
      <c r="AC1076">
        <v>64</v>
      </c>
      <c r="AD1076">
        <v>1.1000000000000001</v>
      </c>
    </row>
    <row r="1077" spans="1:30" x14ac:dyDescent="0.25">
      <c r="A1077" s="1">
        <v>44784.361863425926</v>
      </c>
      <c r="B1077" s="1">
        <v>44784.360648148147</v>
      </c>
      <c r="C1077">
        <v>135984</v>
      </c>
      <c r="D1077" t="s">
        <v>39</v>
      </c>
      <c r="E1077" t="s">
        <v>31</v>
      </c>
      <c r="F1077">
        <v>7</v>
      </c>
      <c r="G1077">
        <v>43.565852999999997</v>
      </c>
      <c r="H1077">
        <v>-71.496129999999994</v>
      </c>
      <c r="I1077">
        <v>708</v>
      </c>
      <c r="J1077">
        <v>79</v>
      </c>
      <c r="K1077">
        <v>0</v>
      </c>
      <c r="L1077" s="1">
        <v>44784.361828703702</v>
      </c>
      <c r="M1077">
        <v>4</v>
      </c>
      <c r="N1077">
        <v>3.2</v>
      </c>
      <c r="O1077">
        <v>0.8</v>
      </c>
      <c r="P1077">
        <v>22</v>
      </c>
      <c r="Q1077">
        <v>0.2</v>
      </c>
      <c r="R1077">
        <v>0</v>
      </c>
      <c r="S1077">
        <v>0.1</v>
      </c>
      <c r="T1077" t="s">
        <v>33</v>
      </c>
      <c r="U1077">
        <v>3.6</v>
      </c>
      <c r="V1077">
        <v>70</v>
      </c>
      <c r="W1077">
        <v>0</v>
      </c>
      <c r="X1077">
        <v>70</v>
      </c>
      <c r="Y1077">
        <v>5</v>
      </c>
      <c r="Z1077">
        <v>0</v>
      </c>
      <c r="AA1077">
        <v>5</v>
      </c>
      <c r="AB1077" t="s">
        <v>36</v>
      </c>
      <c r="AC1077">
        <v>70</v>
      </c>
      <c r="AD1077">
        <v>-0.54</v>
      </c>
    </row>
    <row r="1078" spans="1:30" x14ac:dyDescent="0.25">
      <c r="A1078" s="1">
        <v>44784.361863425926</v>
      </c>
      <c r="B1078" s="1">
        <v>44780.394780092596</v>
      </c>
      <c r="C1078">
        <v>151712</v>
      </c>
      <c r="D1078" t="s">
        <v>40</v>
      </c>
      <c r="E1078" t="s">
        <v>31</v>
      </c>
      <c r="F1078">
        <v>7</v>
      </c>
      <c r="G1078">
        <v>43.289763999999998</v>
      </c>
      <c r="H1078">
        <v>-71.564260000000004</v>
      </c>
      <c r="I1078">
        <v>370</v>
      </c>
      <c r="J1078">
        <v>86</v>
      </c>
      <c r="K1078">
        <v>0</v>
      </c>
      <c r="L1078" s="1">
        <v>44784.361828703702</v>
      </c>
      <c r="M1078">
        <v>14</v>
      </c>
      <c r="N1078">
        <v>13.2</v>
      </c>
      <c r="O1078">
        <v>0.8</v>
      </c>
      <c r="P1078">
        <v>6</v>
      </c>
      <c r="Q1078">
        <v>0</v>
      </c>
      <c r="R1078">
        <v>0</v>
      </c>
      <c r="S1078">
        <v>0</v>
      </c>
      <c r="T1078" t="s">
        <v>32</v>
      </c>
      <c r="V1078">
        <v>59</v>
      </c>
      <c r="W1078">
        <v>0</v>
      </c>
      <c r="X1078">
        <v>59</v>
      </c>
      <c r="Y1078">
        <v>0</v>
      </c>
      <c r="Z1078">
        <v>0</v>
      </c>
      <c r="AA1078">
        <v>0</v>
      </c>
      <c r="AB1078" t="s">
        <v>36</v>
      </c>
      <c r="AC1078">
        <v>59</v>
      </c>
    </row>
    <row r="1079" spans="1:30" x14ac:dyDescent="0.25">
      <c r="A1079" s="1">
        <v>44784.361875000002</v>
      </c>
      <c r="B1079" s="1">
        <v>44784.359953703701</v>
      </c>
      <c r="C1079">
        <v>151710</v>
      </c>
      <c r="D1079" t="s">
        <v>41</v>
      </c>
      <c r="E1079" t="s">
        <v>31</v>
      </c>
      <c r="F1079">
        <v>7</v>
      </c>
      <c r="G1079">
        <v>43.132477000000002</v>
      </c>
      <c r="H1079">
        <v>-71.458374000000006</v>
      </c>
      <c r="I1079">
        <v>230</v>
      </c>
      <c r="J1079">
        <v>78</v>
      </c>
      <c r="K1079">
        <v>0</v>
      </c>
      <c r="L1079" s="1">
        <v>44784.361828703702</v>
      </c>
      <c r="M1079">
        <v>6.7</v>
      </c>
      <c r="N1079">
        <v>5.4</v>
      </c>
      <c r="O1079">
        <v>1.3</v>
      </c>
      <c r="P1079">
        <v>21</v>
      </c>
      <c r="Q1079">
        <v>0.2</v>
      </c>
      <c r="R1079">
        <v>0</v>
      </c>
      <c r="S1079">
        <v>0.1</v>
      </c>
      <c r="T1079" t="s">
        <v>33</v>
      </c>
      <c r="U1079">
        <v>6.05</v>
      </c>
      <c r="V1079">
        <v>55</v>
      </c>
      <c r="W1079">
        <v>0</v>
      </c>
      <c r="X1079">
        <v>55</v>
      </c>
      <c r="Y1079">
        <v>3</v>
      </c>
      <c r="Z1079">
        <v>0</v>
      </c>
      <c r="AA1079">
        <v>3</v>
      </c>
      <c r="AB1079" t="s">
        <v>36</v>
      </c>
      <c r="AC1079">
        <v>55</v>
      </c>
      <c r="AD1079">
        <v>2</v>
      </c>
    </row>
    <row r="1080" spans="1:30" x14ac:dyDescent="0.25">
      <c r="A1080" s="1">
        <v>44784.361875000002</v>
      </c>
      <c r="B1080" s="1">
        <v>44784.361018518517</v>
      </c>
      <c r="C1080">
        <v>151706</v>
      </c>
      <c r="D1080" t="s">
        <v>42</v>
      </c>
      <c r="E1080" t="s">
        <v>31</v>
      </c>
      <c r="F1080">
        <v>7</v>
      </c>
      <c r="G1080">
        <v>43.004080000000002</v>
      </c>
      <c r="H1080">
        <v>-71.177040000000005</v>
      </c>
      <c r="I1080">
        <v>194</v>
      </c>
      <c r="J1080">
        <v>77</v>
      </c>
      <c r="K1080">
        <v>0</v>
      </c>
      <c r="L1080" s="1">
        <v>44784.361828703702</v>
      </c>
      <c r="M1080">
        <v>5.3</v>
      </c>
      <c r="N1080">
        <v>0</v>
      </c>
      <c r="O1080">
        <v>5.3</v>
      </c>
      <c r="P1080">
        <v>200</v>
      </c>
      <c r="Q1080">
        <v>0.2</v>
      </c>
      <c r="R1080">
        <v>0</v>
      </c>
      <c r="S1080">
        <v>0.1</v>
      </c>
      <c r="T1080" t="s">
        <v>43</v>
      </c>
      <c r="V1080">
        <v>62</v>
      </c>
      <c r="W1080">
        <v>0</v>
      </c>
      <c r="X1080">
        <v>62</v>
      </c>
      <c r="Y1080">
        <v>2</v>
      </c>
      <c r="Z1080">
        <v>0</v>
      </c>
      <c r="AA1080">
        <v>2</v>
      </c>
      <c r="AB1080" t="s">
        <v>36</v>
      </c>
      <c r="AC1080">
        <v>62</v>
      </c>
    </row>
    <row r="1081" spans="1:30" x14ac:dyDescent="0.25">
      <c r="A1081" s="1">
        <v>44784.361875000002</v>
      </c>
      <c r="B1081" s="1">
        <v>44784.360763888886</v>
      </c>
      <c r="C1081">
        <v>12212</v>
      </c>
      <c r="D1081" t="s">
        <v>44</v>
      </c>
      <c r="E1081" t="s">
        <v>35</v>
      </c>
      <c r="F1081">
        <v>7</v>
      </c>
      <c r="G1081">
        <v>42.930529999999997</v>
      </c>
      <c r="H1081">
        <v>-72.272350000000003</v>
      </c>
      <c r="I1081">
        <v>476</v>
      </c>
      <c r="J1081">
        <v>80</v>
      </c>
      <c r="K1081">
        <v>0</v>
      </c>
      <c r="L1081" s="1">
        <v>44784.361828703702</v>
      </c>
      <c r="M1081">
        <v>6.9</v>
      </c>
      <c r="N1081">
        <v>6.2</v>
      </c>
      <c r="O1081">
        <v>0.7</v>
      </c>
      <c r="P1081">
        <v>11</v>
      </c>
      <c r="Q1081">
        <v>0.3</v>
      </c>
      <c r="R1081">
        <v>0.2</v>
      </c>
      <c r="S1081">
        <v>0.25</v>
      </c>
      <c r="T1081" t="s">
        <v>33</v>
      </c>
      <c r="U1081">
        <v>6.55</v>
      </c>
      <c r="V1081">
        <v>70</v>
      </c>
      <c r="W1081">
        <v>0</v>
      </c>
      <c r="X1081">
        <v>70</v>
      </c>
      <c r="Y1081">
        <v>2</v>
      </c>
      <c r="Z1081">
        <v>0</v>
      </c>
      <c r="AA1081">
        <v>2</v>
      </c>
      <c r="AB1081" t="s">
        <v>36</v>
      </c>
      <c r="AC1081">
        <v>70</v>
      </c>
      <c r="AD1081">
        <v>1.26</v>
      </c>
    </row>
    <row r="1082" spans="1:30" x14ac:dyDescent="0.25">
      <c r="A1082" s="1">
        <v>44784.361886574072</v>
      </c>
      <c r="B1082" s="1">
        <v>44769.376736111109</v>
      </c>
      <c r="C1082">
        <v>12178</v>
      </c>
      <c r="D1082" t="s">
        <v>45</v>
      </c>
      <c r="E1082" t="s">
        <v>35</v>
      </c>
      <c r="F1082">
        <v>7</v>
      </c>
      <c r="G1082">
        <v>42.899563000000001</v>
      </c>
      <c r="H1082">
        <v>-71.464650000000006</v>
      </c>
      <c r="I1082">
        <v>301</v>
      </c>
      <c r="J1082">
        <v>85</v>
      </c>
      <c r="K1082">
        <v>0</v>
      </c>
      <c r="L1082" s="1">
        <v>44784.361828703702</v>
      </c>
      <c r="M1082">
        <v>3.8</v>
      </c>
      <c r="N1082">
        <v>3.1</v>
      </c>
      <c r="O1082">
        <v>0.7</v>
      </c>
      <c r="P1082">
        <v>20</v>
      </c>
      <c r="Q1082">
        <v>0</v>
      </c>
      <c r="R1082">
        <v>0</v>
      </c>
      <c r="S1082">
        <v>0</v>
      </c>
      <c r="T1082" t="s">
        <v>32</v>
      </c>
      <c r="V1082">
        <v>35</v>
      </c>
      <c r="W1082">
        <v>0</v>
      </c>
      <c r="X1082">
        <v>35</v>
      </c>
      <c r="Y1082">
        <v>0</v>
      </c>
      <c r="Z1082">
        <v>0</v>
      </c>
      <c r="AA1082">
        <v>0</v>
      </c>
      <c r="AB1082" t="s">
        <v>36</v>
      </c>
      <c r="AC1082">
        <v>35</v>
      </c>
    </row>
    <row r="1083" spans="1:30" x14ac:dyDescent="0.25">
      <c r="A1083" s="1">
        <v>44784.361886574072</v>
      </c>
      <c r="B1083" s="1">
        <v>44784.360069444447</v>
      </c>
      <c r="C1083">
        <v>75981</v>
      </c>
      <c r="D1083" t="s">
        <v>46</v>
      </c>
      <c r="E1083" t="s">
        <v>35</v>
      </c>
      <c r="F1083">
        <v>7</v>
      </c>
      <c r="G1083">
        <v>42.97</v>
      </c>
      <c r="H1083">
        <v>-71.06</v>
      </c>
      <c r="I1083">
        <v>136</v>
      </c>
      <c r="J1083">
        <v>78</v>
      </c>
      <c r="K1083">
        <v>0</v>
      </c>
      <c r="L1083" s="1">
        <v>44784.361828703702</v>
      </c>
      <c r="M1083">
        <v>8</v>
      </c>
      <c r="N1083">
        <v>7.5</v>
      </c>
      <c r="O1083">
        <v>0.5</v>
      </c>
      <c r="P1083">
        <v>6</v>
      </c>
      <c r="Q1083">
        <v>0.2</v>
      </c>
      <c r="R1083">
        <v>0.2</v>
      </c>
      <c r="S1083">
        <v>0.2</v>
      </c>
      <c r="T1083" t="s">
        <v>33</v>
      </c>
      <c r="U1083">
        <v>7.75</v>
      </c>
      <c r="V1083">
        <v>59</v>
      </c>
      <c r="W1083">
        <v>0</v>
      </c>
      <c r="X1083">
        <v>59</v>
      </c>
      <c r="Y1083">
        <v>0</v>
      </c>
      <c r="Z1083">
        <v>0</v>
      </c>
      <c r="AA1083">
        <v>0</v>
      </c>
      <c r="AB1083" t="s">
        <v>36</v>
      </c>
      <c r="AC1083">
        <v>59</v>
      </c>
      <c r="AD1083">
        <v>2.76</v>
      </c>
    </row>
    <row r="1084" spans="1:30" x14ac:dyDescent="0.25">
      <c r="A1084" s="1">
        <v>44784.361886574072</v>
      </c>
      <c r="B1084" s="1">
        <v>44784.360613425924</v>
      </c>
      <c r="C1084">
        <v>115703</v>
      </c>
      <c r="D1084" t="s">
        <v>47</v>
      </c>
      <c r="E1084" t="s">
        <v>35</v>
      </c>
      <c r="F1084">
        <v>7</v>
      </c>
      <c r="G1084">
        <v>43.953625000000002</v>
      </c>
      <c r="H1084">
        <v>-71.508859999999999</v>
      </c>
      <c r="I1084">
        <v>1493</v>
      </c>
      <c r="J1084">
        <v>70</v>
      </c>
      <c r="K1084">
        <v>0</v>
      </c>
      <c r="L1084" s="1">
        <v>44784.361828703702</v>
      </c>
      <c r="M1084">
        <v>0.1</v>
      </c>
      <c r="N1084">
        <v>300.89999999999998</v>
      </c>
      <c r="O1084">
        <v>300.8</v>
      </c>
      <c r="P1084">
        <v>200</v>
      </c>
      <c r="Q1084">
        <v>0</v>
      </c>
      <c r="R1084">
        <v>0</v>
      </c>
      <c r="S1084">
        <v>0</v>
      </c>
      <c r="T1084" t="s">
        <v>60</v>
      </c>
      <c r="V1084">
        <v>63</v>
      </c>
      <c r="W1084">
        <v>0</v>
      </c>
      <c r="X1084">
        <v>63</v>
      </c>
      <c r="Y1084">
        <v>0</v>
      </c>
      <c r="Z1084">
        <v>0</v>
      </c>
      <c r="AA1084">
        <v>0</v>
      </c>
      <c r="AB1084" t="s">
        <v>36</v>
      </c>
      <c r="AC1084">
        <v>63</v>
      </c>
    </row>
    <row r="1085" spans="1:30" x14ac:dyDescent="0.25">
      <c r="A1085" s="1">
        <v>44784.361898148149</v>
      </c>
      <c r="B1085" s="1">
        <v>44784.360023148147</v>
      </c>
      <c r="C1085">
        <v>12050</v>
      </c>
      <c r="D1085" t="s">
        <v>49</v>
      </c>
      <c r="E1085" t="s">
        <v>35</v>
      </c>
      <c r="F1085">
        <v>7</v>
      </c>
      <c r="G1085">
        <v>44.220573000000002</v>
      </c>
      <c r="H1085">
        <v>-71.732315</v>
      </c>
      <c r="I1085">
        <v>999</v>
      </c>
      <c r="J1085">
        <v>76</v>
      </c>
      <c r="K1085">
        <v>0</v>
      </c>
      <c r="L1085" s="1">
        <v>44784.361828703702</v>
      </c>
      <c r="M1085">
        <v>3.7</v>
      </c>
      <c r="N1085">
        <v>3.4</v>
      </c>
      <c r="O1085">
        <v>0.3</v>
      </c>
      <c r="P1085">
        <v>8</v>
      </c>
      <c r="Q1085">
        <v>0</v>
      </c>
      <c r="R1085">
        <v>0.1</v>
      </c>
      <c r="S1085">
        <v>0.05</v>
      </c>
      <c r="T1085" t="s">
        <v>33</v>
      </c>
      <c r="U1085">
        <v>3.55</v>
      </c>
      <c r="V1085">
        <v>50</v>
      </c>
      <c r="W1085">
        <v>0</v>
      </c>
      <c r="X1085">
        <v>50</v>
      </c>
      <c r="Y1085">
        <v>3</v>
      </c>
      <c r="Z1085">
        <v>0</v>
      </c>
      <c r="AA1085">
        <v>3</v>
      </c>
      <c r="AB1085" t="s">
        <v>36</v>
      </c>
      <c r="AC1085">
        <v>50</v>
      </c>
      <c r="AD1085">
        <v>0.83</v>
      </c>
    </row>
    <row r="1086" spans="1:30" x14ac:dyDescent="0.25">
      <c r="A1086" s="1">
        <v>44784.361898148149</v>
      </c>
      <c r="B1086" s="1">
        <v>44784.360127314816</v>
      </c>
      <c r="C1086">
        <v>23443</v>
      </c>
      <c r="D1086" t="s">
        <v>50</v>
      </c>
      <c r="E1086" t="s">
        <v>35</v>
      </c>
      <c r="F1086">
        <v>7</v>
      </c>
      <c r="G1086">
        <v>43.556139999999999</v>
      </c>
      <c r="H1086">
        <v>-72.370990000000006</v>
      </c>
      <c r="I1086">
        <v>523</v>
      </c>
      <c r="J1086">
        <v>76</v>
      </c>
      <c r="K1086">
        <v>0</v>
      </c>
      <c r="L1086" s="1">
        <v>44784.361828703702</v>
      </c>
      <c r="M1086">
        <v>5.9</v>
      </c>
      <c r="N1086">
        <v>5.0999999999999996</v>
      </c>
      <c r="O1086">
        <v>0.8</v>
      </c>
      <c r="P1086">
        <v>15</v>
      </c>
      <c r="Q1086">
        <v>0</v>
      </c>
      <c r="R1086">
        <v>0.1</v>
      </c>
      <c r="S1086">
        <v>0.05</v>
      </c>
      <c r="T1086" t="s">
        <v>33</v>
      </c>
      <c r="U1086">
        <v>5.5</v>
      </c>
      <c r="V1086">
        <v>57</v>
      </c>
      <c r="W1086">
        <v>0</v>
      </c>
      <c r="X1086">
        <v>57</v>
      </c>
      <c r="Y1086">
        <v>1</v>
      </c>
      <c r="Z1086">
        <v>0</v>
      </c>
      <c r="AA1086">
        <v>1</v>
      </c>
      <c r="AB1086" t="s">
        <v>36</v>
      </c>
      <c r="AC1086">
        <v>57</v>
      </c>
      <c r="AD1086">
        <v>1.52</v>
      </c>
    </row>
    <row r="1087" spans="1:30" x14ac:dyDescent="0.25">
      <c r="A1087" s="1">
        <v>44784.361898148149</v>
      </c>
      <c r="B1087" s="1">
        <v>44784.360219907408</v>
      </c>
      <c r="C1087">
        <v>58135</v>
      </c>
      <c r="D1087" t="s">
        <v>51</v>
      </c>
      <c r="E1087" t="s">
        <v>35</v>
      </c>
      <c r="F1087">
        <v>7</v>
      </c>
      <c r="G1087">
        <v>42.883873000000001</v>
      </c>
      <c r="H1087">
        <v>-71.972915999999998</v>
      </c>
      <c r="I1087">
        <v>808</v>
      </c>
      <c r="J1087">
        <v>78</v>
      </c>
      <c r="K1087">
        <v>0</v>
      </c>
      <c r="L1087" s="1">
        <v>44784.361828703702</v>
      </c>
      <c r="M1087">
        <v>7.3</v>
      </c>
      <c r="N1087">
        <v>17.2</v>
      </c>
      <c r="O1087">
        <v>9.9</v>
      </c>
      <c r="P1087">
        <v>81</v>
      </c>
      <c r="Q1087">
        <v>0.6</v>
      </c>
      <c r="R1087">
        <v>9.1999999999999993</v>
      </c>
      <c r="S1087">
        <v>4.8999999999999897</v>
      </c>
      <c r="T1087" t="s">
        <v>33</v>
      </c>
      <c r="U1087">
        <v>12.25</v>
      </c>
      <c r="V1087">
        <v>60</v>
      </c>
      <c r="W1087">
        <v>0</v>
      </c>
      <c r="X1087">
        <v>60</v>
      </c>
      <c r="Y1087">
        <v>3</v>
      </c>
      <c r="Z1087">
        <v>0</v>
      </c>
      <c r="AA1087">
        <v>3</v>
      </c>
      <c r="AB1087" t="s">
        <v>36</v>
      </c>
      <c r="AC1087">
        <v>60</v>
      </c>
      <c r="AD1087">
        <v>5.43</v>
      </c>
    </row>
    <row r="1088" spans="1:30" x14ac:dyDescent="0.25">
      <c r="A1088" s="1">
        <v>44784.361898148149</v>
      </c>
      <c r="B1088" s="1">
        <v>44784.360266203701</v>
      </c>
      <c r="C1088">
        <v>148555</v>
      </c>
      <c r="D1088" t="s">
        <v>52</v>
      </c>
      <c r="E1088" t="s">
        <v>53</v>
      </c>
      <c r="F1088">
        <v>7</v>
      </c>
      <c r="G1088">
        <v>42.904949999999999</v>
      </c>
      <c r="H1088">
        <v>-71.386764999999997</v>
      </c>
      <c r="I1088">
        <v>363</v>
      </c>
      <c r="J1088">
        <v>0</v>
      </c>
      <c r="K1088">
        <v>0</v>
      </c>
      <c r="L1088" s="1">
        <v>44784.361828703702</v>
      </c>
      <c r="M1088">
        <v>4.4000000000000004</v>
      </c>
      <c r="N1088">
        <v>5.0999999999999996</v>
      </c>
      <c r="O1088">
        <v>0.7</v>
      </c>
      <c r="P1088">
        <v>15</v>
      </c>
      <c r="Q1088">
        <v>0.1</v>
      </c>
      <c r="R1088">
        <v>0.1</v>
      </c>
      <c r="S1088">
        <v>0.1</v>
      </c>
      <c r="T1088" t="s">
        <v>33</v>
      </c>
      <c r="U1088">
        <v>4.75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 t="s">
        <v>38</v>
      </c>
    </row>
    <row r="1089" spans="1:30" x14ac:dyDescent="0.25">
      <c r="A1089" s="1">
        <v>44784.361909722225</v>
      </c>
      <c r="B1089" s="1">
        <v>44784.361145833333</v>
      </c>
      <c r="C1089">
        <v>146644</v>
      </c>
      <c r="D1089" t="s">
        <v>54</v>
      </c>
      <c r="E1089" t="s">
        <v>53</v>
      </c>
      <c r="F1089">
        <v>7</v>
      </c>
      <c r="G1089">
        <v>43.06015</v>
      </c>
      <c r="H1089">
        <v>-70.758930000000007</v>
      </c>
      <c r="I1089">
        <v>35</v>
      </c>
      <c r="J1089">
        <v>75</v>
      </c>
      <c r="K1089">
        <v>77</v>
      </c>
      <c r="L1089" s="1">
        <v>44784.361828703702</v>
      </c>
      <c r="M1089">
        <v>8.6</v>
      </c>
      <c r="N1089">
        <v>7.3</v>
      </c>
      <c r="O1089">
        <v>1.3</v>
      </c>
      <c r="P1089">
        <v>16</v>
      </c>
      <c r="Q1089">
        <v>1.1000000000000001</v>
      </c>
      <c r="R1089">
        <v>1.3</v>
      </c>
      <c r="S1089">
        <v>1.2</v>
      </c>
      <c r="T1089" t="s">
        <v>33</v>
      </c>
      <c r="U1089">
        <v>7.95</v>
      </c>
      <c r="V1089">
        <v>60</v>
      </c>
      <c r="W1089">
        <v>66</v>
      </c>
      <c r="X1089">
        <v>6</v>
      </c>
      <c r="Y1089">
        <v>4</v>
      </c>
      <c r="Z1089">
        <v>3</v>
      </c>
      <c r="AA1089">
        <v>1</v>
      </c>
      <c r="AB1089" t="s">
        <v>33</v>
      </c>
      <c r="AC1089">
        <v>63</v>
      </c>
      <c r="AD1089">
        <v>2.6</v>
      </c>
    </row>
    <row r="1090" spans="1:30" x14ac:dyDescent="0.25">
      <c r="A1090" s="1">
        <v>44784.361909722225</v>
      </c>
      <c r="B1090" s="1">
        <v>43755.283437500002</v>
      </c>
      <c r="C1090">
        <v>12188</v>
      </c>
      <c r="D1090" t="s">
        <v>55</v>
      </c>
      <c r="E1090" t="s">
        <v>35</v>
      </c>
      <c r="F1090">
        <v>4.1100000000000003</v>
      </c>
      <c r="G1090">
        <v>42.927050000000001</v>
      </c>
      <c r="H1090">
        <v>-72.279610000000005</v>
      </c>
      <c r="I1090">
        <v>475</v>
      </c>
      <c r="J1090">
        <v>95</v>
      </c>
      <c r="K1090">
        <v>0</v>
      </c>
      <c r="L1090" s="1">
        <v>44784.361828703702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 t="s">
        <v>32</v>
      </c>
      <c r="V1090">
        <v>77</v>
      </c>
      <c r="W1090">
        <v>0</v>
      </c>
      <c r="X1090">
        <v>77</v>
      </c>
      <c r="Y1090">
        <v>0</v>
      </c>
      <c r="Z1090">
        <v>0</v>
      </c>
      <c r="AA1090">
        <v>0</v>
      </c>
      <c r="AB1090" t="s">
        <v>36</v>
      </c>
      <c r="AC1090">
        <v>77</v>
      </c>
    </row>
    <row r="1091" spans="1:30" x14ac:dyDescent="0.25">
      <c r="A1091" s="1">
        <v>44784.361909722225</v>
      </c>
      <c r="B1091" s="1">
        <v>44784.360127314816</v>
      </c>
      <c r="C1091">
        <v>1224</v>
      </c>
      <c r="D1091" t="s">
        <v>56</v>
      </c>
      <c r="E1091" t="s">
        <v>35</v>
      </c>
      <c r="F1091" t="s">
        <v>57</v>
      </c>
      <c r="G1091">
        <v>42.938034000000002</v>
      </c>
      <c r="H1091">
        <v>-72.259299999999996</v>
      </c>
      <c r="I1091">
        <v>792</v>
      </c>
      <c r="J1091">
        <v>77</v>
      </c>
      <c r="K1091">
        <v>0</v>
      </c>
      <c r="L1091" s="1">
        <v>44784.361828703702</v>
      </c>
      <c r="M1091">
        <v>7.1</v>
      </c>
      <c r="N1091">
        <v>0.1</v>
      </c>
      <c r="O1091">
        <v>7</v>
      </c>
      <c r="P1091">
        <v>194</v>
      </c>
      <c r="Q1091">
        <v>0.4</v>
      </c>
      <c r="R1091">
        <v>0.1</v>
      </c>
      <c r="S1091">
        <v>0.25</v>
      </c>
      <c r="T1091" t="s">
        <v>33</v>
      </c>
      <c r="U1091">
        <v>3.6</v>
      </c>
      <c r="V1091">
        <v>79</v>
      </c>
      <c r="W1091">
        <v>0</v>
      </c>
      <c r="X1091">
        <v>79</v>
      </c>
      <c r="Y1091">
        <v>2</v>
      </c>
      <c r="Z1091">
        <v>0</v>
      </c>
      <c r="AA1091">
        <v>2</v>
      </c>
      <c r="AB1091" t="s">
        <v>36</v>
      </c>
      <c r="AC1091">
        <v>79</v>
      </c>
      <c r="AD1091">
        <v>-1.17</v>
      </c>
    </row>
    <row r="1092" spans="1:30" x14ac:dyDescent="0.25">
      <c r="A1092" s="1">
        <v>44784.361921296295</v>
      </c>
      <c r="B1092" s="1">
        <v>44784.360960648148</v>
      </c>
      <c r="C1092">
        <v>1202</v>
      </c>
      <c r="D1092" t="s">
        <v>58</v>
      </c>
      <c r="E1092" t="s">
        <v>35</v>
      </c>
      <c r="F1092" t="s">
        <v>57</v>
      </c>
      <c r="G1092">
        <v>42.936554000000001</v>
      </c>
      <c r="H1092">
        <v>-72.271019999999993</v>
      </c>
      <c r="I1092">
        <v>488</v>
      </c>
      <c r="J1092">
        <v>0</v>
      </c>
      <c r="K1092">
        <v>0</v>
      </c>
      <c r="L1092" s="1">
        <v>44784.361828703702</v>
      </c>
      <c r="M1092">
        <v>8</v>
      </c>
      <c r="N1092">
        <v>7.6</v>
      </c>
      <c r="O1092">
        <v>0.4</v>
      </c>
      <c r="P1092">
        <v>5</v>
      </c>
      <c r="Q1092">
        <v>0.2</v>
      </c>
      <c r="R1092">
        <v>0.3</v>
      </c>
      <c r="S1092">
        <v>0.25</v>
      </c>
      <c r="T1092" t="s">
        <v>33</v>
      </c>
      <c r="U1092">
        <v>7.8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 t="s">
        <v>38</v>
      </c>
    </row>
    <row r="1093" spans="1:30" x14ac:dyDescent="0.25">
      <c r="A1093" s="1">
        <v>44784.361921296295</v>
      </c>
      <c r="B1093" s="1">
        <v>44612.080023148148</v>
      </c>
      <c r="C1093">
        <v>25985</v>
      </c>
      <c r="D1093" t="s">
        <v>59</v>
      </c>
      <c r="E1093" t="s">
        <v>35</v>
      </c>
      <c r="F1093">
        <v>6.01</v>
      </c>
      <c r="G1093">
        <v>42.927326000000001</v>
      </c>
      <c r="H1093">
        <v>-72.279979999999995</v>
      </c>
      <c r="I1093">
        <v>477</v>
      </c>
      <c r="J1093">
        <v>78</v>
      </c>
      <c r="K1093">
        <v>0</v>
      </c>
      <c r="L1093" s="1">
        <v>44784.361828703702</v>
      </c>
      <c r="M1093">
        <v>1.1000000000000001</v>
      </c>
      <c r="N1093">
        <v>1</v>
      </c>
      <c r="O1093">
        <v>0.1</v>
      </c>
      <c r="P1093">
        <v>10</v>
      </c>
      <c r="Q1093">
        <v>0</v>
      </c>
      <c r="R1093">
        <v>0</v>
      </c>
      <c r="S1093">
        <v>0</v>
      </c>
      <c r="T1093" t="s">
        <v>32</v>
      </c>
      <c r="V1093">
        <v>22</v>
      </c>
      <c r="W1093">
        <v>0</v>
      </c>
      <c r="X1093">
        <v>22</v>
      </c>
      <c r="Y1093">
        <v>0</v>
      </c>
      <c r="Z1093">
        <v>0</v>
      </c>
      <c r="AA1093">
        <v>0</v>
      </c>
      <c r="AB1093" t="s">
        <v>36</v>
      </c>
      <c r="AC1093">
        <v>22</v>
      </c>
    </row>
    <row r="1094" spans="1:30" x14ac:dyDescent="0.25">
      <c r="A1094" s="1">
        <v>44784.368796296294</v>
      </c>
      <c r="B1094" s="1">
        <v>44775.701319444444</v>
      </c>
      <c r="C1094">
        <v>151708</v>
      </c>
      <c r="D1094" t="s">
        <v>30</v>
      </c>
      <c r="E1094" t="s">
        <v>31</v>
      </c>
      <c r="F1094">
        <v>7</v>
      </c>
      <c r="G1094">
        <v>43.192042999999998</v>
      </c>
      <c r="H1094">
        <v>-71.541579999999996</v>
      </c>
      <c r="I1094">
        <v>291</v>
      </c>
      <c r="J1094">
        <v>93</v>
      </c>
      <c r="K1094">
        <v>94</v>
      </c>
      <c r="L1094" s="1">
        <v>44784.368784722225</v>
      </c>
      <c r="M1094">
        <v>7.9</v>
      </c>
      <c r="N1094">
        <v>7.6</v>
      </c>
      <c r="O1094">
        <v>0.3</v>
      </c>
      <c r="P1094">
        <v>4</v>
      </c>
      <c r="Q1094">
        <v>0</v>
      </c>
      <c r="R1094">
        <v>0</v>
      </c>
      <c r="S1094">
        <v>0</v>
      </c>
      <c r="T1094" t="s">
        <v>32</v>
      </c>
      <c r="V1094">
        <v>42</v>
      </c>
      <c r="W1094">
        <v>41</v>
      </c>
      <c r="X1094">
        <v>1</v>
      </c>
      <c r="Y1094">
        <v>0</v>
      </c>
      <c r="Z1094">
        <v>0</v>
      </c>
      <c r="AA1094">
        <v>0</v>
      </c>
      <c r="AB1094" t="s">
        <v>33</v>
      </c>
      <c r="AC1094">
        <v>41.5</v>
      </c>
    </row>
    <row r="1095" spans="1:30" x14ac:dyDescent="0.25">
      <c r="A1095" s="1">
        <v>44784.368796296294</v>
      </c>
      <c r="B1095" s="1">
        <v>44784.367129629631</v>
      </c>
      <c r="C1095">
        <v>143456</v>
      </c>
      <c r="D1095" t="s">
        <v>34</v>
      </c>
      <c r="E1095" t="s">
        <v>35</v>
      </c>
      <c r="F1095">
        <v>7</v>
      </c>
      <c r="G1095">
        <v>43.08963</v>
      </c>
      <c r="H1095">
        <v>-71.502440000000007</v>
      </c>
      <c r="I1095">
        <v>619</v>
      </c>
      <c r="J1095">
        <v>73</v>
      </c>
      <c r="K1095">
        <v>0</v>
      </c>
      <c r="L1095" s="1">
        <v>44784.368784722225</v>
      </c>
      <c r="M1095">
        <v>4</v>
      </c>
      <c r="N1095">
        <v>4.2</v>
      </c>
      <c r="O1095">
        <v>0.2</v>
      </c>
      <c r="P1095">
        <v>5</v>
      </c>
      <c r="Q1095">
        <v>0</v>
      </c>
      <c r="R1095">
        <v>0.1</v>
      </c>
      <c r="S1095">
        <v>0.05</v>
      </c>
      <c r="T1095" t="s">
        <v>33</v>
      </c>
      <c r="U1095">
        <v>4.0999999999999996</v>
      </c>
      <c r="V1095">
        <v>69</v>
      </c>
      <c r="W1095">
        <v>0</v>
      </c>
      <c r="X1095">
        <v>69</v>
      </c>
      <c r="Y1095">
        <v>1</v>
      </c>
      <c r="Z1095">
        <v>0</v>
      </c>
      <c r="AA1095">
        <v>1</v>
      </c>
      <c r="AB1095" t="s">
        <v>36</v>
      </c>
      <c r="AC1095">
        <v>69</v>
      </c>
      <c r="AD1095">
        <v>-0.17</v>
      </c>
    </row>
    <row r="1096" spans="1:30" x14ac:dyDescent="0.25">
      <c r="A1096" s="1">
        <v>44784.368807870371</v>
      </c>
      <c r="B1096" s="1">
        <v>44784.367291666669</v>
      </c>
      <c r="C1096">
        <v>151702</v>
      </c>
      <c r="D1096" t="s">
        <v>37</v>
      </c>
      <c r="E1096" t="s">
        <v>31</v>
      </c>
      <c r="F1096">
        <v>7</v>
      </c>
      <c r="G1096">
        <v>43.118609999999997</v>
      </c>
      <c r="H1096">
        <v>-71.61618</v>
      </c>
      <c r="I1096">
        <v>885</v>
      </c>
      <c r="J1096">
        <v>0</v>
      </c>
      <c r="K1096">
        <v>0</v>
      </c>
      <c r="L1096" s="1">
        <v>44784.368784722225</v>
      </c>
      <c r="M1096">
        <v>4.9000000000000004</v>
      </c>
      <c r="N1096">
        <v>4.7</v>
      </c>
      <c r="O1096">
        <v>0.2</v>
      </c>
      <c r="P1096">
        <v>4</v>
      </c>
      <c r="Q1096">
        <v>0.4</v>
      </c>
      <c r="R1096">
        <v>0.2</v>
      </c>
      <c r="S1096">
        <v>0.3</v>
      </c>
      <c r="T1096" t="s">
        <v>33</v>
      </c>
      <c r="U1096">
        <v>4.8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 t="s">
        <v>38</v>
      </c>
    </row>
    <row r="1097" spans="1:30" x14ac:dyDescent="0.25">
      <c r="A1097" s="1">
        <v>44784.368807870371</v>
      </c>
      <c r="B1097" s="1">
        <v>44784.367175925923</v>
      </c>
      <c r="C1097">
        <v>151700</v>
      </c>
      <c r="D1097" t="s">
        <v>30</v>
      </c>
      <c r="E1097" t="s">
        <v>31</v>
      </c>
      <c r="F1097">
        <v>7</v>
      </c>
      <c r="G1097">
        <v>43.19211</v>
      </c>
      <c r="H1097">
        <v>-71.541460000000001</v>
      </c>
      <c r="I1097">
        <v>286</v>
      </c>
      <c r="J1097">
        <v>75</v>
      </c>
      <c r="K1097">
        <v>0</v>
      </c>
      <c r="L1097" s="1">
        <v>44784.368784722225</v>
      </c>
      <c r="M1097">
        <v>5.2</v>
      </c>
      <c r="N1097">
        <v>5.8</v>
      </c>
      <c r="O1097">
        <v>0.6</v>
      </c>
      <c r="P1097">
        <v>11</v>
      </c>
      <c r="Q1097">
        <v>0</v>
      </c>
      <c r="R1097">
        <v>0.2</v>
      </c>
      <c r="S1097">
        <v>0.1</v>
      </c>
      <c r="T1097" t="s">
        <v>33</v>
      </c>
      <c r="U1097">
        <v>5.5</v>
      </c>
      <c r="V1097">
        <v>63</v>
      </c>
      <c r="W1097">
        <v>0</v>
      </c>
      <c r="X1097">
        <v>63</v>
      </c>
      <c r="Y1097">
        <v>1</v>
      </c>
      <c r="Z1097">
        <v>0</v>
      </c>
      <c r="AA1097">
        <v>1</v>
      </c>
      <c r="AB1097" t="s">
        <v>36</v>
      </c>
      <c r="AC1097">
        <v>63</v>
      </c>
      <c r="AD1097">
        <v>1.1000000000000001</v>
      </c>
    </row>
    <row r="1098" spans="1:30" x14ac:dyDescent="0.25">
      <c r="A1098" s="1">
        <v>44784.368807870371</v>
      </c>
      <c r="B1098" s="1">
        <v>44784.367604166669</v>
      </c>
      <c r="C1098">
        <v>135984</v>
      </c>
      <c r="D1098" t="s">
        <v>39</v>
      </c>
      <c r="E1098" t="s">
        <v>31</v>
      </c>
      <c r="F1098">
        <v>7</v>
      </c>
      <c r="G1098">
        <v>43.565852999999997</v>
      </c>
      <c r="H1098">
        <v>-71.496129999999994</v>
      </c>
      <c r="I1098">
        <v>708</v>
      </c>
      <c r="J1098">
        <v>79</v>
      </c>
      <c r="K1098">
        <v>0</v>
      </c>
      <c r="L1098" s="1">
        <v>44784.368784722225</v>
      </c>
      <c r="M1098">
        <v>4</v>
      </c>
      <c r="N1098">
        <v>3.2</v>
      </c>
      <c r="O1098">
        <v>0.8</v>
      </c>
      <c r="P1098">
        <v>22</v>
      </c>
      <c r="Q1098">
        <v>0</v>
      </c>
      <c r="R1098">
        <v>0</v>
      </c>
      <c r="S1098">
        <v>0</v>
      </c>
      <c r="T1098" t="s">
        <v>33</v>
      </c>
      <c r="U1098">
        <v>3.6</v>
      </c>
      <c r="V1098">
        <v>66</v>
      </c>
      <c r="W1098">
        <v>0</v>
      </c>
      <c r="X1098">
        <v>66</v>
      </c>
      <c r="Y1098">
        <v>4</v>
      </c>
      <c r="Z1098">
        <v>0</v>
      </c>
      <c r="AA1098">
        <v>4</v>
      </c>
      <c r="AB1098" t="s">
        <v>36</v>
      </c>
      <c r="AC1098">
        <v>66</v>
      </c>
      <c r="AD1098">
        <v>-0.26</v>
      </c>
    </row>
    <row r="1099" spans="1:30" x14ac:dyDescent="0.25">
      <c r="A1099" s="1">
        <v>44784.368807870371</v>
      </c>
      <c r="B1099" s="1">
        <v>44780.394780092596</v>
      </c>
      <c r="C1099">
        <v>151712</v>
      </c>
      <c r="D1099" t="s">
        <v>40</v>
      </c>
      <c r="E1099" t="s">
        <v>31</v>
      </c>
      <c r="F1099">
        <v>7</v>
      </c>
      <c r="G1099">
        <v>43.289763999999998</v>
      </c>
      <c r="H1099">
        <v>-71.564260000000004</v>
      </c>
      <c r="I1099">
        <v>370</v>
      </c>
      <c r="J1099">
        <v>86</v>
      </c>
      <c r="K1099">
        <v>0</v>
      </c>
      <c r="L1099" s="1">
        <v>44784.368784722225</v>
      </c>
      <c r="M1099">
        <v>14</v>
      </c>
      <c r="N1099">
        <v>13.2</v>
      </c>
      <c r="O1099">
        <v>0.8</v>
      </c>
      <c r="P1099">
        <v>6</v>
      </c>
      <c r="Q1099">
        <v>0</v>
      </c>
      <c r="R1099">
        <v>0</v>
      </c>
      <c r="S1099">
        <v>0</v>
      </c>
      <c r="T1099" t="s">
        <v>32</v>
      </c>
      <c r="V1099">
        <v>59</v>
      </c>
      <c r="W1099">
        <v>0</v>
      </c>
      <c r="X1099">
        <v>59</v>
      </c>
      <c r="Y1099">
        <v>0</v>
      </c>
      <c r="Z1099">
        <v>0</v>
      </c>
      <c r="AA1099">
        <v>0</v>
      </c>
      <c r="AB1099" t="s">
        <v>36</v>
      </c>
      <c r="AC1099">
        <v>59</v>
      </c>
    </row>
    <row r="1100" spans="1:30" x14ac:dyDescent="0.25">
      <c r="A1100" s="1">
        <v>44784.368819444448</v>
      </c>
      <c r="B1100" s="1">
        <v>44784.366909722223</v>
      </c>
      <c r="C1100">
        <v>151710</v>
      </c>
      <c r="D1100" t="s">
        <v>41</v>
      </c>
      <c r="E1100" t="s">
        <v>31</v>
      </c>
      <c r="F1100">
        <v>7</v>
      </c>
      <c r="G1100">
        <v>43.132477000000002</v>
      </c>
      <c r="H1100">
        <v>-71.458374000000006</v>
      </c>
      <c r="I1100">
        <v>230</v>
      </c>
      <c r="J1100">
        <v>78</v>
      </c>
      <c r="K1100">
        <v>0</v>
      </c>
      <c r="L1100" s="1">
        <v>44784.368784722225</v>
      </c>
      <c r="M1100">
        <v>6.7</v>
      </c>
      <c r="N1100">
        <v>5.7</v>
      </c>
      <c r="O1100">
        <v>1</v>
      </c>
      <c r="P1100">
        <v>16</v>
      </c>
      <c r="Q1100">
        <v>0</v>
      </c>
      <c r="R1100">
        <v>0.3</v>
      </c>
      <c r="S1100">
        <v>0.15</v>
      </c>
      <c r="T1100" t="s">
        <v>33</v>
      </c>
      <c r="U1100">
        <v>6.2</v>
      </c>
      <c r="V1100">
        <v>55</v>
      </c>
      <c r="W1100">
        <v>0</v>
      </c>
      <c r="X1100">
        <v>55</v>
      </c>
      <c r="Y1100">
        <v>0</v>
      </c>
      <c r="Z1100">
        <v>0</v>
      </c>
      <c r="AA1100">
        <v>0</v>
      </c>
      <c r="AB1100" t="s">
        <v>36</v>
      </c>
      <c r="AC1100">
        <v>55</v>
      </c>
      <c r="AD1100">
        <v>2.09</v>
      </c>
    </row>
    <row r="1101" spans="1:30" x14ac:dyDescent="0.25">
      <c r="A1101" s="1">
        <v>44784.368819444448</v>
      </c>
      <c r="B1101" s="1">
        <v>44784.367962962962</v>
      </c>
      <c r="C1101">
        <v>151706</v>
      </c>
      <c r="D1101" t="s">
        <v>42</v>
      </c>
      <c r="E1101" t="s">
        <v>31</v>
      </c>
      <c r="F1101">
        <v>7</v>
      </c>
      <c r="G1101">
        <v>43.004080000000002</v>
      </c>
      <c r="H1101">
        <v>-71.177040000000005</v>
      </c>
      <c r="I1101">
        <v>194</v>
      </c>
      <c r="J1101">
        <v>77</v>
      </c>
      <c r="K1101">
        <v>0</v>
      </c>
      <c r="L1101" s="1">
        <v>44784.368784722225</v>
      </c>
      <c r="M1101">
        <v>5.4</v>
      </c>
      <c r="N1101">
        <v>0</v>
      </c>
      <c r="O1101">
        <v>5.4</v>
      </c>
      <c r="P1101">
        <v>200</v>
      </c>
      <c r="Q1101">
        <v>0.1</v>
      </c>
      <c r="R1101">
        <v>0</v>
      </c>
      <c r="S1101">
        <v>0.05</v>
      </c>
      <c r="T1101" t="s">
        <v>43</v>
      </c>
      <c r="V1101">
        <v>61</v>
      </c>
      <c r="W1101">
        <v>0</v>
      </c>
      <c r="X1101">
        <v>61</v>
      </c>
      <c r="Y1101">
        <v>1</v>
      </c>
      <c r="Z1101">
        <v>0</v>
      </c>
      <c r="AA1101">
        <v>1</v>
      </c>
      <c r="AB1101" t="s">
        <v>36</v>
      </c>
      <c r="AC1101">
        <v>61</v>
      </c>
    </row>
    <row r="1102" spans="1:30" x14ac:dyDescent="0.25">
      <c r="A1102" s="1">
        <v>44784.368819444448</v>
      </c>
      <c r="B1102" s="1">
        <v>44784.367719907408</v>
      </c>
      <c r="C1102">
        <v>12212</v>
      </c>
      <c r="D1102" t="s">
        <v>44</v>
      </c>
      <c r="E1102" t="s">
        <v>35</v>
      </c>
      <c r="F1102">
        <v>7</v>
      </c>
      <c r="G1102">
        <v>42.930529999999997</v>
      </c>
      <c r="H1102">
        <v>-72.272350000000003</v>
      </c>
      <c r="I1102">
        <v>476</v>
      </c>
      <c r="J1102">
        <v>79</v>
      </c>
      <c r="K1102">
        <v>0</v>
      </c>
      <c r="L1102" s="1">
        <v>44784.368784722225</v>
      </c>
      <c r="M1102">
        <v>6.2</v>
      </c>
      <c r="N1102">
        <v>5.6</v>
      </c>
      <c r="O1102">
        <v>0.6</v>
      </c>
      <c r="P1102">
        <v>10</v>
      </c>
      <c r="Q1102">
        <v>0.7</v>
      </c>
      <c r="R1102">
        <v>0.6</v>
      </c>
      <c r="S1102">
        <v>0.64999999999999902</v>
      </c>
      <c r="T1102" t="s">
        <v>33</v>
      </c>
      <c r="U1102">
        <v>5.9</v>
      </c>
      <c r="V1102">
        <v>69</v>
      </c>
      <c r="W1102">
        <v>0</v>
      </c>
      <c r="X1102">
        <v>69</v>
      </c>
      <c r="Y1102">
        <v>1</v>
      </c>
      <c r="Z1102">
        <v>0</v>
      </c>
      <c r="AA1102">
        <v>1</v>
      </c>
      <c r="AB1102" t="s">
        <v>36</v>
      </c>
      <c r="AC1102">
        <v>69</v>
      </c>
      <c r="AD1102">
        <v>0.93</v>
      </c>
    </row>
    <row r="1103" spans="1:30" x14ac:dyDescent="0.25">
      <c r="A1103" s="1">
        <v>44784.368819444448</v>
      </c>
      <c r="B1103" s="1">
        <v>44769.376736111109</v>
      </c>
      <c r="C1103">
        <v>12178</v>
      </c>
      <c r="D1103" t="s">
        <v>45</v>
      </c>
      <c r="E1103" t="s">
        <v>35</v>
      </c>
      <c r="F1103">
        <v>7</v>
      </c>
      <c r="G1103">
        <v>42.899563000000001</v>
      </c>
      <c r="H1103">
        <v>-71.464650000000006</v>
      </c>
      <c r="I1103">
        <v>301</v>
      </c>
      <c r="J1103">
        <v>85</v>
      </c>
      <c r="K1103">
        <v>0</v>
      </c>
      <c r="L1103" s="1">
        <v>44784.368784722225</v>
      </c>
      <c r="M1103">
        <v>3.8</v>
      </c>
      <c r="N1103">
        <v>3.1</v>
      </c>
      <c r="O1103">
        <v>0.7</v>
      </c>
      <c r="P1103">
        <v>20</v>
      </c>
      <c r="Q1103">
        <v>0</v>
      </c>
      <c r="R1103">
        <v>0</v>
      </c>
      <c r="S1103">
        <v>0</v>
      </c>
      <c r="T1103" t="s">
        <v>32</v>
      </c>
      <c r="V1103">
        <v>35</v>
      </c>
      <c r="W1103">
        <v>0</v>
      </c>
      <c r="X1103">
        <v>35</v>
      </c>
      <c r="Y1103">
        <v>0</v>
      </c>
      <c r="Z1103">
        <v>0</v>
      </c>
      <c r="AA1103">
        <v>0</v>
      </c>
      <c r="AB1103" t="s">
        <v>36</v>
      </c>
      <c r="AC1103">
        <v>35</v>
      </c>
    </row>
    <row r="1104" spans="1:30" x14ac:dyDescent="0.25">
      <c r="A1104" s="1">
        <v>44784.368831018517</v>
      </c>
      <c r="B1104" s="1">
        <v>44784.367013888892</v>
      </c>
      <c r="C1104">
        <v>75981</v>
      </c>
      <c r="D1104" t="s">
        <v>46</v>
      </c>
      <c r="E1104" t="s">
        <v>35</v>
      </c>
      <c r="F1104">
        <v>7</v>
      </c>
      <c r="G1104">
        <v>42.97</v>
      </c>
      <c r="H1104">
        <v>-71.06</v>
      </c>
      <c r="I1104">
        <v>136</v>
      </c>
      <c r="J1104">
        <v>79</v>
      </c>
      <c r="K1104">
        <v>0</v>
      </c>
      <c r="L1104" s="1">
        <v>44784.368784722225</v>
      </c>
      <c r="M1104">
        <v>8.6</v>
      </c>
      <c r="N1104">
        <v>7.8</v>
      </c>
      <c r="O1104">
        <v>0.8</v>
      </c>
      <c r="P1104">
        <v>10</v>
      </c>
      <c r="Q1104">
        <v>0.6</v>
      </c>
      <c r="R1104">
        <v>0.3</v>
      </c>
      <c r="S1104">
        <v>0.44999999999999901</v>
      </c>
      <c r="T1104" t="s">
        <v>33</v>
      </c>
      <c r="U1104">
        <v>8.1999999999999993</v>
      </c>
      <c r="V1104">
        <v>59</v>
      </c>
      <c r="W1104">
        <v>0</v>
      </c>
      <c r="X1104">
        <v>59</v>
      </c>
      <c r="Y1104">
        <v>0</v>
      </c>
      <c r="Z1104">
        <v>0</v>
      </c>
      <c r="AA1104">
        <v>0</v>
      </c>
      <c r="AB1104" t="s">
        <v>36</v>
      </c>
      <c r="AC1104">
        <v>59</v>
      </c>
      <c r="AD1104">
        <v>3.03</v>
      </c>
    </row>
    <row r="1105" spans="1:30" x14ac:dyDescent="0.25">
      <c r="A1105" s="1">
        <v>44784.368831018517</v>
      </c>
      <c r="B1105" s="1">
        <v>44784.36755787037</v>
      </c>
      <c r="C1105">
        <v>115703</v>
      </c>
      <c r="D1105" t="s">
        <v>47</v>
      </c>
      <c r="E1105" t="s">
        <v>35</v>
      </c>
      <c r="F1105">
        <v>7</v>
      </c>
      <c r="G1105">
        <v>43.953625000000002</v>
      </c>
      <c r="H1105">
        <v>-71.508859999999999</v>
      </c>
      <c r="I1105">
        <v>1493</v>
      </c>
      <c r="J1105">
        <v>70</v>
      </c>
      <c r="K1105">
        <v>0</v>
      </c>
      <c r="L1105" s="1">
        <v>44784.368784722225</v>
      </c>
      <c r="M1105">
        <v>0.1</v>
      </c>
      <c r="N1105">
        <v>300.89999999999998</v>
      </c>
      <c r="O1105">
        <v>300.8</v>
      </c>
      <c r="P1105">
        <v>200</v>
      </c>
      <c r="Q1105">
        <v>0</v>
      </c>
      <c r="R1105">
        <v>0</v>
      </c>
      <c r="S1105">
        <v>0</v>
      </c>
      <c r="T1105" t="s">
        <v>60</v>
      </c>
      <c r="V1105">
        <v>61</v>
      </c>
      <c r="W1105">
        <v>0</v>
      </c>
      <c r="X1105">
        <v>61</v>
      </c>
      <c r="Y1105">
        <v>2</v>
      </c>
      <c r="Z1105">
        <v>0</v>
      </c>
      <c r="AA1105">
        <v>2</v>
      </c>
      <c r="AB1105" t="s">
        <v>36</v>
      </c>
      <c r="AC1105">
        <v>61</v>
      </c>
    </row>
    <row r="1106" spans="1:30" x14ac:dyDescent="0.25">
      <c r="A1106" s="1">
        <v>44784.368831018517</v>
      </c>
      <c r="B1106" s="1">
        <v>44784.366967592592</v>
      </c>
      <c r="C1106">
        <v>12050</v>
      </c>
      <c r="D1106" t="s">
        <v>49</v>
      </c>
      <c r="E1106" t="s">
        <v>35</v>
      </c>
      <c r="F1106">
        <v>7</v>
      </c>
      <c r="G1106">
        <v>44.220573000000002</v>
      </c>
      <c r="H1106">
        <v>-71.732315</v>
      </c>
      <c r="I1106">
        <v>999</v>
      </c>
      <c r="J1106">
        <v>78</v>
      </c>
      <c r="K1106">
        <v>0</v>
      </c>
      <c r="L1106" s="1">
        <v>44784.368784722225</v>
      </c>
      <c r="M1106">
        <v>3.7</v>
      </c>
      <c r="N1106">
        <v>3.4</v>
      </c>
      <c r="O1106">
        <v>0.3</v>
      </c>
      <c r="P1106">
        <v>8</v>
      </c>
      <c r="Q1106">
        <v>0</v>
      </c>
      <c r="R1106">
        <v>0</v>
      </c>
      <c r="S1106">
        <v>0</v>
      </c>
      <c r="T1106" t="s">
        <v>33</v>
      </c>
      <c r="U1106">
        <v>3.55</v>
      </c>
      <c r="V1106">
        <v>48</v>
      </c>
      <c r="W1106">
        <v>0</v>
      </c>
      <c r="X1106">
        <v>48</v>
      </c>
      <c r="Y1106">
        <v>2</v>
      </c>
      <c r="Z1106">
        <v>0</v>
      </c>
      <c r="AA1106">
        <v>2</v>
      </c>
      <c r="AB1106" t="s">
        <v>36</v>
      </c>
      <c r="AC1106">
        <v>48</v>
      </c>
      <c r="AD1106">
        <v>0.97</v>
      </c>
    </row>
    <row r="1107" spans="1:30" x14ac:dyDescent="0.25">
      <c r="A1107" s="1">
        <v>44784.368842592594</v>
      </c>
      <c r="B1107" s="1">
        <v>44784.367083333331</v>
      </c>
      <c r="C1107">
        <v>23443</v>
      </c>
      <c r="D1107" t="s">
        <v>50</v>
      </c>
      <c r="E1107" t="s">
        <v>35</v>
      </c>
      <c r="F1107">
        <v>7</v>
      </c>
      <c r="G1107">
        <v>43.556139999999999</v>
      </c>
      <c r="H1107">
        <v>-72.370990000000006</v>
      </c>
      <c r="I1107">
        <v>523</v>
      </c>
      <c r="J1107">
        <v>76</v>
      </c>
      <c r="K1107">
        <v>0</v>
      </c>
      <c r="L1107" s="1">
        <v>44784.368784722225</v>
      </c>
      <c r="M1107">
        <v>5.9</v>
      </c>
      <c r="N1107">
        <v>5.2</v>
      </c>
      <c r="O1107">
        <v>0.7</v>
      </c>
      <c r="P1107">
        <v>13</v>
      </c>
      <c r="Q1107">
        <v>0</v>
      </c>
      <c r="R1107">
        <v>0.1</v>
      </c>
      <c r="S1107">
        <v>0.05</v>
      </c>
      <c r="T1107" t="s">
        <v>33</v>
      </c>
      <c r="U1107">
        <v>5.55</v>
      </c>
      <c r="V1107">
        <v>57</v>
      </c>
      <c r="W1107">
        <v>0</v>
      </c>
      <c r="X1107">
        <v>57</v>
      </c>
      <c r="Y1107">
        <v>0</v>
      </c>
      <c r="Z1107">
        <v>0</v>
      </c>
      <c r="AA1107">
        <v>0</v>
      </c>
      <c r="AB1107" t="s">
        <v>36</v>
      </c>
      <c r="AC1107">
        <v>57</v>
      </c>
      <c r="AD1107">
        <v>1.56</v>
      </c>
    </row>
    <row r="1108" spans="1:30" x14ac:dyDescent="0.25">
      <c r="A1108" s="1">
        <v>44784.368842592594</v>
      </c>
      <c r="B1108" s="1">
        <v>44784.367164351854</v>
      </c>
      <c r="C1108">
        <v>58135</v>
      </c>
      <c r="D1108" t="s">
        <v>51</v>
      </c>
      <c r="E1108" t="s">
        <v>35</v>
      </c>
      <c r="F1108">
        <v>7</v>
      </c>
      <c r="G1108">
        <v>42.883873000000001</v>
      </c>
      <c r="H1108">
        <v>-71.972915999999998</v>
      </c>
      <c r="I1108">
        <v>808</v>
      </c>
      <c r="J1108">
        <v>80</v>
      </c>
      <c r="K1108">
        <v>0</v>
      </c>
      <c r="L1108" s="1">
        <v>44784.368784722225</v>
      </c>
      <c r="M1108">
        <v>6.8</v>
      </c>
      <c r="N1108">
        <v>11.6</v>
      </c>
      <c r="O1108">
        <v>4.8</v>
      </c>
      <c r="P1108">
        <v>52</v>
      </c>
      <c r="Q1108">
        <v>0.5</v>
      </c>
      <c r="R1108">
        <v>5.6</v>
      </c>
      <c r="S1108">
        <v>3.05</v>
      </c>
      <c r="T1108" t="s">
        <v>33</v>
      </c>
      <c r="U1108">
        <v>9.1999999999999993</v>
      </c>
      <c r="V1108">
        <v>58</v>
      </c>
      <c r="W1108">
        <v>0</v>
      </c>
      <c r="X1108">
        <v>58</v>
      </c>
      <c r="Y1108">
        <v>2</v>
      </c>
      <c r="Z1108">
        <v>0</v>
      </c>
      <c r="AA1108">
        <v>2</v>
      </c>
      <c r="AB1108" t="s">
        <v>36</v>
      </c>
      <c r="AC1108">
        <v>58</v>
      </c>
      <c r="AD1108">
        <v>3.71</v>
      </c>
    </row>
    <row r="1109" spans="1:30" x14ac:dyDescent="0.25">
      <c r="A1109" s="1">
        <v>44784.368842592594</v>
      </c>
      <c r="B1109" s="1">
        <v>44784.367210648146</v>
      </c>
      <c r="C1109">
        <v>148555</v>
      </c>
      <c r="D1109" t="s">
        <v>52</v>
      </c>
      <c r="E1109" t="s">
        <v>53</v>
      </c>
      <c r="F1109">
        <v>7</v>
      </c>
      <c r="G1109">
        <v>42.904949999999999</v>
      </c>
      <c r="H1109">
        <v>-71.386764999999997</v>
      </c>
      <c r="I1109">
        <v>363</v>
      </c>
      <c r="J1109">
        <v>0</v>
      </c>
      <c r="K1109">
        <v>0</v>
      </c>
      <c r="L1109" s="1">
        <v>44784.368784722225</v>
      </c>
      <c r="M1109">
        <v>4.4000000000000004</v>
      </c>
      <c r="N1109">
        <v>5</v>
      </c>
      <c r="O1109">
        <v>0.6</v>
      </c>
      <c r="P1109">
        <v>13</v>
      </c>
      <c r="Q1109">
        <v>0</v>
      </c>
      <c r="R1109">
        <v>0.1</v>
      </c>
      <c r="S1109">
        <v>0.05</v>
      </c>
      <c r="T1109" t="s">
        <v>33</v>
      </c>
      <c r="U1109">
        <v>4.7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 t="s">
        <v>38</v>
      </c>
    </row>
    <row r="1110" spans="1:30" x14ac:dyDescent="0.25">
      <c r="A1110" s="1">
        <v>44784.368842592594</v>
      </c>
      <c r="B1110" s="1">
        <v>44784.368090277778</v>
      </c>
      <c r="C1110">
        <v>146644</v>
      </c>
      <c r="D1110" t="s">
        <v>54</v>
      </c>
      <c r="E1110" t="s">
        <v>53</v>
      </c>
      <c r="F1110">
        <v>7</v>
      </c>
      <c r="G1110">
        <v>43.06015</v>
      </c>
      <c r="H1110">
        <v>-70.758930000000007</v>
      </c>
      <c r="I1110">
        <v>35</v>
      </c>
      <c r="J1110">
        <v>77</v>
      </c>
      <c r="K1110">
        <v>78</v>
      </c>
      <c r="L1110" s="1">
        <v>44784.368784722225</v>
      </c>
      <c r="M1110">
        <v>9.9</v>
      </c>
      <c r="N1110">
        <v>8.8000000000000007</v>
      </c>
      <c r="O1110">
        <v>1.1000000000000001</v>
      </c>
      <c r="P1110">
        <v>12</v>
      </c>
      <c r="Q1110">
        <v>1.3</v>
      </c>
      <c r="R1110">
        <v>1.5</v>
      </c>
      <c r="S1110">
        <v>1.4</v>
      </c>
      <c r="T1110" t="s">
        <v>33</v>
      </c>
      <c r="U1110">
        <v>9.35</v>
      </c>
      <c r="V1110">
        <v>59</v>
      </c>
      <c r="W1110">
        <v>64</v>
      </c>
      <c r="X1110">
        <v>5</v>
      </c>
      <c r="Y1110">
        <v>1</v>
      </c>
      <c r="Z1110">
        <v>2</v>
      </c>
      <c r="AA1110">
        <v>1</v>
      </c>
      <c r="AB1110" t="s">
        <v>33</v>
      </c>
      <c r="AC1110">
        <v>61.5</v>
      </c>
      <c r="AD1110">
        <v>3.56</v>
      </c>
    </row>
    <row r="1111" spans="1:30" x14ac:dyDescent="0.25">
      <c r="A1111" s="1">
        <v>44784.368854166663</v>
      </c>
      <c r="B1111" s="1">
        <v>43755.283437500002</v>
      </c>
      <c r="C1111">
        <v>12188</v>
      </c>
      <c r="D1111" t="s">
        <v>55</v>
      </c>
      <c r="E1111" t="s">
        <v>35</v>
      </c>
      <c r="F1111">
        <v>4.1100000000000003</v>
      </c>
      <c r="G1111">
        <v>42.927050000000001</v>
      </c>
      <c r="H1111">
        <v>-72.279610000000005</v>
      </c>
      <c r="I1111">
        <v>475</v>
      </c>
      <c r="J1111">
        <v>95</v>
      </c>
      <c r="K1111">
        <v>0</v>
      </c>
      <c r="L1111" s="1">
        <v>44784.368784722225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 t="s">
        <v>32</v>
      </c>
      <c r="V1111">
        <v>77</v>
      </c>
      <c r="W1111">
        <v>0</v>
      </c>
      <c r="X1111">
        <v>77</v>
      </c>
      <c r="Y1111">
        <v>0</v>
      </c>
      <c r="Z1111">
        <v>0</v>
      </c>
      <c r="AA1111">
        <v>0</v>
      </c>
      <c r="AB1111" t="s">
        <v>36</v>
      </c>
      <c r="AC1111">
        <v>77</v>
      </c>
    </row>
    <row r="1112" spans="1:30" x14ac:dyDescent="0.25">
      <c r="A1112" s="1">
        <v>44784.368854166663</v>
      </c>
      <c r="B1112" s="1">
        <v>44784.367071759261</v>
      </c>
      <c r="C1112">
        <v>1224</v>
      </c>
      <c r="D1112" t="s">
        <v>56</v>
      </c>
      <c r="E1112" t="s">
        <v>35</v>
      </c>
      <c r="F1112" t="s">
        <v>57</v>
      </c>
      <c r="G1112">
        <v>42.938034000000002</v>
      </c>
      <c r="H1112">
        <v>-72.259299999999996</v>
      </c>
      <c r="I1112">
        <v>792</v>
      </c>
      <c r="J1112">
        <v>79</v>
      </c>
      <c r="K1112">
        <v>0</v>
      </c>
      <c r="L1112" s="1">
        <v>44784.368784722225</v>
      </c>
      <c r="M1112">
        <v>6.4</v>
      </c>
      <c r="N1112">
        <v>0.1</v>
      </c>
      <c r="O1112">
        <v>6.3</v>
      </c>
      <c r="P1112">
        <v>194</v>
      </c>
      <c r="Q1112">
        <v>0.7</v>
      </c>
      <c r="R1112">
        <v>0</v>
      </c>
      <c r="S1112">
        <v>0.35</v>
      </c>
      <c r="T1112" t="s">
        <v>33</v>
      </c>
      <c r="U1112">
        <v>3.25</v>
      </c>
      <c r="V1112">
        <v>78</v>
      </c>
      <c r="W1112">
        <v>0</v>
      </c>
      <c r="X1112">
        <v>78</v>
      </c>
      <c r="Y1112">
        <v>1</v>
      </c>
      <c r="Z1112">
        <v>0</v>
      </c>
      <c r="AA1112">
        <v>1</v>
      </c>
      <c r="AB1112" t="s">
        <v>36</v>
      </c>
      <c r="AC1112">
        <v>78</v>
      </c>
      <c r="AD1112">
        <v>-1.32</v>
      </c>
    </row>
    <row r="1113" spans="1:30" x14ac:dyDescent="0.25">
      <c r="A1113" s="1">
        <v>44784.368854166663</v>
      </c>
      <c r="B1113" s="1">
        <v>44784.367905092593</v>
      </c>
      <c r="C1113">
        <v>1202</v>
      </c>
      <c r="D1113" t="s">
        <v>58</v>
      </c>
      <c r="E1113" t="s">
        <v>35</v>
      </c>
      <c r="F1113" t="s">
        <v>57</v>
      </c>
      <c r="G1113">
        <v>42.936554000000001</v>
      </c>
      <c r="H1113">
        <v>-72.271019999999993</v>
      </c>
      <c r="I1113">
        <v>488</v>
      </c>
      <c r="J1113">
        <v>0</v>
      </c>
      <c r="K1113">
        <v>0</v>
      </c>
      <c r="L1113" s="1">
        <v>44784.368784722225</v>
      </c>
      <c r="M1113">
        <v>7.1</v>
      </c>
      <c r="N1113">
        <v>6.7</v>
      </c>
      <c r="O1113">
        <v>0.4</v>
      </c>
      <c r="P1113">
        <v>6</v>
      </c>
      <c r="Q1113">
        <v>0.9</v>
      </c>
      <c r="R1113">
        <v>0.9</v>
      </c>
      <c r="S1113">
        <v>0.9</v>
      </c>
      <c r="T1113" t="s">
        <v>33</v>
      </c>
      <c r="U1113">
        <v>6.9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 t="s">
        <v>38</v>
      </c>
    </row>
    <row r="1114" spans="1:30" x14ac:dyDescent="0.25">
      <c r="A1114" s="1">
        <v>44784.36886574074</v>
      </c>
      <c r="B1114" s="1">
        <v>44612.080023148148</v>
      </c>
      <c r="C1114">
        <v>25985</v>
      </c>
      <c r="D1114" t="s">
        <v>59</v>
      </c>
      <c r="E1114" t="s">
        <v>35</v>
      </c>
      <c r="F1114">
        <v>6.01</v>
      </c>
      <c r="G1114">
        <v>42.927326000000001</v>
      </c>
      <c r="H1114">
        <v>-72.279979999999995</v>
      </c>
      <c r="I1114">
        <v>477</v>
      </c>
      <c r="J1114">
        <v>78</v>
      </c>
      <c r="K1114">
        <v>0</v>
      </c>
      <c r="L1114" s="1">
        <v>44784.368784722225</v>
      </c>
      <c r="M1114">
        <v>1.1000000000000001</v>
      </c>
      <c r="N1114">
        <v>1</v>
      </c>
      <c r="O1114">
        <v>0.1</v>
      </c>
      <c r="P1114">
        <v>10</v>
      </c>
      <c r="Q1114">
        <v>0</v>
      </c>
      <c r="R1114">
        <v>0</v>
      </c>
      <c r="S1114">
        <v>0</v>
      </c>
      <c r="T1114" t="s">
        <v>32</v>
      </c>
      <c r="V1114">
        <v>22</v>
      </c>
      <c r="W1114">
        <v>0</v>
      </c>
      <c r="X1114">
        <v>22</v>
      </c>
      <c r="Y1114">
        <v>0</v>
      </c>
      <c r="Z1114">
        <v>0</v>
      </c>
      <c r="AA1114">
        <v>0</v>
      </c>
      <c r="AB1114" t="s">
        <v>36</v>
      </c>
      <c r="AC1114">
        <v>22</v>
      </c>
    </row>
    <row r="1115" spans="1:30" x14ac:dyDescent="0.25">
      <c r="A1115" s="1">
        <v>44784.375740740739</v>
      </c>
      <c r="B1115" s="1">
        <v>44775.701319444444</v>
      </c>
      <c r="C1115">
        <v>151708</v>
      </c>
      <c r="D1115" t="s">
        <v>30</v>
      </c>
      <c r="E1115" t="s">
        <v>31</v>
      </c>
      <c r="F1115">
        <v>7</v>
      </c>
      <c r="G1115">
        <v>43.192042999999998</v>
      </c>
      <c r="H1115">
        <v>-71.541579999999996</v>
      </c>
      <c r="I1115">
        <v>291</v>
      </c>
      <c r="J1115">
        <v>93</v>
      </c>
      <c r="K1115">
        <v>94</v>
      </c>
      <c r="L1115" s="1">
        <v>44784.375717592593</v>
      </c>
      <c r="M1115">
        <v>7.9</v>
      </c>
      <c r="N1115">
        <v>7.6</v>
      </c>
      <c r="O1115">
        <v>0.3</v>
      </c>
      <c r="P1115">
        <v>4</v>
      </c>
      <c r="Q1115">
        <v>0</v>
      </c>
      <c r="R1115">
        <v>0</v>
      </c>
      <c r="S1115">
        <v>0</v>
      </c>
      <c r="T1115" t="s">
        <v>32</v>
      </c>
      <c r="V1115">
        <v>42</v>
      </c>
      <c r="W1115">
        <v>41</v>
      </c>
      <c r="X1115">
        <v>1</v>
      </c>
      <c r="Y1115">
        <v>0</v>
      </c>
      <c r="Z1115">
        <v>0</v>
      </c>
      <c r="AA1115">
        <v>0</v>
      </c>
      <c r="AB1115" t="s">
        <v>33</v>
      </c>
      <c r="AC1115">
        <v>41.5</v>
      </c>
    </row>
    <row r="1116" spans="1:30" x14ac:dyDescent="0.25">
      <c r="A1116" s="1">
        <v>44784.375740740739</v>
      </c>
      <c r="B1116" s="1">
        <v>44784.374062499999</v>
      </c>
      <c r="C1116">
        <v>143456</v>
      </c>
      <c r="D1116" t="s">
        <v>34</v>
      </c>
      <c r="E1116" t="s">
        <v>35</v>
      </c>
      <c r="F1116">
        <v>7</v>
      </c>
      <c r="G1116">
        <v>43.08963</v>
      </c>
      <c r="H1116">
        <v>-71.502440000000007</v>
      </c>
      <c r="I1116">
        <v>619</v>
      </c>
      <c r="J1116">
        <v>73</v>
      </c>
      <c r="K1116">
        <v>0</v>
      </c>
      <c r="L1116" s="1">
        <v>44784.375717592593</v>
      </c>
      <c r="M1116">
        <v>4.3</v>
      </c>
      <c r="N1116">
        <v>4.5</v>
      </c>
      <c r="O1116">
        <v>0.2</v>
      </c>
      <c r="P1116">
        <v>5</v>
      </c>
      <c r="Q1116">
        <v>0.3</v>
      </c>
      <c r="R1116">
        <v>0.3</v>
      </c>
      <c r="S1116">
        <v>0.3</v>
      </c>
      <c r="T1116" t="s">
        <v>33</v>
      </c>
      <c r="U1116">
        <v>4.4000000000000004</v>
      </c>
      <c r="V1116">
        <v>68</v>
      </c>
      <c r="W1116">
        <v>0</v>
      </c>
      <c r="X1116">
        <v>68</v>
      </c>
      <c r="Y1116">
        <v>1</v>
      </c>
      <c r="Z1116">
        <v>0</v>
      </c>
      <c r="AA1116">
        <v>1</v>
      </c>
      <c r="AB1116" t="s">
        <v>36</v>
      </c>
      <c r="AC1116">
        <v>68</v>
      </c>
      <c r="AD1116">
        <v>0.08</v>
      </c>
    </row>
    <row r="1117" spans="1:30" x14ac:dyDescent="0.25">
      <c r="A1117" s="1">
        <v>44784.375752314816</v>
      </c>
      <c r="B1117" s="1">
        <v>44784.374236111114</v>
      </c>
      <c r="C1117">
        <v>151702</v>
      </c>
      <c r="D1117" t="s">
        <v>37</v>
      </c>
      <c r="E1117" t="s">
        <v>31</v>
      </c>
      <c r="F1117">
        <v>7</v>
      </c>
      <c r="G1117">
        <v>43.118609999999997</v>
      </c>
      <c r="H1117">
        <v>-71.61618</v>
      </c>
      <c r="I1117">
        <v>885</v>
      </c>
      <c r="J1117">
        <v>0</v>
      </c>
      <c r="K1117">
        <v>0</v>
      </c>
      <c r="L1117" s="1">
        <v>44784.375717592593</v>
      </c>
      <c r="M1117">
        <v>5.4</v>
      </c>
      <c r="N1117">
        <v>5.0999999999999996</v>
      </c>
      <c r="O1117">
        <v>0.3</v>
      </c>
      <c r="P1117">
        <v>6</v>
      </c>
      <c r="Q1117">
        <v>0.5</v>
      </c>
      <c r="R1117">
        <v>0.4</v>
      </c>
      <c r="S1117">
        <v>0.45</v>
      </c>
      <c r="T1117" t="s">
        <v>33</v>
      </c>
      <c r="U1117">
        <v>5.25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 t="s">
        <v>38</v>
      </c>
    </row>
    <row r="1118" spans="1:30" x14ac:dyDescent="0.25">
      <c r="A1118" s="1">
        <v>44784.375752314816</v>
      </c>
      <c r="B1118" s="1">
        <v>44784.374120370368</v>
      </c>
      <c r="C1118">
        <v>151700</v>
      </c>
      <c r="D1118" t="s">
        <v>30</v>
      </c>
      <c r="E1118" t="s">
        <v>31</v>
      </c>
      <c r="F1118">
        <v>7</v>
      </c>
      <c r="G1118">
        <v>43.19211</v>
      </c>
      <c r="H1118">
        <v>-71.541460000000001</v>
      </c>
      <c r="I1118">
        <v>286</v>
      </c>
      <c r="J1118">
        <v>75</v>
      </c>
      <c r="K1118">
        <v>0</v>
      </c>
      <c r="L1118" s="1">
        <v>44784.375717592593</v>
      </c>
      <c r="M1118">
        <v>4.8</v>
      </c>
      <c r="N1118">
        <v>5.7</v>
      </c>
      <c r="O1118">
        <v>0.9</v>
      </c>
      <c r="P1118">
        <v>17</v>
      </c>
      <c r="Q1118">
        <v>0.4</v>
      </c>
      <c r="R1118">
        <v>0.1</v>
      </c>
      <c r="S1118">
        <v>0.25</v>
      </c>
      <c r="T1118" t="s">
        <v>33</v>
      </c>
      <c r="U1118">
        <v>5.25</v>
      </c>
      <c r="V1118">
        <v>62</v>
      </c>
      <c r="W1118">
        <v>0</v>
      </c>
      <c r="X1118">
        <v>62</v>
      </c>
      <c r="Y1118">
        <v>1</v>
      </c>
      <c r="Z1118">
        <v>0</v>
      </c>
      <c r="AA1118">
        <v>1</v>
      </c>
      <c r="AB1118" t="s">
        <v>36</v>
      </c>
      <c r="AC1118">
        <v>62</v>
      </c>
      <c r="AD1118">
        <v>1.02</v>
      </c>
    </row>
    <row r="1119" spans="1:30" x14ac:dyDescent="0.25">
      <c r="A1119" s="1">
        <v>44784.375752314816</v>
      </c>
      <c r="B1119" s="1">
        <v>44784.374548611115</v>
      </c>
      <c r="C1119">
        <v>135984</v>
      </c>
      <c r="D1119" t="s">
        <v>39</v>
      </c>
      <c r="E1119" t="s">
        <v>31</v>
      </c>
      <c r="F1119">
        <v>7</v>
      </c>
      <c r="G1119">
        <v>43.565852999999997</v>
      </c>
      <c r="H1119">
        <v>-71.496129999999994</v>
      </c>
      <c r="I1119">
        <v>708</v>
      </c>
      <c r="J1119">
        <v>80</v>
      </c>
      <c r="K1119">
        <v>0</v>
      </c>
      <c r="L1119" s="1">
        <v>44784.375717592593</v>
      </c>
      <c r="M1119">
        <v>4.2</v>
      </c>
      <c r="N1119">
        <v>3.3</v>
      </c>
      <c r="O1119">
        <v>0.9</v>
      </c>
      <c r="P1119">
        <v>24</v>
      </c>
      <c r="Q1119">
        <v>0.2</v>
      </c>
      <c r="R1119">
        <v>0.1</v>
      </c>
      <c r="S1119">
        <v>0.15</v>
      </c>
      <c r="T1119" t="s">
        <v>33</v>
      </c>
      <c r="U1119">
        <v>3.75</v>
      </c>
      <c r="V1119">
        <v>68</v>
      </c>
      <c r="W1119">
        <v>0</v>
      </c>
      <c r="X1119">
        <v>68</v>
      </c>
      <c r="Y1119">
        <v>2</v>
      </c>
      <c r="Z1119">
        <v>0</v>
      </c>
      <c r="AA1119">
        <v>2</v>
      </c>
      <c r="AB1119" t="s">
        <v>36</v>
      </c>
      <c r="AC1119">
        <v>68</v>
      </c>
      <c r="AD1119">
        <v>-0.31</v>
      </c>
    </row>
    <row r="1120" spans="1:30" x14ac:dyDescent="0.25">
      <c r="A1120" s="1">
        <v>44784.375763888886</v>
      </c>
      <c r="B1120" s="1">
        <v>44780.394780092596</v>
      </c>
      <c r="C1120">
        <v>151712</v>
      </c>
      <c r="D1120" t="s">
        <v>40</v>
      </c>
      <c r="E1120" t="s">
        <v>31</v>
      </c>
      <c r="F1120">
        <v>7</v>
      </c>
      <c r="G1120">
        <v>43.289763999999998</v>
      </c>
      <c r="H1120">
        <v>-71.564260000000004</v>
      </c>
      <c r="I1120">
        <v>370</v>
      </c>
      <c r="J1120">
        <v>86</v>
      </c>
      <c r="K1120">
        <v>0</v>
      </c>
      <c r="L1120" s="1">
        <v>44784.375717592593</v>
      </c>
      <c r="M1120">
        <v>14</v>
      </c>
      <c r="N1120">
        <v>13.2</v>
      </c>
      <c r="O1120">
        <v>0.8</v>
      </c>
      <c r="P1120">
        <v>6</v>
      </c>
      <c r="Q1120">
        <v>0</v>
      </c>
      <c r="R1120">
        <v>0</v>
      </c>
      <c r="S1120">
        <v>0</v>
      </c>
      <c r="T1120" t="s">
        <v>32</v>
      </c>
      <c r="V1120">
        <v>59</v>
      </c>
      <c r="W1120">
        <v>0</v>
      </c>
      <c r="X1120">
        <v>59</v>
      </c>
      <c r="Y1120">
        <v>0</v>
      </c>
      <c r="Z1120">
        <v>0</v>
      </c>
      <c r="AA1120">
        <v>0</v>
      </c>
      <c r="AB1120" t="s">
        <v>36</v>
      </c>
      <c r="AC1120">
        <v>59</v>
      </c>
    </row>
    <row r="1121" spans="1:30" x14ac:dyDescent="0.25">
      <c r="A1121" s="1">
        <v>44784.375763888886</v>
      </c>
      <c r="B1121" s="1">
        <v>44784.373854166668</v>
      </c>
      <c r="C1121">
        <v>151710</v>
      </c>
      <c r="D1121" t="s">
        <v>41</v>
      </c>
      <c r="E1121" t="s">
        <v>31</v>
      </c>
      <c r="F1121">
        <v>7</v>
      </c>
      <c r="G1121">
        <v>43.132477000000002</v>
      </c>
      <c r="H1121">
        <v>-71.458374000000006</v>
      </c>
      <c r="I1121">
        <v>230</v>
      </c>
      <c r="J1121">
        <v>78</v>
      </c>
      <c r="K1121">
        <v>0</v>
      </c>
      <c r="L1121" s="1">
        <v>44784.375717592593</v>
      </c>
      <c r="M1121">
        <v>7</v>
      </c>
      <c r="N1121">
        <v>5.9</v>
      </c>
      <c r="O1121">
        <v>1.1000000000000001</v>
      </c>
      <c r="P1121">
        <v>17</v>
      </c>
      <c r="Q1121">
        <v>0.3</v>
      </c>
      <c r="R1121">
        <v>0.2</v>
      </c>
      <c r="S1121">
        <v>0.25</v>
      </c>
      <c r="T1121" t="s">
        <v>33</v>
      </c>
      <c r="U1121">
        <v>6.45</v>
      </c>
      <c r="V1121">
        <v>56</v>
      </c>
      <c r="W1121">
        <v>0</v>
      </c>
      <c r="X1121">
        <v>56</v>
      </c>
      <c r="Y1121">
        <v>1</v>
      </c>
      <c r="Z1121">
        <v>0</v>
      </c>
      <c r="AA1121">
        <v>1</v>
      </c>
      <c r="AB1121" t="s">
        <v>36</v>
      </c>
      <c r="AC1121">
        <v>56</v>
      </c>
      <c r="AD1121">
        <v>2.17</v>
      </c>
    </row>
    <row r="1122" spans="1:30" x14ac:dyDescent="0.25">
      <c r="A1122" s="1">
        <v>44784.375763888886</v>
      </c>
      <c r="B1122" s="1">
        <v>44784.374918981484</v>
      </c>
      <c r="C1122">
        <v>151706</v>
      </c>
      <c r="D1122" t="s">
        <v>42</v>
      </c>
      <c r="E1122" t="s">
        <v>31</v>
      </c>
      <c r="F1122">
        <v>7</v>
      </c>
      <c r="G1122">
        <v>43.004080000000002</v>
      </c>
      <c r="H1122">
        <v>-71.177040000000005</v>
      </c>
      <c r="I1122">
        <v>194</v>
      </c>
      <c r="J1122">
        <v>77</v>
      </c>
      <c r="K1122">
        <v>0</v>
      </c>
      <c r="L1122" s="1">
        <v>44784.375717592593</v>
      </c>
      <c r="M1122">
        <v>5.4</v>
      </c>
      <c r="N1122">
        <v>0</v>
      </c>
      <c r="O1122">
        <v>5.4</v>
      </c>
      <c r="P1122">
        <v>200</v>
      </c>
      <c r="Q1122">
        <v>0</v>
      </c>
      <c r="R1122">
        <v>0</v>
      </c>
      <c r="S1122">
        <v>0</v>
      </c>
      <c r="T1122" t="s">
        <v>43</v>
      </c>
      <c r="V1122">
        <v>60</v>
      </c>
      <c r="W1122">
        <v>0</v>
      </c>
      <c r="X1122">
        <v>60</v>
      </c>
      <c r="Y1122">
        <v>1</v>
      </c>
      <c r="Z1122">
        <v>0</v>
      </c>
      <c r="AA1122">
        <v>1</v>
      </c>
      <c r="AB1122" t="s">
        <v>36</v>
      </c>
      <c r="AC1122">
        <v>60</v>
      </c>
    </row>
    <row r="1123" spans="1:30" x14ac:dyDescent="0.25">
      <c r="A1123" s="1">
        <v>44784.375763888886</v>
      </c>
      <c r="B1123" s="1">
        <v>44784.374652777777</v>
      </c>
      <c r="C1123">
        <v>12212</v>
      </c>
      <c r="D1123" t="s">
        <v>44</v>
      </c>
      <c r="E1123" t="s">
        <v>35</v>
      </c>
      <c r="F1123">
        <v>7</v>
      </c>
      <c r="G1123">
        <v>42.930529999999997</v>
      </c>
      <c r="H1123">
        <v>-72.272350000000003</v>
      </c>
      <c r="I1123">
        <v>476</v>
      </c>
      <c r="J1123">
        <v>81</v>
      </c>
      <c r="K1123">
        <v>0</v>
      </c>
      <c r="L1123" s="1">
        <v>44784.375717592593</v>
      </c>
      <c r="M1123">
        <v>5.7</v>
      </c>
      <c r="N1123">
        <v>5.0999999999999996</v>
      </c>
      <c r="O1123">
        <v>0.6</v>
      </c>
      <c r="P1123">
        <v>11</v>
      </c>
      <c r="Q1123">
        <v>0.5</v>
      </c>
      <c r="R1123">
        <v>0.5</v>
      </c>
      <c r="S1123">
        <v>0.5</v>
      </c>
      <c r="T1123" t="s">
        <v>33</v>
      </c>
      <c r="U1123">
        <v>5.4</v>
      </c>
      <c r="V1123">
        <v>63</v>
      </c>
      <c r="W1123">
        <v>0</v>
      </c>
      <c r="X1123">
        <v>63</v>
      </c>
      <c r="Y1123">
        <v>6</v>
      </c>
      <c r="Z1123">
        <v>0</v>
      </c>
      <c r="AA1123">
        <v>6</v>
      </c>
      <c r="AB1123" t="s">
        <v>36</v>
      </c>
      <c r="AC1123">
        <v>63</v>
      </c>
      <c r="AD1123">
        <v>1.04</v>
      </c>
    </row>
    <row r="1124" spans="1:30" x14ac:dyDescent="0.25">
      <c r="A1124" s="1">
        <v>44784.375775462962</v>
      </c>
      <c r="B1124" s="1">
        <v>44769.376736111109</v>
      </c>
      <c r="C1124">
        <v>12178</v>
      </c>
      <c r="D1124" t="s">
        <v>45</v>
      </c>
      <c r="E1124" t="s">
        <v>35</v>
      </c>
      <c r="F1124">
        <v>7</v>
      </c>
      <c r="G1124">
        <v>42.899563000000001</v>
      </c>
      <c r="H1124">
        <v>-71.464650000000006</v>
      </c>
      <c r="I1124">
        <v>301</v>
      </c>
      <c r="J1124">
        <v>85</v>
      </c>
      <c r="K1124">
        <v>0</v>
      </c>
      <c r="L1124" s="1">
        <v>44784.375717592593</v>
      </c>
      <c r="M1124">
        <v>3.8</v>
      </c>
      <c r="N1124">
        <v>3.1</v>
      </c>
      <c r="O1124">
        <v>0.7</v>
      </c>
      <c r="P1124">
        <v>20</v>
      </c>
      <c r="Q1124">
        <v>0</v>
      </c>
      <c r="R1124">
        <v>0</v>
      </c>
      <c r="S1124">
        <v>0</v>
      </c>
      <c r="T1124" t="s">
        <v>32</v>
      </c>
      <c r="V1124">
        <v>35</v>
      </c>
      <c r="W1124">
        <v>0</v>
      </c>
      <c r="X1124">
        <v>35</v>
      </c>
      <c r="Y1124">
        <v>0</v>
      </c>
      <c r="Z1124">
        <v>0</v>
      </c>
      <c r="AA1124">
        <v>0</v>
      </c>
      <c r="AB1124" t="s">
        <v>36</v>
      </c>
      <c r="AC1124">
        <v>35</v>
      </c>
    </row>
    <row r="1125" spans="1:30" x14ac:dyDescent="0.25">
      <c r="A1125" s="1">
        <v>44784.375775462962</v>
      </c>
      <c r="B1125" s="1">
        <v>44784.373969907407</v>
      </c>
      <c r="C1125">
        <v>75981</v>
      </c>
      <c r="D1125" t="s">
        <v>46</v>
      </c>
      <c r="E1125" t="s">
        <v>35</v>
      </c>
      <c r="F1125">
        <v>7</v>
      </c>
      <c r="G1125">
        <v>42.97</v>
      </c>
      <c r="H1125">
        <v>-71.06</v>
      </c>
      <c r="I1125">
        <v>136</v>
      </c>
      <c r="J1125">
        <v>79</v>
      </c>
      <c r="K1125">
        <v>0</v>
      </c>
      <c r="L1125" s="1">
        <v>44784.375717592593</v>
      </c>
      <c r="M1125">
        <v>8.6999999999999993</v>
      </c>
      <c r="N1125">
        <v>8.1</v>
      </c>
      <c r="O1125">
        <v>0.6</v>
      </c>
      <c r="P1125">
        <v>7</v>
      </c>
      <c r="Q1125">
        <v>0.1</v>
      </c>
      <c r="R1125">
        <v>0.3</v>
      </c>
      <c r="S1125">
        <v>0.2</v>
      </c>
      <c r="T1125" t="s">
        <v>33</v>
      </c>
      <c r="U1125">
        <v>8.4</v>
      </c>
      <c r="V1125">
        <v>58</v>
      </c>
      <c r="W1125">
        <v>0</v>
      </c>
      <c r="X1125">
        <v>58</v>
      </c>
      <c r="Y1125">
        <v>1</v>
      </c>
      <c r="Z1125">
        <v>0</v>
      </c>
      <c r="AA1125">
        <v>1</v>
      </c>
      <c r="AB1125" t="s">
        <v>36</v>
      </c>
      <c r="AC1125">
        <v>58</v>
      </c>
      <c r="AD1125">
        <v>3.22</v>
      </c>
    </row>
    <row r="1126" spans="1:30" x14ac:dyDescent="0.25">
      <c r="A1126" s="1">
        <v>44784.375775462962</v>
      </c>
      <c r="B1126" s="1">
        <v>44784.374502314815</v>
      </c>
      <c r="C1126">
        <v>115703</v>
      </c>
      <c r="D1126" t="s">
        <v>47</v>
      </c>
      <c r="E1126" t="s">
        <v>35</v>
      </c>
      <c r="F1126">
        <v>7</v>
      </c>
      <c r="G1126">
        <v>43.953625000000002</v>
      </c>
      <c r="H1126">
        <v>-71.508859999999999</v>
      </c>
      <c r="I1126">
        <v>1493</v>
      </c>
      <c r="J1126">
        <v>71</v>
      </c>
      <c r="K1126">
        <v>0</v>
      </c>
      <c r="L1126" s="1">
        <v>44784.375717592593</v>
      </c>
      <c r="M1126">
        <v>0.1</v>
      </c>
      <c r="N1126">
        <v>300.89999999999998</v>
      </c>
      <c r="O1126">
        <v>300.8</v>
      </c>
      <c r="P1126">
        <v>200</v>
      </c>
      <c r="Q1126">
        <v>0</v>
      </c>
      <c r="R1126">
        <v>0</v>
      </c>
      <c r="S1126">
        <v>0</v>
      </c>
      <c r="T1126" t="s">
        <v>60</v>
      </c>
      <c r="V1126">
        <v>63</v>
      </c>
      <c r="W1126">
        <v>0</v>
      </c>
      <c r="X1126">
        <v>63</v>
      </c>
      <c r="Y1126">
        <v>2</v>
      </c>
      <c r="Z1126">
        <v>0</v>
      </c>
      <c r="AA1126">
        <v>2</v>
      </c>
      <c r="AB1126" t="s">
        <v>36</v>
      </c>
      <c r="AC1126">
        <v>63</v>
      </c>
    </row>
    <row r="1127" spans="1:30" x14ac:dyDescent="0.25">
      <c r="A1127" s="1">
        <v>44784.375787037039</v>
      </c>
      <c r="B1127" s="1">
        <v>44784.373923611114</v>
      </c>
      <c r="C1127">
        <v>12050</v>
      </c>
      <c r="D1127" t="s">
        <v>49</v>
      </c>
      <c r="E1127" t="s">
        <v>35</v>
      </c>
      <c r="F1127">
        <v>7</v>
      </c>
      <c r="G1127">
        <v>44.220573000000002</v>
      </c>
      <c r="H1127">
        <v>-71.732315</v>
      </c>
      <c r="I1127">
        <v>999</v>
      </c>
      <c r="J1127">
        <v>80</v>
      </c>
      <c r="K1127">
        <v>0</v>
      </c>
      <c r="L1127" s="1">
        <v>44784.375717592593</v>
      </c>
      <c r="M1127">
        <v>3.6</v>
      </c>
      <c r="N1127">
        <v>3.2</v>
      </c>
      <c r="O1127">
        <v>0.4</v>
      </c>
      <c r="P1127">
        <v>12</v>
      </c>
      <c r="Q1127">
        <v>0.1</v>
      </c>
      <c r="R1127">
        <v>0.2</v>
      </c>
      <c r="S1127">
        <v>0.15</v>
      </c>
      <c r="T1127" t="s">
        <v>33</v>
      </c>
      <c r="U1127">
        <v>3.4</v>
      </c>
      <c r="V1127">
        <v>45</v>
      </c>
      <c r="W1127">
        <v>0</v>
      </c>
      <c r="X1127">
        <v>45</v>
      </c>
      <c r="Y1127">
        <v>3</v>
      </c>
      <c r="Z1127">
        <v>0</v>
      </c>
      <c r="AA1127">
        <v>3</v>
      </c>
      <c r="AB1127" t="s">
        <v>36</v>
      </c>
      <c r="AC1127">
        <v>45</v>
      </c>
      <c r="AD1127">
        <v>1.08</v>
      </c>
    </row>
    <row r="1128" spans="1:30" x14ac:dyDescent="0.25">
      <c r="A1128" s="1">
        <v>44784.375787037039</v>
      </c>
      <c r="B1128" s="1">
        <v>44784.374027777776</v>
      </c>
      <c r="C1128">
        <v>23443</v>
      </c>
      <c r="D1128" t="s">
        <v>50</v>
      </c>
      <c r="E1128" t="s">
        <v>35</v>
      </c>
      <c r="F1128">
        <v>7</v>
      </c>
      <c r="G1128">
        <v>43.556139999999999</v>
      </c>
      <c r="H1128">
        <v>-72.370990000000006</v>
      </c>
      <c r="I1128">
        <v>523</v>
      </c>
      <c r="J1128">
        <v>77</v>
      </c>
      <c r="K1128">
        <v>0</v>
      </c>
      <c r="L1128" s="1">
        <v>44784.375717592593</v>
      </c>
      <c r="M1128">
        <v>5.9</v>
      </c>
      <c r="N1128">
        <v>5.2</v>
      </c>
      <c r="O1128">
        <v>0.7</v>
      </c>
      <c r="P1128">
        <v>13</v>
      </c>
      <c r="Q1128">
        <v>0</v>
      </c>
      <c r="R1128">
        <v>0</v>
      </c>
      <c r="S1128">
        <v>0</v>
      </c>
      <c r="T1128" t="s">
        <v>33</v>
      </c>
      <c r="U1128">
        <v>5.55</v>
      </c>
      <c r="V1128">
        <v>55</v>
      </c>
      <c r="W1128">
        <v>0</v>
      </c>
      <c r="X1128">
        <v>55</v>
      </c>
      <c r="Y1128">
        <v>2</v>
      </c>
      <c r="Z1128">
        <v>0</v>
      </c>
      <c r="AA1128">
        <v>2</v>
      </c>
      <c r="AB1128" t="s">
        <v>36</v>
      </c>
      <c r="AC1128">
        <v>55</v>
      </c>
      <c r="AD1128">
        <v>1.7</v>
      </c>
    </row>
    <row r="1129" spans="1:30" x14ac:dyDescent="0.25">
      <c r="A1129" s="1">
        <v>44784.375787037039</v>
      </c>
      <c r="B1129" s="1">
        <v>44784.374108796299</v>
      </c>
      <c r="C1129">
        <v>58135</v>
      </c>
      <c r="D1129" t="s">
        <v>51</v>
      </c>
      <c r="E1129" t="s">
        <v>35</v>
      </c>
      <c r="F1129">
        <v>7</v>
      </c>
      <c r="G1129">
        <v>42.883873000000001</v>
      </c>
      <c r="H1129">
        <v>-71.972915999999998</v>
      </c>
      <c r="I1129">
        <v>808</v>
      </c>
      <c r="J1129">
        <v>82</v>
      </c>
      <c r="K1129">
        <v>0</v>
      </c>
      <c r="L1129" s="1">
        <v>44784.375717592593</v>
      </c>
      <c r="M1129">
        <v>6.2</v>
      </c>
      <c r="N1129">
        <v>8.1999999999999993</v>
      </c>
      <c r="O1129">
        <v>2</v>
      </c>
      <c r="P1129">
        <v>28</v>
      </c>
      <c r="Q1129">
        <v>0.6</v>
      </c>
      <c r="R1129">
        <v>3.4</v>
      </c>
      <c r="S1129">
        <v>2</v>
      </c>
      <c r="T1129" t="s">
        <v>33</v>
      </c>
      <c r="U1129">
        <v>7.2</v>
      </c>
      <c r="V1129">
        <v>53</v>
      </c>
      <c r="W1129">
        <v>0</v>
      </c>
      <c r="X1129">
        <v>53</v>
      </c>
      <c r="Y1129">
        <v>5</v>
      </c>
      <c r="Z1129">
        <v>0</v>
      </c>
      <c r="AA1129">
        <v>5</v>
      </c>
      <c r="AB1129" t="s">
        <v>36</v>
      </c>
      <c r="AC1129">
        <v>53</v>
      </c>
      <c r="AD1129">
        <v>2.84</v>
      </c>
    </row>
    <row r="1130" spans="1:30" x14ac:dyDescent="0.25">
      <c r="A1130" s="1">
        <v>44784.375798611109</v>
      </c>
      <c r="B1130" s="1">
        <v>44784.374155092592</v>
      </c>
      <c r="C1130">
        <v>148555</v>
      </c>
      <c r="D1130" t="s">
        <v>52</v>
      </c>
      <c r="E1130" t="s">
        <v>53</v>
      </c>
      <c r="F1130">
        <v>7</v>
      </c>
      <c r="G1130">
        <v>42.904949999999999</v>
      </c>
      <c r="H1130">
        <v>-71.386764999999997</v>
      </c>
      <c r="I1130">
        <v>363</v>
      </c>
      <c r="J1130">
        <v>0</v>
      </c>
      <c r="K1130">
        <v>0</v>
      </c>
      <c r="L1130" s="1">
        <v>44784.375717592593</v>
      </c>
      <c r="M1130">
        <v>4.4000000000000004</v>
      </c>
      <c r="N1130">
        <v>5</v>
      </c>
      <c r="O1130">
        <v>0.6</v>
      </c>
      <c r="P1130">
        <v>13</v>
      </c>
      <c r="Q1130">
        <v>0</v>
      </c>
      <c r="R1130">
        <v>0</v>
      </c>
      <c r="S1130">
        <v>0</v>
      </c>
      <c r="T1130" t="s">
        <v>33</v>
      </c>
      <c r="U1130">
        <v>4.7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 t="s">
        <v>38</v>
      </c>
    </row>
    <row r="1131" spans="1:30" x14ac:dyDescent="0.25">
      <c r="A1131" s="1">
        <v>44784.375798611109</v>
      </c>
      <c r="B1131" s="1">
        <v>44784.375034722223</v>
      </c>
      <c r="C1131">
        <v>146644</v>
      </c>
      <c r="D1131" t="s">
        <v>54</v>
      </c>
      <c r="E1131" t="s">
        <v>53</v>
      </c>
      <c r="F1131">
        <v>7</v>
      </c>
      <c r="G1131">
        <v>43.06015</v>
      </c>
      <c r="H1131">
        <v>-70.758930000000007</v>
      </c>
      <c r="I1131">
        <v>35</v>
      </c>
      <c r="J1131">
        <v>76</v>
      </c>
      <c r="K1131">
        <v>78</v>
      </c>
      <c r="L1131" s="1">
        <v>44784.375717592593</v>
      </c>
      <c r="M1131">
        <v>11.7</v>
      </c>
      <c r="N1131">
        <v>10.8</v>
      </c>
      <c r="O1131">
        <v>0.9</v>
      </c>
      <c r="P1131">
        <v>8</v>
      </c>
      <c r="Q1131">
        <v>1.8</v>
      </c>
      <c r="R1131">
        <v>2</v>
      </c>
      <c r="S1131">
        <v>1.9</v>
      </c>
      <c r="T1131" t="s">
        <v>33</v>
      </c>
      <c r="U1131">
        <v>11.25</v>
      </c>
      <c r="V1131">
        <v>57</v>
      </c>
      <c r="W1131">
        <v>63</v>
      </c>
      <c r="X1131">
        <v>6</v>
      </c>
      <c r="Y1131">
        <v>2</v>
      </c>
      <c r="Z1131">
        <v>1</v>
      </c>
      <c r="AA1131">
        <v>1</v>
      </c>
      <c r="AB1131" t="s">
        <v>33</v>
      </c>
      <c r="AC1131">
        <v>60</v>
      </c>
      <c r="AD1131">
        <v>4.82</v>
      </c>
    </row>
    <row r="1132" spans="1:30" x14ac:dyDescent="0.25">
      <c r="A1132" s="1">
        <v>44784.375798611109</v>
      </c>
      <c r="B1132" s="1">
        <v>43755.283437500002</v>
      </c>
      <c r="C1132">
        <v>12188</v>
      </c>
      <c r="D1132" t="s">
        <v>55</v>
      </c>
      <c r="E1132" t="s">
        <v>35</v>
      </c>
      <c r="F1132">
        <v>4.1100000000000003</v>
      </c>
      <c r="G1132">
        <v>42.927050000000001</v>
      </c>
      <c r="H1132">
        <v>-72.279610000000005</v>
      </c>
      <c r="I1132">
        <v>475</v>
      </c>
      <c r="J1132">
        <v>95</v>
      </c>
      <c r="K1132">
        <v>0</v>
      </c>
      <c r="L1132" s="1">
        <v>44784.375717592593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 t="s">
        <v>32</v>
      </c>
      <c r="V1132">
        <v>77</v>
      </c>
      <c r="W1132">
        <v>0</v>
      </c>
      <c r="X1132">
        <v>77</v>
      </c>
      <c r="Y1132">
        <v>0</v>
      </c>
      <c r="Z1132">
        <v>0</v>
      </c>
      <c r="AA1132">
        <v>0</v>
      </c>
      <c r="AB1132" t="s">
        <v>36</v>
      </c>
      <c r="AC1132">
        <v>77</v>
      </c>
    </row>
    <row r="1133" spans="1:30" x14ac:dyDescent="0.25">
      <c r="A1133" s="1">
        <v>44784.375810185185</v>
      </c>
      <c r="B1133" s="1">
        <v>44784.374016203707</v>
      </c>
      <c r="C1133">
        <v>1224</v>
      </c>
      <c r="D1133" t="s">
        <v>56</v>
      </c>
      <c r="E1133" t="s">
        <v>35</v>
      </c>
      <c r="F1133" t="s">
        <v>57</v>
      </c>
      <c r="G1133">
        <v>42.938034000000002</v>
      </c>
      <c r="H1133">
        <v>-72.259299999999996</v>
      </c>
      <c r="I1133">
        <v>792</v>
      </c>
      <c r="J1133">
        <v>80</v>
      </c>
      <c r="K1133">
        <v>0</v>
      </c>
      <c r="L1133" s="1">
        <v>44784.375717592593</v>
      </c>
      <c r="M1133">
        <v>6</v>
      </c>
      <c r="N1133">
        <v>0.1</v>
      </c>
      <c r="O1133">
        <v>5.9</v>
      </c>
      <c r="P1133">
        <v>193</v>
      </c>
      <c r="Q1133">
        <v>0.4</v>
      </c>
      <c r="R1133">
        <v>0</v>
      </c>
      <c r="S1133">
        <v>0.2</v>
      </c>
      <c r="T1133" t="s">
        <v>33</v>
      </c>
      <c r="U1133">
        <v>3.05</v>
      </c>
      <c r="V1133">
        <v>75</v>
      </c>
      <c r="W1133">
        <v>0</v>
      </c>
      <c r="X1133">
        <v>75</v>
      </c>
      <c r="Y1133">
        <v>3</v>
      </c>
      <c r="Z1133">
        <v>0</v>
      </c>
      <c r="AA1133">
        <v>3</v>
      </c>
      <c r="AB1133" t="s">
        <v>36</v>
      </c>
      <c r="AC1133">
        <v>75</v>
      </c>
      <c r="AD1133">
        <v>-1.23</v>
      </c>
    </row>
    <row r="1134" spans="1:30" x14ac:dyDescent="0.25">
      <c r="A1134" s="1">
        <v>44784.375810185185</v>
      </c>
      <c r="B1134" s="1">
        <v>44784.374849537038</v>
      </c>
      <c r="C1134">
        <v>1202</v>
      </c>
      <c r="D1134" t="s">
        <v>58</v>
      </c>
      <c r="E1134" t="s">
        <v>35</v>
      </c>
      <c r="F1134" t="s">
        <v>57</v>
      </c>
      <c r="G1134">
        <v>42.936554000000001</v>
      </c>
      <c r="H1134">
        <v>-72.271019999999993</v>
      </c>
      <c r="I1134">
        <v>488</v>
      </c>
      <c r="J1134">
        <v>0</v>
      </c>
      <c r="K1134">
        <v>0</v>
      </c>
      <c r="L1134" s="1">
        <v>44784.375717592593</v>
      </c>
      <c r="M1134">
        <v>6.4</v>
      </c>
      <c r="N1134">
        <v>6.1</v>
      </c>
      <c r="O1134">
        <v>0.3</v>
      </c>
      <c r="P1134">
        <v>5</v>
      </c>
      <c r="Q1134">
        <v>0.7</v>
      </c>
      <c r="R1134">
        <v>0.6</v>
      </c>
      <c r="S1134">
        <v>0.64999999999999902</v>
      </c>
      <c r="T1134" t="s">
        <v>33</v>
      </c>
      <c r="U1134">
        <v>6.25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 t="s">
        <v>38</v>
      </c>
    </row>
    <row r="1135" spans="1:30" x14ac:dyDescent="0.25">
      <c r="A1135" s="1">
        <v>44784.375810185185</v>
      </c>
      <c r="B1135" s="1">
        <v>44612.080023148148</v>
      </c>
      <c r="C1135">
        <v>25985</v>
      </c>
      <c r="D1135" t="s">
        <v>59</v>
      </c>
      <c r="E1135" t="s">
        <v>35</v>
      </c>
      <c r="F1135">
        <v>6.01</v>
      </c>
      <c r="G1135">
        <v>42.927326000000001</v>
      </c>
      <c r="H1135">
        <v>-72.279979999999995</v>
      </c>
      <c r="I1135">
        <v>477</v>
      </c>
      <c r="J1135">
        <v>78</v>
      </c>
      <c r="K1135">
        <v>0</v>
      </c>
      <c r="L1135" s="1">
        <v>44784.375717592593</v>
      </c>
      <c r="M1135">
        <v>1.1000000000000001</v>
      </c>
      <c r="N1135">
        <v>1</v>
      </c>
      <c r="O1135">
        <v>0.1</v>
      </c>
      <c r="P1135">
        <v>10</v>
      </c>
      <c r="Q1135">
        <v>0</v>
      </c>
      <c r="R1135">
        <v>0</v>
      </c>
      <c r="S1135">
        <v>0</v>
      </c>
      <c r="T1135" t="s">
        <v>32</v>
      </c>
      <c r="V1135">
        <v>22</v>
      </c>
      <c r="W1135">
        <v>0</v>
      </c>
      <c r="X1135">
        <v>22</v>
      </c>
      <c r="Y1135">
        <v>0</v>
      </c>
      <c r="Z1135">
        <v>0</v>
      </c>
      <c r="AA1135">
        <v>0</v>
      </c>
      <c r="AB1135" t="s">
        <v>36</v>
      </c>
      <c r="AC1135">
        <v>22</v>
      </c>
    </row>
    <row r="1136" spans="1:30" x14ac:dyDescent="0.25">
      <c r="A1136" s="1">
        <v>44784.382685185185</v>
      </c>
      <c r="B1136" s="1">
        <v>44775.701319444444</v>
      </c>
      <c r="C1136">
        <v>151708</v>
      </c>
      <c r="D1136" t="s">
        <v>30</v>
      </c>
      <c r="E1136" t="s">
        <v>31</v>
      </c>
      <c r="F1136">
        <v>7</v>
      </c>
      <c r="G1136">
        <v>43.192042999999998</v>
      </c>
      <c r="H1136">
        <v>-71.541579999999996</v>
      </c>
      <c r="I1136">
        <v>291</v>
      </c>
      <c r="J1136">
        <v>93</v>
      </c>
      <c r="K1136">
        <v>94</v>
      </c>
      <c r="L1136" s="1">
        <v>44784.382662037038</v>
      </c>
      <c r="M1136">
        <v>7.9</v>
      </c>
      <c r="N1136">
        <v>7.6</v>
      </c>
      <c r="O1136">
        <v>0.3</v>
      </c>
      <c r="P1136">
        <v>4</v>
      </c>
      <c r="Q1136">
        <v>0</v>
      </c>
      <c r="R1136">
        <v>0</v>
      </c>
      <c r="S1136">
        <v>0</v>
      </c>
      <c r="T1136" t="s">
        <v>32</v>
      </c>
      <c r="V1136">
        <v>42</v>
      </c>
      <c r="W1136">
        <v>41</v>
      </c>
      <c r="X1136">
        <v>1</v>
      </c>
      <c r="Y1136">
        <v>0</v>
      </c>
      <c r="Z1136">
        <v>0</v>
      </c>
      <c r="AA1136">
        <v>0</v>
      </c>
      <c r="AB1136" t="s">
        <v>33</v>
      </c>
      <c r="AC1136">
        <v>41.5</v>
      </c>
    </row>
    <row r="1137" spans="1:30" x14ac:dyDescent="0.25">
      <c r="A1137" s="1">
        <v>44784.382685185185</v>
      </c>
      <c r="B1137" s="1">
        <v>44784.381006944444</v>
      </c>
      <c r="C1137">
        <v>143456</v>
      </c>
      <c r="D1137" t="s">
        <v>34</v>
      </c>
      <c r="E1137" t="s">
        <v>35</v>
      </c>
      <c r="F1137">
        <v>7</v>
      </c>
      <c r="G1137">
        <v>43.08963</v>
      </c>
      <c r="H1137">
        <v>-71.502440000000007</v>
      </c>
      <c r="I1137">
        <v>619</v>
      </c>
      <c r="J1137">
        <v>74</v>
      </c>
      <c r="K1137">
        <v>0</v>
      </c>
      <c r="L1137" s="1">
        <v>44784.382662037038</v>
      </c>
      <c r="M1137">
        <v>4.4000000000000004</v>
      </c>
      <c r="N1137">
        <v>4.5</v>
      </c>
      <c r="O1137">
        <v>0.1</v>
      </c>
      <c r="P1137">
        <v>2</v>
      </c>
      <c r="Q1137">
        <v>0.1</v>
      </c>
      <c r="R1137">
        <v>0</v>
      </c>
      <c r="S1137">
        <v>0.05</v>
      </c>
      <c r="T1137" t="s">
        <v>33</v>
      </c>
      <c r="U1137">
        <v>4.45</v>
      </c>
      <c r="V1137">
        <v>68</v>
      </c>
      <c r="W1137">
        <v>0</v>
      </c>
      <c r="X1137">
        <v>68</v>
      </c>
      <c r="Y1137">
        <v>0</v>
      </c>
      <c r="Z1137">
        <v>0</v>
      </c>
      <c r="AA1137">
        <v>0</v>
      </c>
      <c r="AB1137" t="s">
        <v>36</v>
      </c>
      <c r="AC1137">
        <v>68</v>
      </c>
      <c r="AD1137">
        <v>0.11</v>
      </c>
    </row>
    <row r="1138" spans="1:30" x14ac:dyDescent="0.25">
      <c r="A1138" s="1">
        <v>44784.382696759261</v>
      </c>
      <c r="B1138" s="1">
        <v>44784.381180555552</v>
      </c>
      <c r="C1138">
        <v>151702</v>
      </c>
      <c r="D1138" t="s">
        <v>37</v>
      </c>
      <c r="E1138" t="s">
        <v>31</v>
      </c>
      <c r="F1138">
        <v>7</v>
      </c>
      <c r="G1138">
        <v>43.118609999999997</v>
      </c>
      <c r="H1138">
        <v>-71.61618</v>
      </c>
      <c r="I1138">
        <v>885</v>
      </c>
      <c r="J1138">
        <v>0</v>
      </c>
      <c r="K1138">
        <v>0</v>
      </c>
      <c r="L1138" s="1">
        <v>44784.382662037038</v>
      </c>
      <c r="M1138">
        <v>5.6</v>
      </c>
      <c r="N1138">
        <v>5.4</v>
      </c>
      <c r="O1138">
        <v>0.2</v>
      </c>
      <c r="P1138">
        <v>4</v>
      </c>
      <c r="Q1138">
        <v>0.2</v>
      </c>
      <c r="R1138">
        <v>0.3</v>
      </c>
      <c r="S1138">
        <v>0.25</v>
      </c>
      <c r="T1138" t="s">
        <v>33</v>
      </c>
      <c r="U1138">
        <v>5.5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 t="s">
        <v>38</v>
      </c>
    </row>
    <row r="1139" spans="1:30" x14ac:dyDescent="0.25">
      <c r="A1139" s="1">
        <v>44784.382696759261</v>
      </c>
      <c r="B1139" s="1">
        <v>44784.381064814814</v>
      </c>
      <c r="C1139">
        <v>151700</v>
      </c>
      <c r="D1139" t="s">
        <v>30</v>
      </c>
      <c r="E1139" t="s">
        <v>31</v>
      </c>
      <c r="F1139">
        <v>7</v>
      </c>
      <c r="G1139">
        <v>43.19211</v>
      </c>
      <c r="H1139">
        <v>-71.541460000000001</v>
      </c>
      <c r="I1139">
        <v>286</v>
      </c>
      <c r="J1139">
        <v>75</v>
      </c>
      <c r="K1139">
        <v>0</v>
      </c>
      <c r="L1139" s="1">
        <v>44784.382662037038</v>
      </c>
      <c r="M1139">
        <v>4.9000000000000004</v>
      </c>
      <c r="N1139">
        <v>5.8</v>
      </c>
      <c r="O1139">
        <v>0.9</v>
      </c>
      <c r="P1139">
        <v>17</v>
      </c>
      <c r="Q1139">
        <v>0.1</v>
      </c>
      <c r="R1139">
        <v>0.1</v>
      </c>
      <c r="S1139">
        <v>0.1</v>
      </c>
      <c r="T1139" t="s">
        <v>33</v>
      </c>
      <c r="U1139">
        <v>5.35</v>
      </c>
      <c r="V1139">
        <v>62</v>
      </c>
      <c r="W1139">
        <v>0</v>
      </c>
      <c r="X1139">
        <v>62</v>
      </c>
      <c r="Y1139">
        <v>0</v>
      </c>
      <c r="Z1139">
        <v>0</v>
      </c>
      <c r="AA1139">
        <v>0</v>
      </c>
      <c r="AB1139" t="s">
        <v>36</v>
      </c>
      <c r="AC1139">
        <v>62</v>
      </c>
      <c r="AD1139">
        <v>1.08</v>
      </c>
    </row>
    <row r="1140" spans="1:30" x14ac:dyDescent="0.25">
      <c r="A1140" s="1">
        <v>44784.382696759261</v>
      </c>
      <c r="B1140" s="1">
        <v>44784.381493055553</v>
      </c>
      <c r="C1140">
        <v>135984</v>
      </c>
      <c r="D1140" t="s">
        <v>39</v>
      </c>
      <c r="E1140" t="s">
        <v>31</v>
      </c>
      <c r="F1140">
        <v>7</v>
      </c>
      <c r="G1140">
        <v>43.565852999999997</v>
      </c>
      <c r="H1140">
        <v>-71.496129999999994</v>
      </c>
      <c r="I1140">
        <v>708</v>
      </c>
      <c r="J1140">
        <v>80</v>
      </c>
      <c r="K1140">
        <v>0</v>
      </c>
      <c r="L1140" s="1">
        <v>44784.382662037038</v>
      </c>
      <c r="M1140">
        <v>4.0999999999999996</v>
      </c>
      <c r="N1140">
        <v>3.2</v>
      </c>
      <c r="O1140">
        <v>0.9</v>
      </c>
      <c r="P1140">
        <v>25</v>
      </c>
      <c r="Q1140">
        <v>0.1</v>
      </c>
      <c r="R1140">
        <v>0.1</v>
      </c>
      <c r="S1140">
        <v>0.1</v>
      </c>
      <c r="T1140" t="s">
        <v>33</v>
      </c>
      <c r="U1140">
        <v>3.65</v>
      </c>
      <c r="V1140">
        <v>66</v>
      </c>
      <c r="W1140">
        <v>0</v>
      </c>
      <c r="X1140">
        <v>66</v>
      </c>
      <c r="Y1140">
        <v>2</v>
      </c>
      <c r="Z1140">
        <v>0</v>
      </c>
      <c r="AA1140">
        <v>2</v>
      </c>
      <c r="AB1140" t="s">
        <v>36</v>
      </c>
      <c r="AC1140">
        <v>66</v>
      </c>
      <c r="AD1140">
        <v>-0.23</v>
      </c>
    </row>
    <row r="1141" spans="1:30" x14ac:dyDescent="0.25">
      <c r="A1141" s="1">
        <v>44784.382708333331</v>
      </c>
      <c r="B1141" s="1">
        <v>44780.394780092596</v>
      </c>
      <c r="C1141">
        <v>151712</v>
      </c>
      <c r="D1141" t="s">
        <v>40</v>
      </c>
      <c r="E1141" t="s">
        <v>31</v>
      </c>
      <c r="F1141">
        <v>7</v>
      </c>
      <c r="G1141">
        <v>43.289763999999998</v>
      </c>
      <c r="H1141">
        <v>-71.564260000000004</v>
      </c>
      <c r="I1141">
        <v>370</v>
      </c>
      <c r="J1141">
        <v>86</v>
      </c>
      <c r="K1141">
        <v>0</v>
      </c>
      <c r="L1141" s="1">
        <v>44784.382662037038</v>
      </c>
      <c r="M1141">
        <v>14</v>
      </c>
      <c r="N1141">
        <v>13.2</v>
      </c>
      <c r="O1141">
        <v>0.8</v>
      </c>
      <c r="P1141">
        <v>6</v>
      </c>
      <c r="Q1141">
        <v>0</v>
      </c>
      <c r="R1141">
        <v>0</v>
      </c>
      <c r="S1141">
        <v>0</v>
      </c>
      <c r="T1141" t="s">
        <v>32</v>
      </c>
      <c r="V1141">
        <v>59</v>
      </c>
      <c r="W1141">
        <v>0</v>
      </c>
      <c r="X1141">
        <v>59</v>
      </c>
      <c r="Y1141">
        <v>0</v>
      </c>
      <c r="Z1141">
        <v>0</v>
      </c>
      <c r="AA1141">
        <v>0</v>
      </c>
      <c r="AB1141" t="s">
        <v>36</v>
      </c>
      <c r="AC1141">
        <v>59</v>
      </c>
    </row>
    <row r="1142" spans="1:30" x14ac:dyDescent="0.25">
      <c r="A1142" s="1">
        <v>44784.382708333331</v>
      </c>
      <c r="B1142" s="1">
        <v>44784.380798611113</v>
      </c>
      <c r="C1142">
        <v>151710</v>
      </c>
      <c r="D1142" t="s">
        <v>41</v>
      </c>
      <c r="E1142" t="s">
        <v>31</v>
      </c>
      <c r="F1142">
        <v>7</v>
      </c>
      <c r="G1142">
        <v>43.132477000000002</v>
      </c>
      <c r="H1142">
        <v>-71.458374000000006</v>
      </c>
      <c r="I1142">
        <v>230</v>
      </c>
      <c r="J1142">
        <v>78</v>
      </c>
      <c r="K1142">
        <v>0</v>
      </c>
      <c r="L1142" s="1">
        <v>44784.382662037038</v>
      </c>
      <c r="M1142">
        <v>7</v>
      </c>
      <c r="N1142">
        <v>6</v>
      </c>
      <c r="O1142">
        <v>1</v>
      </c>
      <c r="P1142">
        <v>15</v>
      </c>
      <c r="Q1142">
        <v>0</v>
      </c>
      <c r="R1142">
        <v>0.1</v>
      </c>
      <c r="S1142">
        <v>0.05</v>
      </c>
      <c r="T1142" t="s">
        <v>33</v>
      </c>
      <c r="U1142">
        <v>6.5</v>
      </c>
      <c r="V1142">
        <v>56</v>
      </c>
      <c r="W1142">
        <v>0</v>
      </c>
      <c r="X1142">
        <v>56</v>
      </c>
      <c r="Y1142">
        <v>0</v>
      </c>
      <c r="Z1142">
        <v>0</v>
      </c>
      <c r="AA1142">
        <v>0</v>
      </c>
      <c r="AB1142" t="s">
        <v>36</v>
      </c>
      <c r="AC1142">
        <v>56</v>
      </c>
      <c r="AD1142">
        <v>2.2000000000000002</v>
      </c>
    </row>
    <row r="1143" spans="1:30" x14ac:dyDescent="0.25">
      <c r="A1143" s="1">
        <v>44784.382708333331</v>
      </c>
      <c r="B1143" s="1">
        <v>44784.381851851853</v>
      </c>
      <c r="C1143">
        <v>151706</v>
      </c>
      <c r="D1143" t="s">
        <v>42</v>
      </c>
      <c r="E1143" t="s">
        <v>31</v>
      </c>
      <c r="F1143">
        <v>7</v>
      </c>
      <c r="G1143">
        <v>43.004080000000002</v>
      </c>
      <c r="H1143">
        <v>-71.177040000000005</v>
      </c>
      <c r="I1143">
        <v>194</v>
      </c>
      <c r="J1143">
        <v>77</v>
      </c>
      <c r="K1143">
        <v>0</v>
      </c>
      <c r="L1143" s="1">
        <v>44784.382662037038</v>
      </c>
      <c r="M1143">
        <v>5.5</v>
      </c>
      <c r="N1143">
        <v>0</v>
      </c>
      <c r="O1143">
        <v>5.5</v>
      </c>
      <c r="P1143">
        <v>200</v>
      </c>
      <c r="Q1143">
        <v>0.1</v>
      </c>
      <c r="R1143">
        <v>0</v>
      </c>
      <c r="S1143">
        <v>0.05</v>
      </c>
      <c r="T1143" t="s">
        <v>43</v>
      </c>
      <c r="V1143">
        <v>59</v>
      </c>
      <c r="W1143">
        <v>0</v>
      </c>
      <c r="X1143">
        <v>59</v>
      </c>
      <c r="Y1143">
        <v>1</v>
      </c>
      <c r="Z1143">
        <v>0</v>
      </c>
      <c r="AA1143">
        <v>1</v>
      </c>
      <c r="AB1143" t="s">
        <v>36</v>
      </c>
      <c r="AC1143">
        <v>59</v>
      </c>
    </row>
    <row r="1144" spans="1:30" x14ac:dyDescent="0.25">
      <c r="A1144" s="1">
        <v>44784.382708333331</v>
      </c>
      <c r="B1144" s="1">
        <v>44784.381597222222</v>
      </c>
      <c r="C1144">
        <v>12212</v>
      </c>
      <c r="D1144" t="s">
        <v>44</v>
      </c>
      <c r="E1144" t="s">
        <v>35</v>
      </c>
      <c r="F1144">
        <v>7</v>
      </c>
      <c r="G1144">
        <v>42.930529999999997</v>
      </c>
      <c r="H1144">
        <v>-72.272350000000003</v>
      </c>
      <c r="I1144">
        <v>476</v>
      </c>
      <c r="J1144">
        <v>81</v>
      </c>
      <c r="K1144">
        <v>0</v>
      </c>
      <c r="L1144" s="1">
        <v>44784.382662037038</v>
      </c>
      <c r="M1144">
        <v>5.3</v>
      </c>
      <c r="N1144">
        <v>4.8</v>
      </c>
      <c r="O1144">
        <v>0.5</v>
      </c>
      <c r="P1144">
        <v>10</v>
      </c>
      <c r="Q1144">
        <v>0.4</v>
      </c>
      <c r="R1144">
        <v>0.3</v>
      </c>
      <c r="S1144">
        <v>0.35</v>
      </c>
      <c r="T1144" t="s">
        <v>33</v>
      </c>
      <c r="U1144">
        <v>5.05</v>
      </c>
      <c r="V1144">
        <v>62</v>
      </c>
      <c r="W1144">
        <v>0</v>
      </c>
      <c r="X1144">
        <v>62</v>
      </c>
      <c r="Y1144">
        <v>1</v>
      </c>
      <c r="Z1144">
        <v>0</v>
      </c>
      <c r="AA1144">
        <v>1</v>
      </c>
      <c r="AB1144" t="s">
        <v>36</v>
      </c>
      <c r="AC1144">
        <v>62</v>
      </c>
      <c r="AD1144">
        <v>0.9</v>
      </c>
    </row>
    <row r="1145" spans="1:30" x14ac:dyDescent="0.25">
      <c r="A1145" s="1">
        <v>44784.382719907408</v>
      </c>
      <c r="B1145" s="1">
        <v>44769.376736111109</v>
      </c>
      <c r="C1145">
        <v>12178</v>
      </c>
      <c r="D1145" t="s">
        <v>45</v>
      </c>
      <c r="E1145" t="s">
        <v>35</v>
      </c>
      <c r="F1145">
        <v>7</v>
      </c>
      <c r="G1145">
        <v>42.899563000000001</v>
      </c>
      <c r="H1145">
        <v>-71.464650000000006</v>
      </c>
      <c r="I1145">
        <v>301</v>
      </c>
      <c r="J1145">
        <v>85</v>
      </c>
      <c r="K1145">
        <v>0</v>
      </c>
      <c r="L1145" s="1">
        <v>44784.382662037038</v>
      </c>
      <c r="M1145">
        <v>3.8</v>
      </c>
      <c r="N1145">
        <v>3.1</v>
      </c>
      <c r="O1145">
        <v>0.7</v>
      </c>
      <c r="P1145">
        <v>20</v>
      </c>
      <c r="Q1145">
        <v>0</v>
      </c>
      <c r="R1145">
        <v>0</v>
      </c>
      <c r="S1145">
        <v>0</v>
      </c>
      <c r="T1145" t="s">
        <v>32</v>
      </c>
      <c r="V1145">
        <v>35</v>
      </c>
      <c r="W1145">
        <v>0</v>
      </c>
      <c r="X1145">
        <v>35</v>
      </c>
      <c r="Y1145">
        <v>0</v>
      </c>
      <c r="Z1145">
        <v>0</v>
      </c>
      <c r="AA1145">
        <v>0</v>
      </c>
      <c r="AB1145" t="s">
        <v>36</v>
      </c>
      <c r="AC1145">
        <v>35</v>
      </c>
    </row>
    <row r="1146" spans="1:30" x14ac:dyDescent="0.25">
      <c r="A1146" s="1">
        <v>44784.382719907408</v>
      </c>
      <c r="B1146" s="1">
        <v>44784.380914351852</v>
      </c>
      <c r="C1146">
        <v>75981</v>
      </c>
      <c r="D1146" t="s">
        <v>46</v>
      </c>
      <c r="E1146" t="s">
        <v>35</v>
      </c>
      <c r="F1146">
        <v>7</v>
      </c>
      <c r="G1146">
        <v>42.97</v>
      </c>
      <c r="H1146">
        <v>-71.06</v>
      </c>
      <c r="I1146">
        <v>136</v>
      </c>
      <c r="J1146">
        <v>79</v>
      </c>
      <c r="K1146">
        <v>0</v>
      </c>
      <c r="L1146" s="1">
        <v>44784.382662037038</v>
      </c>
      <c r="M1146">
        <v>9</v>
      </c>
      <c r="N1146">
        <v>8.1</v>
      </c>
      <c r="O1146">
        <v>0.9</v>
      </c>
      <c r="P1146">
        <v>11</v>
      </c>
      <c r="Q1146">
        <v>0.3</v>
      </c>
      <c r="R1146">
        <v>0</v>
      </c>
      <c r="S1146">
        <v>0.15</v>
      </c>
      <c r="T1146" t="s">
        <v>33</v>
      </c>
      <c r="U1146">
        <v>8.5500000000000007</v>
      </c>
      <c r="V1146">
        <v>58</v>
      </c>
      <c r="W1146">
        <v>0</v>
      </c>
      <c r="X1146">
        <v>58</v>
      </c>
      <c r="Y1146">
        <v>0</v>
      </c>
      <c r="Z1146">
        <v>0</v>
      </c>
      <c r="AA1146">
        <v>0</v>
      </c>
      <c r="AB1146" t="s">
        <v>36</v>
      </c>
      <c r="AC1146">
        <v>58</v>
      </c>
      <c r="AD1146">
        <v>3.32</v>
      </c>
    </row>
    <row r="1147" spans="1:30" x14ac:dyDescent="0.25">
      <c r="A1147" s="1">
        <v>44784.382719907408</v>
      </c>
      <c r="B1147" s="1">
        <v>44784.38144675926</v>
      </c>
      <c r="C1147">
        <v>115703</v>
      </c>
      <c r="D1147" t="s">
        <v>47</v>
      </c>
      <c r="E1147" t="s">
        <v>35</v>
      </c>
      <c r="F1147">
        <v>7</v>
      </c>
      <c r="G1147">
        <v>43.953625000000002</v>
      </c>
      <c r="H1147">
        <v>-71.508859999999999</v>
      </c>
      <c r="I1147">
        <v>1493</v>
      </c>
      <c r="J1147">
        <v>71</v>
      </c>
      <c r="K1147">
        <v>0</v>
      </c>
      <c r="L1147" s="1">
        <v>44784.382662037038</v>
      </c>
      <c r="M1147">
        <v>0.1</v>
      </c>
      <c r="N1147">
        <v>300.89999999999998</v>
      </c>
      <c r="O1147">
        <v>300.8</v>
      </c>
      <c r="P1147">
        <v>200</v>
      </c>
      <c r="Q1147">
        <v>0</v>
      </c>
      <c r="R1147">
        <v>0</v>
      </c>
      <c r="S1147">
        <v>0</v>
      </c>
      <c r="T1147" t="s">
        <v>60</v>
      </c>
      <c r="V1147">
        <v>60</v>
      </c>
      <c r="W1147">
        <v>0</v>
      </c>
      <c r="X1147">
        <v>60</v>
      </c>
      <c r="Y1147">
        <v>3</v>
      </c>
      <c r="Z1147">
        <v>0</v>
      </c>
      <c r="AA1147">
        <v>3</v>
      </c>
      <c r="AB1147" t="s">
        <v>36</v>
      </c>
      <c r="AC1147">
        <v>60</v>
      </c>
    </row>
    <row r="1148" spans="1:30" x14ac:dyDescent="0.25">
      <c r="A1148" s="1">
        <v>44784.382731481484</v>
      </c>
      <c r="B1148" s="1">
        <v>44784.380856481483</v>
      </c>
      <c r="C1148">
        <v>12050</v>
      </c>
      <c r="D1148" t="s">
        <v>49</v>
      </c>
      <c r="E1148" t="s">
        <v>35</v>
      </c>
      <c r="F1148">
        <v>7</v>
      </c>
      <c r="G1148">
        <v>44.220573000000002</v>
      </c>
      <c r="H1148">
        <v>-71.732315</v>
      </c>
      <c r="I1148">
        <v>999</v>
      </c>
      <c r="J1148">
        <v>83</v>
      </c>
      <c r="K1148">
        <v>0</v>
      </c>
      <c r="L1148" s="1">
        <v>44784.382662037038</v>
      </c>
      <c r="M1148">
        <v>3.5</v>
      </c>
      <c r="N1148">
        <v>3.1</v>
      </c>
      <c r="O1148">
        <v>0.4</v>
      </c>
      <c r="P1148">
        <v>12</v>
      </c>
      <c r="Q1148">
        <v>0.1</v>
      </c>
      <c r="R1148">
        <v>0.1</v>
      </c>
      <c r="S1148">
        <v>0.1</v>
      </c>
      <c r="T1148" t="s">
        <v>33</v>
      </c>
      <c r="U1148">
        <v>3.3</v>
      </c>
      <c r="V1148">
        <v>42</v>
      </c>
      <c r="W1148">
        <v>0</v>
      </c>
      <c r="X1148">
        <v>42</v>
      </c>
      <c r="Y1148">
        <v>3</v>
      </c>
      <c r="Z1148">
        <v>0</v>
      </c>
      <c r="AA1148">
        <v>3</v>
      </c>
      <c r="AB1148" t="s">
        <v>36</v>
      </c>
      <c r="AC1148">
        <v>42</v>
      </c>
      <c r="AD1148">
        <v>1.23</v>
      </c>
    </row>
    <row r="1149" spans="1:30" x14ac:dyDescent="0.25">
      <c r="A1149" s="1">
        <v>44784.382731481484</v>
      </c>
      <c r="B1149" s="1">
        <v>44784.380972222221</v>
      </c>
      <c r="C1149">
        <v>23443</v>
      </c>
      <c r="D1149" t="s">
        <v>50</v>
      </c>
      <c r="E1149" t="s">
        <v>35</v>
      </c>
      <c r="F1149">
        <v>7</v>
      </c>
      <c r="G1149">
        <v>43.556139999999999</v>
      </c>
      <c r="H1149">
        <v>-72.370990000000006</v>
      </c>
      <c r="I1149">
        <v>523</v>
      </c>
      <c r="J1149">
        <v>78</v>
      </c>
      <c r="K1149">
        <v>0</v>
      </c>
      <c r="L1149" s="1">
        <v>44784.382662037038</v>
      </c>
      <c r="M1149">
        <v>5.8</v>
      </c>
      <c r="N1149">
        <v>5.2</v>
      </c>
      <c r="O1149">
        <v>0.6</v>
      </c>
      <c r="P1149">
        <v>11</v>
      </c>
      <c r="Q1149">
        <v>0.1</v>
      </c>
      <c r="R1149">
        <v>0</v>
      </c>
      <c r="S1149">
        <v>0.05</v>
      </c>
      <c r="T1149" t="s">
        <v>33</v>
      </c>
      <c r="U1149">
        <v>5.5</v>
      </c>
      <c r="V1149">
        <v>54</v>
      </c>
      <c r="W1149">
        <v>0</v>
      </c>
      <c r="X1149">
        <v>54</v>
      </c>
      <c r="Y1149">
        <v>1</v>
      </c>
      <c r="Z1149">
        <v>0</v>
      </c>
      <c r="AA1149">
        <v>1</v>
      </c>
      <c r="AB1149" t="s">
        <v>36</v>
      </c>
      <c r="AC1149">
        <v>54</v>
      </c>
      <c r="AD1149">
        <v>1.73</v>
      </c>
    </row>
    <row r="1150" spans="1:30" x14ac:dyDescent="0.25">
      <c r="A1150" s="1">
        <v>44784.382731481484</v>
      </c>
      <c r="B1150" s="1">
        <v>44784.381053240744</v>
      </c>
      <c r="C1150">
        <v>58135</v>
      </c>
      <c r="D1150" t="s">
        <v>51</v>
      </c>
      <c r="E1150" t="s">
        <v>35</v>
      </c>
      <c r="F1150">
        <v>7</v>
      </c>
      <c r="G1150">
        <v>42.883873000000001</v>
      </c>
      <c r="H1150">
        <v>-71.972915999999998</v>
      </c>
      <c r="I1150">
        <v>808</v>
      </c>
      <c r="J1150">
        <v>84</v>
      </c>
      <c r="K1150">
        <v>0</v>
      </c>
      <c r="L1150" s="1">
        <v>44784.382662037038</v>
      </c>
      <c r="M1150">
        <v>5.7</v>
      </c>
      <c r="N1150">
        <v>6</v>
      </c>
      <c r="O1150">
        <v>0.3</v>
      </c>
      <c r="P1150">
        <v>5</v>
      </c>
      <c r="Q1150">
        <v>0.5</v>
      </c>
      <c r="R1150">
        <v>2.2000000000000002</v>
      </c>
      <c r="S1150">
        <v>1.35</v>
      </c>
      <c r="T1150" t="s">
        <v>33</v>
      </c>
      <c r="U1150">
        <v>5.85</v>
      </c>
      <c r="V1150">
        <v>51</v>
      </c>
      <c r="W1150">
        <v>0</v>
      </c>
      <c r="X1150">
        <v>51</v>
      </c>
      <c r="Y1150">
        <v>2</v>
      </c>
      <c r="Z1150">
        <v>0</v>
      </c>
      <c r="AA1150">
        <v>2</v>
      </c>
      <c r="AB1150" t="s">
        <v>36</v>
      </c>
      <c r="AC1150">
        <v>51</v>
      </c>
      <c r="AD1150">
        <v>2.16</v>
      </c>
    </row>
    <row r="1151" spans="1:30" x14ac:dyDescent="0.25">
      <c r="A1151" s="1">
        <v>44784.382743055554</v>
      </c>
      <c r="B1151" s="1">
        <v>44784.381099537037</v>
      </c>
      <c r="C1151">
        <v>148555</v>
      </c>
      <c r="D1151" t="s">
        <v>52</v>
      </c>
      <c r="E1151" t="s">
        <v>53</v>
      </c>
      <c r="F1151">
        <v>7</v>
      </c>
      <c r="G1151">
        <v>42.904949999999999</v>
      </c>
      <c r="H1151">
        <v>-71.386764999999997</v>
      </c>
      <c r="I1151">
        <v>363</v>
      </c>
      <c r="J1151">
        <v>0</v>
      </c>
      <c r="K1151">
        <v>0</v>
      </c>
      <c r="L1151" s="1">
        <v>44784.382662037038</v>
      </c>
      <c r="M1151">
        <v>4.4000000000000004</v>
      </c>
      <c r="N1151">
        <v>5.0999999999999996</v>
      </c>
      <c r="O1151">
        <v>0.7</v>
      </c>
      <c r="P1151">
        <v>15</v>
      </c>
      <c r="Q1151">
        <v>0</v>
      </c>
      <c r="R1151">
        <v>0.1</v>
      </c>
      <c r="S1151">
        <v>0.05</v>
      </c>
      <c r="T1151" t="s">
        <v>33</v>
      </c>
      <c r="U1151">
        <v>4.75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 t="s">
        <v>38</v>
      </c>
    </row>
    <row r="1152" spans="1:30" x14ac:dyDescent="0.25">
      <c r="A1152" s="1">
        <v>44784.382743055554</v>
      </c>
      <c r="B1152" s="1">
        <v>44784.381979166668</v>
      </c>
      <c r="C1152">
        <v>146644</v>
      </c>
      <c r="D1152" t="s">
        <v>54</v>
      </c>
      <c r="E1152" t="s">
        <v>53</v>
      </c>
      <c r="F1152">
        <v>7</v>
      </c>
      <c r="G1152">
        <v>43.06015</v>
      </c>
      <c r="H1152">
        <v>-70.758930000000007</v>
      </c>
      <c r="I1152">
        <v>35</v>
      </c>
      <c r="J1152">
        <v>76</v>
      </c>
      <c r="K1152">
        <v>78</v>
      </c>
      <c r="L1152" s="1">
        <v>44784.382662037038</v>
      </c>
      <c r="M1152">
        <v>13.1</v>
      </c>
      <c r="N1152">
        <v>11.9</v>
      </c>
      <c r="O1152">
        <v>1.2</v>
      </c>
      <c r="P1152">
        <v>10</v>
      </c>
      <c r="Q1152">
        <v>1.4</v>
      </c>
      <c r="R1152">
        <v>1.1000000000000001</v>
      </c>
      <c r="S1152">
        <v>1.25</v>
      </c>
      <c r="T1152" t="s">
        <v>33</v>
      </c>
      <c r="U1152">
        <v>12.5</v>
      </c>
      <c r="V1152">
        <v>57</v>
      </c>
      <c r="W1152">
        <v>63</v>
      </c>
      <c r="X1152">
        <v>6</v>
      </c>
      <c r="Y1152">
        <v>0</v>
      </c>
      <c r="Z1152">
        <v>0</v>
      </c>
      <c r="AA1152">
        <v>0</v>
      </c>
      <c r="AB1152" t="s">
        <v>33</v>
      </c>
      <c r="AC1152">
        <v>60</v>
      </c>
      <c r="AD1152">
        <v>5.58</v>
      </c>
    </row>
    <row r="1153" spans="1:30" x14ac:dyDescent="0.25">
      <c r="A1153" s="1">
        <v>44784.382743055554</v>
      </c>
      <c r="B1153" s="1">
        <v>43755.283437500002</v>
      </c>
      <c r="C1153">
        <v>12188</v>
      </c>
      <c r="D1153" t="s">
        <v>55</v>
      </c>
      <c r="E1153" t="s">
        <v>35</v>
      </c>
      <c r="F1153">
        <v>4.1100000000000003</v>
      </c>
      <c r="G1153">
        <v>42.927050000000001</v>
      </c>
      <c r="H1153">
        <v>-72.279610000000005</v>
      </c>
      <c r="I1153">
        <v>475</v>
      </c>
      <c r="J1153">
        <v>95</v>
      </c>
      <c r="K1153">
        <v>0</v>
      </c>
      <c r="L1153" s="1">
        <v>44784.382662037038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 t="s">
        <v>32</v>
      </c>
      <c r="V1153">
        <v>77</v>
      </c>
      <c r="W1153">
        <v>0</v>
      </c>
      <c r="X1153">
        <v>77</v>
      </c>
      <c r="Y1153">
        <v>0</v>
      </c>
      <c r="Z1153">
        <v>0</v>
      </c>
      <c r="AA1153">
        <v>0</v>
      </c>
      <c r="AB1153" t="s">
        <v>36</v>
      </c>
      <c r="AC1153">
        <v>77</v>
      </c>
    </row>
    <row r="1154" spans="1:30" x14ac:dyDescent="0.25">
      <c r="A1154" s="1">
        <v>44784.382754629631</v>
      </c>
      <c r="B1154" s="1">
        <v>44784.380960648145</v>
      </c>
      <c r="C1154">
        <v>1224</v>
      </c>
      <c r="D1154" t="s">
        <v>56</v>
      </c>
      <c r="E1154" t="s">
        <v>35</v>
      </c>
      <c r="F1154" t="s">
        <v>57</v>
      </c>
      <c r="G1154">
        <v>42.938034000000002</v>
      </c>
      <c r="H1154">
        <v>-72.259299999999996</v>
      </c>
      <c r="I1154">
        <v>792</v>
      </c>
      <c r="J1154">
        <v>81</v>
      </c>
      <c r="K1154">
        <v>0</v>
      </c>
      <c r="L1154" s="1">
        <v>44784.382662037038</v>
      </c>
      <c r="M1154">
        <v>5.6</v>
      </c>
      <c r="N1154">
        <v>0.1</v>
      </c>
      <c r="O1154">
        <v>5.5</v>
      </c>
      <c r="P1154">
        <v>193</v>
      </c>
      <c r="Q1154">
        <v>0.4</v>
      </c>
      <c r="R1154">
        <v>0</v>
      </c>
      <c r="S1154">
        <v>0.2</v>
      </c>
      <c r="T1154" t="s">
        <v>33</v>
      </c>
      <c r="U1154">
        <v>2.85</v>
      </c>
      <c r="V1154">
        <v>71</v>
      </c>
      <c r="W1154">
        <v>0</v>
      </c>
      <c r="X1154">
        <v>71</v>
      </c>
      <c r="Y1154">
        <v>4</v>
      </c>
      <c r="Z1154">
        <v>0</v>
      </c>
      <c r="AA1154">
        <v>4</v>
      </c>
      <c r="AB1154" t="s">
        <v>36</v>
      </c>
      <c r="AC1154">
        <v>71</v>
      </c>
      <c r="AD1154">
        <v>-1.07</v>
      </c>
    </row>
    <row r="1155" spans="1:30" x14ac:dyDescent="0.25">
      <c r="A1155" s="1">
        <v>44784.382754629631</v>
      </c>
      <c r="B1155" s="1">
        <v>44784.381793981483</v>
      </c>
      <c r="C1155">
        <v>1202</v>
      </c>
      <c r="D1155" t="s">
        <v>58</v>
      </c>
      <c r="E1155" t="s">
        <v>35</v>
      </c>
      <c r="F1155" t="s">
        <v>57</v>
      </c>
      <c r="G1155">
        <v>42.936554000000001</v>
      </c>
      <c r="H1155">
        <v>-72.271019999999993</v>
      </c>
      <c r="I1155">
        <v>488</v>
      </c>
      <c r="J1155">
        <v>0</v>
      </c>
      <c r="K1155">
        <v>0</v>
      </c>
      <c r="L1155" s="1">
        <v>44784.382662037038</v>
      </c>
      <c r="M1155">
        <v>5.9</v>
      </c>
      <c r="N1155">
        <v>5.6</v>
      </c>
      <c r="O1155">
        <v>0.3</v>
      </c>
      <c r="P1155">
        <v>5</v>
      </c>
      <c r="Q1155">
        <v>0.5</v>
      </c>
      <c r="R1155">
        <v>0.5</v>
      </c>
      <c r="S1155">
        <v>0.5</v>
      </c>
      <c r="T1155" t="s">
        <v>33</v>
      </c>
      <c r="U1155">
        <v>5.75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 t="s">
        <v>38</v>
      </c>
    </row>
    <row r="1156" spans="1:30" x14ac:dyDescent="0.25">
      <c r="A1156" s="1">
        <v>44784.382754629631</v>
      </c>
      <c r="B1156" s="1">
        <v>44612.080023148148</v>
      </c>
      <c r="C1156">
        <v>25985</v>
      </c>
      <c r="D1156" t="s">
        <v>59</v>
      </c>
      <c r="E1156" t="s">
        <v>35</v>
      </c>
      <c r="F1156">
        <v>6.01</v>
      </c>
      <c r="G1156">
        <v>42.927326000000001</v>
      </c>
      <c r="H1156">
        <v>-72.279979999999995</v>
      </c>
      <c r="I1156">
        <v>477</v>
      </c>
      <c r="J1156">
        <v>78</v>
      </c>
      <c r="K1156">
        <v>0</v>
      </c>
      <c r="L1156" s="1">
        <v>44784.382662037038</v>
      </c>
      <c r="M1156">
        <v>1.1000000000000001</v>
      </c>
      <c r="N1156">
        <v>1</v>
      </c>
      <c r="O1156">
        <v>0.1</v>
      </c>
      <c r="P1156">
        <v>10</v>
      </c>
      <c r="Q1156">
        <v>0</v>
      </c>
      <c r="R1156">
        <v>0</v>
      </c>
      <c r="S1156">
        <v>0</v>
      </c>
      <c r="T1156" t="s">
        <v>32</v>
      </c>
      <c r="V1156">
        <v>22</v>
      </c>
      <c r="W1156">
        <v>0</v>
      </c>
      <c r="X1156">
        <v>22</v>
      </c>
      <c r="Y1156">
        <v>0</v>
      </c>
      <c r="Z1156">
        <v>0</v>
      </c>
      <c r="AA1156">
        <v>0</v>
      </c>
      <c r="AB1156" t="s">
        <v>36</v>
      </c>
      <c r="AC1156">
        <v>22</v>
      </c>
    </row>
    <row r="1157" spans="1:30" x14ac:dyDescent="0.25">
      <c r="A1157" s="1">
        <v>44784.38962962963</v>
      </c>
      <c r="B1157" s="1">
        <v>44775.701319444444</v>
      </c>
      <c r="C1157">
        <v>151708</v>
      </c>
      <c r="D1157" t="s">
        <v>30</v>
      </c>
      <c r="E1157" t="s">
        <v>31</v>
      </c>
      <c r="F1157">
        <v>7</v>
      </c>
      <c r="G1157">
        <v>43.192042999999998</v>
      </c>
      <c r="H1157">
        <v>-71.541579999999996</v>
      </c>
      <c r="I1157">
        <v>291</v>
      </c>
      <c r="J1157">
        <v>93</v>
      </c>
      <c r="K1157">
        <v>94</v>
      </c>
      <c r="L1157" s="1">
        <v>44784.389618055553</v>
      </c>
      <c r="M1157">
        <v>7.9</v>
      </c>
      <c r="N1157">
        <v>7.6</v>
      </c>
      <c r="O1157">
        <v>0.3</v>
      </c>
      <c r="P1157">
        <v>4</v>
      </c>
      <c r="Q1157">
        <v>0</v>
      </c>
      <c r="R1157">
        <v>0</v>
      </c>
      <c r="S1157">
        <v>0</v>
      </c>
      <c r="T1157" t="s">
        <v>32</v>
      </c>
      <c r="V1157">
        <v>42</v>
      </c>
      <c r="W1157">
        <v>41</v>
      </c>
      <c r="X1157">
        <v>1</v>
      </c>
      <c r="Y1157">
        <v>0</v>
      </c>
      <c r="Z1157">
        <v>0</v>
      </c>
      <c r="AA1157">
        <v>0</v>
      </c>
      <c r="AB1157" t="s">
        <v>33</v>
      </c>
      <c r="AC1157">
        <v>41.5</v>
      </c>
    </row>
    <row r="1158" spans="1:30" x14ac:dyDescent="0.25">
      <c r="A1158" s="1">
        <v>44784.38962962963</v>
      </c>
      <c r="B1158" s="1">
        <v>44784.38795138889</v>
      </c>
      <c r="C1158">
        <v>143456</v>
      </c>
      <c r="D1158" t="s">
        <v>34</v>
      </c>
      <c r="E1158" t="s">
        <v>35</v>
      </c>
      <c r="F1158">
        <v>7</v>
      </c>
      <c r="G1158">
        <v>43.08963</v>
      </c>
      <c r="H1158">
        <v>-71.502440000000007</v>
      </c>
      <c r="I1158">
        <v>619</v>
      </c>
      <c r="J1158">
        <v>75</v>
      </c>
      <c r="K1158">
        <v>0</v>
      </c>
      <c r="L1158" s="1">
        <v>44784.389618055553</v>
      </c>
      <c r="M1158">
        <v>4.5999999999999996</v>
      </c>
      <c r="N1158">
        <v>4.8</v>
      </c>
      <c r="O1158">
        <v>0.2</v>
      </c>
      <c r="P1158">
        <v>4</v>
      </c>
      <c r="Q1158">
        <v>0.2</v>
      </c>
      <c r="R1158">
        <v>0.3</v>
      </c>
      <c r="S1158">
        <v>0.25</v>
      </c>
      <c r="T1158" t="s">
        <v>33</v>
      </c>
      <c r="U1158">
        <v>4.7</v>
      </c>
      <c r="V1158">
        <v>67</v>
      </c>
      <c r="W1158">
        <v>0</v>
      </c>
      <c r="X1158">
        <v>67</v>
      </c>
      <c r="Y1158">
        <v>1</v>
      </c>
      <c r="Z1158">
        <v>0</v>
      </c>
      <c r="AA1158">
        <v>1</v>
      </c>
      <c r="AB1158" t="s">
        <v>36</v>
      </c>
      <c r="AC1158">
        <v>67</v>
      </c>
      <c r="AD1158">
        <v>0.34</v>
      </c>
    </row>
    <row r="1159" spans="1:30" x14ac:dyDescent="0.25">
      <c r="A1159" s="1">
        <v>44784.389641203707</v>
      </c>
      <c r="B1159" s="1">
        <v>44784.388124999998</v>
      </c>
      <c r="C1159">
        <v>151702</v>
      </c>
      <c r="D1159" t="s">
        <v>37</v>
      </c>
      <c r="E1159" t="s">
        <v>31</v>
      </c>
      <c r="F1159">
        <v>7</v>
      </c>
      <c r="G1159">
        <v>43.118609999999997</v>
      </c>
      <c r="H1159">
        <v>-71.61618</v>
      </c>
      <c r="I1159">
        <v>885</v>
      </c>
      <c r="J1159">
        <v>0</v>
      </c>
      <c r="K1159">
        <v>0</v>
      </c>
      <c r="L1159" s="1">
        <v>44784.389618055553</v>
      </c>
      <c r="M1159">
        <v>5.6</v>
      </c>
      <c r="N1159">
        <v>5.5</v>
      </c>
      <c r="O1159">
        <v>0.1</v>
      </c>
      <c r="P1159">
        <v>2</v>
      </c>
      <c r="Q1159">
        <v>0</v>
      </c>
      <c r="R1159">
        <v>0.1</v>
      </c>
      <c r="S1159">
        <v>0.05</v>
      </c>
      <c r="T1159" t="s">
        <v>33</v>
      </c>
      <c r="U1159">
        <v>5.55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 t="s">
        <v>38</v>
      </c>
    </row>
    <row r="1160" spans="1:30" x14ac:dyDescent="0.25">
      <c r="A1160" s="1">
        <v>44784.389641203707</v>
      </c>
      <c r="B1160" s="1">
        <v>44784.388020833336</v>
      </c>
      <c r="C1160">
        <v>151700</v>
      </c>
      <c r="D1160" t="s">
        <v>30</v>
      </c>
      <c r="E1160" t="s">
        <v>31</v>
      </c>
      <c r="F1160">
        <v>7</v>
      </c>
      <c r="G1160">
        <v>43.19211</v>
      </c>
      <c r="H1160">
        <v>-71.541460000000001</v>
      </c>
      <c r="I1160">
        <v>286</v>
      </c>
      <c r="J1160">
        <v>76</v>
      </c>
      <c r="K1160">
        <v>0</v>
      </c>
      <c r="L1160" s="1">
        <v>44784.389618055553</v>
      </c>
      <c r="M1160">
        <v>5</v>
      </c>
      <c r="N1160">
        <v>5.8</v>
      </c>
      <c r="O1160">
        <v>0.8</v>
      </c>
      <c r="P1160">
        <v>15</v>
      </c>
      <c r="Q1160">
        <v>0.1</v>
      </c>
      <c r="R1160">
        <v>0</v>
      </c>
      <c r="S1160">
        <v>0.05</v>
      </c>
      <c r="T1160" t="s">
        <v>33</v>
      </c>
      <c r="U1160">
        <v>5.4</v>
      </c>
      <c r="V1160">
        <v>62</v>
      </c>
      <c r="W1160">
        <v>0</v>
      </c>
      <c r="X1160">
        <v>62</v>
      </c>
      <c r="Y1160">
        <v>0</v>
      </c>
      <c r="Z1160">
        <v>0</v>
      </c>
      <c r="AA1160">
        <v>0</v>
      </c>
      <c r="AB1160" t="s">
        <v>36</v>
      </c>
      <c r="AC1160">
        <v>62</v>
      </c>
      <c r="AD1160">
        <v>1.1100000000000001</v>
      </c>
    </row>
    <row r="1161" spans="1:30" x14ac:dyDescent="0.25">
      <c r="A1161" s="1">
        <v>44784.389641203707</v>
      </c>
      <c r="B1161" s="1">
        <v>44784.388437499998</v>
      </c>
      <c r="C1161">
        <v>135984</v>
      </c>
      <c r="D1161" t="s">
        <v>39</v>
      </c>
      <c r="E1161" t="s">
        <v>31</v>
      </c>
      <c r="F1161">
        <v>7</v>
      </c>
      <c r="G1161">
        <v>43.565852999999997</v>
      </c>
      <c r="H1161">
        <v>-71.496129999999994</v>
      </c>
      <c r="I1161">
        <v>708</v>
      </c>
      <c r="J1161">
        <v>80</v>
      </c>
      <c r="K1161">
        <v>0</v>
      </c>
      <c r="L1161" s="1">
        <v>44784.389618055553</v>
      </c>
      <c r="M1161">
        <v>3.9</v>
      </c>
      <c r="N1161">
        <v>3.2</v>
      </c>
      <c r="O1161">
        <v>0.7</v>
      </c>
      <c r="P1161">
        <v>20</v>
      </c>
      <c r="Q1161">
        <v>0.2</v>
      </c>
      <c r="R1161">
        <v>0</v>
      </c>
      <c r="S1161">
        <v>0.1</v>
      </c>
      <c r="T1161" t="s">
        <v>33</v>
      </c>
      <c r="U1161">
        <v>3.55</v>
      </c>
      <c r="V1161">
        <v>66</v>
      </c>
      <c r="W1161">
        <v>0</v>
      </c>
      <c r="X1161">
        <v>66</v>
      </c>
      <c r="Y1161">
        <v>0</v>
      </c>
      <c r="Z1161">
        <v>0</v>
      </c>
      <c r="AA1161">
        <v>0</v>
      </c>
      <c r="AB1161" t="s">
        <v>36</v>
      </c>
      <c r="AC1161">
        <v>66</v>
      </c>
      <c r="AD1161">
        <v>-0.28999999999999998</v>
      </c>
    </row>
    <row r="1162" spans="1:30" x14ac:dyDescent="0.25">
      <c r="A1162" s="1">
        <v>44784.389641203707</v>
      </c>
      <c r="B1162" s="1">
        <v>44780.394780092596</v>
      </c>
      <c r="C1162">
        <v>151712</v>
      </c>
      <c r="D1162" t="s">
        <v>40</v>
      </c>
      <c r="E1162" t="s">
        <v>31</v>
      </c>
      <c r="F1162">
        <v>7</v>
      </c>
      <c r="G1162">
        <v>43.289763999999998</v>
      </c>
      <c r="H1162">
        <v>-71.564260000000004</v>
      </c>
      <c r="I1162">
        <v>370</v>
      </c>
      <c r="J1162">
        <v>86</v>
      </c>
      <c r="K1162">
        <v>0</v>
      </c>
      <c r="L1162" s="1">
        <v>44784.389618055553</v>
      </c>
      <c r="M1162">
        <v>14</v>
      </c>
      <c r="N1162">
        <v>13.2</v>
      </c>
      <c r="O1162">
        <v>0.8</v>
      </c>
      <c r="P1162">
        <v>6</v>
      </c>
      <c r="Q1162">
        <v>0</v>
      </c>
      <c r="R1162">
        <v>0</v>
      </c>
      <c r="S1162">
        <v>0</v>
      </c>
      <c r="T1162" t="s">
        <v>32</v>
      </c>
      <c r="V1162">
        <v>59</v>
      </c>
      <c r="W1162">
        <v>0</v>
      </c>
      <c r="X1162">
        <v>59</v>
      </c>
      <c r="Y1162">
        <v>0</v>
      </c>
      <c r="Z1162">
        <v>0</v>
      </c>
      <c r="AA1162">
        <v>0</v>
      </c>
      <c r="AB1162" t="s">
        <v>36</v>
      </c>
      <c r="AC1162">
        <v>59</v>
      </c>
    </row>
    <row r="1163" spans="1:30" x14ac:dyDescent="0.25">
      <c r="A1163" s="1">
        <v>44784.389652777776</v>
      </c>
      <c r="B1163" s="1">
        <v>44784.389131944445</v>
      </c>
      <c r="C1163">
        <v>151710</v>
      </c>
      <c r="D1163" t="s">
        <v>41</v>
      </c>
      <c r="E1163" t="s">
        <v>31</v>
      </c>
      <c r="F1163">
        <v>7</v>
      </c>
      <c r="G1163">
        <v>43.132477000000002</v>
      </c>
      <c r="H1163">
        <v>-71.458374000000006</v>
      </c>
      <c r="I1163">
        <v>230</v>
      </c>
      <c r="J1163">
        <v>78</v>
      </c>
      <c r="K1163">
        <v>0</v>
      </c>
      <c r="L1163" s="1">
        <v>44784.389618055553</v>
      </c>
      <c r="M1163">
        <v>7.4</v>
      </c>
      <c r="N1163">
        <v>6</v>
      </c>
      <c r="O1163">
        <v>1.4</v>
      </c>
      <c r="P1163">
        <v>21</v>
      </c>
      <c r="Q1163">
        <v>0.4</v>
      </c>
      <c r="R1163">
        <v>0</v>
      </c>
      <c r="S1163">
        <v>0.2</v>
      </c>
      <c r="T1163" t="s">
        <v>33</v>
      </c>
      <c r="U1163">
        <v>6.7</v>
      </c>
      <c r="V1163">
        <v>55</v>
      </c>
      <c r="W1163">
        <v>0</v>
      </c>
      <c r="X1163">
        <v>55</v>
      </c>
      <c r="Y1163">
        <v>1</v>
      </c>
      <c r="Z1163">
        <v>0</v>
      </c>
      <c r="AA1163">
        <v>1</v>
      </c>
      <c r="AB1163" t="s">
        <v>36</v>
      </c>
      <c r="AC1163">
        <v>55</v>
      </c>
      <c r="AD1163">
        <v>2.4</v>
      </c>
    </row>
    <row r="1164" spans="1:30" x14ac:dyDescent="0.25">
      <c r="A1164" s="1">
        <v>44784.389652777776</v>
      </c>
      <c r="B1164" s="1">
        <v>44784.388796296298</v>
      </c>
      <c r="C1164">
        <v>151706</v>
      </c>
      <c r="D1164" t="s">
        <v>42</v>
      </c>
      <c r="E1164" t="s">
        <v>31</v>
      </c>
      <c r="F1164">
        <v>7</v>
      </c>
      <c r="G1164">
        <v>43.004080000000002</v>
      </c>
      <c r="H1164">
        <v>-71.177040000000005</v>
      </c>
      <c r="I1164">
        <v>194</v>
      </c>
      <c r="J1164">
        <v>77</v>
      </c>
      <c r="K1164">
        <v>0</v>
      </c>
      <c r="L1164" s="1">
        <v>44784.389618055553</v>
      </c>
      <c r="M1164">
        <v>5.7</v>
      </c>
      <c r="N1164">
        <v>0</v>
      </c>
      <c r="O1164">
        <v>5.7</v>
      </c>
      <c r="P1164">
        <v>200</v>
      </c>
      <c r="Q1164">
        <v>0.2</v>
      </c>
      <c r="R1164">
        <v>0</v>
      </c>
      <c r="S1164">
        <v>0.1</v>
      </c>
      <c r="T1164" t="s">
        <v>43</v>
      </c>
      <c r="V1164">
        <v>59</v>
      </c>
      <c r="W1164">
        <v>0</v>
      </c>
      <c r="X1164">
        <v>59</v>
      </c>
      <c r="Y1164">
        <v>0</v>
      </c>
      <c r="Z1164">
        <v>0</v>
      </c>
      <c r="AA1164">
        <v>0</v>
      </c>
      <c r="AB1164" t="s">
        <v>36</v>
      </c>
      <c r="AC1164">
        <v>59</v>
      </c>
    </row>
    <row r="1165" spans="1:30" x14ac:dyDescent="0.25">
      <c r="A1165" s="1">
        <v>44784.389652777776</v>
      </c>
      <c r="B1165" s="1">
        <v>44784.388541666667</v>
      </c>
      <c r="C1165">
        <v>12212</v>
      </c>
      <c r="D1165" t="s">
        <v>44</v>
      </c>
      <c r="E1165" t="s">
        <v>35</v>
      </c>
      <c r="F1165">
        <v>7</v>
      </c>
      <c r="G1165">
        <v>42.930529999999997</v>
      </c>
      <c r="H1165">
        <v>-72.272350000000003</v>
      </c>
      <c r="I1165">
        <v>476</v>
      </c>
      <c r="J1165">
        <v>79</v>
      </c>
      <c r="K1165">
        <v>0</v>
      </c>
      <c r="L1165" s="1">
        <v>44784.389618055553</v>
      </c>
      <c r="M1165">
        <v>5.2</v>
      </c>
      <c r="N1165">
        <v>4.7</v>
      </c>
      <c r="O1165">
        <v>0.5</v>
      </c>
      <c r="P1165">
        <v>10</v>
      </c>
      <c r="Q1165">
        <v>0.1</v>
      </c>
      <c r="R1165">
        <v>0.1</v>
      </c>
      <c r="S1165">
        <v>0.1</v>
      </c>
      <c r="T1165" t="s">
        <v>33</v>
      </c>
      <c r="U1165">
        <v>4.95</v>
      </c>
      <c r="V1165">
        <v>65</v>
      </c>
      <c r="W1165">
        <v>0</v>
      </c>
      <c r="X1165">
        <v>65</v>
      </c>
      <c r="Y1165">
        <v>3</v>
      </c>
      <c r="Z1165">
        <v>0</v>
      </c>
      <c r="AA1165">
        <v>3</v>
      </c>
      <c r="AB1165" t="s">
        <v>36</v>
      </c>
      <c r="AC1165">
        <v>65</v>
      </c>
      <c r="AD1165">
        <v>0.63</v>
      </c>
    </row>
    <row r="1166" spans="1:30" x14ac:dyDescent="0.25">
      <c r="A1166" s="1">
        <v>44784.389664351853</v>
      </c>
      <c r="B1166" s="1">
        <v>44769.376736111109</v>
      </c>
      <c r="C1166">
        <v>12178</v>
      </c>
      <c r="D1166" t="s">
        <v>45</v>
      </c>
      <c r="E1166" t="s">
        <v>35</v>
      </c>
      <c r="F1166">
        <v>7</v>
      </c>
      <c r="G1166">
        <v>42.899563000000001</v>
      </c>
      <c r="H1166">
        <v>-71.464650000000006</v>
      </c>
      <c r="I1166">
        <v>301</v>
      </c>
      <c r="J1166">
        <v>85</v>
      </c>
      <c r="K1166">
        <v>0</v>
      </c>
      <c r="L1166" s="1">
        <v>44784.389618055553</v>
      </c>
      <c r="M1166">
        <v>3.8</v>
      </c>
      <c r="N1166">
        <v>3.1</v>
      </c>
      <c r="O1166">
        <v>0.7</v>
      </c>
      <c r="P1166">
        <v>20</v>
      </c>
      <c r="Q1166">
        <v>0</v>
      </c>
      <c r="R1166">
        <v>0</v>
      </c>
      <c r="S1166">
        <v>0</v>
      </c>
      <c r="T1166" t="s">
        <v>32</v>
      </c>
      <c r="V1166">
        <v>35</v>
      </c>
      <c r="W1166">
        <v>0</v>
      </c>
      <c r="X1166">
        <v>35</v>
      </c>
      <c r="Y1166">
        <v>0</v>
      </c>
      <c r="Z1166">
        <v>0</v>
      </c>
      <c r="AA1166">
        <v>0</v>
      </c>
      <c r="AB1166" t="s">
        <v>36</v>
      </c>
      <c r="AC1166">
        <v>35</v>
      </c>
    </row>
    <row r="1167" spans="1:30" x14ac:dyDescent="0.25">
      <c r="A1167" s="1">
        <v>44784.389664351853</v>
      </c>
      <c r="B1167" s="1">
        <v>44784.387858796297</v>
      </c>
      <c r="C1167">
        <v>75981</v>
      </c>
      <c r="D1167" t="s">
        <v>46</v>
      </c>
      <c r="E1167" t="s">
        <v>35</v>
      </c>
      <c r="F1167">
        <v>7</v>
      </c>
      <c r="G1167">
        <v>42.97</v>
      </c>
      <c r="H1167">
        <v>-71.06</v>
      </c>
      <c r="I1167">
        <v>136</v>
      </c>
      <c r="J1167">
        <v>79</v>
      </c>
      <c r="K1167">
        <v>0</v>
      </c>
      <c r="L1167" s="1">
        <v>44784.389618055553</v>
      </c>
      <c r="M1167">
        <v>9.1</v>
      </c>
      <c r="N1167">
        <v>8.5</v>
      </c>
      <c r="O1167">
        <v>0.6</v>
      </c>
      <c r="P1167">
        <v>7</v>
      </c>
      <c r="Q1167">
        <v>0.1</v>
      </c>
      <c r="R1167">
        <v>0.4</v>
      </c>
      <c r="S1167">
        <v>0.25</v>
      </c>
      <c r="T1167" t="s">
        <v>33</v>
      </c>
      <c r="U1167">
        <v>8.8000000000000007</v>
      </c>
      <c r="V1167">
        <v>57</v>
      </c>
      <c r="W1167">
        <v>0</v>
      </c>
      <c r="X1167">
        <v>57</v>
      </c>
      <c r="Y1167">
        <v>1</v>
      </c>
      <c r="Z1167">
        <v>0</v>
      </c>
      <c r="AA1167">
        <v>1</v>
      </c>
      <c r="AB1167" t="s">
        <v>36</v>
      </c>
      <c r="AC1167">
        <v>57</v>
      </c>
      <c r="AD1167">
        <v>3.54</v>
      </c>
    </row>
    <row r="1168" spans="1:30" x14ac:dyDescent="0.25">
      <c r="A1168" s="1">
        <v>44784.389664351853</v>
      </c>
      <c r="B1168" s="1">
        <v>44784.388391203705</v>
      </c>
      <c r="C1168">
        <v>115703</v>
      </c>
      <c r="D1168" t="s">
        <v>47</v>
      </c>
      <c r="E1168" t="s">
        <v>35</v>
      </c>
      <c r="F1168">
        <v>7</v>
      </c>
      <c r="G1168">
        <v>43.953625000000002</v>
      </c>
      <c r="H1168">
        <v>-71.508859999999999</v>
      </c>
      <c r="I1168">
        <v>1493</v>
      </c>
      <c r="J1168">
        <v>72</v>
      </c>
      <c r="K1168">
        <v>0</v>
      </c>
      <c r="L1168" s="1">
        <v>44784.389618055553</v>
      </c>
      <c r="M1168">
        <v>0</v>
      </c>
      <c r="N1168">
        <v>300.89999999999998</v>
      </c>
      <c r="O1168">
        <v>300.89999999999998</v>
      </c>
      <c r="P1168">
        <v>200</v>
      </c>
      <c r="Q1168">
        <v>0.1</v>
      </c>
      <c r="R1168">
        <v>0</v>
      </c>
      <c r="S1168">
        <v>0.05</v>
      </c>
      <c r="T1168" t="s">
        <v>48</v>
      </c>
      <c r="V1168">
        <v>59</v>
      </c>
      <c r="W1168">
        <v>0</v>
      </c>
      <c r="X1168">
        <v>59</v>
      </c>
      <c r="Y1168">
        <v>1</v>
      </c>
      <c r="Z1168">
        <v>0</v>
      </c>
      <c r="AA1168">
        <v>1</v>
      </c>
      <c r="AB1168" t="s">
        <v>36</v>
      </c>
      <c r="AC1168">
        <v>59</v>
      </c>
    </row>
    <row r="1169" spans="1:30" x14ac:dyDescent="0.25">
      <c r="A1169" s="1">
        <v>44784.389664351853</v>
      </c>
      <c r="B1169" s="1">
        <v>44784.386412037034</v>
      </c>
      <c r="C1169">
        <v>12050</v>
      </c>
      <c r="D1169" t="s">
        <v>49</v>
      </c>
      <c r="E1169" t="s">
        <v>35</v>
      </c>
      <c r="F1169">
        <v>7</v>
      </c>
      <c r="G1169">
        <v>44.220573000000002</v>
      </c>
      <c r="H1169">
        <v>-71.732315</v>
      </c>
      <c r="I1169">
        <v>999</v>
      </c>
      <c r="J1169">
        <v>83</v>
      </c>
      <c r="K1169">
        <v>0</v>
      </c>
      <c r="L1169" s="1">
        <v>44784.389618055553</v>
      </c>
      <c r="M1169">
        <v>3.6</v>
      </c>
      <c r="N1169">
        <v>3.2</v>
      </c>
      <c r="O1169">
        <v>0.4</v>
      </c>
      <c r="P1169">
        <v>12</v>
      </c>
      <c r="Q1169">
        <v>0.1</v>
      </c>
      <c r="R1169">
        <v>0.1</v>
      </c>
      <c r="S1169">
        <v>0.1</v>
      </c>
      <c r="T1169" t="s">
        <v>32</v>
      </c>
      <c r="V1169">
        <v>42</v>
      </c>
      <c r="W1169">
        <v>0</v>
      </c>
      <c r="X1169">
        <v>42</v>
      </c>
      <c r="Y1169">
        <v>0</v>
      </c>
      <c r="Z1169">
        <v>0</v>
      </c>
      <c r="AA1169">
        <v>0</v>
      </c>
      <c r="AB1169" t="s">
        <v>36</v>
      </c>
      <c r="AC1169">
        <v>42</v>
      </c>
    </row>
    <row r="1170" spans="1:30" x14ac:dyDescent="0.25">
      <c r="A1170" s="1">
        <v>44784.389675925922</v>
      </c>
      <c r="B1170" s="1">
        <v>44784.387916666667</v>
      </c>
      <c r="C1170">
        <v>23443</v>
      </c>
      <c r="D1170" t="s">
        <v>50</v>
      </c>
      <c r="E1170" t="s">
        <v>35</v>
      </c>
      <c r="F1170">
        <v>7</v>
      </c>
      <c r="G1170">
        <v>43.556139999999999</v>
      </c>
      <c r="H1170">
        <v>-72.370990000000006</v>
      </c>
      <c r="I1170">
        <v>523</v>
      </c>
      <c r="J1170">
        <v>79</v>
      </c>
      <c r="K1170">
        <v>0</v>
      </c>
      <c r="L1170" s="1">
        <v>44784.389618055553</v>
      </c>
      <c r="M1170">
        <v>5.8</v>
      </c>
      <c r="N1170">
        <v>5.0999999999999996</v>
      </c>
      <c r="O1170">
        <v>0.7</v>
      </c>
      <c r="P1170">
        <v>13</v>
      </c>
      <c r="Q1170">
        <v>0</v>
      </c>
      <c r="R1170">
        <v>0.1</v>
      </c>
      <c r="S1170">
        <v>0.05</v>
      </c>
      <c r="T1170" t="s">
        <v>33</v>
      </c>
      <c r="U1170">
        <v>5.45</v>
      </c>
      <c r="V1170">
        <v>54</v>
      </c>
      <c r="W1170">
        <v>0</v>
      </c>
      <c r="X1170">
        <v>54</v>
      </c>
      <c r="Y1170">
        <v>0</v>
      </c>
      <c r="Z1170">
        <v>0</v>
      </c>
      <c r="AA1170">
        <v>0</v>
      </c>
      <c r="AB1170" t="s">
        <v>36</v>
      </c>
      <c r="AC1170">
        <v>54</v>
      </c>
      <c r="AD1170">
        <v>1.7</v>
      </c>
    </row>
    <row r="1171" spans="1:30" x14ac:dyDescent="0.25">
      <c r="A1171" s="1">
        <v>44784.389675925922</v>
      </c>
      <c r="B1171" s="1">
        <v>44784.387997685182</v>
      </c>
      <c r="C1171">
        <v>58135</v>
      </c>
      <c r="D1171" t="s">
        <v>51</v>
      </c>
      <c r="E1171" t="s">
        <v>35</v>
      </c>
      <c r="F1171">
        <v>7</v>
      </c>
      <c r="G1171">
        <v>42.883873000000001</v>
      </c>
      <c r="H1171">
        <v>-71.972915999999998</v>
      </c>
      <c r="I1171">
        <v>808</v>
      </c>
      <c r="J1171">
        <v>83</v>
      </c>
      <c r="K1171">
        <v>0</v>
      </c>
      <c r="L1171" s="1">
        <v>44784.389618055553</v>
      </c>
      <c r="M1171">
        <v>5.2</v>
      </c>
      <c r="N1171">
        <v>4.5999999999999996</v>
      </c>
      <c r="O1171">
        <v>0.6</v>
      </c>
      <c r="P1171">
        <v>12</v>
      </c>
      <c r="Q1171">
        <v>0.5</v>
      </c>
      <c r="R1171">
        <v>1.4</v>
      </c>
      <c r="S1171">
        <v>0.95</v>
      </c>
      <c r="T1171" t="s">
        <v>33</v>
      </c>
      <c r="U1171">
        <v>4.9000000000000004</v>
      </c>
      <c r="V1171">
        <v>49</v>
      </c>
      <c r="W1171">
        <v>0</v>
      </c>
      <c r="X1171">
        <v>49</v>
      </c>
      <c r="Y1171">
        <v>2</v>
      </c>
      <c r="Z1171">
        <v>0</v>
      </c>
      <c r="AA1171">
        <v>2</v>
      </c>
      <c r="AB1171" t="s">
        <v>36</v>
      </c>
      <c r="AC1171">
        <v>49</v>
      </c>
      <c r="AD1171">
        <v>1.72</v>
      </c>
    </row>
    <row r="1172" spans="1:30" x14ac:dyDescent="0.25">
      <c r="A1172" s="1">
        <v>44784.389675925922</v>
      </c>
      <c r="B1172" s="1">
        <v>44784.388043981482</v>
      </c>
      <c r="C1172">
        <v>148555</v>
      </c>
      <c r="D1172" t="s">
        <v>52</v>
      </c>
      <c r="E1172" t="s">
        <v>53</v>
      </c>
      <c r="F1172">
        <v>7</v>
      </c>
      <c r="G1172">
        <v>42.904949999999999</v>
      </c>
      <c r="H1172">
        <v>-71.386764999999997</v>
      </c>
      <c r="I1172">
        <v>363</v>
      </c>
      <c r="J1172">
        <v>0</v>
      </c>
      <c r="K1172">
        <v>0</v>
      </c>
      <c r="L1172" s="1">
        <v>44784.389618055553</v>
      </c>
      <c r="M1172">
        <v>4.4000000000000004</v>
      </c>
      <c r="N1172">
        <v>5.0999999999999996</v>
      </c>
      <c r="O1172">
        <v>0.7</v>
      </c>
      <c r="P1172">
        <v>15</v>
      </c>
      <c r="Q1172">
        <v>0</v>
      </c>
      <c r="R1172">
        <v>0</v>
      </c>
      <c r="S1172">
        <v>0</v>
      </c>
      <c r="T1172" t="s">
        <v>33</v>
      </c>
      <c r="U1172">
        <v>4.75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 t="s">
        <v>38</v>
      </c>
    </row>
    <row r="1173" spans="1:30" x14ac:dyDescent="0.25">
      <c r="A1173" s="1">
        <v>44784.389675925922</v>
      </c>
      <c r="B1173" s="1">
        <v>44784.388935185183</v>
      </c>
      <c r="C1173">
        <v>146644</v>
      </c>
      <c r="D1173" t="s">
        <v>54</v>
      </c>
      <c r="E1173" t="s">
        <v>53</v>
      </c>
      <c r="F1173">
        <v>7</v>
      </c>
      <c r="G1173">
        <v>43.06015</v>
      </c>
      <c r="H1173">
        <v>-70.758930000000007</v>
      </c>
      <c r="I1173">
        <v>35</v>
      </c>
      <c r="J1173">
        <v>76</v>
      </c>
      <c r="K1173">
        <v>77</v>
      </c>
      <c r="L1173" s="1">
        <v>44784.389618055553</v>
      </c>
      <c r="M1173">
        <v>13.8</v>
      </c>
      <c r="N1173">
        <v>12.4</v>
      </c>
      <c r="O1173">
        <v>1.4</v>
      </c>
      <c r="P1173">
        <v>11</v>
      </c>
      <c r="Q1173">
        <v>0.7</v>
      </c>
      <c r="R1173">
        <v>0.5</v>
      </c>
      <c r="S1173">
        <v>0.6</v>
      </c>
      <c r="T1173" t="s">
        <v>33</v>
      </c>
      <c r="U1173">
        <v>13.1</v>
      </c>
      <c r="V1173">
        <v>59</v>
      </c>
      <c r="W1173">
        <v>64</v>
      </c>
      <c r="X1173">
        <v>5</v>
      </c>
      <c r="Y1173">
        <v>2</v>
      </c>
      <c r="Z1173">
        <v>1</v>
      </c>
      <c r="AA1173">
        <v>1</v>
      </c>
      <c r="AB1173" t="s">
        <v>33</v>
      </c>
      <c r="AC1173">
        <v>61.5</v>
      </c>
      <c r="AD1173">
        <v>5.85</v>
      </c>
    </row>
    <row r="1174" spans="1:30" x14ac:dyDescent="0.25">
      <c r="A1174" s="1">
        <v>44784.389687499999</v>
      </c>
      <c r="B1174" s="1">
        <v>43755.283437500002</v>
      </c>
      <c r="C1174">
        <v>12188</v>
      </c>
      <c r="D1174" t="s">
        <v>55</v>
      </c>
      <c r="E1174" t="s">
        <v>35</v>
      </c>
      <c r="F1174">
        <v>4.1100000000000003</v>
      </c>
      <c r="G1174">
        <v>42.927050000000001</v>
      </c>
      <c r="H1174">
        <v>-72.279610000000005</v>
      </c>
      <c r="I1174">
        <v>475</v>
      </c>
      <c r="J1174">
        <v>95</v>
      </c>
      <c r="K1174">
        <v>0</v>
      </c>
      <c r="L1174" s="1">
        <v>44784.389618055553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 t="s">
        <v>32</v>
      </c>
      <c r="V1174">
        <v>77</v>
      </c>
      <c r="W1174">
        <v>0</v>
      </c>
      <c r="X1174">
        <v>77</v>
      </c>
      <c r="Y1174">
        <v>0</v>
      </c>
      <c r="Z1174">
        <v>0</v>
      </c>
      <c r="AA1174">
        <v>0</v>
      </c>
      <c r="AB1174" t="s">
        <v>36</v>
      </c>
      <c r="AC1174">
        <v>77</v>
      </c>
    </row>
    <row r="1175" spans="1:30" x14ac:dyDescent="0.25">
      <c r="A1175" s="1">
        <v>44784.389687499999</v>
      </c>
      <c r="B1175" s="1">
        <v>44784.38790509259</v>
      </c>
      <c r="C1175">
        <v>1224</v>
      </c>
      <c r="D1175" t="s">
        <v>56</v>
      </c>
      <c r="E1175" t="s">
        <v>35</v>
      </c>
      <c r="F1175" t="s">
        <v>57</v>
      </c>
      <c r="G1175">
        <v>42.938034000000002</v>
      </c>
      <c r="H1175">
        <v>-72.259299999999996</v>
      </c>
      <c r="I1175">
        <v>792</v>
      </c>
      <c r="J1175">
        <v>83</v>
      </c>
      <c r="K1175">
        <v>0</v>
      </c>
      <c r="L1175" s="1">
        <v>44784.389618055553</v>
      </c>
      <c r="M1175">
        <v>5.2</v>
      </c>
      <c r="N1175">
        <v>0</v>
      </c>
      <c r="O1175">
        <v>5.2</v>
      </c>
      <c r="P1175">
        <v>200</v>
      </c>
      <c r="Q1175">
        <v>0.4</v>
      </c>
      <c r="R1175">
        <v>0.1</v>
      </c>
      <c r="S1175">
        <v>0.25</v>
      </c>
      <c r="T1175" t="s">
        <v>43</v>
      </c>
      <c r="V1175">
        <v>67</v>
      </c>
      <c r="W1175">
        <v>0</v>
      </c>
      <c r="X1175">
        <v>67</v>
      </c>
      <c r="Y1175">
        <v>4</v>
      </c>
      <c r="Z1175">
        <v>0</v>
      </c>
      <c r="AA1175">
        <v>4</v>
      </c>
      <c r="AB1175" t="s">
        <v>36</v>
      </c>
      <c r="AC1175">
        <v>67</v>
      </c>
    </row>
    <row r="1176" spans="1:30" x14ac:dyDescent="0.25">
      <c r="A1176" s="1">
        <v>44784.389687499999</v>
      </c>
      <c r="B1176" s="1">
        <v>44784.388738425929</v>
      </c>
      <c r="C1176">
        <v>1202</v>
      </c>
      <c r="D1176" t="s">
        <v>58</v>
      </c>
      <c r="E1176" t="s">
        <v>35</v>
      </c>
      <c r="F1176" t="s">
        <v>57</v>
      </c>
      <c r="G1176">
        <v>42.936554000000001</v>
      </c>
      <c r="H1176">
        <v>-72.271019999999993</v>
      </c>
      <c r="I1176">
        <v>488</v>
      </c>
      <c r="J1176">
        <v>0</v>
      </c>
      <c r="K1176">
        <v>0</v>
      </c>
      <c r="L1176" s="1">
        <v>44784.389618055553</v>
      </c>
      <c r="M1176">
        <v>5.6</v>
      </c>
      <c r="N1176">
        <v>5.3</v>
      </c>
      <c r="O1176">
        <v>0.3</v>
      </c>
      <c r="P1176">
        <v>6</v>
      </c>
      <c r="Q1176">
        <v>0.3</v>
      </c>
      <c r="R1176">
        <v>0.3</v>
      </c>
      <c r="S1176">
        <v>0.3</v>
      </c>
      <c r="T1176" t="s">
        <v>33</v>
      </c>
      <c r="U1176">
        <v>5.45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 t="s">
        <v>38</v>
      </c>
    </row>
    <row r="1177" spans="1:30" x14ac:dyDescent="0.25">
      <c r="A1177" s="1">
        <v>44784.389699074076</v>
      </c>
      <c r="B1177" s="1">
        <v>44612.080023148148</v>
      </c>
      <c r="C1177">
        <v>25985</v>
      </c>
      <c r="D1177" t="s">
        <v>59</v>
      </c>
      <c r="E1177" t="s">
        <v>35</v>
      </c>
      <c r="F1177">
        <v>6.01</v>
      </c>
      <c r="G1177">
        <v>42.927326000000001</v>
      </c>
      <c r="H1177">
        <v>-72.279979999999995</v>
      </c>
      <c r="I1177">
        <v>477</v>
      </c>
      <c r="J1177">
        <v>78</v>
      </c>
      <c r="K1177">
        <v>0</v>
      </c>
      <c r="L1177" s="1">
        <v>44784.389618055553</v>
      </c>
      <c r="M1177">
        <v>1.1000000000000001</v>
      </c>
      <c r="N1177">
        <v>1</v>
      </c>
      <c r="O1177">
        <v>0.1</v>
      </c>
      <c r="P1177">
        <v>10</v>
      </c>
      <c r="Q1177">
        <v>0</v>
      </c>
      <c r="R1177">
        <v>0</v>
      </c>
      <c r="S1177">
        <v>0</v>
      </c>
      <c r="T1177" t="s">
        <v>32</v>
      </c>
      <c r="V1177">
        <v>22</v>
      </c>
      <c r="W1177">
        <v>0</v>
      </c>
      <c r="X1177">
        <v>22</v>
      </c>
      <c r="Y1177">
        <v>0</v>
      </c>
      <c r="Z1177">
        <v>0</v>
      </c>
      <c r="AA1177">
        <v>0</v>
      </c>
      <c r="AB1177" t="s">
        <v>36</v>
      </c>
      <c r="AC1177">
        <v>22</v>
      </c>
    </row>
    <row r="1178" spans="1:30" x14ac:dyDescent="0.25">
      <c r="A1178" s="1">
        <v>44784.396574074075</v>
      </c>
      <c r="B1178" s="1">
        <v>44775.701319444444</v>
      </c>
      <c r="C1178">
        <v>151708</v>
      </c>
      <c r="D1178" t="s">
        <v>30</v>
      </c>
      <c r="E1178" t="s">
        <v>31</v>
      </c>
      <c r="F1178">
        <v>7</v>
      </c>
      <c r="G1178">
        <v>43.192042999999998</v>
      </c>
      <c r="H1178">
        <v>-71.541579999999996</v>
      </c>
      <c r="I1178">
        <v>291</v>
      </c>
      <c r="J1178">
        <v>93</v>
      </c>
      <c r="K1178">
        <v>94</v>
      </c>
      <c r="L1178" s="1">
        <v>44784.396562499998</v>
      </c>
      <c r="M1178">
        <v>7.9</v>
      </c>
      <c r="N1178">
        <v>7.6</v>
      </c>
      <c r="O1178">
        <v>0.3</v>
      </c>
      <c r="P1178">
        <v>4</v>
      </c>
      <c r="Q1178">
        <v>0</v>
      </c>
      <c r="R1178">
        <v>0</v>
      </c>
      <c r="S1178">
        <v>0</v>
      </c>
      <c r="T1178" t="s">
        <v>32</v>
      </c>
      <c r="V1178">
        <v>42</v>
      </c>
      <c r="W1178">
        <v>41</v>
      </c>
      <c r="X1178">
        <v>1</v>
      </c>
      <c r="Y1178">
        <v>0</v>
      </c>
      <c r="Z1178">
        <v>0</v>
      </c>
      <c r="AA1178">
        <v>0</v>
      </c>
      <c r="AB1178" t="s">
        <v>33</v>
      </c>
      <c r="AC1178">
        <v>41.5</v>
      </c>
    </row>
    <row r="1179" spans="1:30" x14ac:dyDescent="0.25">
      <c r="A1179" s="1">
        <v>44784.396574074075</v>
      </c>
      <c r="B1179" s="1">
        <v>44784.394895833335</v>
      </c>
      <c r="C1179">
        <v>143456</v>
      </c>
      <c r="D1179" t="s">
        <v>34</v>
      </c>
      <c r="E1179" t="s">
        <v>35</v>
      </c>
      <c r="F1179">
        <v>7</v>
      </c>
      <c r="G1179">
        <v>43.08963</v>
      </c>
      <c r="H1179">
        <v>-71.502440000000007</v>
      </c>
      <c r="I1179">
        <v>619</v>
      </c>
      <c r="J1179">
        <v>76</v>
      </c>
      <c r="K1179">
        <v>0</v>
      </c>
      <c r="L1179" s="1">
        <v>44784.396562499998</v>
      </c>
      <c r="M1179">
        <v>4.9000000000000004</v>
      </c>
      <c r="N1179">
        <v>5.0999999999999996</v>
      </c>
      <c r="O1179">
        <v>0.2</v>
      </c>
      <c r="P1179">
        <v>4</v>
      </c>
      <c r="Q1179">
        <v>0.3</v>
      </c>
      <c r="R1179">
        <v>0.3</v>
      </c>
      <c r="S1179">
        <v>0.3</v>
      </c>
      <c r="T1179" t="s">
        <v>33</v>
      </c>
      <c r="U1179">
        <v>5</v>
      </c>
      <c r="V1179">
        <v>64</v>
      </c>
      <c r="W1179">
        <v>0</v>
      </c>
      <c r="X1179">
        <v>64</v>
      </c>
      <c r="Y1179">
        <v>3</v>
      </c>
      <c r="Z1179">
        <v>0</v>
      </c>
      <c r="AA1179">
        <v>3</v>
      </c>
      <c r="AB1179" t="s">
        <v>36</v>
      </c>
      <c r="AC1179">
        <v>64</v>
      </c>
      <c r="AD1179">
        <v>0.73</v>
      </c>
    </row>
    <row r="1180" spans="1:30" x14ac:dyDescent="0.25">
      <c r="A1180" s="1">
        <v>44784.396585648145</v>
      </c>
      <c r="B1180" s="1">
        <v>44784.395069444443</v>
      </c>
      <c r="C1180">
        <v>151702</v>
      </c>
      <c r="D1180" t="s">
        <v>37</v>
      </c>
      <c r="E1180" t="s">
        <v>31</v>
      </c>
      <c r="F1180">
        <v>7</v>
      </c>
      <c r="G1180">
        <v>43.118609999999997</v>
      </c>
      <c r="H1180">
        <v>-71.61618</v>
      </c>
      <c r="I1180">
        <v>885</v>
      </c>
      <c r="J1180">
        <v>0</v>
      </c>
      <c r="K1180">
        <v>0</v>
      </c>
      <c r="L1180" s="1">
        <v>44784.396562499998</v>
      </c>
      <c r="M1180">
        <v>5.7</v>
      </c>
      <c r="N1180">
        <v>5.3</v>
      </c>
      <c r="O1180">
        <v>0.4</v>
      </c>
      <c r="P1180">
        <v>7</v>
      </c>
      <c r="Q1180">
        <v>0.1</v>
      </c>
      <c r="R1180">
        <v>0.2</v>
      </c>
      <c r="S1180">
        <v>0.15</v>
      </c>
      <c r="T1180" t="s">
        <v>33</v>
      </c>
      <c r="U1180">
        <v>5.5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 t="s">
        <v>38</v>
      </c>
    </row>
    <row r="1181" spans="1:30" x14ac:dyDescent="0.25">
      <c r="A1181" s="1">
        <v>44784.396585648145</v>
      </c>
      <c r="B1181" s="1">
        <v>44784.396354166667</v>
      </c>
      <c r="C1181">
        <v>151700</v>
      </c>
      <c r="D1181" t="s">
        <v>30</v>
      </c>
      <c r="E1181" t="s">
        <v>31</v>
      </c>
      <c r="F1181">
        <v>7</v>
      </c>
      <c r="G1181">
        <v>43.19211</v>
      </c>
      <c r="H1181">
        <v>-71.541460000000001</v>
      </c>
      <c r="I1181">
        <v>286</v>
      </c>
      <c r="J1181">
        <v>76</v>
      </c>
      <c r="K1181">
        <v>0</v>
      </c>
      <c r="L1181" s="1">
        <v>44784.396562499998</v>
      </c>
      <c r="M1181">
        <v>5.0999999999999996</v>
      </c>
      <c r="N1181">
        <v>5.7</v>
      </c>
      <c r="O1181">
        <v>0.6</v>
      </c>
      <c r="P1181">
        <v>11</v>
      </c>
      <c r="Q1181">
        <v>0.1</v>
      </c>
      <c r="R1181">
        <v>0.1</v>
      </c>
      <c r="S1181">
        <v>0.1</v>
      </c>
      <c r="T1181" t="s">
        <v>33</v>
      </c>
      <c r="U1181">
        <v>5.4</v>
      </c>
      <c r="V1181">
        <v>62</v>
      </c>
      <c r="W1181">
        <v>0</v>
      </c>
      <c r="X1181">
        <v>62</v>
      </c>
      <c r="Y1181">
        <v>0</v>
      </c>
      <c r="Z1181">
        <v>0</v>
      </c>
      <c r="AA1181">
        <v>0</v>
      </c>
      <c r="AB1181" t="s">
        <v>36</v>
      </c>
      <c r="AC1181">
        <v>62</v>
      </c>
      <c r="AD1181">
        <v>1.1100000000000001</v>
      </c>
    </row>
    <row r="1182" spans="1:30" x14ac:dyDescent="0.25">
      <c r="A1182" s="1">
        <v>44784.396597222221</v>
      </c>
      <c r="B1182" s="1">
        <v>44784.39539351852</v>
      </c>
      <c r="C1182">
        <v>135984</v>
      </c>
      <c r="D1182" t="s">
        <v>39</v>
      </c>
      <c r="E1182" t="s">
        <v>31</v>
      </c>
      <c r="F1182">
        <v>7</v>
      </c>
      <c r="G1182">
        <v>43.565852999999997</v>
      </c>
      <c r="H1182">
        <v>-71.496129999999994</v>
      </c>
      <c r="I1182">
        <v>708</v>
      </c>
      <c r="J1182">
        <v>82</v>
      </c>
      <c r="K1182">
        <v>0</v>
      </c>
      <c r="L1182" s="1">
        <v>44784.396562499998</v>
      </c>
      <c r="M1182">
        <v>4</v>
      </c>
      <c r="N1182">
        <v>3.2</v>
      </c>
      <c r="O1182">
        <v>0.8</v>
      </c>
      <c r="P1182">
        <v>22</v>
      </c>
      <c r="Q1182">
        <v>0.1</v>
      </c>
      <c r="R1182">
        <v>0</v>
      </c>
      <c r="S1182">
        <v>0.05</v>
      </c>
      <c r="T1182" t="s">
        <v>33</v>
      </c>
      <c r="U1182">
        <v>3.6</v>
      </c>
      <c r="V1182">
        <v>63</v>
      </c>
      <c r="W1182">
        <v>0</v>
      </c>
      <c r="X1182">
        <v>63</v>
      </c>
      <c r="Y1182">
        <v>3</v>
      </c>
      <c r="Z1182">
        <v>0</v>
      </c>
      <c r="AA1182">
        <v>3</v>
      </c>
      <c r="AB1182" t="s">
        <v>36</v>
      </c>
      <c r="AC1182">
        <v>63</v>
      </c>
      <c r="AD1182">
        <v>-0.05</v>
      </c>
    </row>
    <row r="1183" spans="1:30" x14ac:dyDescent="0.25">
      <c r="A1183" s="1">
        <v>44784.396597222221</v>
      </c>
      <c r="B1183" s="1">
        <v>44780.394780092596</v>
      </c>
      <c r="C1183">
        <v>151712</v>
      </c>
      <c r="D1183" t="s">
        <v>40</v>
      </c>
      <c r="E1183" t="s">
        <v>31</v>
      </c>
      <c r="F1183">
        <v>7</v>
      </c>
      <c r="G1183">
        <v>43.289763999999998</v>
      </c>
      <c r="H1183">
        <v>-71.564260000000004</v>
      </c>
      <c r="I1183">
        <v>370</v>
      </c>
      <c r="J1183">
        <v>86</v>
      </c>
      <c r="K1183">
        <v>0</v>
      </c>
      <c r="L1183" s="1">
        <v>44784.396562499998</v>
      </c>
      <c r="M1183">
        <v>14</v>
      </c>
      <c r="N1183">
        <v>13.2</v>
      </c>
      <c r="O1183">
        <v>0.8</v>
      </c>
      <c r="P1183">
        <v>6</v>
      </c>
      <c r="Q1183">
        <v>0</v>
      </c>
      <c r="R1183">
        <v>0</v>
      </c>
      <c r="S1183">
        <v>0</v>
      </c>
      <c r="T1183" t="s">
        <v>32</v>
      </c>
      <c r="V1183">
        <v>59</v>
      </c>
      <c r="W1183">
        <v>0</v>
      </c>
      <c r="X1183">
        <v>59</v>
      </c>
      <c r="Y1183">
        <v>0</v>
      </c>
      <c r="Z1183">
        <v>0</v>
      </c>
      <c r="AA1183">
        <v>0</v>
      </c>
      <c r="AB1183" t="s">
        <v>36</v>
      </c>
      <c r="AC1183">
        <v>59</v>
      </c>
    </row>
    <row r="1184" spans="1:30" x14ac:dyDescent="0.25">
      <c r="A1184" s="1">
        <v>44784.396597222221</v>
      </c>
      <c r="B1184" s="1">
        <v>44784.39607638889</v>
      </c>
      <c r="C1184">
        <v>151710</v>
      </c>
      <c r="D1184" t="s">
        <v>41</v>
      </c>
      <c r="E1184" t="s">
        <v>31</v>
      </c>
      <c r="F1184">
        <v>7</v>
      </c>
      <c r="G1184">
        <v>43.132477000000002</v>
      </c>
      <c r="H1184">
        <v>-71.458374000000006</v>
      </c>
      <c r="I1184">
        <v>230</v>
      </c>
      <c r="J1184">
        <v>79</v>
      </c>
      <c r="K1184">
        <v>0</v>
      </c>
      <c r="L1184" s="1">
        <v>44784.396562499998</v>
      </c>
      <c r="M1184">
        <v>7.6</v>
      </c>
      <c r="N1184">
        <v>6</v>
      </c>
      <c r="O1184">
        <v>1.6</v>
      </c>
      <c r="P1184">
        <v>24</v>
      </c>
      <c r="Q1184">
        <v>0.2</v>
      </c>
      <c r="R1184">
        <v>0</v>
      </c>
      <c r="S1184">
        <v>0.1</v>
      </c>
      <c r="T1184" t="s">
        <v>33</v>
      </c>
      <c r="U1184">
        <v>6.8</v>
      </c>
      <c r="V1184">
        <v>54</v>
      </c>
      <c r="W1184">
        <v>0</v>
      </c>
      <c r="X1184">
        <v>54</v>
      </c>
      <c r="Y1184">
        <v>1</v>
      </c>
      <c r="Z1184">
        <v>0</v>
      </c>
      <c r="AA1184">
        <v>1</v>
      </c>
      <c r="AB1184" t="s">
        <v>36</v>
      </c>
      <c r="AC1184">
        <v>54</v>
      </c>
      <c r="AD1184">
        <v>2.5299999999999998</v>
      </c>
    </row>
    <row r="1185" spans="1:30" x14ac:dyDescent="0.25">
      <c r="A1185" s="1">
        <v>44784.396608796298</v>
      </c>
      <c r="B1185" s="1">
        <v>44784.395752314813</v>
      </c>
      <c r="C1185">
        <v>151706</v>
      </c>
      <c r="D1185" t="s">
        <v>42</v>
      </c>
      <c r="E1185" t="s">
        <v>31</v>
      </c>
      <c r="F1185">
        <v>7</v>
      </c>
      <c r="G1185">
        <v>43.004080000000002</v>
      </c>
      <c r="H1185">
        <v>-71.177040000000005</v>
      </c>
      <c r="I1185">
        <v>194</v>
      </c>
      <c r="J1185">
        <v>77</v>
      </c>
      <c r="K1185">
        <v>0</v>
      </c>
      <c r="L1185" s="1">
        <v>44784.396562499998</v>
      </c>
      <c r="M1185">
        <v>5.9</v>
      </c>
      <c r="N1185">
        <v>0</v>
      </c>
      <c r="O1185">
        <v>5.9</v>
      </c>
      <c r="P1185">
        <v>200</v>
      </c>
      <c r="Q1185">
        <v>0.2</v>
      </c>
      <c r="R1185">
        <v>0</v>
      </c>
      <c r="S1185">
        <v>0.1</v>
      </c>
      <c r="T1185" t="s">
        <v>43</v>
      </c>
      <c r="V1185">
        <v>60</v>
      </c>
      <c r="W1185">
        <v>0</v>
      </c>
      <c r="X1185">
        <v>60</v>
      </c>
      <c r="Y1185">
        <v>1</v>
      </c>
      <c r="Z1185">
        <v>0</v>
      </c>
      <c r="AA1185">
        <v>1</v>
      </c>
      <c r="AB1185" t="s">
        <v>36</v>
      </c>
      <c r="AC1185">
        <v>60</v>
      </c>
    </row>
    <row r="1186" spans="1:30" x14ac:dyDescent="0.25">
      <c r="A1186" s="1">
        <v>44784.396608796298</v>
      </c>
      <c r="B1186" s="1">
        <v>44784.395486111112</v>
      </c>
      <c r="C1186">
        <v>12212</v>
      </c>
      <c r="D1186" t="s">
        <v>44</v>
      </c>
      <c r="E1186" t="s">
        <v>35</v>
      </c>
      <c r="F1186">
        <v>7</v>
      </c>
      <c r="G1186">
        <v>42.930529999999997</v>
      </c>
      <c r="H1186">
        <v>-72.272350000000003</v>
      </c>
      <c r="I1186">
        <v>476</v>
      </c>
      <c r="J1186">
        <v>82</v>
      </c>
      <c r="K1186">
        <v>0</v>
      </c>
      <c r="L1186" s="1">
        <v>44784.396562499998</v>
      </c>
      <c r="M1186">
        <v>5.2</v>
      </c>
      <c r="N1186">
        <v>4.7</v>
      </c>
      <c r="O1186">
        <v>0.5</v>
      </c>
      <c r="P1186">
        <v>10</v>
      </c>
      <c r="Q1186">
        <v>0</v>
      </c>
      <c r="R1186">
        <v>0</v>
      </c>
      <c r="S1186">
        <v>0</v>
      </c>
      <c r="T1186" t="s">
        <v>33</v>
      </c>
      <c r="U1186">
        <v>4.95</v>
      </c>
      <c r="V1186">
        <v>58</v>
      </c>
      <c r="W1186">
        <v>0</v>
      </c>
      <c r="X1186">
        <v>58</v>
      </c>
      <c r="Y1186">
        <v>7</v>
      </c>
      <c r="Z1186">
        <v>0</v>
      </c>
      <c r="AA1186">
        <v>7</v>
      </c>
      <c r="AB1186" t="s">
        <v>36</v>
      </c>
      <c r="AC1186">
        <v>58</v>
      </c>
      <c r="AD1186">
        <v>1.1200000000000001</v>
      </c>
    </row>
    <row r="1187" spans="1:30" x14ac:dyDescent="0.25">
      <c r="A1187" s="1">
        <v>44784.396608796298</v>
      </c>
      <c r="B1187" s="1">
        <v>44769.376736111109</v>
      </c>
      <c r="C1187">
        <v>12178</v>
      </c>
      <c r="D1187" t="s">
        <v>45</v>
      </c>
      <c r="E1187" t="s">
        <v>35</v>
      </c>
      <c r="F1187">
        <v>7</v>
      </c>
      <c r="G1187">
        <v>42.899563000000001</v>
      </c>
      <c r="H1187">
        <v>-71.464650000000006</v>
      </c>
      <c r="I1187">
        <v>301</v>
      </c>
      <c r="J1187">
        <v>85</v>
      </c>
      <c r="K1187">
        <v>0</v>
      </c>
      <c r="L1187" s="1">
        <v>44784.396562499998</v>
      </c>
      <c r="M1187">
        <v>3.8</v>
      </c>
      <c r="N1187">
        <v>3.1</v>
      </c>
      <c r="O1187">
        <v>0.7</v>
      </c>
      <c r="P1187">
        <v>20</v>
      </c>
      <c r="Q1187">
        <v>0</v>
      </c>
      <c r="R1187">
        <v>0</v>
      </c>
      <c r="S1187">
        <v>0</v>
      </c>
      <c r="T1187" t="s">
        <v>32</v>
      </c>
      <c r="V1187">
        <v>35</v>
      </c>
      <c r="W1187">
        <v>0</v>
      </c>
      <c r="X1187">
        <v>35</v>
      </c>
      <c r="Y1187">
        <v>0</v>
      </c>
      <c r="Z1187">
        <v>0</v>
      </c>
      <c r="AA1187">
        <v>0</v>
      </c>
      <c r="AB1187" t="s">
        <v>36</v>
      </c>
      <c r="AC1187">
        <v>35</v>
      </c>
    </row>
    <row r="1188" spans="1:30" x14ac:dyDescent="0.25">
      <c r="A1188" s="1">
        <v>44784.396620370368</v>
      </c>
      <c r="B1188" s="1">
        <v>44784.394803240742</v>
      </c>
      <c r="C1188">
        <v>75981</v>
      </c>
      <c r="D1188" t="s">
        <v>46</v>
      </c>
      <c r="E1188" t="s">
        <v>35</v>
      </c>
      <c r="F1188">
        <v>7</v>
      </c>
      <c r="G1188">
        <v>42.97</v>
      </c>
      <c r="H1188">
        <v>-71.06</v>
      </c>
      <c r="I1188">
        <v>136</v>
      </c>
      <c r="J1188">
        <v>79</v>
      </c>
      <c r="K1188">
        <v>0</v>
      </c>
      <c r="L1188" s="1">
        <v>44784.396562499998</v>
      </c>
      <c r="M1188">
        <v>9.1</v>
      </c>
      <c r="N1188">
        <v>8.6999999999999993</v>
      </c>
      <c r="O1188">
        <v>0.4</v>
      </c>
      <c r="P1188">
        <v>4</v>
      </c>
      <c r="Q1188">
        <v>0</v>
      </c>
      <c r="R1188">
        <v>0.2</v>
      </c>
      <c r="S1188">
        <v>0.1</v>
      </c>
      <c r="T1188" t="s">
        <v>33</v>
      </c>
      <c r="U1188">
        <v>8.9</v>
      </c>
      <c r="V1188">
        <v>57</v>
      </c>
      <c r="W1188">
        <v>0</v>
      </c>
      <c r="X1188">
        <v>57</v>
      </c>
      <c r="Y1188">
        <v>0</v>
      </c>
      <c r="Z1188">
        <v>0</v>
      </c>
      <c r="AA1188">
        <v>0</v>
      </c>
      <c r="AB1188" t="s">
        <v>36</v>
      </c>
      <c r="AC1188">
        <v>57</v>
      </c>
      <c r="AD1188">
        <v>3.6</v>
      </c>
    </row>
    <row r="1189" spans="1:30" x14ac:dyDescent="0.25">
      <c r="A1189" s="1">
        <v>44784.396620370368</v>
      </c>
      <c r="B1189" s="1">
        <v>44784.395335648151</v>
      </c>
      <c r="C1189">
        <v>115703</v>
      </c>
      <c r="D1189" t="s">
        <v>47</v>
      </c>
      <c r="E1189" t="s">
        <v>35</v>
      </c>
      <c r="F1189">
        <v>7</v>
      </c>
      <c r="G1189">
        <v>43.953625000000002</v>
      </c>
      <c r="H1189">
        <v>-71.508859999999999</v>
      </c>
      <c r="I1189">
        <v>1493</v>
      </c>
      <c r="J1189">
        <v>72</v>
      </c>
      <c r="K1189">
        <v>0</v>
      </c>
      <c r="L1189" s="1">
        <v>44784.396562499998</v>
      </c>
      <c r="M1189">
        <v>0</v>
      </c>
      <c r="N1189">
        <v>300.89999999999998</v>
      </c>
      <c r="O1189">
        <v>300.89999999999998</v>
      </c>
      <c r="P1189">
        <v>200</v>
      </c>
      <c r="Q1189">
        <v>0</v>
      </c>
      <c r="R1189">
        <v>0</v>
      </c>
      <c r="S1189">
        <v>0</v>
      </c>
      <c r="T1189" t="s">
        <v>48</v>
      </c>
      <c r="V1189">
        <v>58</v>
      </c>
      <c r="W1189">
        <v>0</v>
      </c>
      <c r="X1189">
        <v>58</v>
      </c>
      <c r="Y1189">
        <v>1</v>
      </c>
      <c r="Z1189">
        <v>0</v>
      </c>
      <c r="AA1189">
        <v>1</v>
      </c>
      <c r="AB1189" t="s">
        <v>36</v>
      </c>
      <c r="AC1189">
        <v>58</v>
      </c>
    </row>
    <row r="1190" spans="1:30" x14ac:dyDescent="0.25">
      <c r="A1190" s="1">
        <v>44784.396620370368</v>
      </c>
      <c r="B1190" s="1">
        <v>44784.394745370373</v>
      </c>
      <c r="C1190">
        <v>12050</v>
      </c>
      <c r="D1190" t="s">
        <v>49</v>
      </c>
      <c r="E1190" t="s">
        <v>35</v>
      </c>
      <c r="F1190">
        <v>7</v>
      </c>
      <c r="G1190">
        <v>44.220573000000002</v>
      </c>
      <c r="H1190">
        <v>-71.732315</v>
      </c>
      <c r="I1190">
        <v>999</v>
      </c>
      <c r="J1190">
        <v>84</v>
      </c>
      <c r="K1190">
        <v>0</v>
      </c>
      <c r="L1190" s="1">
        <v>44784.396562499998</v>
      </c>
      <c r="M1190">
        <v>3.5</v>
      </c>
      <c r="N1190">
        <v>3.1</v>
      </c>
      <c r="O1190">
        <v>0.4</v>
      </c>
      <c r="P1190">
        <v>12</v>
      </c>
      <c r="Q1190">
        <v>0.1</v>
      </c>
      <c r="R1190">
        <v>0.1</v>
      </c>
      <c r="S1190">
        <v>0.1</v>
      </c>
      <c r="T1190" t="s">
        <v>33</v>
      </c>
      <c r="U1190">
        <v>3.3</v>
      </c>
      <c r="V1190">
        <v>41</v>
      </c>
      <c r="W1190">
        <v>0</v>
      </c>
      <c r="X1190">
        <v>41</v>
      </c>
      <c r="Y1190">
        <v>1</v>
      </c>
      <c r="Z1190">
        <v>0</v>
      </c>
      <c r="AA1190">
        <v>1</v>
      </c>
      <c r="AB1190" t="s">
        <v>36</v>
      </c>
      <c r="AC1190">
        <v>41</v>
      </c>
      <c r="AD1190">
        <v>1.3</v>
      </c>
    </row>
    <row r="1191" spans="1:30" x14ac:dyDescent="0.25">
      <c r="A1191" s="1">
        <v>44784.396620370368</v>
      </c>
      <c r="B1191" s="1">
        <v>44784.394884259258</v>
      </c>
      <c r="C1191">
        <v>23443</v>
      </c>
      <c r="D1191" t="s">
        <v>50</v>
      </c>
      <c r="E1191" t="s">
        <v>35</v>
      </c>
      <c r="F1191">
        <v>7</v>
      </c>
      <c r="G1191">
        <v>43.556139999999999</v>
      </c>
      <c r="H1191">
        <v>-72.370990000000006</v>
      </c>
      <c r="I1191">
        <v>523</v>
      </c>
      <c r="J1191">
        <v>79</v>
      </c>
      <c r="K1191">
        <v>0</v>
      </c>
      <c r="L1191" s="1">
        <v>44784.396562499998</v>
      </c>
      <c r="M1191">
        <v>6</v>
      </c>
      <c r="N1191">
        <v>5.0999999999999996</v>
      </c>
      <c r="O1191">
        <v>0.9</v>
      </c>
      <c r="P1191">
        <v>16</v>
      </c>
      <c r="Q1191">
        <v>0.2</v>
      </c>
      <c r="R1191">
        <v>0</v>
      </c>
      <c r="S1191">
        <v>0.1</v>
      </c>
      <c r="T1191" t="s">
        <v>33</v>
      </c>
      <c r="U1191">
        <v>5.55</v>
      </c>
      <c r="V1191">
        <v>53</v>
      </c>
      <c r="W1191">
        <v>0</v>
      </c>
      <c r="X1191">
        <v>53</v>
      </c>
      <c r="Y1191">
        <v>1</v>
      </c>
      <c r="Z1191">
        <v>0</v>
      </c>
      <c r="AA1191">
        <v>1</v>
      </c>
      <c r="AB1191" t="s">
        <v>36</v>
      </c>
      <c r="AC1191">
        <v>53</v>
      </c>
      <c r="AD1191">
        <v>1.84</v>
      </c>
    </row>
    <row r="1192" spans="1:30" x14ac:dyDescent="0.25">
      <c r="A1192" s="1">
        <v>44784.396631944444</v>
      </c>
      <c r="B1192" s="1">
        <v>44784.394942129627</v>
      </c>
      <c r="C1192">
        <v>58135</v>
      </c>
      <c r="D1192" t="s">
        <v>51</v>
      </c>
      <c r="E1192" t="s">
        <v>35</v>
      </c>
      <c r="F1192">
        <v>7</v>
      </c>
      <c r="G1192">
        <v>42.883873000000001</v>
      </c>
      <c r="H1192">
        <v>-71.972915999999998</v>
      </c>
      <c r="I1192">
        <v>808</v>
      </c>
      <c r="J1192">
        <v>83</v>
      </c>
      <c r="K1192">
        <v>0</v>
      </c>
      <c r="L1192" s="1">
        <v>44784.396562499998</v>
      </c>
      <c r="M1192">
        <v>4.7</v>
      </c>
      <c r="N1192">
        <v>3.8</v>
      </c>
      <c r="O1192">
        <v>0.9</v>
      </c>
      <c r="P1192">
        <v>21</v>
      </c>
      <c r="Q1192">
        <v>0.5</v>
      </c>
      <c r="R1192">
        <v>0.8</v>
      </c>
      <c r="S1192">
        <v>0.65</v>
      </c>
      <c r="T1192" t="s">
        <v>33</v>
      </c>
      <c r="U1192">
        <v>4.25</v>
      </c>
      <c r="V1192">
        <v>49</v>
      </c>
      <c r="W1192">
        <v>0</v>
      </c>
      <c r="X1192">
        <v>49</v>
      </c>
      <c r="Y1192">
        <v>0</v>
      </c>
      <c r="Z1192">
        <v>0</v>
      </c>
      <c r="AA1192">
        <v>0</v>
      </c>
      <c r="AB1192" t="s">
        <v>36</v>
      </c>
      <c r="AC1192">
        <v>49</v>
      </c>
      <c r="AD1192">
        <v>1.32</v>
      </c>
    </row>
    <row r="1193" spans="1:30" x14ac:dyDescent="0.25">
      <c r="A1193" s="1">
        <v>44784.396631944444</v>
      </c>
      <c r="B1193" s="1">
        <v>44784.394988425927</v>
      </c>
      <c r="C1193">
        <v>148555</v>
      </c>
      <c r="D1193" t="s">
        <v>52</v>
      </c>
      <c r="E1193" t="s">
        <v>53</v>
      </c>
      <c r="F1193">
        <v>7</v>
      </c>
      <c r="G1193">
        <v>42.904949999999999</v>
      </c>
      <c r="H1193">
        <v>-71.386764999999997</v>
      </c>
      <c r="I1193">
        <v>363</v>
      </c>
      <c r="J1193">
        <v>0</v>
      </c>
      <c r="K1193">
        <v>0</v>
      </c>
      <c r="L1193" s="1">
        <v>44784.396562499998</v>
      </c>
      <c r="M1193">
        <v>4.4000000000000004</v>
      </c>
      <c r="N1193">
        <v>5.3</v>
      </c>
      <c r="O1193">
        <v>0.9</v>
      </c>
      <c r="P1193">
        <v>19</v>
      </c>
      <c r="Q1193">
        <v>0</v>
      </c>
      <c r="R1193">
        <v>0.2</v>
      </c>
      <c r="S1193">
        <v>0.1</v>
      </c>
      <c r="T1193" t="s">
        <v>33</v>
      </c>
      <c r="U1193">
        <v>4.8499999999999996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 t="s">
        <v>38</v>
      </c>
    </row>
    <row r="1194" spans="1:30" x14ac:dyDescent="0.25">
      <c r="A1194" s="1">
        <v>44784.396631944444</v>
      </c>
      <c r="B1194" s="1">
        <v>44784.395879629628</v>
      </c>
      <c r="C1194">
        <v>146644</v>
      </c>
      <c r="D1194" t="s">
        <v>54</v>
      </c>
      <c r="E1194" t="s">
        <v>53</v>
      </c>
      <c r="F1194">
        <v>7</v>
      </c>
      <c r="G1194">
        <v>43.06015</v>
      </c>
      <c r="H1194">
        <v>-70.758930000000007</v>
      </c>
      <c r="I1194">
        <v>35</v>
      </c>
      <c r="J1194">
        <v>76</v>
      </c>
      <c r="K1194">
        <v>78</v>
      </c>
      <c r="L1194" s="1">
        <v>44784.396562499998</v>
      </c>
      <c r="M1194">
        <v>12.9</v>
      </c>
      <c r="N1194">
        <v>11.7</v>
      </c>
      <c r="O1194">
        <v>1.2</v>
      </c>
      <c r="P1194">
        <v>10</v>
      </c>
      <c r="Q1194">
        <v>0.9</v>
      </c>
      <c r="R1194">
        <v>0.7</v>
      </c>
      <c r="S1194">
        <v>0.8</v>
      </c>
      <c r="T1194" t="s">
        <v>33</v>
      </c>
      <c r="U1194">
        <v>12.3</v>
      </c>
      <c r="V1194">
        <v>60</v>
      </c>
      <c r="W1194">
        <v>65</v>
      </c>
      <c r="X1194">
        <v>5</v>
      </c>
      <c r="Y1194">
        <v>1</v>
      </c>
      <c r="Z1194">
        <v>1</v>
      </c>
      <c r="AA1194">
        <v>0</v>
      </c>
      <c r="AB1194" t="s">
        <v>33</v>
      </c>
      <c r="AC1194">
        <v>62.5</v>
      </c>
      <c r="AD1194">
        <v>5.29</v>
      </c>
    </row>
    <row r="1195" spans="1:30" x14ac:dyDescent="0.25">
      <c r="A1195" s="1">
        <v>44784.396643518521</v>
      </c>
      <c r="B1195" s="1">
        <v>43755.283437500002</v>
      </c>
      <c r="C1195">
        <v>12188</v>
      </c>
      <c r="D1195" t="s">
        <v>55</v>
      </c>
      <c r="E1195" t="s">
        <v>35</v>
      </c>
      <c r="F1195">
        <v>4.1100000000000003</v>
      </c>
      <c r="G1195">
        <v>42.927050000000001</v>
      </c>
      <c r="H1195">
        <v>-72.279610000000005</v>
      </c>
      <c r="I1195">
        <v>475</v>
      </c>
      <c r="J1195">
        <v>95</v>
      </c>
      <c r="K1195">
        <v>0</v>
      </c>
      <c r="L1195" s="1">
        <v>44784.396562499998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 t="s">
        <v>32</v>
      </c>
      <c r="V1195">
        <v>77</v>
      </c>
      <c r="W1195">
        <v>0</v>
      </c>
      <c r="X1195">
        <v>77</v>
      </c>
      <c r="Y1195">
        <v>0</v>
      </c>
      <c r="Z1195">
        <v>0</v>
      </c>
      <c r="AA1195">
        <v>0</v>
      </c>
      <c r="AB1195" t="s">
        <v>36</v>
      </c>
      <c r="AC1195">
        <v>77</v>
      </c>
    </row>
    <row r="1196" spans="1:30" x14ac:dyDescent="0.25">
      <c r="A1196" s="1">
        <v>44784.396643518521</v>
      </c>
      <c r="B1196" s="1">
        <v>44784.396238425928</v>
      </c>
      <c r="C1196">
        <v>1224</v>
      </c>
      <c r="D1196" t="s">
        <v>56</v>
      </c>
      <c r="E1196" t="s">
        <v>35</v>
      </c>
      <c r="F1196" t="s">
        <v>57</v>
      </c>
      <c r="G1196">
        <v>42.938034000000002</v>
      </c>
      <c r="H1196">
        <v>-72.259299999999996</v>
      </c>
      <c r="I1196">
        <v>792</v>
      </c>
      <c r="J1196">
        <v>85</v>
      </c>
      <c r="K1196">
        <v>0</v>
      </c>
      <c r="L1196" s="1">
        <v>44784.396562499998</v>
      </c>
      <c r="M1196">
        <v>5.2</v>
      </c>
      <c r="N1196">
        <v>0.1</v>
      </c>
      <c r="O1196">
        <v>5.0999999999999996</v>
      </c>
      <c r="P1196">
        <v>192</v>
      </c>
      <c r="Q1196">
        <v>0</v>
      </c>
      <c r="R1196">
        <v>0.1</v>
      </c>
      <c r="S1196">
        <v>0.05</v>
      </c>
      <c r="T1196" t="s">
        <v>33</v>
      </c>
      <c r="U1196">
        <v>2.65</v>
      </c>
      <c r="V1196">
        <v>63</v>
      </c>
      <c r="W1196">
        <v>0</v>
      </c>
      <c r="X1196">
        <v>63</v>
      </c>
      <c r="Y1196">
        <v>4</v>
      </c>
      <c r="Z1196">
        <v>0</v>
      </c>
      <c r="AA1196">
        <v>4</v>
      </c>
      <c r="AB1196" t="s">
        <v>36</v>
      </c>
      <c r="AC1196">
        <v>63</v>
      </c>
      <c r="AD1196">
        <v>-0.63</v>
      </c>
    </row>
    <row r="1197" spans="1:30" x14ac:dyDescent="0.25">
      <c r="A1197" s="1">
        <v>44784.396643518521</v>
      </c>
      <c r="B1197" s="1">
        <v>44784.395682870374</v>
      </c>
      <c r="C1197">
        <v>1202</v>
      </c>
      <c r="D1197" t="s">
        <v>58</v>
      </c>
      <c r="E1197" t="s">
        <v>35</v>
      </c>
      <c r="F1197" t="s">
        <v>57</v>
      </c>
      <c r="G1197">
        <v>42.936554000000001</v>
      </c>
      <c r="H1197">
        <v>-72.271019999999993</v>
      </c>
      <c r="I1197">
        <v>488</v>
      </c>
      <c r="J1197">
        <v>0</v>
      </c>
      <c r="K1197">
        <v>0</v>
      </c>
      <c r="L1197" s="1">
        <v>44784.396562499998</v>
      </c>
      <c r="M1197">
        <v>5.7</v>
      </c>
      <c r="N1197">
        <v>5.3</v>
      </c>
      <c r="O1197">
        <v>0.4</v>
      </c>
      <c r="P1197">
        <v>7</v>
      </c>
      <c r="Q1197">
        <v>0.1</v>
      </c>
      <c r="R1197">
        <v>0</v>
      </c>
      <c r="S1197">
        <v>0.05</v>
      </c>
      <c r="T1197" t="s">
        <v>33</v>
      </c>
      <c r="U1197">
        <v>5.5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 t="s">
        <v>38</v>
      </c>
    </row>
    <row r="1198" spans="1:30" x14ac:dyDescent="0.25">
      <c r="A1198" s="1">
        <v>44784.396655092591</v>
      </c>
      <c r="B1198" s="1">
        <v>44612.080023148148</v>
      </c>
      <c r="C1198">
        <v>25985</v>
      </c>
      <c r="D1198" t="s">
        <v>59</v>
      </c>
      <c r="E1198" t="s">
        <v>35</v>
      </c>
      <c r="F1198">
        <v>6.01</v>
      </c>
      <c r="G1198">
        <v>42.927326000000001</v>
      </c>
      <c r="H1198">
        <v>-72.279979999999995</v>
      </c>
      <c r="I1198">
        <v>477</v>
      </c>
      <c r="J1198">
        <v>78</v>
      </c>
      <c r="K1198">
        <v>0</v>
      </c>
      <c r="L1198" s="1">
        <v>44784.396562499998</v>
      </c>
      <c r="M1198">
        <v>1.1000000000000001</v>
      </c>
      <c r="N1198">
        <v>1</v>
      </c>
      <c r="O1198">
        <v>0.1</v>
      </c>
      <c r="P1198">
        <v>10</v>
      </c>
      <c r="Q1198">
        <v>0</v>
      </c>
      <c r="R1198">
        <v>0</v>
      </c>
      <c r="S1198">
        <v>0</v>
      </c>
      <c r="T1198" t="s">
        <v>32</v>
      </c>
      <c r="V1198">
        <v>22</v>
      </c>
      <c r="W1198">
        <v>0</v>
      </c>
      <c r="X1198">
        <v>22</v>
      </c>
      <c r="Y1198">
        <v>0</v>
      </c>
      <c r="Z1198">
        <v>0</v>
      </c>
      <c r="AA1198">
        <v>0</v>
      </c>
      <c r="AB1198" t="s">
        <v>36</v>
      </c>
      <c r="AC1198">
        <v>22</v>
      </c>
    </row>
    <row r="1199" spans="1:30" x14ac:dyDescent="0.25">
      <c r="A1199" s="1">
        <v>44784.40351851852</v>
      </c>
      <c r="B1199" s="1">
        <v>44775.701319444444</v>
      </c>
      <c r="C1199">
        <v>151708</v>
      </c>
      <c r="D1199" t="s">
        <v>30</v>
      </c>
      <c r="E1199" t="s">
        <v>31</v>
      </c>
      <c r="F1199">
        <v>7</v>
      </c>
      <c r="G1199">
        <v>43.192042999999998</v>
      </c>
      <c r="H1199">
        <v>-71.541579999999996</v>
      </c>
      <c r="I1199">
        <v>291</v>
      </c>
      <c r="J1199">
        <v>93</v>
      </c>
      <c r="K1199">
        <v>94</v>
      </c>
      <c r="L1199" s="1">
        <v>44784.403506944444</v>
      </c>
      <c r="M1199">
        <v>7.9</v>
      </c>
      <c r="N1199">
        <v>7.6</v>
      </c>
      <c r="O1199">
        <v>0.3</v>
      </c>
      <c r="P1199">
        <v>4</v>
      </c>
      <c r="Q1199">
        <v>0</v>
      </c>
      <c r="R1199">
        <v>0</v>
      </c>
      <c r="S1199">
        <v>0</v>
      </c>
      <c r="T1199" t="s">
        <v>32</v>
      </c>
      <c r="V1199">
        <v>42</v>
      </c>
      <c r="W1199">
        <v>41</v>
      </c>
      <c r="X1199">
        <v>1</v>
      </c>
      <c r="Y1199">
        <v>0</v>
      </c>
      <c r="Z1199">
        <v>0</v>
      </c>
      <c r="AA1199">
        <v>0</v>
      </c>
      <c r="AB1199" t="s">
        <v>33</v>
      </c>
      <c r="AC1199">
        <v>41.5</v>
      </c>
    </row>
    <row r="1200" spans="1:30" x14ac:dyDescent="0.25">
      <c r="A1200" s="1">
        <v>44784.40351851852</v>
      </c>
      <c r="B1200" s="1">
        <v>44784.40184027778</v>
      </c>
      <c r="C1200">
        <v>143456</v>
      </c>
      <c r="D1200" t="s">
        <v>34</v>
      </c>
      <c r="E1200" t="s">
        <v>35</v>
      </c>
      <c r="F1200">
        <v>7</v>
      </c>
      <c r="G1200">
        <v>43.08963</v>
      </c>
      <c r="H1200">
        <v>-71.502440000000007</v>
      </c>
      <c r="I1200">
        <v>619</v>
      </c>
      <c r="J1200">
        <v>76</v>
      </c>
      <c r="K1200">
        <v>0</v>
      </c>
      <c r="L1200" s="1">
        <v>44784.403506944444</v>
      </c>
      <c r="M1200">
        <v>5.3</v>
      </c>
      <c r="N1200">
        <v>5.6</v>
      </c>
      <c r="O1200">
        <v>0.3</v>
      </c>
      <c r="P1200">
        <v>6</v>
      </c>
      <c r="Q1200">
        <v>0.4</v>
      </c>
      <c r="R1200">
        <v>0.5</v>
      </c>
      <c r="S1200">
        <v>0.45</v>
      </c>
      <c r="T1200" t="s">
        <v>33</v>
      </c>
      <c r="U1200">
        <v>5.45</v>
      </c>
      <c r="V1200">
        <v>64</v>
      </c>
      <c r="W1200">
        <v>0</v>
      </c>
      <c r="X1200">
        <v>64</v>
      </c>
      <c r="Y1200">
        <v>0</v>
      </c>
      <c r="Z1200">
        <v>0</v>
      </c>
      <c r="AA1200">
        <v>0</v>
      </c>
      <c r="AB1200" t="s">
        <v>36</v>
      </c>
      <c r="AC1200">
        <v>64</v>
      </c>
      <c r="AD1200">
        <v>1</v>
      </c>
    </row>
    <row r="1201" spans="1:30" x14ac:dyDescent="0.25">
      <c r="A1201" s="1">
        <v>44784.40353009259</v>
      </c>
      <c r="B1201" s="1">
        <v>44784.402013888888</v>
      </c>
      <c r="C1201">
        <v>151702</v>
      </c>
      <c r="D1201" t="s">
        <v>37</v>
      </c>
      <c r="E1201" t="s">
        <v>31</v>
      </c>
      <c r="F1201">
        <v>7</v>
      </c>
      <c r="G1201">
        <v>43.118609999999997</v>
      </c>
      <c r="H1201">
        <v>-71.61618</v>
      </c>
      <c r="I1201">
        <v>885</v>
      </c>
      <c r="J1201">
        <v>0</v>
      </c>
      <c r="K1201">
        <v>0</v>
      </c>
      <c r="L1201" s="1">
        <v>44784.403506944444</v>
      </c>
      <c r="M1201">
        <v>5.7</v>
      </c>
      <c r="N1201">
        <v>5.3</v>
      </c>
      <c r="O1201">
        <v>0.4</v>
      </c>
      <c r="P1201">
        <v>7</v>
      </c>
      <c r="Q1201">
        <v>0</v>
      </c>
      <c r="R1201">
        <v>0</v>
      </c>
      <c r="S1201">
        <v>0</v>
      </c>
      <c r="T1201" t="s">
        <v>33</v>
      </c>
      <c r="U1201">
        <v>5.5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 t="s">
        <v>38</v>
      </c>
    </row>
    <row r="1202" spans="1:30" x14ac:dyDescent="0.25">
      <c r="A1202" s="1">
        <v>44784.40353009259</v>
      </c>
      <c r="B1202" s="1">
        <v>44784.401909722219</v>
      </c>
      <c r="C1202">
        <v>151700</v>
      </c>
      <c r="D1202" t="s">
        <v>30</v>
      </c>
      <c r="E1202" t="s">
        <v>31</v>
      </c>
      <c r="F1202">
        <v>7</v>
      </c>
      <c r="G1202">
        <v>43.19211</v>
      </c>
      <c r="H1202">
        <v>-71.541460000000001</v>
      </c>
      <c r="I1202">
        <v>286</v>
      </c>
      <c r="J1202">
        <v>76</v>
      </c>
      <c r="K1202">
        <v>0</v>
      </c>
      <c r="L1202" s="1">
        <v>44784.403506944444</v>
      </c>
      <c r="M1202">
        <v>5</v>
      </c>
      <c r="N1202">
        <v>5.7</v>
      </c>
      <c r="O1202">
        <v>0.7</v>
      </c>
      <c r="P1202">
        <v>13</v>
      </c>
      <c r="Q1202">
        <v>0.1</v>
      </c>
      <c r="R1202">
        <v>0</v>
      </c>
      <c r="S1202">
        <v>0.05</v>
      </c>
      <c r="T1202" t="s">
        <v>33</v>
      </c>
      <c r="U1202">
        <v>5.35</v>
      </c>
      <c r="V1202">
        <v>61</v>
      </c>
      <c r="W1202">
        <v>0</v>
      </c>
      <c r="X1202">
        <v>61</v>
      </c>
      <c r="Y1202">
        <v>1</v>
      </c>
      <c r="Z1202">
        <v>0</v>
      </c>
      <c r="AA1202">
        <v>1</v>
      </c>
      <c r="AB1202" t="s">
        <v>36</v>
      </c>
      <c r="AC1202">
        <v>61</v>
      </c>
      <c r="AD1202">
        <v>1.1499999999999999</v>
      </c>
    </row>
    <row r="1203" spans="1:30" x14ac:dyDescent="0.25">
      <c r="A1203" s="1">
        <v>44784.40353009259</v>
      </c>
      <c r="B1203" s="1">
        <v>44784.402326388888</v>
      </c>
      <c r="C1203">
        <v>135984</v>
      </c>
      <c r="D1203" t="s">
        <v>39</v>
      </c>
      <c r="E1203" t="s">
        <v>31</v>
      </c>
      <c r="F1203">
        <v>7</v>
      </c>
      <c r="G1203">
        <v>43.565852999999997</v>
      </c>
      <c r="H1203">
        <v>-71.496129999999994</v>
      </c>
      <c r="I1203">
        <v>708</v>
      </c>
      <c r="J1203">
        <v>83</v>
      </c>
      <c r="K1203">
        <v>0</v>
      </c>
      <c r="L1203" s="1">
        <v>44784.403506944444</v>
      </c>
      <c r="M1203">
        <v>4.3</v>
      </c>
      <c r="N1203">
        <v>3.5</v>
      </c>
      <c r="O1203">
        <v>0.8</v>
      </c>
      <c r="P1203">
        <v>21</v>
      </c>
      <c r="Q1203">
        <v>0.3</v>
      </c>
      <c r="R1203">
        <v>0.3</v>
      </c>
      <c r="S1203">
        <v>0.3</v>
      </c>
      <c r="T1203" t="s">
        <v>33</v>
      </c>
      <c r="U1203">
        <v>3.9</v>
      </c>
      <c r="V1203">
        <v>61</v>
      </c>
      <c r="W1203">
        <v>0</v>
      </c>
      <c r="X1203">
        <v>61</v>
      </c>
      <c r="Y1203">
        <v>2</v>
      </c>
      <c r="Z1203">
        <v>0</v>
      </c>
      <c r="AA1203">
        <v>2</v>
      </c>
      <c r="AB1203" t="s">
        <v>36</v>
      </c>
      <c r="AC1203">
        <v>61</v>
      </c>
      <c r="AD1203">
        <v>0.27</v>
      </c>
    </row>
    <row r="1204" spans="1:30" x14ac:dyDescent="0.25">
      <c r="A1204" s="1">
        <v>44784.403541666667</v>
      </c>
      <c r="B1204" s="1">
        <v>44780.394780092596</v>
      </c>
      <c r="C1204">
        <v>151712</v>
      </c>
      <c r="D1204" t="s">
        <v>40</v>
      </c>
      <c r="E1204" t="s">
        <v>31</v>
      </c>
      <c r="F1204">
        <v>7</v>
      </c>
      <c r="G1204">
        <v>43.289763999999998</v>
      </c>
      <c r="H1204">
        <v>-71.564260000000004</v>
      </c>
      <c r="I1204">
        <v>370</v>
      </c>
      <c r="J1204">
        <v>86</v>
      </c>
      <c r="K1204">
        <v>0</v>
      </c>
      <c r="L1204" s="1">
        <v>44784.403506944444</v>
      </c>
      <c r="M1204">
        <v>14</v>
      </c>
      <c r="N1204">
        <v>13.2</v>
      </c>
      <c r="O1204">
        <v>0.8</v>
      </c>
      <c r="P1204">
        <v>6</v>
      </c>
      <c r="Q1204">
        <v>0</v>
      </c>
      <c r="R1204">
        <v>0</v>
      </c>
      <c r="S1204">
        <v>0</v>
      </c>
      <c r="T1204" t="s">
        <v>32</v>
      </c>
      <c r="V1204">
        <v>59</v>
      </c>
      <c r="W1204">
        <v>0</v>
      </c>
      <c r="X1204">
        <v>59</v>
      </c>
      <c r="Y1204">
        <v>0</v>
      </c>
      <c r="Z1204">
        <v>0</v>
      </c>
      <c r="AA1204">
        <v>0</v>
      </c>
      <c r="AB1204" t="s">
        <v>36</v>
      </c>
      <c r="AC1204">
        <v>59</v>
      </c>
    </row>
    <row r="1205" spans="1:30" x14ac:dyDescent="0.25">
      <c r="A1205" s="1">
        <v>44784.403541666667</v>
      </c>
      <c r="B1205" s="1">
        <v>44784.401631944442</v>
      </c>
      <c r="C1205">
        <v>151710</v>
      </c>
      <c r="D1205" t="s">
        <v>41</v>
      </c>
      <c r="E1205" t="s">
        <v>31</v>
      </c>
      <c r="F1205">
        <v>7</v>
      </c>
      <c r="G1205">
        <v>43.132477000000002</v>
      </c>
      <c r="H1205">
        <v>-71.458374000000006</v>
      </c>
      <c r="I1205">
        <v>230</v>
      </c>
      <c r="J1205">
        <v>79</v>
      </c>
      <c r="K1205">
        <v>0</v>
      </c>
      <c r="L1205" s="1">
        <v>44784.403506944444</v>
      </c>
      <c r="M1205">
        <v>7.7</v>
      </c>
      <c r="N1205">
        <v>6.2</v>
      </c>
      <c r="O1205">
        <v>1.5</v>
      </c>
      <c r="P1205">
        <v>22</v>
      </c>
      <c r="Q1205">
        <v>0.1</v>
      </c>
      <c r="R1205">
        <v>0.2</v>
      </c>
      <c r="S1205">
        <v>0.15</v>
      </c>
      <c r="T1205" t="s">
        <v>33</v>
      </c>
      <c r="U1205">
        <v>6.95</v>
      </c>
      <c r="V1205">
        <v>53</v>
      </c>
      <c r="W1205">
        <v>0</v>
      </c>
      <c r="X1205">
        <v>53</v>
      </c>
      <c r="Y1205">
        <v>1</v>
      </c>
      <c r="Z1205">
        <v>0</v>
      </c>
      <c r="AA1205">
        <v>1</v>
      </c>
      <c r="AB1205" t="s">
        <v>36</v>
      </c>
      <c r="AC1205">
        <v>53</v>
      </c>
      <c r="AD1205">
        <v>2.69</v>
      </c>
    </row>
    <row r="1206" spans="1:30" x14ac:dyDescent="0.25">
      <c r="A1206" s="1">
        <v>44784.403541666667</v>
      </c>
      <c r="B1206" s="1">
        <v>44784.402696759258</v>
      </c>
      <c r="C1206">
        <v>151706</v>
      </c>
      <c r="D1206" t="s">
        <v>42</v>
      </c>
      <c r="E1206" t="s">
        <v>31</v>
      </c>
      <c r="F1206">
        <v>7</v>
      </c>
      <c r="G1206">
        <v>43.004080000000002</v>
      </c>
      <c r="H1206">
        <v>-71.177040000000005</v>
      </c>
      <c r="I1206">
        <v>194</v>
      </c>
      <c r="J1206">
        <v>79</v>
      </c>
      <c r="K1206">
        <v>0</v>
      </c>
      <c r="L1206" s="1">
        <v>44784.403506944444</v>
      </c>
      <c r="M1206">
        <v>6.2</v>
      </c>
      <c r="N1206">
        <v>0</v>
      </c>
      <c r="O1206">
        <v>6.2</v>
      </c>
      <c r="P1206">
        <v>200</v>
      </c>
      <c r="Q1206">
        <v>0.3</v>
      </c>
      <c r="R1206">
        <v>0</v>
      </c>
      <c r="S1206">
        <v>0.15</v>
      </c>
      <c r="T1206" t="s">
        <v>43</v>
      </c>
      <c r="V1206">
        <v>57</v>
      </c>
      <c r="W1206">
        <v>0</v>
      </c>
      <c r="X1206">
        <v>57</v>
      </c>
      <c r="Y1206">
        <v>3</v>
      </c>
      <c r="Z1206">
        <v>0</v>
      </c>
      <c r="AA1206">
        <v>3</v>
      </c>
      <c r="AB1206" t="s">
        <v>36</v>
      </c>
      <c r="AC1206">
        <v>57</v>
      </c>
    </row>
    <row r="1207" spans="1:30" x14ac:dyDescent="0.25">
      <c r="A1207" s="1">
        <v>44784.403553240743</v>
      </c>
      <c r="B1207" s="1">
        <v>44784.402430555558</v>
      </c>
      <c r="C1207">
        <v>12212</v>
      </c>
      <c r="D1207" t="s">
        <v>44</v>
      </c>
      <c r="E1207" t="s">
        <v>35</v>
      </c>
      <c r="F1207">
        <v>7</v>
      </c>
      <c r="G1207">
        <v>42.930529999999997</v>
      </c>
      <c r="H1207">
        <v>-72.272350000000003</v>
      </c>
      <c r="I1207">
        <v>476</v>
      </c>
      <c r="J1207">
        <v>84</v>
      </c>
      <c r="K1207">
        <v>0</v>
      </c>
      <c r="L1207" s="1">
        <v>44784.403506944444</v>
      </c>
      <c r="M1207">
        <v>5</v>
      </c>
      <c r="N1207">
        <v>4.5</v>
      </c>
      <c r="O1207">
        <v>0.5</v>
      </c>
      <c r="P1207">
        <v>11</v>
      </c>
      <c r="Q1207">
        <v>0.2</v>
      </c>
      <c r="R1207">
        <v>0.2</v>
      </c>
      <c r="S1207">
        <v>0.2</v>
      </c>
      <c r="T1207" t="s">
        <v>33</v>
      </c>
      <c r="U1207">
        <v>4.75</v>
      </c>
      <c r="V1207">
        <v>58</v>
      </c>
      <c r="W1207">
        <v>0</v>
      </c>
      <c r="X1207">
        <v>58</v>
      </c>
      <c r="Y1207">
        <v>0</v>
      </c>
      <c r="Z1207">
        <v>0</v>
      </c>
      <c r="AA1207">
        <v>0</v>
      </c>
      <c r="AB1207" t="s">
        <v>36</v>
      </c>
      <c r="AC1207">
        <v>58</v>
      </c>
      <c r="AD1207">
        <v>1</v>
      </c>
    </row>
    <row r="1208" spans="1:30" x14ac:dyDescent="0.25">
      <c r="A1208" s="1">
        <v>44784.403553240743</v>
      </c>
      <c r="B1208" s="1">
        <v>44769.376736111109</v>
      </c>
      <c r="C1208">
        <v>12178</v>
      </c>
      <c r="D1208" t="s">
        <v>45</v>
      </c>
      <c r="E1208" t="s">
        <v>35</v>
      </c>
      <c r="F1208">
        <v>7</v>
      </c>
      <c r="G1208">
        <v>42.899563000000001</v>
      </c>
      <c r="H1208">
        <v>-71.464650000000006</v>
      </c>
      <c r="I1208">
        <v>301</v>
      </c>
      <c r="J1208">
        <v>85</v>
      </c>
      <c r="K1208">
        <v>0</v>
      </c>
      <c r="L1208" s="1">
        <v>44784.403506944444</v>
      </c>
      <c r="M1208">
        <v>3.8</v>
      </c>
      <c r="N1208">
        <v>3.1</v>
      </c>
      <c r="O1208">
        <v>0.7</v>
      </c>
      <c r="P1208">
        <v>20</v>
      </c>
      <c r="Q1208">
        <v>0</v>
      </c>
      <c r="R1208">
        <v>0</v>
      </c>
      <c r="S1208">
        <v>0</v>
      </c>
      <c r="T1208" t="s">
        <v>32</v>
      </c>
      <c r="V1208">
        <v>35</v>
      </c>
      <c r="W1208">
        <v>0</v>
      </c>
      <c r="X1208">
        <v>35</v>
      </c>
      <c r="Y1208">
        <v>0</v>
      </c>
      <c r="Z1208">
        <v>0</v>
      </c>
      <c r="AA1208">
        <v>0</v>
      </c>
      <c r="AB1208" t="s">
        <v>36</v>
      </c>
      <c r="AC1208">
        <v>35</v>
      </c>
    </row>
    <row r="1209" spans="1:30" x14ac:dyDescent="0.25">
      <c r="A1209" s="1">
        <v>44784.403553240743</v>
      </c>
      <c r="B1209" s="1">
        <v>44784.401747685188</v>
      </c>
      <c r="C1209">
        <v>75981</v>
      </c>
      <c r="D1209" t="s">
        <v>46</v>
      </c>
      <c r="E1209" t="s">
        <v>35</v>
      </c>
      <c r="F1209">
        <v>7</v>
      </c>
      <c r="G1209">
        <v>42.97</v>
      </c>
      <c r="H1209">
        <v>-71.06</v>
      </c>
      <c r="I1209">
        <v>136</v>
      </c>
      <c r="J1209">
        <v>80</v>
      </c>
      <c r="K1209">
        <v>0</v>
      </c>
      <c r="L1209" s="1">
        <v>44784.403506944444</v>
      </c>
      <c r="M1209">
        <v>9.3000000000000007</v>
      </c>
      <c r="N1209">
        <v>8.8000000000000007</v>
      </c>
      <c r="O1209">
        <v>0.5</v>
      </c>
      <c r="P1209">
        <v>6</v>
      </c>
      <c r="Q1209">
        <v>0.2</v>
      </c>
      <c r="R1209">
        <v>0.1</v>
      </c>
      <c r="S1209">
        <v>0.15</v>
      </c>
      <c r="T1209" t="s">
        <v>33</v>
      </c>
      <c r="U1209">
        <v>9.0500000000000007</v>
      </c>
      <c r="V1209">
        <v>56</v>
      </c>
      <c r="W1209">
        <v>0</v>
      </c>
      <c r="X1209">
        <v>56</v>
      </c>
      <c r="Y1209">
        <v>1</v>
      </c>
      <c r="Z1209">
        <v>0</v>
      </c>
      <c r="AA1209">
        <v>1</v>
      </c>
      <c r="AB1209" t="s">
        <v>36</v>
      </c>
      <c r="AC1209">
        <v>56</v>
      </c>
      <c r="AD1209">
        <v>3.76</v>
      </c>
    </row>
    <row r="1210" spans="1:30" x14ac:dyDescent="0.25">
      <c r="A1210" s="1">
        <v>44784.403564814813</v>
      </c>
      <c r="B1210" s="1">
        <v>44784.402280092596</v>
      </c>
      <c r="C1210">
        <v>115703</v>
      </c>
      <c r="D1210" t="s">
        <v>47</v>
      </c>
      <c r="E1210" t="s">
        <v>35</v>
      </c>
      <c r="F1210">
        <v>7</v>
      </c>
      <c r="G1210">
        <v>43.953625000000002</v>
      </c>
      <c r="H1210">
        <v>-71.508859999999999</v>
      </c>
      <c r="I1210">
        <v>1493</v>
      </c>
      <c r="J1210">
        <v>73</v>
      </c>
      <c r="K1210">
        <v>0</v>
      </c>
      <c r="L1210" s="1">
        <v>44784.403506944444</v>
      </c>
      <c r="M1210">
        <v>0</v>
      </c>
      <c r="N1210">
        <v>300.89999999999998</v>
      </c>
      <c r="O1210">
        <v>300.89999999999998</v>
      </c>
      <c r="P1210">
        <v>200</v>
      </c>
      <c r="Q1210">
        <v>0</v>
      </c>
      <c r="R1210">
        <v>0</v>
      </c>
      <c r="S1210">
        <v>0</v>
      </c>
      <c r="T1210" t="s">
        <v>48</v>
      </c>
      <c r="V1210">
        <v>57</v>
      </c>
      <c r="W1210">
        <v>0</v>
      </c>
      <c r="X1210">
        <v>57</v>
      </c>
      <c r="Y1210">
        <v>1</v>
      </c>
      <c r="Z1210">
        <v>0</v>
      </c>
      <c r="AA1210">
        <v>1</v>
      </c>
      <c r="AB1210" t="s">
        <v>36</v>
      </c>
      <c r="AC1210">
        <v>57</v>
      </c>
    </row>
    <row r="1211" spans="1:30" x14ac:dyDescent="0.25">
      <c r="A1211" s="1">
        <v>44784.403564814813</v>
      </c>
      <c r="B1211" s="1">
        <v>44784.401689814818</v>
      </c>
      <c r="C1211">
        <v>12050</v>
      </c>
      <c r="D1211" t="s">
        <v>49</v>
      </c>
      <c r="E1211" t="s">
        <v>35</v>
      </c>
      <c r="F1211">
        <v>7</v>
      </c>
      <c r="G1211">
        <v>44.220573000000002</v>
      </c>
      <c r="H1211">
        <v>-71.732315</v>
      </c>
      <c r="I1211">
        <v>999</v>
      </c>
      <c r="J1211">
        <v>84</v>
      </c>
      <c r="K1211">
        <v>0</v>
      </c>
      <c r="L1211" s="1">
        <v>44784.403506944444</v>
      </c>
      <c r="M1211">
        <v>3.4</v>
      </c>
      <c r="N1211">
        <v>3.1</v>
      </c>
      <c r="O1211">
        <v>0.3</v>
      </c>
      <c r="P1211">
        <v>9</v>
      </c>
      <c r="Q1211">
        <v>0.1</v>
      </c>
      <c r="R1211">
        <v>0</v>
      </c>
      <c r="S1211">
        <v>0.05</v>
      </c>
      <c r="T1211" t="s">
        <v>33</v>
      </c>
      <c r="U1211">
        <v>3.25</v>
      </c>
      <c r="V1211">
        <v>40</v>
      </c>
      <c r="W1211">
        <v>0</v>
      </c>
      <c r="X1211">
        <v>40</v>
      </c>
      <c r="Y1211">
        <v>1</v>
      </c>
      <c r="Z1211">
        <v>0</v>
      </c>
      <c r="AA1211">
        <v>1</v>
      </c>
      <c r="AB1211" t="s">
        <v>36</v>
      </c>
      <c r="AC1211">
        <v>40</v>
      </c>
      <c r="AD1211">
        <v>1.34</v>
      </c>
    </row>
    <row r="1212" spans="1:30" x14ac:dyDescent="0.25">
      <c r="A1212" s="1">
        <v>44784.403564814813</v>
      </c>
      <c r="B1212" s="1">
        <v>44784.40184027778</v>
      </c>
      <c r="C1212">
        <v>23443</v>
      </c>
      <c r="D1212" t="s">
        <v>50</v>
      </c>
      <c r="E1212" t="s">
        <v>35</v>
      </c>
      <c r="F1212">
        <v>7</v>
      </c>
      <c r="G1212">
        <v>43.556139999999999</v>
      </c>
      <c r="H1212">
        <v>-72.370990000000006</v>
      </c>
      <c r="I1212">
        <v>523</v>
      </c>
      <c r="J1212">
        <v>80</v>
      </c>
      <c r="K1212">
        <v>0</v>
      </c>
      <c r="L1212" s="1">
        <v>44784.403506944444</v>
      </c>
      <c r="M1212">
        <v>5.8</v>
      </c>
      <c r="N1212">
        <v>5.0999999999999996</v>
      </c>
      <c r="O1212">
        <v>0.7</v>
      </c>
      <c r="P1212">
        <v>13</v>
      </c>
      <c r="Q1212">
        <v>0.2</v>
      </c>
      <c r="R1212">
        <v>0</v>
      </c>
      <c r="S1212">
        <v>0.1</v>
      </c>
      <c r="T1212" t="s">
        <v>33</v>
      </c>
      <c r="U1212">
        <v>5.45</v>
      </c>
      <c r="V1212">
        <v>51</v>
      </c>
      <c r="W1212">
        <v>0</v>
      </c>
      <c r="X1212">
        <v>51</v>
      </c>
      <c r="Y1212">
        <v>2</v>
      </c>
      <c r="Z1212">
        <v>0</v>
      </c>
      <c r="AA1212">
        <v>2</v>
      </c>
      <c r="AB1212" t="s">
        <v>36</v>
      </c>
      <c r="AC1212">
        <v>51</v>
      </c>
      <c r="AD1212">
        <v>1.91</v>
      </c>
    </row>
    <row r="1213" spans="1:30" x14ac:dyDescent="0.25">
      <c r="A1213" s="1">
        <v>44784.403564814813</v>
      </c>
      <c r="B1213" s="1">
        <v>44784.401886574073</v>
      </c>
      <c r="C1213">
        <v>58135</v>
      </c>
      <c r="D1213" t="s">
        <v>51</v>
      </c>
      <c r="E1213" t="s">
        <v>35</v>
      </c>
      <c r="F1213">
        <v>7</v>
      </c>
      <c r="G1213">
        <v>42.883873000000001</v>
      </c>
      <c r="H1213">
        <v>-71.972915999999998</v>
      </c>
      <c r="I1213">
        <v>808</v>
      </c>
      <c r="J1213">
        <v>82</v>
      </c>
      <c r="K1213">
        <v>0</v>
      </c>
      <c r="L1213" s="1">
        <v>44784.403506944444</v>
      </c>
      <c r="M1213">
        <v>4.5</v>
      </c>
      <c r="N1213">
        <v>3.3</v>
      </c>
      <c r="O1213">
        <v>1.2</v>
      </c>
      <c r="P1213">
        <v>31</v>
      </c>
      <c r="Q1213">
        <v>0.2</v>
      </c>
      <c r="R1213">
        <v>0.5</v>
      </c>
      <c r="S1213">
        <v>0.35</v>
      </c>
      <c r="T1213" t="s">
        <v>33</v>
      </c>
      <c r="U1213">
        <v>3.9</v>
      </c>
      <c r="V1213">
        <v>50</v>
      </c>
      <c r="W1213">
        <v>0</v>
      </c>
      <c r="X1213">
        <v>50</v>
      </c>
      <c r="Y1213">
        <v>1</v>
      </c>
      <c r="Z1213">
        <v>0</v>
      </c>
      <c r="AA1213">
        <v>1</v>
      </c>
      <c r="AB1213" t="s">
        <v>36</v>
      </c>
      <c r="AC1213">
        <v>50</v>
      </c>
      <c r="AD1213">
        <v>1.04</v>
      </c>
    </row>
    <row r="1214" spans="1:30" x14ac:dyDescent="0.25">
      <c r="A1214" s="1">
        <v>44784.40357638889</v>
      </c>
      <c r="B1214" s="1">
        <v>44784.401932870373</v>
      </c>
      <c r="C1214">
        <v>148555</v>
      </c>
      <c r="D1214" t="s">
        <v>52</v>
      </c>
      <c r="E1214" t="s">
        <v>53</v>
      </c>
      <c r="F1214">
        <v>7</v>
      </c>
      <c r="G1214">
        <v>42.904949999999999</v>
      </c>
      <c r="H1214">
        <v>-71.386764999999997</v>
      </c>
      <c r="I1214">
        <v>363</v>
      </c>
      <c r="J1214">
        <v>0</v>
      </c>
      <c r="K1214">
        <v>0</v>
      </c>
      <c r="L1214" s="1">
        <v>44784.403506944444</v>
      </c>
      <c r="M1214">
        <v>4.4000000000000004</v>
      </c>
      <c r="N1214">
        <v>5.2</v>
      </c>
      <c r="O1214">
        <v>0.8</v>
      </c>
      <c r="P1214">
        <v>17</v>
      </c>
      <c r="Q1214">
        <v>0</v>
      </c>
      <c r="R1214">
        <v>0.1</v>
      </c>
      <c r="S1214">
        <v>0.05</v>
      </c>
      <c r="T1214" t="s">
        <v>33</v>
      </c>
      <c r="U1214">
        <v>4.8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 t="s">
        <v>38</v>
      </c>
    </row>
    <row r="1215" spans="1:30" x14ac:dyDescent="0.25">
      <c r="A1215" s="1">
        <v>44784.40357638889</v>
      </c>
      <c r="B1215" s="1">
        <v>44784.402824074074</v>
      </c>
      <c r="C1215">
        <v>146644</v>
      </c>
      <c r="D1215" t="s">
        <v>54</v>
      </c>
      <c r="E1215" t="s">
        <v>53</v>
      </c>
      <c r="F1215">
        <v>7</v>
      </c>
      <c r="G1215">
        <v>43.06015</v>
      </c>
      <c r="H1215">
        <v>-70.758930000000007</v>
      </c>
      <c r="I1215">
        <v>35</v>
      </c>
      <c r="J1215">
        <v>76</v>
      </c>
      <c r="K1215">
        <v>78</v>
      </c>
      <c r="L1215" s="1">
        <v>44784.403506944444</v>
      </c>
      <c r="M1215">
        <v>11.8</v>
      </c>
      <c r="N1215">
        <v>10.5</v>
      </c>
      <c r="O1215">
        <v>1.3</v>
      </c>
      <c r="P1215">
        <v>12</v>
      </c>
      <c r="Q1215">
        <v>1.1000000000000001</v>
      </c>
      <c r="R1215">
        <v>1.2</v>
      </c>
      <c r="S1215">
        <v>1.1499999999999999</v>
      </c>
      <c r="T1215" t="s">
        <v>33</v>
      </c>
      <c r="U1215">
        <v>11.15</v>
      </c>
      <c r="V1215">
        <v>60</v>
      </c>
      <c r="W1215">
        <v>64</v>
      </c>
      <c r="X1215">
        <v>4</v>
      </c>
      <c r="Y1215">
        <v>0</v>
      </c>
      <c r="Z1215">
        <v>1</v>
      </c>
      <c r="AA1215">
        <v>1</v>
      </c>
      <c r="AB1215" t="s">
        <v>33</v>
      </c>
      <c r="AC1215">
        <v>62</v>
      </c>
      <c r="AD1215">
        <v>4.62</v>
      </c>
    </row>
    <row r="1216" spans="1:30" x14ac:dyDescent="0.25">
      <c r="A1216" s="1">
        <v>44784.40357638889</v>
      </c>
      <c r="B1216" s="1">
        <v>43755.283437500002</v>
      </c>
      <c r="C1216">
        <v>12188</v>
      </c>
      <c r="D1216" t="s">
        <v>55</v>
      </c>
      <c r="E1216" t="s">
        <v>35</v>
      </c>
      <c r="F1216">
        <v>4.1100000000000003</v>
      </c>
      <c r="G1216">
        <v>42.927050000000001</v>
      </c>
      <c r="H1216">
        <v>-72.279610000000005</v>
      </c>
      <c r="I1216">
        <v>475</v>
      </c>
      <c r="J1216">
        <v>95</v>
      </c>
      <c r="K1216">
        <v>0</v>
      </c>
      <c r="L1216" s="1">
        <v>44784.403506944444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 t="s">
        <v>32</v>
      </c>
      <c r="V1216">
        <v>77</v>
      </c>
      <c r="W1216">
        <v>0</v>
      </c>
      <c r="X1216">
        <v>77</v>
      </c>
      <c r="Y1216">
        <v>0</v>
      </c>
      <c r="Z1216">
        <v>0</v>
      </c>
      <c r="AA1216">
        <v>0</v>
      </c>
      <c r="AB1216" t="s">
        <v>36</v>
      </c>
      <c r="AC1216">
        <v>77</v>
      </c>
    </row>
    <row r="1217" spans="1:30" x14ac:dyDescent="0.25">
      <c r="A1217" s="1">
        <v>44784.403587962966</v>
      </c>
      <c r="B1217" s="1">
        <v>44784.40179398148</v>
      </c>
      <c r="C1217">
        <v>1224</v>
      </c>
      <c r="D1217" t="s">
        <v>56</v>
      </c>
      <c r="E1217" t="s">
        <v>35</v>
      </c>
      <c r="F1217" t="s">
        <v>57</v>
      </c>
      <c r="G1217">
        <v>42.938034000000002</v>
      </c>
      <c r="H1217">
        <v>-72.259299999999996</v>
      </c>
      <c r="I1217">
        <v>792</v>
      </c>
      <c r="J1217">
        <v>85</v>
      </c>
      <c r="K1217">
        <v>0</v>
      </c>
      <c r="L1217" s="1">
        <v>44784.403506944444</v>
      </c>
      <c r="M1217">
        <v>5.0999999999999996</v>
      </c>
      <c r="N1217">
        <v>0.1</v>
      </c>
      <c r="O1217">
        <v>5</v>
      </c>
      <c r="P1217">
        <v>192</v>
      </c>
      <c r="Q1217">
        <v>0.1</v>
      </c>
      <c r="R1217">
        <v>0</v>
      </c>
      <c r="S1217">
        <v>0.05</v>
      </c>
      <c r="T1217" t="s">
        <v>33</v>
      </c>
      <c r="U1217">
        <v>2.6</v>
      </c>
      <c r="V1217">
        <v>61</v>
      </c>
      <c r="W1217">
        <v>0</v>
      </c>
      <c r="X1217">
        <v>61</v>
      </c>
      <c r="Y1217">
        <v>2</v>
      </c>
      <c r="Z1217">
        <v>0</v>
      </c>
      <c r="AA1217">
        <v>2</v>
      </c>
      <c r="AB1217" t="s">
        <v>36</v>
      </c>
      <c r="AC1217">
        <v>61</v>
      </c>
      <c r="AD1217">
        <v>-0.52</v>
      </c>
    </row>
    <row r="1218" spans="1:30" x14ac:dyDescent="0.25">
      <c r="A1218" s="1">
        <v>44784.403587962966</v>
      </c>
      <c r="B1218" s="1">
        <v>44784.402627314812</v>
      </c>
      <c r="C1218">
        <v>1202</v>
      </c>
      <c r="D1218" t="s">
        <v>58</v>
      </c>
      <c r="E1218" t="s">
        <v>35</v>
      </c>
      <c r="F1218" t="s">
        <v>57</v>
      </c>
      <c r="G1218">
        <v>42.936554000000001</v>
      </c>
      <c r="H1218">
        <v>-72.271019999999993</v>
      </c>
      <c r="I1218">
        <v>488</v>
      </c>
      <c r="J1218">
        <v>0</v>
      </c>
      <c r="K1218">
        <v>0</v>
      </c>
      <c r="L1218" s="1">
        <v>44784.403506944444</v>
      </c>
      <c r="M1218">
        <v>5.5</v>
      </c>
      <c r="N1218">
        <v>5.2</v>
      </c>
      <c r="O1218">
        <v>0.3</v>
      </c>
      <c r="P1218">
        <v>6</v>
      </c>
      <c r="Q1218">
        <v>0.2</v>
      </c>
      <c r="R1218">
        <v>0.1</v>
      </c>
      <c r="S1218">
        <v>0.15</v>
      </c>
      <c r="T1218" t="s">
        <v>33</v>
      </c>
      <c r="U1218">
        <v>5.35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 t="s">
        <v>38</v>
      </c>
    </row>
    <row r="1219" spans="1:30" x14ac:dyDescent="0.25">
      <c r="A1219" s="1">
        <v>44784.403587962966</v>
      </c>
      <c r="B1219" s="1">
        <v>44612.080023148148</v>
      </c>
      <c r="C1219">
        <v>25985</v>
      </c>
      <c r="D1219" t="s">
        <v>59</v>
      </c>
      <c r="E1219" t="s">
        <v>35</v>
      </c>
      <c r="F1219">
        <v>6.01</v>
      </c>
      <c r="G1219">
        <v>42.927326000000001</v>
      </c>
      <c r="H1219">
        <v>-72.279979999999995</v>
      </c>
      <c r="I1219">
        <v>477</v>
      </c>
      <c r="J1219">
        <v>78</v>
      </c>
      <c r="K1219">
        <v>0</v>
      </c>
      <c r="L1219" s="1">
        <v>44784.403506944444</v>
      </c>
      <c r="M1219">
        <v>1.1000000000000001</v>
      </c>
      <c r="N1219">
        <v>1</v>
      </c>
      <c r="O1219">
        <v>0.1</v>
      </c>
      <c r="P1219">
        <v>10</v>
      </c>
      <c r="Q1219">
        <v>0</v>
      </c>
      <c r="R1219">
        <v>0</v>
      </c>
      <c r="S1219">
        <v>0</v>
      </c>
      <c r="T1219" t="s">
        <v>32</v>
      </c>
      <c r="V1219">
        <v>22</v>
      </c>
      <c r="W1219">
        <v>0</v>
      </c>
      <c r="X1219">
        <v>22</v>
      </c>
      <c r="Y1219">
        <v>0</v>
      </c>
      <c r="Z1219">
        <v>0</v>
      </c>
      <c r="AA1219">
        <v>0</v>
      </c>
      <c r="AB1219" t="s">
        <v>36</v>
      </c>
      <c r="AC1219">
        <v>22</v>
      </c>
    </row>
    <row r="1220" spans="1:30" x14ac:dyDescent="0.25">
      <c r="A1220" s="1">
        <v>44784.410462962966</v>
      </c>
      <c r="B1220" s="1">
        <v>44775.701319444444</v>
      </c>
      <c r="C1220">
        <v>151708</v>
      </c>
      <c r="D1220" t="s">
        <v>30</v>
      </c>
      <c r="E1220" t="s">
        <v>31</v>
      </c>
      <c r="F1220">
        <v>7</v>
      </c>
      <c r="G1220">
        <v>43.192042999999998</v>
      </c>
      <c r="H1220">
        <v>-71.541579999999996</v>
      </c>
      <c r="I1220">
        <v>291</v>
      </c>
      <c r="J1220">
        <v>93</v>
      </c>
      <c r="K1220">
        <v>94</v>
      </c>
      <c r="L1220" s="1">
        <v>44784.410451388889</v>
      </c>
      <c r="M1220">
        <v>7.9</v>
      </c>
      <c r="N1220">
        <v>7.6</v>
      </c>
      <c r="O1220">
        <v>0.3</v>
      </c>
      <c r="P1220">
        <v>4</v>
      </c>
      <c r="Q1220">
        <v>0</v>
      </c>
      <c r="R1220">
        <v>0</v>
      </c>
      <c r="S1220">
        <v>0</v>
      </c>
      <c r="T1220" t="s">
        <v>32</v>
      </c>
      <c r="V1220">
        <v>42</v>
      </c>
      <c r="W1220">
        <v>41</v>
      </c>
      <c r="X1220">
        <v>1</v>
      </c>
      <c r="Y1220">
        <v>0</v>
      </c>
      <c r="Z1220">
        <v>0</v>
      </c>
      <c r="AA1220">
        <v>0</v>
      </c>
      <c r="AB1220" t="s">
        <v>33</v>
      </c>
      <c r="AC1220">
        <v>41.5</v>
      </c>
    </row>
    <row r="1221" spans="1:30" x14ac:dyDescent="0.25">
      <c r="A1221" s="1">
        <v>44784.410462962966</v>
      </c>
      <c r="B1221" s="1">
        <v>44784.408784722225</v>
      </c>
      <c r="C1221">
        <v>143456</v>
      </c>
      <c r="D1221" t="s">
        <v>34</v>
      </c>
      <c r="E1221" t="s">
        <v>35</v>
      </c>
      <c r="F1221">
        <v>7</v>
      </c>
      <c r="G1221">
        <v>43.08963</v>
      </c>
      <c r="H1221">
        <v>-71.502440000000007</v>
      </c>
      <c r="I1221">
        <v>619</v>
      </c>
      <c r="J1221">
        <v>77</v>
      </c>
      <c r="K1221">
        <v>0</v>
      </c>
      <c r="L1221" s="1">
        <v>44784.410451388889</v>
      </c>
      <c r="M1221">
        <v>5.3</v>
      </c>
      <c r="N1221">
        <v>5.8</v>
      </c>
      <c r="O1221">
        <v>0.5</v>
      </c>
      <c r="P1221">
        <v>9</v>
      </c>
      <c r="Q1221">
        <v>0</v>
      </c>
      <c r="R1221">
        <v>0.2</v>
      </c>
      <c r="S1221">
        <v>0.1</v>
      </c>
      <c r="T1221" t="s">
        <v>33</v>
      </c>
      <c r="U1221">
        <v>5.55</v>
      </c>
      <c r="V1221">
        <v>63</v>
      </c>
      <c r="W1221">
        <v>0</v>
      </c>
      <c r="X1221">
        <v>63</v>
      </c>
      <c r="Y1221">
        <v>1</v>
      </c>
      <c r="Z1221">
        <v>0</v>
      </c>
      <c r="AA1221">
        <v>1</v>
      </c>
      <c r="AB1221" t="s">
        <v>36</v>
      </c>
      <c r="AC1221">
        <v>63</v>
      </c>
      <c r="AD1221">
        <v>1.1399999999999999</v>
      </c>
    </row>
    <row r="1222" spans="1:30" x14ac:dyDescent="0.25">
      <c r="A1222" s="1">
        <v>44784.410474537035</v>
      </c>
      <c r="B1222" s="1">
        <v>44784.408958333333</v>
      </c>
      <c r="C1222">
        <v>151702</v>
      </c>
      <c r="D1222" t="s">
        <v>37</v>
      </c>
      <c r="E1222" t="s">
        <v>31</v>
      </c>
      <c r="F1222">
        <v>7</v>
      </c>
      <c r="G1222">
        <v>43.118609999999997</v>
      </c>
      <c r="H1222">
        <v>-71.61618</v>
      </c>
      <c r="I1222">
        <v>885</v>
      </c>
      <c r="J1222">
        <v>0</v>
      </c>
      <c r="K1222">
        <v>0</v>
      </c>
      <c r="L1222" s="1">
        <v>44784.410451388889</v>
      </c>
      <c r="M1222">
        <v>5.3</v>
      </c>
      <c r="N1222">
        <v>5</v>
      </c>
      <c r="O1222">
        <v>0.3</v>
      </c>
      <c r="P1222">
        <v>6</v>
      </c>
      <c r="Q1222">
        <v>0.4</v>
      </c>
      <c r="R1222">
        <v>0.3</v>
      </c>
      <c r="S1222">
        <v>0.35</v>
      </c>
      <c r="T1222" t="s">
        <v>33</v>
      </c>
      <c r="U1222">
        <v>5.15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 t="s">
        <v>38</v>
      </c>
    </row>
    <row r="1223" spans="1:30" x14ac:dyDescent="0.25">
      <c r="A1223" s="1">
        <v>44784.410474537035</v>
      </c>
      <c r="B1223" s="1">
        <v>44784.410243055558</v>
      </c>
      <c r="C1223">
        <v>151700</v>
      </c>
      <c r="D1223" t="s">
        <v>30</v>
      </c>
      <c r="E1223" t="s">
        <v>31</v>
      </c>
      <c r="F1223">
        <v>7</v>
      </c>
      <c r="G1223">
        <v>43.19211</v>
      </c>
      <c r="H1223">
        <v>-71.541460000000001</v>
      </c>
      <c r="I1223">
        <v>286</v>
      </c>
      <c r="J1223">
        <v>76</v>
      </c>
      <c r="K1223">
        <v>0</v>
      </c>
      <c r="L1223" s="1">
        <v>44784.410451388889</v>
      </c>
      <c r="M1223">
        <v>5.0999999999999996</v>
      </c>
      <c r="N1223">
        <v>5.8</v>
      </c>
      <c r="O1223">
        <v>0.7</v>
      </c>
      <c r="P1223">
        <v>13</v>
      </c>
      <c r="Q1223">
        <v>0.1</v>
      </c>
      <c r="R1223">
        <v>0.1</v>
      </c>
      <c r="S1223">
        <v>0.1</v>
      </c>
      <c r="T1223" t="s">
        <v>33</v>
      </c>
      <c r="U1223">
        <v>5.45</v>
      </c>
      <c r="V1223">
        <v>61</v>
      </c>
      <c r="W1223">
        <v>0</v>
      </c>
      <c r="X1223">
        <v>61</v>
      </c>
      <c r="Y1223">
        <v>0</v>
      </c>
      <c r="Z1223">
        <v>0</v>
      </c>
      <c r="AA1223">
        <v>0</v>
      </c>
      <c r="AB1223" t="s">
        <v>36</v>
      </c>
      <c r="AC1223">
        <v>61</v>
      </c>
      <c r="AD1223">
        <v>1.21</v>
      </c>
    </row>
    <row r="1224" spans="1:30" x14ac:dyDescent="0.25">
      <c r="A1224" s="1">
        <v>44784.410474537035</v>
      </c>
      <c r="B1224" s="1">
        <v>44784.409270833334</v>
      </c>
      <c r="C1224">
        <v>135984</v>
      </c>
      <c r="D1224" t="s">
        <v>39</v>
      </c>
      <c r="E1224" t="s">
        <v>31</v>
      </c>
      <c r="F1224">
        <v>7</v>
      </c>
      <c r="G1224">
        <v>43.565852999999997</v>
      </c>
      <c r="H1224">
        <v>-71.496129999999994</v>
      </c>
      <c r="I1224">
        <v>708</v>
      </c>
      <c r="J1224">
        <v>83</v>
      </c>
      <c r="K1224">
        <v>0</v>
      </c>
      <c r="L1224" s="1">
        <v>44784.410451388889</v>
      </c>
      <c r="M1224">
        <v>4.0999999999999996</v>
      </c>
      <c r="N1224">
        <v>3.3</v>
      </c>
      <c r="O1224">
        <v>0.8</v>
      </c>
      <c r="P1224">
        <v>22</v>
      </c>
      <c r="Q1224">
        <v>0.2</v>
      </c>
      <c r="R1224">
        <v>0.2</v>
      </c>
      <c r="S1224">
        <v>0.2</v>
      </c>
      <c r="T1224" t="s">
        <v>33</v>
      </c>
      <c r="U1224">
        <v>3.7</v>
      </c>
      <c r="V1224">
        <v>61</v>
      </c>
      <c r="W1224">
        <v>0</v>
      </c>
      <c r="X1224">
        <v>61</v>
      </c>
      <c r="Y1224">
        <v>0</v>
      </c>
      <c r="Z1224">
        <v>0</v>
      </c>
      <c r="AA1224">
        <v>0</v>
      </c>
      <c r="AB1224" t="s">
        <v>36</v>
      </c>
      <c r="AC1224">
        <v>61</v>
      </c>
      <c r="AD1224">
        <v>0.15</v>
      </c>
    </row>
    <row r="1225" spans="1:30" x14ac:dyDescent="0.25">
      <c r="A1225" s="1">
        <v>44784.410486111112</v>
      </c>
      <c r="B1225" s="1">
        <v>44780.394780092596</v>
      </c>
      <c r="C1225">
        <v>151712</v>
      </c>
      <c r="D1225" t="s">
        <v>40</v>
      </c>
      <c r="E1225" t="s">
        <v>31</v>
      </c>
      <c r="F1225">
        <v>7</v>
      </c>
      <c r="G1225">
        <v>43.289763999999998</v>
      </c>
      <c r="H1225">
        <v>-71.564260000000004</v>
      </c>
      <c r="I1225">
        <v>370</v>
      </c>
      <c r="J1225">
        <v>86</v>
      </c>
      <c r="K1225">
        <v>0</v>
      </c>
      <c r="L1225" s="1">
        <v>44784.410451388889</v>
      </c>
      <c r="M1225">
        <v>14</v>
      </c>
      <c r="N1225">
        <v>13.2</v>
      </c>
      <c r="O1225">
        <v>0.8</v>
      </c>
      <c r="P1225">
        <v>6</v>
      </c>
      <c r="Q1225">
        <v>0</v>
      </c>
      <c r="R1225">
        <v>0</v>
      </c>
      <c r="S1225">
        <v>0</v>
      </c>
      <c r="T1225" t="s">
        <v>32</v>
      </c>
      <c r="V1225">
        <v>59</v>
      </c>
      <c r="W1225">
        <v>0</v>
      </c>
      <c r="X1225">
        <v>59</v>
      </c>
      <c r="Y1225">
        <v>0</v>
      </c>
      <c r="Z1225">
        <v>0</v>
      </c>
      <c r="AA1225">
        <v>0</v>
      </c>
      <c r="AB1225" t="s">
        <v>36</v>
      </c>
      <c r="AC1225">
        <v>59</v>
      </c>
    </row>
    <row r="1226" spans="1:30" x14ac:dyDescent="0.25">
      <c r="A1226" s="1">
        <v>44784.410486111112</v>
      </c>
      <c r="B1226" s="1">
        <v>44784.40996527778</v>
      </c>
      <c r="C1226">
        <v>151710</v>
      </c>
      <c r="D1226" t="s">
        <v>41</v>
      </c>
      <c r="E1226" t="s">
        <v>31</v>
      </c>
      <c r="F1226">
        <v>7</v>
      </c>
      <c r="G1226">
        <v>43.132477000000002</v>
      </c>
      <c r="H1226">
        <v>-71.458374000000006</v>
      </c>
      <c r="I1226">
        <v>230</v>
      </c>
      <c r="J1226">
        <v>81</v>
      </c>
      <c r="K1226">
        <v>0</v>
      </c>
      <c r="L1226" s="1">
        <v>44784.410451388889</v>
      </c>
      <c r="M1226">
        <v>7.5</v>
      </c>
      <c r="N1226">
        <v>6.3</v>
      </c>
      <c r="O1226">
        <v>1.2</v>
      </c>
      <c r="P1226">
        <v>17</v>
      </c>
      <c r="Q1226">
        <v>0.2</v>
      </c>
      <c r="R1226">
        <v>0.1</v>
      </c>
      <c r="S1226">
        <v>0.15</v>
      </c>
      <c r="T1226" t="s">
        <v>33</v>
      </c>
      <c r="U1226">
        <v>6.9</v>
      </c>
      <c r="V1226">
        <v>52</v>
      </c>
      <c r="W1226">
        <v>0</v>
      </c>
      <c r="X1226">
        <v>52</v>
      </c>
      <c r="Y1226">
        <v>1</v>
      </c>
      <c r="Z1226">
        <v>0</v>
      </c>
      <c r="AA1226">
        <v>1</v>
      </c>
      <c r="AB1226" t="s">
        <v>36</v>
      </c>
      <c r="AC1226">
        <v>52</v>
      </c>
      <c r="AD1226">
        <v>2.73</v>
      </c>
    </row>
    <row r="1227" spans="1:30" x14ac:dyDescent="0.25">
      <c r="A1227" s="1">
        <v>44784.410497685189</v>
      </c>
      <c r="B1227" s="1">
        <v>44784.409641203703</v>
      </c>
      <c r="C1227">
        <v>151706</v>
      </c>
      <c r="D1227" t="s">
        <v>42</v>
      </c>
      <c r="E1227" t="s">
        <v>31</v>
      </c>
      <c r="F1227">
        <v>7</v>
      </c>
      <c r="G1227">
        <v>43.004080000000002</v>
      </c>
      <c r="H1227">
        <v>-71.177040000000005</v>
      </c>
      <c r="I1227">
        <v>194</v>
      </c>
      <c r="J1227">
        <v>79</v>
      </c>
      <c r="K1227">
        <v>0</v>
      </c>
      <c r="L1227" s="1">
        <v>44784.410451388889</v>
      </c>
      <c r="M1227">
        <v>6.3</v>
      </c>
      <c r="N1227">
        <v>0</v>
      </c>
      <c r="O1227">
        <v>6.3</v>
      </c>
      <c r="P1227">
        <v>200</v>
      </c>
      <c r="Q1227">
        <v>0.1</v>
      </c>
      <c r="R1227">
        <v>0</v>
      </c>
      <c r="S1227">
        <v>0.05</v>
      </c>
      <c r="T1227" t="s">
        <v>43</v>
      </c>
      <c r="V1227">
        <v>58</v>
      </c>
      <c r="W1227">
        <v>0</v>
      </c>
      <c r="X1227">
        <v>58</v>
      </c>
      <c r="Y1227">
        <v>1</v>
      </c>
      <c r="Z1227">
        <v>0</v>
      </c>
      <c r="AA1227">
        <v>1</v>
      </c>
      <c r="AB1227" t="s">
        <v>36</v>
      </c>
      <c r="AC1227">
        <v>58</v>
      </c>
    </row>
    <row r="1228" spans="1:30" x14ac:dyDescent="0.25">
      <c r="A1228" s="1">
        <v>44784.410497685189</v>
      </c>
      <c r="B1228" s="1">
        <v>44784.409386574072</v>
      </c>
      <c r="C1228">
        <v>12212</v>
      </c>
      <c r="D1228" t="s">
        <v>44</v>
      </c>
      <c r="E1228" t="s">
        <v>35</v>
      </c>
      <c r="F1228">
        <v>7</v>
      </c>
      <c r="G1228">
        <v>42.930529999999997</v>
      </c>
      <c r="H1228">
        <v>-72.272350000000003</v>
      </c>
      <c r="I1228">
        <v>476</v>
      </c>
      <c r="J1228">
        <v>81</v>
      </c>
      <c r="K1228">
        <v>0</v>
      </c>
      <c r="L1228" s="1">
        <v>44784.410451388889</v>
      </c>
      <c r="M1228">
        <v>5.2</v>
      </c>
      <c r="N1228">
        <v>4.5</v>
      </c>
      <c r="O1228">
        <v>0.7</v>
      </c>
      <c r="P1228">
        <v>14</v>
      </c>
      <c r="Q1228">
        <v>0.2</v>
      </c>
      <c r="R1228">
        <v>0</v>
      </c>
      <c r="S1228">
        <v>0.1</v>
      </c>
      <c r="T1228" t="s">
        <v>33</v>
      </c>
      <c r="U1228">
        <v>4.8499999999999996</v>
      </c>
      <c r="V1228">
        <v>60</v>
      </c>
      <c r="W1228">
        <v>0</v>
      </c>
      <c r="X1228">
        <v>60</v>
      </c>
      <c r="Y1228">
        <v>2</v>
      </c>
      <c r="Z1228">
        <v>0</v>
      </c>
      <c r="AA1228">
        <v>2</v>
      </c>
      <c r="AB1228" t="s">
        <v>36</v>
      </c>
      <c r="AC1228">
        <v>60</v>
      </c>
      <c r="AD1228">
        <v>0.92</v>
      </c>
    </row>
    <row r="1229" spans="1:30" x14ac:dyDescent="0.25">
      <c r="A1229" s="1">
        <v>44784.410497685189</v>
      </c>
      <c r="B1229" s="1">
        <v>44769.376736111109</v>
      </c>
      <c r="C1229">
        <v>12178</v>
      </c>
      <c r="D1229" t="s">
        <v>45</v>
      </c>
      <c r="E1229" t="s">
        <v>35</v>
      </c>
      <c r="F1229">
        <v>7</v>
      </c>
      <c r="G1229">
        <v>42.899563000000001</v>
      </c>
      <c r="H1229">
        <v>-71.464650000000006</v>
      </c>
      <c r="I1229">
        <v>301</v>
      </c>
      <c r="J1229">
        <v>85</v>
      </c>
      <c r="K1229">
        <v>0</v>
      </c>
      <c r="L1229" s="1">
        <v>44784.410451388889</v>
      </c>
      <c r="M1229">
        <v>3.8</v>
      </c>
      <c r="N1229">
        <v>3.1</v>
      </c>
      <c r="O1229">
        <v>0.7</v>
      </c>
      <c r="P1229">
        <v>20</v>
      </c>
      <c r="Q1229">
        <v>0</v>
      </c>
      <c r="R1229">
        <v>0</v>
      </c>
      <c r="S1229">
        <v>0</v>
      </c>
      <c r="T1229" t="s">
        <v>32</v>
      </c>
      <c r="V1229">
        <v>35</v>
      </c>
      <c r="W1229">
        <v>0</v>
      </c>
      <c r="X1229">
        <v>35</v>
      </c>
      <c r="Y1229">
        <v>0</v>
      </c>
      <c r="Z1229">
        <v>0</v>
      </c>
      <c r="AA1229">
        <v>0</v>
      </c>
      <c r="AB1229" t="s">
        <v>36</v>
      </c>
      <c r="AC1229">
        <v>35</v>
      </c>
    </row>
    <row r="1230" spans="1:30" x14ac:dyDescent="0.25">
      <c r="A1230" s="1">
        <v>44784.410509259258</v>
      </c>
      <c r="B1230" s="1">
        <v>44784.410081018519</v>
      </c>
      <c r="C1230">
        <v>75981</v>
      </c>
      <c r="D1230" t="s">
        <v>46</v>
      </c>
      <c r="E1230" t="s">
        <v>35</v>
      </c>
      <c r="F1230">
        <v>7</v>
      </c>
      <c r="G1230">
        <v>42.97</v>
      </c>
      <c r="H1230">
        <v>-71.06</v>
      </c>
      <c r="I1230">
        <v>136</v>
      </c>
      <c r="J1230">
        <v>80</v>
      </c>
      <c r="K1230">
        <v>0</v>
      </c>
      <c r="L1230" s="1">
        <v>44784.410451388889</v>
      </c>
      <c r="M1230">
        <v>9.5</v>
      </c>
      <c r="N1230">
        <v>8.8000000000000007</v>
      </c>
      <c r="O1230">
        <v>0.7</v>
      </c>
      <c r="P1230">
        <v>8</v>
      </c>
      <c r="Q1230">
        <v>0.2</v>
      </c>
      <c r="R1230">
        <v>0</v>
      </c>
      <c r="S1230">
        <v>0.1</v>
      </c>
      <c r="T1230" t="s">
        <v>33</v>
      </c>
      <c r="U1230">
        <v>9.15</v>
      </c>
      <c r="V1230">
        <v>57</v>
      </c>
      <c r="W1230">
        <v>0</v>
      </c>
      <c r="X1230">
        <v>57</v>
      </c>
      <c r="Y1230">
        <v>1</v>
      </c>
      <c r="Z1230">
        <v>0</v>
      </c>
      <c r="AA1230">
        <v>1</v>
      </c>
      <c r="AB1230" t="s">
        <v>36</v>
      </c>
      <c r="AC1230">
        <v>57</v>
      </c>
      <c r="AD1230">
        <v>3.75</v>
      </c>
    </row>
    <row r="1231" spans="1:30" x14ac:dyDescent="0.25">
      <c r="A1231" s="1">
        <v>44784.410509259258</v>
      </c>
      <c r="B1231" s="1">
        <v>44784.409224537034</v>
      </c>
      <c r="C1231">
        <v>115703</v>
      </c>
      <c r="D1231" t="s">
        <v>47</v>
      </c>
      <c r="E1231" t="s">
        <v>35</v>
      </c>
      <c r="F1231">
        <v>7</v>
      </c>
      <c r="G1231">
        <v>43.953625000000002</v>
      </c>
      <c r="H1231">
        <v>-71.508859999999999</v>
      </c>
      <c r="I1231">
        <v>1493</v>
      </c>
      <c r="J1231">
        <v>74</v>
      </c>
      <c r="K1231">
        <v>0</v>
      </c>
      <c r="L1231" s="1">
        <v>44784.410451388889</v>
      </c>
      <c r="M1231">
        <v>0</v>
      </c>
      <c r="N1231">
        <v>300.89999999999998</v>
      </c>
      <c r="O1231">
        <v>300.89999999999998</v>
      </c>
      <c r="P1231">
        <v>200</v>
      </c>
      <c r="Q1231">
        <v>0</v>
      </c>
      <c r="R1231">
        <v>0</v>
      </c>
      <c r="S1231">
        <v>0</v>
      </c>
      <c r="T1231" t="s">
        <v>48</v>
      </c>
      <c r="V1231">
        <v>56</v>
      </c>
      <c r="W1231">
        <v>0</v>
      </c>
      <c r="X1231">
        <v>56</v>
      </c>
      <c r="Y1231">
        <v>1</v>
      </c>
      <c r="Z1231">
        <v>0</v>
      </c>
      <c r="AA1231">
        <v>1</v>
      </c>
      <c r="AB1231" t="s">
        <v>36</v>
      </c>
      <c r="AC1231">
        <v>56</v>
      </c>
    </row>
    <row r="1232" spans="1:30" x14ac:dyDescent="0.25">
      <c r="A1232" s="1">
        <v>44784.410509259258</v>
      </c>
      <c r="B1232" s="1">
        <v>44784.41002314815</v>
      </c>
      <c r="C1232">
        <v>12050</v>
      </c>
      <c r="D1232" t="s">
        <v>49</v>
      </c>
      <c r="E1232" t="s">
        <v>35</v>
      </c>
      <c r="F1232">
        <v>7</v>
      </c>
      <c r="G1232">
        <v>44.220573000000002</v>
      </c>
      <c r="H1232">
        <v>-71.732315</v>
      </c>
      <c r="I1232">
        <v>999</v>
      </c>
      <c r="J1232">
        <v>87</v>
      </c>
      <c r="K1232">
        <v>0</v>
      </c>
      <c r="L1232" s="1">
        <v>44784.410451388889</v>
      </c>
      <c r="M1232">
        <v>3.4</v>
      </c>
      <c r="N1232">
        <v>3.1</v>
      </c>
      <c r="O1232">
        <v>0.3</v>
      </c>
      <c r="P1232">
        <v>9</v>
      </c>
      <c r="Q1232">
        <v>0</v>
      </c>
      <c r="R1232">
        <v>0</v>
      </c>
      <c r="S1232">
        <v>0</v>
      </c>
      <c r="T1232" t="s">
        <v>33</v>
      </c>
      <c r="U1232">
        <v>3.25</v>
      </c>
      <c r="V1232">
        <v>39</v>
      </c>
      <c r="W1232">
        <v>0</v>
      </c>
      <c r="X1232">
        <v>39</v>
      </c>
      <c r="Y1232">
        <v>1</v>
      </c>
      <c r="Z1232">
        <v>0</v>
      </c>
      <c r="AA1232">
        <v>1</v>
      </c>
      <c r="AB1232" t="s">
        <v>36</v>
      </c>
      <c r="AC1232">
        <v>39</v>
      </c>
      <c r="AD1232">
        <v>1.41</v>
      </c>
    </row>
    <row r="1233" spans="1:30" x14ac:dyDescent="0.25">
      <c r="A1233" s="1">
        <v>44784.410567129627</v>
      </c>
      <c r="B1233" s="1">
        <v>44784.410150462965</v>
      </c>
      <c r="C1233">
        <v>23443</v>
      </c>
      <c r="D1233" t="s">
        <v>50</v>
      </c>
      <c r="E1233" t="s">
        <v>35</v>
      </c>
      <c r="F1233">
        <v>7</v>
      </c>
      <c r="G1233">
        <v>43.556139999999999</v>
      </c>
      <c r="H1233">
        <v>-72.370990000000006</v>
      </c>
      <c r="I1233">
        <v>523</v>
      </c>
      <c r="J1233">
        <v>82</v>
      </c>
      <c r="K1233">
        <v>0</v>
      </c>
      <c r="L1233" s="1">
        <v>44784.410451388889</v>
      </c>
      <c r="M1233">
        <v>5.5</v>
      </c>
      <c r="N1233">
        <v>5</v>
      </c>
      <c r="O1233">
        <v>0.5</v>
      </c>
      <c r="P1233">
        <v>10</v>
      </c>
      <c r="Q1233">
        <v>0.3</v>
      </c>
      <c r="R1233">
        <v>0.1</v>
      </c>
      <c r="S1233">
        <v>0.2</v>
      </c>
      <c r="T1233" t="s">
        <v>33</v>
      </c>
      <c r="U1233">
        <v>5.25</v>
      </c>
      <c r="V1233">
        <v>49</v>
      </c>
      <c r="W1233">
        <v>0</v>
      </c>
      <c r="X1233">
        <v>49</v>
      </c>
      <c r="Y1233">
        <v>2</v>
      </c>
      <c r="Z1233">
        <v>0</v>
      </c>
      <c r="AA1233">
        <v>2</v>
      </c>
      <c r="AB1233" t="s">
        <v>36</v>
      </c>
      <c r="AC1233">
        <v>49</v>
      </c>
      <c r="AD1233">
        <v>1.93</v>
      </c>
    </row>
    <row r="1234" spans="1:30" x14ac:dyDescent="0.25">
      <c r="A1234" s="1">
        <v>44784.410567129627</v>
      </c>
      <c r="B1234" s="1">
        <v>44784.410219907404</v>
      </c>
      <c r="C1234">
        <v>58135</v>
      </c>
      <c r="D1234" t="s">
        <v>51</v>
      </c>
      <c r="E1234" t="s">
        <v>35</v>
      </c>
      <c r="F1234">
        <v>7</v>
      </c>
      <c r="G1234">
        <v>42.883873000000001</v>
      </c>
      <c r="H1234">
        <v>-71.972915999999998</v>
      </c>
      <c r="I1234">
        <v>808</v>
      </c>
      <c r="J1234">
        <v>84</v>
      </c>
      <c r="K1234">
        <v>0</v>
      </c>
      <c r="L1234" s="1">
        <v>44784.410451388889</v>
      </c>
      <c r="M1234">
        <v>4.5</v>
      </c>
      <c r="N1234">
        <v>3</v>
      </c>
      <c r="O1234">
        <v>1.5</v>
      </c>
      <c r="P1234">
        <v>40</v>
      </c>
      <c r="Q1234">
        <v>0</v>
      </c>
      <c r="R1234">
        <v>0.3</v>
      </c>
      <c r="S1234">
        <v>0.15</v>
      </c>
      <c r="T1234" t="s">
        <v>33</v>
      </c>
      <c r="U1234">
        <v>3.75</v>
      </c>
      <c r="V1234">
        <v>49</v>
      </c>
      <c r="W1234">
        <v>0</v>
      </c>
      <c r="X1234">
        <v>49</v>
      </c>
      <c r="Y1234">
        <v>1</v>
      </c>
      <c r="Z1234">
        <v>0</v>
      </c>
      <c r="AA1234">
        <v>1</v>
      </c>
      <c r="AB1234" t="s">
        <v>36</v>
      </c>
      <c r="AC1234">
        <v>49</v>
      </c>
      <c r="AD1234">
        <v>1.02</v>
      </c>
    </row>
    <row r="1235" spans="1:30" x14ac:dyDescent="0.25">
      <c r="A1235" s="1">
        <v>44784.410578703704</v>
      </c>
      <c r="B1235" s="1">
        <v>44784.410266203704</v>
      </c>
      <c r="C1235">
        <v>148555</v>
      </c>
      <c r="D1235" t="s">
        <v>52</v>
      </c>
      <c r="E1235" t="s">
        <v>53</v>
      </c>
      <c r="F1235">
        <v>7</v>
      </c>
      <c r="G1235">
        <v>42.904949999999999</v>
      </c>
      <c r="H1235">
        <v>-71.386764999999997</v>
      </c>
      <c r="I1235">
        <v>363</v>
      </c>
      <c r="J1235">
        <v>0</v>
      </c>
      <c r="K1235">
        <v>0</v>
      </c>
      <c r="L1235" s="1">
        <v>44784.410451388889</v>
      </c>
      <c r="M1235">
        <v>4.5</v>
      </c>
      <c r="N1235">
        <v>5.3</v>
      </c>
      <c r="O1235">
        <v>0.8</v>
      </c>
      <c r="P1235">
        <v>16</v>
      </c>
      <c r="Q1235">
        <v>0.1</v>
      </c>
      <c r="R1235">
        <v>0.1</v>
      </c>
      <c r="S1235">
        <v>0.1</v>
      </c>
      <c r="T1235" t="s">
        <v>33</v>
      </c>
      <c r="U1235">
        <v>4.9000000000000004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 t="s">
        <v>38</v>
      </c>
    </row>
    <row r="1236" spans="1:30" x14ac:dyDescent="0.25">
      <c r="A1236" s="1">
        <v>44784.410578703704</v>
      </c>
      <c r="B1236" s="1">
        <v>44784.409768518519</v>
      </c>
      <c r="C1236">
        <v>146644</v>
      </c>
      <c r="D1236" t="s">
        <v>54</v>
      </c>
      <c r="E1236" t="s">
        <v>53</v>
      </c>
      <c r="F1236">
        <v>7</v>
      </c>
      <c r="G1236">
        <v>43.06015</v>
      </c>
      <c r="H1236">
        <v>-70.758930000000007</v>
      </c>
      <c r="I1236">
        <v>35</v>
      </c>
      <c r="J1236">
        <v>77</v>
      </c>
      <c r="K1236">
        <v>78</v>
      </c>
      <c r="L1236" s="1">
        <v>44784.410451388889</v>
      </c>
      <c r="M1236">
        <v>11.7</v>
      </c>
      <c r="N1236">
        <v>10.1</v>
      </c>
      <c r="O1236">
        <v>1.6</v>
      </c>
      <c r="P1236">
        <v>15</v>
      </c>
      <c r="Q1236">
        <v>0.1</v>
      </c>
      <c r="R1236">
        <v>0.4</v>
      </c>
      <c r="S1236">
        <v>0.25</v>
      </c>
      <c r="T1236" t="s">
        <v>33</v>
      </c>
      <c r="U1236">
        <v>10.9</v>
      </c>
      <c r="V1236">
        <v>59</v>
      </c>
      <c r="W1236">
        <v>64</v>
      </c>
      <c r="X1236">
        <v>5</v>
      </c>
      <c r="Y1236">
        <v>1</v>
      </c>
      <c r="Z1236">
        <v>0</v>
      </c>
      <c r="AA1236">
        <v>1</v>
      </c>
      <c r="AB1236" t="s">
        <v>33</v>
      </c>
      <c r="AC1236">
        <v>61.5</v>
      </c>
      <c r="AD1236">
        <v>4.5</v>
      </c>
    </row>
    <row r="1237" spans="1:30" x14ac:dyDescent="0.25">
      <c r="A1237" s="1">
        <v>44784.410578703704</v>
      </c>
      <c r="B1237" s="1">
        <v>43755.283437500002</v>
      </c>
      <c r="C1237">
        <v>12188</v>
      </c>
      <c r="D1237" t="s">
        <v>55</v>
      </c>
      <c r="E1237" t="s">
        <v>35</v>
      </c>
      <c r="F1237">
        <v>4.1100000000000003</v>
      </c>
      <c r="G1237">
        <v>42.927050000000001</v>
      </c>
      <c r="H1237">
        <v>-72.279610000000005</v>
      </c>
      <c r="I1237">
        <v>475</v>
      </c>
      <c r="J1237">
        <v>95</v>
      </c>
      <c r="K1237">
        <v>0</v>
      </c>
      <c r="L1237" s="1">
        <v>44784.410451388889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 t="s">
        <v>32</v>
      </c>
      <c r="V1237">
        <v>77</v>
      </c>
      <c r="W1237">
        <v>0</v>
      </c>
      <c r="X1237">
        <v>77</v>
      </c>
      <c r="Y1237">
        <v>0</v>
      </c>
      <c r="Z1237">
        <v>0</v>
      </c>
      <c r="AA1237">
        <v>0</v>
      </c>
      <c r="AB1237" t="s">
        <v>36</v>
      </c>
      <c r="AC1237">
        <v>77</v>
      </c>
    </row>
    <row r="1238" spans="1:30" x14ac:dyDescent="0.25">
      <c r="A1238" s="1">
        <v>44784.410590277781</v>
      </c>
      <c r="B1238" s="1">
        <v>44784.410150462965</v>
      </c>
      <c r="C1238">
        <v>1224</v>
      </c>
      <c r="D1238" t="s">
        <v>56</v>
      </c>
      <c r="E1238" t="s">
        <v>35</v>
      </c>
      <c r="F1238" t="s">
        <v>57</v>
      </c>
      <c r="G1238">
        <v>42.938034000000002</v>
      </c>
      <c r="H1238">
        <v>-72.259299999999996</v>
      </c>
      <c r="I1238">
        <v>792</v>
      </c>
      <c r="J1238">
        <v>84</v>
      </c>
      <c r="K1238">
        <v>0</v>
      </c>
      <c r="L1238" s="1">
        <v>44784.410451388889</v>
      </c>
      <c r="M1238">
        <v>5.0999999999999996</v>
      </c>
      <c r="N1238">
        <v>0.1</v>
      </c>
      <c r="O1238">
        <v>5</v>
      </c>
      <c r="P1238">
        <v>192</v>
      </c>
      <c r="Q1238">
        <v>0</v>
      </c>
      <c r="R1238">
        <v>0</v>
      </c>
      <c r="S1238">
        <v>0</v>
      </c>
      <c r="T1238" t="s">
        <v>33</v>
      </c>
      <c r="U1238">
        <v>2.6</v>
      </c>
      <c r="V1238">
        <v>61</v>
      </c>
      <c r="W1238">
        <v>0</v>
      </c>
      <c r="X1238">
        <v>61</v>
      </c>
      <c r="Y1238">
        <v>0</v>
      </c>
      <c r="Z1238">
        <v>0</v>
      </c>
      <c r="AA1238">
        <v>0</v>
      </c>
      <c r="AB1238" t="s">
        <v>36</v>
      </c>
      <c r="AC1238">
        <v>61</v>
      </c>
      <c r="AD1238">
        <v>-0.52</v>
      </c>
    </row>
    <row r="1239" spans="1:30" x14ac:dyDescent="0.25">
      <c r="A1239" s="1">
        <v>44784.410590277781</v>
      </c>
      <c r="B1239" s="1">
        <v>44784.409571759257</v>
      </c>
      <c r="C1239">
        <v>1202</v>
      </c>
      <c r="D1239" t="s">
        <v>58</v>
      </c>
      <c r="E1239" t="s">
        <v>35</v>
      </c>
      <c r="F1239" t="s">
        <v>57</v>
      </c>
      <c r="G1239">
        <v>42.936554000000001</v>
      </c>
      <c r="H1239">
        <v>-72.271019999999993</v>
      </c>
      <c r="I1239">
        <v>488</v>
      </c>
      <c r="J1239">
        <v>0</v>
      </c>
      <c r="K1239">
        <v>0</v>
      </c>
      <c r="L1239" s="1">
        <v>44784.410451388889</v>
      </c>
      <c r="M1239">
        <v>5.4</v>
      </c>
      <c r="N1239">
        <v>4.8</v>
      </c>
      <c r="O1239">
        <v>0.6</v>
      </c>
      <c r="P1239">
        <v>12</v>
      </c>
      <c r="Q1239">
        <v>0.1</v>
      </c>
      <c r="R1239">
        <v>0.4</v>
      </c>
      <c r="S1239">
        <v>0.25</v>
      </c>
      <c r="T1239" t="s">
        <v>33</v>
      </c>
      <c r="U1239">
        <v>5.0999999999999996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 t="s">
        <v>38</v>
      </c>
    </row>
    <row r="1240" spans="1:30" x14ac:dyDescent="0.25">
      <c r="A1240" s="1">
        <v>44784.410590277781</v>
      </c>
      <c r="B1240" s="1">
        <v>44612.080023148148</v>
      </c>
      <c r="C1240">
        <v>25985</v>
      </c>
      <c r="D1240" t="s">
        <v>59</v>
      </c>
      <c r="E1240" t="s">
        <v>35</v>
      </c>
      <c r="F1240">
        <v>6.01</v>
      </c>
      <c r="G1240">
        <v>42.927326000000001</v>
      </c>
      <c r="H1240">
        <v>-72.279979999999995</v>
      </c>
      <c r="I1240">
        <v>477</v>
      </c>
      <c r="J1240">
        <v>78</v>
      </c>
      <c r="K1240">
        <v>0</v>
      </c>
      <c r="L1240" s="1">
        <v>44784.410451388889</v>
      </c>
      <c r="M1240">
        <v>1.1000000000000001</v>
      </c>
      <c r="N1240">
        <v>1</v>
      </c>
      <c r="O1240">
        <v>0.1</v>
      </c>
      <c r="P1240">
        <v>10</v>
      </c>
      <c r="Q1240">
        <v>0</v>
      </c>
      <c r="R1240">
        <v>0</v>
      </c>
      <c r="S1240">
        <v>0</v>
      </c>
      <c r="T1240" t="s">
        <v>32</v>
      </c>
      <c r="V1240">
        <v>22</v>
      </c>
      <c r="W1240">
        <v>0</v>
      </c>
      <c r="X1240">
        <v>22</v>
      </c>
      <c r="Y1240">
        <v>0</v>
      </c>
      <c r="Z1240">
        <v>0</v>
      </c>
      <c r="AA1240">
        <v>0</v>
      </c>
      <c r="AB1240" t="s">
        <v>36</v>
      </c>
      <c r="AC1240">
        <v>22</v>
      </c>
    </row>
    <row r="1241" spans="1:30" x14ac:dyDescent="0.25">
      <c r="A1241" s="1">
        <v>44784.417407407411</v>
      </c>
      <c r="B1241" s="1">
        <v>44775.701319444444</v>
      </c>
      <c r="C1241">
        <v>151708</v>
      </c>
      <c r="D1241" t="s">
        <v>30</v>
      </c>
      <c r="E1241" t="s">
        <v>31</v>
      </c>
      <c r="F1241">
        <v>7</v>
      </c>
      <c r="G1241">
        <v>43.192042999999998</v>
      </c>
      <c r="H1241">
        <v>-71.541579999999996</v>
      </c>
      <c r="I1241">
        <v>291</v>
      </c>
      <c r="J1241">
        <v>93</v>
      </c>
      <c r="K1241">
        <v>94</v>
      </c>
      <c r="L1241" s="1">
        <v>44784.417395833334</v>
      </c>
      <c r="M1241">
        <v>7.9</v>
      </c>
      <c r="N1241">
        <v>7.6</v>
      </c>
      <c r="O1241">
        <v>0.3</v>
      </c>
      <c r="P1241">
        <v>4</v>
      </c>
      <c r="Q1241">
        <v>0</v>
      </c>
      <c r="R1241">
        <v>0</v>
      </c>
      <c r="S1241">
        <v>0</v>
      </c>
      <c r="T1241" t="s">
        <v>32</v>
      </c>
      <c r="V1241">
        <v>42</v>
      </c>
      <c r="W1241">
        <v>41</v>
      </c>
      <c r="X1241">
        <v>1</v>
      </c>
      <c r="Y1241">
        <v>0</v>
      </c>
      <c r="Z1241">
        <v>0</v>
      </c>
      <c r="AA1241">
        <v>0</v>
      </c>
      <c r="AB1241" t="s">
        <v>33</v>
      </c>
      <c r="AC1241">
        <v>41.5</v>
      </c>
    </row>
    <row r="1242" spans="1:30" x14ac:dyDescent="0.25">
      <c r="A1242" s="1">
        <v>44784.417407407411</v>
      </c>
      <c r="B1242" s="1">
        <v>44784.415729166663</v>
      </c>
      <c r="C1242">
        <v>143456</v>
      </c>
      <c r="D1242" t="s">
        <v>34</v>
      </c>
      <c r="E1242" t="s">
        <v>35</v>
      </c>
      <c r="F1242">
        <v>7</v>
      </c>
      <c r="G1242">
        <v>43.08963</v>
      </c>
      <c r="H1242">
        <v>-71.502440000000007</v>
      </c>
      <c r="I1242">
        <v>619</v>
      </c>
      <c r="J1242">
        <v>78</v>
      </c>
      <c r="K1242">
        <v>0</v>
      </c>
      <c r="L1242" s="1">
        <v>44784.417395833334</v>
      </c>
      <c r="M1242">
        <v>5.2</v>
      </c>
      <c r="N1242">
        <v>5.8</v>
      </c>
      <c r="O1242">
        <v>0.6</v>
      </c>
      <c r="P1242">
        <v>11</v>
      </c>
      <c r="Q1242">
        <v>0.1</v>
      </c>
      <c r="R1242">
        <v>0</v>
      </c>
      <c r="S1242">
        <v>0.05</v>
      </c>
      <c r="T1242" t="s">
        <v>33</v>
      </c>
      <c r="U1242">
        <v>5.5</v>
      </c>
      <c r="V1242">
        <v>63</v>
      </c>
      <c r="W1242">
        <v>0</v>
      </c>
      <c r="X1242">
        <v>63</v>
      </c>
      <c r="Y1242">
        <v>0</v>
      </c>
      <c r="Z1242">
        <v>0</v>
      </c>
      <c r="AA1242">
        <v>0</v>
      </c>
      <c r="AB1242" t="s">
        <v>36</v>
      </c>
      <c r="AC1242">
        <v>63</v>
      </c>
      <c r="AD1242">
        <v>1.1000000000000001</v>
      </c>
    </row>
    <row r="1243" spans="1:30" x14ac:dyDescent="0.25">
      <c r="A1243" s="1">
        <v>44784.41741898148</v>
      </c>
      <c r="B1243" s="1">
        <v>44784.415902777779</v>
      </c>
      <c r="C1243">
        <v>151702</v>
      </c>
      <c r="D1243" t="s">
        <v>37</v>
      </c>
      <c r="E1243" t="s">
        <v>31</v>
      </c>
      <c r="F1243">
        <v>7</v>
      </c>
      <c r="G1243">
        <v>43.118609999999997</v>
      </c>
      <c r="H1243">
        <v>-71.61618</v>
      </c>
      <c r="I1243">
        <v>885</v>
      </c>
      <c r="J1243">
        <v>0</v>
      </c>
      <c r="K1243">
        <v>0</v>
      </c>
      <c r="L1243" s="1">
        <v>44784.417395833334</v>
      </c>
      <c r="M1243">
        <v>5.3</v>
      </c>
      <c r="N1243">
        <v>5</v>
      </c>
      <c r="O1243">
        <v>0.3</v>
      </c>
      <c r="P1243">
        <v>6</v>
      </c>
      <c r="Q1243">
        <v>0</v>
      </c>
      <c r="R1243">
        <v>0</v>
      </c>
      <c r="S1243">
        <v>0</v>
      </c>
      <c r="T1243" t="s">
        <v>33</v>
      </c>
      <c r="U1243">
        <v>5.15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 t="s">
        <v>38</v>
      </c>
    </row>
    <row r="1244" spans="1:30" x14ac:dyDescent="0.25">
      <c r="A1244" s="1">
        <v>44784.41741898148</v>
      </c>
      <c r="B1244" s="1">
        <v>44784.415798611109</v>
      </c>
      <c r="C1244">
        <v>151700</v>
      </c>
      <c r="D1244" t="s">
        <v>30</v>
      </c>
      <c r="E1244" t="s">
        <v>31</v>
      </c>
      <c r="F1244">
        <v>7</v>
      </c>
      <c r="G1244">
        <v>43.19211</v>
      </c>
      <c r="H1244">
        <v>-71.541460000000001</v>
      </c>
      <c r="I1244">
        <v>286</v>
      </c>
      <c r="J1244">
        <v>76</v>
      </c>
      <c r="K1244">
        <v>0</v>
      </c>
      <c r="L1244" s="1">
        <v>44784.417395833334</v>
      </c>
      <c r="M1244">
        <v>5.2</v>
      </c>
      <c r="N1244">
        <v>6.1</v>
      </c>
      <c r="O1244">
        <v>0.9</v>
      </c>
      <c r="P1244">
        <v>16</v>
      </c>
      <c r="Q1244">
        <v>0.1</v>
      </c>
      <c r="R1244">
        <v>0.3</v>
      </c>
      <c r="S1244">
        <v>0.2</v>
      </c>
      <c r="T1244" t="s">
        <v>33</v>
      </c>
      <c r="U1244">
        <v>5.65</v>
      </c>
      <c r="V1244">
        <v>61</v>
      </c>
      <c r="W1244">
        <v>0</v>
      </c>
      <c r="X1244">
        <v>61</v>
      </c>
      <c r="Y1244">
        <v>0</v>
      </c>
      <c r="Z1244">
        <v>0</v>
      </c>
      <c r="AA1244">
        <v>0</v>
      </c>
      <c r="AB1244" t="s">
        <v>36</v>
      </c>
      <c r="AC1244">
        <v>61</v>
      </c>
      <c r="AD1244">
        <v>1.34</v>
      </c>
    </row>
    <row r="1245" spans="1:30" x14ac:dyDescent="0.25">
      <c r="A1245" s="1">
        <v>44784.41741898148</v>
      </c>
      <c r="B1245" s="1">
        <v>44784.416215277779</v>
      </c>
      <c r="C1245">
        <v>135984</v>
      </c>
      <c r="D1245" t="s">
        <v>39</v>
      </c>
      <c r="E1245" t="s">
        <v>31</v>
      </c>
      <c r="F1245">
        <v>7</v>
      </c>
      <c r="G1245">
        <v>43.565852999999997</v>
      </c>
      <c r="H1245">
        <v>-71.496129999999994</v>
      </c>
      <c r="I1245">
        <v>708</v>
      </c>
      <c r="J1245">
        <v>83</v>
      </c>
      <c r="K1245">
        <v>0</v>
      </c>
      <c r="L1245" s="1">
        <v>44784.417395833334</v>
      </c>
      <c r="M1245">
        <v>4.0999999999999996</v>
      </c>
      <c r="N1245">
        <v>3.2</v>
      </c>
      <c r="O1245">
        <v>0.9</v>
      </c>
      <c r="P1245">
        <v>25</v>
      </c>
      <c r="Q1245">
        <v>0</v>
      </c>
      <c r="R1245">
        <v>0.1</v>
      </c>
      <c r="S1245">
        <v>0.05</v>
      </c>
      <c r="T1245" t="s">
        <v>33</v>
      </c>
      <c r="U1245">
        <v>3.65</v>
      </c>
      <c r="V1245">
        <v>62</v>
      </c>
      <c r="W1245">
        <v>0</v>
      </c>
      <c r="X1245">
        <v>62</v>
      </c>
      <c r="Y1245">
        <v>1</v>
      </c>
      <c r="Z1245">
        <v>0</v>
      </c>
      <c r="AA1245">
        <v>1</v>
      </c>
      <c r="AB1245" t="s">
        <v>36</v>
      </c>
      <c r="AC1245">
        <v>62</v>
      </c>
      <c r="AD1245">
        <v>0.05</v>
      </c>
    </row>
    <row r="1246" spans="1:30" x14ac:dyDescent="0.25">
      <c r="A1246" s="1">
        <v>44784.417430555557</v>
      </c>
      <c r="B1246" s="1">
        <v>44780.394780092596</v>
      </c>
      <c r="C1246">
        <v>151712</v>
      </c>
      <c r="D1246" t="s">
        <v>40</v>
      </c>
      <c r="E1246" t="s">
        <v>31</v>
      </c>
      <c r="F1246">
        <v>7</v>
      </c>
      <c r="G1246">
        <v>43.289763999999998</v>
      </c>
      <c r="H1246">
        <v>-71.564260000000004</v>
      </c>
      <c r="I1246">
        <v>370</v>
      </c>
      <c r="J1246">
        <v>86</v>
      </c>
      <c r="K1246">
        <v>0</v>
      </c>
      <c r="L1246" s="1">
        <v>44784.417395833334</v>
      </c>
      <c r="M1246">
        <v>14</v>
      </c>
      <c r="N1246">
        <v>13.2</v>
      </c>
      <c r="O1246">
        <v>0.8</v>
      </c>
      <c r="P1246">
        <v>6</v>
      </c>
      <c r="Q1246">
        <v>0</v>
      </c>
      <c r="R1246">
        <v>0</v>
      </c>
      <c r="S1246">
        <v>0</v>
      </c>
      <c r="T1246" t="s">
        <v>32</v>
      </c>
      <c r="V1246">
        <v>59</v>
      </c>
      <c r="W1246">
        <v>0</v>
      </c>
      <c r="X1246">
        <v>59</v>
      </c>
      <c r="Y1246">
        <v>0</v>
      </c>
      <c r="Z1246">
        <v>0</v>
      </c>
      <c r="AA1246">
        <v>0</v>
      </c>
      <c r="AB1246" t="s">
        <v>36</v>
      </c>
      <c r="AC1246">
        <v>59</v>
      </c>
    </row>
    <row r="1247" spans="1:30" x14ac:dyDescent="0.25">
      <c r="A1247" s="1">
        <v>44784.417430555557</v>
      </c>
      <c r="B1247" s="1">
        <v>44784.416909722226</v>
      </c>
      <c r="C1247">
        <v>151710</v>
      </c>
      <c r="D1247" t="s">
        <v>41</v>
      </c>
      <c r="E1247" t="s">
        <v>31</v>
      </c>
      <c r="F1247">
        <v>7</v>
      </c>
      <c r="G1247">
        <v>43.132477000000002</v>
      </c>
      <c r="H1247">
        <v>-71.458374000000006</v>
      </c>
      <c r="I1247">
        <v>230</v>
      </c>
      <c r="J1247">
        <v>82</v>
      </c>
      <c r="K1247">
        <v>0</v>
      </c>
      <c r="L1247" s="1">
        <v>44784.417395833334</v>
      </c>
      <c r="M1247">
        <v>7.7</v>
      </c>
      <c r="N1247">
        <v>6.2</v>
      </c>
      <c r="O1247">
        <v>1.5</v>
      </c>
      <c r="P1247">
        <v>22</v>
      </c>
      <c r="Q1247">
        <v>0.2</v>
      </c>
      <c r="R1247">
        <v>0.1</v>
      </c>
      <c r="S1247">
        <v>0.15</v>
      </c>
      <c r="T1247" t="s">
        <v>33</v>
      </c>
      <c r="U1247">
        <v>6.95</v>
      </c>
      <c r="V1247">
        <v>50</v>
      </c>
      <c r="W1247">
        <v>0</v>
      </c>
      <c r="X1247">
        <v>50</v>
      </c>
      <c r="Y1247">
        <v>2</v>
      </c>
      <c r="Z1247">
        <v>0</v>
      </c>
      <c r="AA1247">
        <v>2</v>
      </c>
      <c r="AB1247" t="s">
        <v>36</v>
      </c>
      <c r="AC1247">
        <v>50</v>
      </c>
      <c r="AD1247">
        <v>2.9</v>
      </c>
    </row>
    <row r="1248" spans="1:30" x14ac:dyDescent="0.25">
      <c r="A1248" s="1">
        <v>44784.417430555557</v>
      </c>
      <c r="B1248" s="1">
        <v>44784.416585648149</v>
      </c>
      <c r="C1248">
        <v>151706</v>
      </c>
      <c r="D1248" t="s">
        <v>42</v>
      </c>
      <c r="E1248" t="s">
        <v>31</v>
      </c>
      <c r="F1248">
        <v>7</v>
      </c>
      <c r="G1248">
        <v>43.004080000000002</v>
      </c>
      <c r="H1248">
        <v>-71.177040000000005</v>
      </c>
      <c r="I1248">
        <v>194</v>
      </c>
      <c r="J1248">
        <v>80</v>
      </c>
      <c r="K1248">
        <v>0</v>
      </c>
      <c r="L1248" s="1">
        <v>44784.417395833334</v>
      </c>
      <c r="M1248">
        <v>6.5</v>
      </c>
      <c r="N1248">
        <v>0</v>
      </c>
      <c r="O1248">
        <v>6.5</v>
      </c>
      <c r="P1248">
        <v>200</v>
      </c>
      <c r="Q1248">
        <v>0.2</v>
      </c>
      <c r="R1248">
        <v>0</v>
      </c>
      <c r="S1248">
        <v>0.1</v>
      </c>
      <c r="T1248" t="s">
        <v>43</v>
      </c>
      <c r="V1248">
        <v>56</v>
      </c>
      <c r="W1248">
        <v>0</v>
      </c>
      <c r="X1248">
        <v>56</v>
      </c>
      <c r="Y1248">
        <v>2</v>
      </c>
      <c r="Z1248">
        <v>0</v>
      </c>
      <c r="AA1248">
        <v>2</v>
      </c>
      <c r="AB1248" t="s">
        <v>36</v>
      </c>
      <c r="AC1248">
        <v>56</v>
      </c>
    </row>
    <row r="1249" spans="1:30" x14ac:dyDescent="0.25">
      <c r="A1249" s="1">
        <v>44784.417430555557</v>
      </c>
      <c r="B1249" s="1">
        <v>44784.416331018518</v>
      </c>
      <c r="C1249">
        <v>12212</v>
      </c>
      <c r="D1249" t="s">
        <v>44</v>
      </c>
      <c r="E1249" t="s">
        <v>35</v>
      </c>
      <c r="F1249">
        <v>7</v>
      </c>
      <c r="G1249">
        <v>42.930529999999997</v>
      </c>
      <c r="H1249">
        <v>-72.272350000000003</v>
      </c>
      <c r="I1249">
        <v>476</v>
      </c>
      <c r="J1249">
        <v>81</v>
      </c>
      <c r="K1249">
        <v>0</v>
      </c>
      <c r="L1249" s="1">
        <v>44784.417395833334</v>
      </c>
      <c r="M1249">
        <v>5.2</v>
      </c>
      <c r="N1249">
        <v>4.5</v>
      </c>
      <c r="O1249">
        <v>0.7</v>
      </c>
      <c r="P1249">
        <v>14</v>
      </c>
      <c r="Q1249">
        <v>0</v>
      </c>
      <c r="R1249">
        <v>0</v>
      </c>
      <c r="S1249">
        <v>0</v>
      </c>
      <c r="T1249" t="s">
        <v>33</v>
      </c>
      <c r="U1249">
        <v>4.8499999999999996</v>
      </c>
      <c r="V1249">
        <v>61</v>
      </c>
      <c r="W1249">
        <v>0</v>
      </c>
      <c r="X1249">
        <v>61</v>
      </c>
      <c r="Y1249">
        <v>1</v>
      </c>
      <c r="Z1249">
        <v>0</v>
      </c>
      <c r="AA1249">
        <v>1</v>
      </c>
      <c r="AB1249" t="s">
        <v>36</v>
      </c>
      <c r="AC1249">
        <v>61</v>
      </c>
      <c r="AD1249">
        <v>0.85</v>
      </c>
    </row>
    <row r="1250" spans="1:30" x14ac:dyDescent="0.25">
      <c r="A1250" s="1">
        <v>44784.417442129627</v>
      </c>
      <c r="B1250" s="1">
        <v>44769.376736111109</v>
      </c>
      <c r="C1250">
        <v>12178</v>
      </c>
      <c r="D1250" t="s">
        <v>45</v>
      </c>
      <c r="E1250" t="s">
        <v>35</v>
      </c>
      <c r="F1250">
        <v>7</v>
      </c>
      <c r="G1250">
        <v>42.899563000000001</v>
      </c>
      <c r="H1250">
        <v>-71.464650000000006</v>
      </c>
      <c r="I1250">
        <v>301</v>
      </c>
      <c r="J1250">
        <v>85</v>
      </c>
      <c r="K1250">
        <v>0</v>
      </c>
      <c r="L1250" s="1">
        <v>44784.417395833334</v>
      </c>
      <c r="M1250">
        <v>3.8</v>
      </c>
      <c r="N1250">
        <v>3.1</v>
      </c>
      <c r="O1250">
        <v>0.7</v>
      </c>
      <c r="P1250">
        <v>20</v>
      </c>
      <c r="Q1250">
        <v>0</v>
      </c>
      <c r="R1250">
        <v>0</v>
      </c>
      <c r="S1250">
        <v>0</v>
      </c>
      <c r="T1250" t="s">
        <v>32</v>
      </c>
      <c r="V1250">
        <v>35</v>
      </c>
      <c r="W1250">
        <v>0</v>
      </c>
      <c r="X1250">
        <v>35</v>
      </c>
      <c r="Y1250">
        <v>0</v>
      </c>
      <c r="Z1250">
        <v>0</v>
      </c>
      <c r="AA1250">
        <v>0</v>
      </c>
      <c r="AB1250" t="s">
        <v>36</v>
      </c>
      <c r="AC1250">
        <v>35</v>
      </c>
    </row>
    <row r="1251" spans="1:30" x14ac:dyDescent="0.25">
      <c r="A1251" s="1">
        <v>44784.417442129627</v>
      </c>
      <c r="B1251" s="1">
        <v>44784.415636574071</v>
      </c>
      <c r="C1251">
        <v>75981</v>
      </c>
      <c r="D1251" t="s">
        <v>46</v>
      </c>
      <c r="E1251" t="s">
        <v>35</v>
      </c>
      <c r="F1251">
        <v>7</v>
      </c>
      <c r="G1251">
        <v>42.97</v>
      </c>
      <c r="H1251">
        <v>-71.06</v>
      </c>
      <c r="I1251">
        <v>136</v>
      </c>
      <c r="J1251">
        <v>81</v>
      </c>
      <c r="K1251">
        <v>0</v>
      </c>
      <c r="L1251" s="1">
        <v>44784.417395833334</v>
      </c>
      <c r="M1251">
        <v>9.3000000000000007</v>
      </c>
      <c r="N1251">
        <v>8.8000000000000007</v>
      </c>
      <c r="O1251">
        <v>0.5</v>
      </c>
      <c r="P1251">
        <v>6</v>
      </c>
      <c r="Q1251">
        <v>0.2</v>
      </c>
      <c r="R1251">
        <v>0</v>
      </c>
      <c r="S1251">
        <v>0.1</v>
      </c>
      <c r="T1251" t="s">
        <v>33</v>
      </c>
      <c r="U1251">
        <v>9.0500000000000007</v>
      </c>
      <c r="V1251">
        <v>57</v>
      </c>
      <c r="W1251">
        <v>0</v>
      </c>
      <c r="X1251">
        <v>57</v>
      </c>
      <c r="Y1251">
        <v>0</v>
      </c>
      <c r="Z1251">
        <v>0</v>
      </c>
      <c r="AA1251">
        <v>0</v>
      </c>
      <c r="AB1251" t="s">
        <v>36</v>
      </c>
      <c r="AC1251">
        <v>57</v>
      </c>
      <c r="AD1251">
        <v>3.69</v>
      </c>
    </row>
    <row r="1252" spans="1:30" x14ac:dyDescent="0.25">
      <c r="A1252" s="1">
        <v>44784.417442129627</v>
      </c>
      <c r="B1252" s="1">
        <v>44784.416168981479</v>
      </c>
      <c r="C1252">
        <v>115703</v>
      </c>
      <c r="D1252" t="s">
        <v>47</v>
      </c>
      <c r="E1252" t="s">
        <v>35</v>
      </c>
      <c r="F1252">
        <v>7</v>
      </c>
      <c r="G1252">
        <v>43.953625000000002</v>
      </c>
      <c r="H1252">
        <v>-71.508859999999999</v>
      </c>
      <c r="I1252">
        <v>1493</v>
      </c>
      <c r="J1252">
        <v>74</v>
      </c>
      <c r="K1252">
        <v>0</v>
      </c>
      <c r="L1252" s="1">
        <v>44784.417395833334</v>
      </c>
      <c r="M1252">
        <v>0</v>
      </c>
      <c r="N1252">
        <v>300.89999999999998</v>
      </c>
      <c r="O1252">
        <v>300.89999999999998</v>
      </c>
      <c r="P1252">
        <v>200</v>
      </c>
      <c r="Q1252">
        <v>0</v>
      </c>
      <c r="R1252">
        <v>0</v>
      </c>
      <c r="S1252">
        <v>0</v>
      </c>
      <c r="T1252" t="s">
        <v>48</v>
      </c>
      <c r="V1252">
        <v>55</v>
      </c>
      <c r="W1252">
        <v>0</v>
      </c>
      <c r="X1252">
        <v>55</v>
      </c>
      <c r="Y1252">
        <v>1</v>
      </c>
      <c r="Z1252">
        <v>0</v>
      </c>
      <c r="AA1252">
        <v>1</v>
      </c>
      <c r="AB1252" t="s">
        <v>36</v>
      </c>
      <c r="AC1252">
        <v>55</v>
      </c>
    </row>
    <row r="1253" spans="1:30" x14ac:dyDescent="0.25">
      <c r="A1253" s="1">
        <v>44784.417453703703</v>
      </c>
      <c r="B1253" s="1">
        <v>44784.415590277778</v>
      </c>
      <c r="C1253">
        <v>12050</v>
      </c>
      <c r="D1253" t="s">
        <v>49</v>
      </c>
      <c r="E1253" t="s">
        <v>35</v>
      </c>
      <c r="F1253">
        <v>7</v>
      </c>
      <c r="G1253">
        <v>44.220573000000002</v>
      </c>
      <c r="H1253">
        <v>-71.732315</v>
      </c>
      <c r="I1253">
        <v>999</v>
      </c>
      <c r="J1253">
        <v>88</v>
      </c>
      <c r="K1253">
        <v>0</v>
      </c>
      <c r="L1253" s="1">
        <v>44784.417395833334</v>
      </c>
      <c r="M1253">
        <v>3.5</v>
      </c>
      <c r="N1253">
        <v>3.1</v>
      </c>
      <c r="O1253">
        <v>0.4</v>
      </c>
      <c r="P1253">
        <v>12</v>
      </c>
      <c r="Q1253">
        <v>0.1</v>
      </c>
      <c r="R1253">
        <v>0</v>
      </c>
      <c r="S1253">
        <v>0.05</v>
      </c>
      <c r="T1253" t="s">
        <v>33</v>
      </c>
      <c r="U1253">
        <v>3.3</v>
      </c>
      <c r="V1253">
        <v>38</v>
      </c>
      <c r="W1253">
        <v>0</v>
      </c>
      <c r="X1253">
        <v>38</v>
      </c>
      <c r="Y1253">
        <v>1</v>
      </c>
      <c r="Z1253">
        <v>0</v>
      </c>
      <c r="AA1253">
        <v>1</v>
      </c>
      <c r="AB1253" t="s">
        <v>36</v>
      </c>
      <c r="AC1253">
        <v>38</v>
      </c>
      <c r="AD1253">
        <v>1.51</v>
      </c>
    </row>
    <row r="1254" spans="1:30" x14ac:dyDescent="0.25">
      <c r="A1254" s="1">
        <v>44784.417453703703</v>
      </c>
      <c r="B1254" s="1">
        <v>44784.415706018517</v>
      </c>
      <c r="C1254">
        <v>23443</v>
      </c>
      <c r="D1254" t="s">
        <v>50</v>
      </c>
      <c r="E1254" t="s">
        <v>35</v>
      </c>
      <c r="F1254">
        <v>7</v>
      </c>
      <c r="G1254">
        <v>43.556139999999999</v>
      </c>
      <c r="H1254">
        <v>-72.370990000000006</v>
      </c>
      <c r="I1254">
        <v>523</v>
      </c>
      <c r="J1254">
        <v>83</v>
      </c>
      <c r="K1254">
        <v>0</v>
      </c>
      <c r="L1254" s="1">
        <v>44784.417395833334</v>
      </c>
      <c r="M1254">
        <v>5.3</v>
      </c>
      <c r="N1254">
        <v>4.8</v>
      </c>
      <c r="O1254">
        <v>0.5</v>
      </c>
      <c r="P1254">
        <v>10</v>
      </c>
      <c r="Q1254">
        <v>0.2</v>
      </c>
      <c r="R1254">
        <v>0.2</v>
      </c>
      <c r="S1254">
        <v>0.2</v>
      </c>
      <c r="T1254" t="s">
        <v>33</v>
      </c>
      <c r="U1254">
        <v>5.05</v>
      </c>
      <c r="V1254">
        <v>48</v>
      </c>
      <c r="W1254">
        <v>0</v>
      </c>
      <c r="X1254">
        <v>48</v>
      </c>
      <c r="Y1254">
        <v>1</v>
      </c>
      <c r="Z1254">
        <v>0</v>
      </c>
      <c r="AA1254">
        <v>1</v>
      </c>
      <c r="AB1254" t="s">
        <v>36</v>
      </c>
      <c r="AC1254">
        <v>48</v>
      </c>
      <c r="AD1254">
        <v>1.88</v>
      </c>
    </row>
    <row r="1255" spans="1:30" x14ac:dyDescent="0.25">
      <c r="A1255" s="1">
        <v>44784.417453703703</v>
      </c>
      <c r="B1255" s="1">
        <v>44784.415775462963</v>
      </c>
      <c r="C1255">
        <v>58135</v>
      </c>
      <c r="D1255" t="s">
        <v>51</v>
      </c>
      <c r="E1255" t="s">
        <v>35</v>
      </c>
      <c r="F1255">
        <v>7</v>
      </c>
      <c r="G1255">
        <v>42.883873000000001</v>
      </c>
      <c r="H1255">
        <v>-71.972915999999998</v>
      </c>
      <c r="I1255">
        <v>808</v>
      </c>
      <c r="J1255">
        <v>84</v>
      </c>
      <c r="K1255">
        <v>0</v>
      </c>
      <c r="L1255" s="1">
        <v>44784.417395833334</v>
      </c>
      <c r="M1255">
        <v>4.5999999999999996</v>
      </c>
      <c r="N1255">
        <v>3</v>
      </c>
      <c r="O1255">
        <v>1.6</v>
      </c>
      <c r="P1255">
        <v>42</v>
      </c>
      <c r="Q1255">
        <v>0.1</v>
      </c>
      <c r="R1255">
        <v>0</v>
      </c>
      <c r="S1255">
        <v>0.05</v>
      </c>
      <c r="T1255" t="s">
        <v>33</v>
      </c>
      <c r="U1255">
        <v>3.8</v>
      </c>
      <c r="V1255">
        <v>48</v>
      </c>
      <c r="W1255">
        <v>0</v>
      </c>
      <c r="X1255">
        <v>48</v>
      </c>
      <c r="Y1255">
        <v>1</v>
      </c>
      <c r="Z1255">
        <v>0</v>
      </c>
      <c r="AA1255">
        <v>1</v>
      </c>
      <c r="AB1255" t="s">
        <v>36</v>
      </c>
      <c r="AC1255">
        <v>48</v>
      </c>
      <c r="AD1255">
        <v>1.1200000000000001</v>
      </c>
    </row>
    <row r="1256" spans="1:30" x14ac:dyDescent="0.25">
      <c r="A1256" s="1">
        <v>44784.41746527778</v>
      </c>
      <c r="B1256" s="1">
        <v>44784.415821759256</v>
      </c>
      <c r="C1256">
        <v>148555</v>
      </c>
      <c r="D1256" t="s">
        <v>52</v>
      </c>
      <c r="E1256" t="s">
        <v>53</v>
      </c>
      <c r="F1256">
        <v>7</v>
      </c>
      <c r="G1256">
        <v>42.904949999999999</v>
      </c>
      <c r="H1256">
        <v>-71.386764999999997</v>
      </c>
      <c r="I1256">
        <v>363</v>
      </c>
      <c r="J1256">
        <v>0</v>
      </c>
      <c r="K1256">
        <v>0</v>
      </c>
      <c r="L1256" s="1">
        <v>44784.417395833334</v>
      </c>
      <c r="M1256">
        <v>4.7</v>
      </c>
      <c r="N1256">
        <v>5.6</v>
      </c>
      <c r="O1256">
        <v>0.9</v>
      </c>
      <c r="P1256">
        <v>17</v>
      </c>
      <c r="Q1256">
        <v>0.2</v>
      </c>
      <c r="R1256">
        <v>0.3</v>
      </c>
      <c r="S1256">
        <v>0.25</v>
      </c>
      <c r="T1256" t="s">
        <v>33</v>
      </c>
      <c r="U1256">
        <v>5.15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 t="s">
        <v>38</v>
      </c>
    </row>
    <row r="1257" spans="1:30" x14ac:dyDescent="0.25">
      <c r="A1257" s="1">
        <v>44784.41746527778</v>
      </c>
      <c r="B1257" s="1">
        <v>44784.416712962964</v>
      </c>
      <c r="C1257">
        <v>146644</v>
      </c>
      <c r="D1257" t="s">
        <v>54</v>
      </c>
      <c r="E1257" t="s">
        <v>53</v>
      </c>
      <c r="F1257">
        <v>7</v>
      </c>
      <c r="G1257">
        <v>43.06015</v>
      </c>
      <c r="H1257">
        <v>-70.758930000000007</v>
      </c>
      <c r="I1257">
        <v>35</v>
      </c>
      <c r="J1257">
        <v>76</v>
      </c>
      <c r="K1257">
        <v>77</v>
      </c>
      <c r="L1257" s="1">
        <v>44784.417395833334</v>
      </c>
      <c r="M1257">
        <v>11.9</v>
      </c>
      <c r="N1257">
        <v>10.6</v>
      </c>
      <c r="O1257">
        <v>1.3</v>
      </c>
      <c r="P1257">
        <v>12</v>
      </c>
      <c r="Q1257">
        <v>0.2</v>
      </c>
      <c r="R1257">
        <v>0.5</v>
      </c>
      <c r="S1257">
        <v>0.35</v>
      </c>
      <c r="T1257" t="s">
        <v>33</v>
      </c>
      <c r="U1257">
        <v>11.25</v>
      </c>
      <c r="V1257">
        <v>60</v>
      </c>
      <c r="W1257">
        <v>64</v>
      </c>
      <c r="X1257">
        <v>4</v>
      </c>
      <c r="Y1257">
        <v>1</v>
      </c>
      <c r="Z1257">
        <v>0</v>
      </c>
      <c r="AA1257">
        <v>1</v>
      </c>
      <c r="AB1257" t="s">
        <v>33</v>
      </c>
      <c r="AC1257">
        <v>62</v>
      </c>
      <c r="AD1257">
        <v>4.68</v>
      </c>
    </row>
    <row r="1258" spans="1:30" x14ac:dyDescent="0.25">
      <c r="A1258" s="1">
        <v>44784.41746527778</v>
      </c>
      <c r="B1258" s="1">
        <v>43755.283437500002</v>
      </c>
      <c r="C1258">
        <v>12188</v>
      </c>
      <c r="D1258" t="s">
        <v>55</v>
      </c>
      <c r="E1258" t="s">
        <v>35</v>
      </c>
      <c r="F1258">
        <v>4.1100000000000003</v>
      </c>
      <c r="G1258">
        <v>42.927050000000001</v>
      </c>
      <c r="H1258">
        <v>-72.279610000000005</v>
      </c>
      <c r="I1258">
        <v>475</v>
      </c>
      <c r="J1258">
        <v>95</v>
      </c>
      <c r="K1258">
        <v>0</v>
      </c>
      <c r="L1258" s="1">
        <v>44784.417395833334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 t="s">
        <v>32</v>
      </c>
      <c r="V1258">
        <v>77</v>
      </c>
      <c r="W1258">
        <v>0</v>
      </c>
      <c r="X1258">
        <v>77</v>
      </c>
      <c r="Y1258">
        <v>0</v>
      </c>
      <c r="Z1258">
        <v>0</v>
      </c>
      <c r="AA1258">
        <v>0</v>
      </c>
      <c r="AB1258" t="s">
        <v>36</v>
      </c>
      <c r="AC1258">
        <v>77</v>
      </c>
    </row>
    <row r="1259" spans="1:30" x14ac:dyDescent="0.25">
      <c r="A1259" s="1">
        <v>44784.41746527778</v>
      </c>
      <c r="B1259" s="1">
        <v>44784.415694444448</v>
      </c>
      <c r="C1259">
        <v>1224</v>
      </c>
      <c r="D1259" t="s">
        <v>56</v>
      </c>
      <c r="E1259" t="s">
        <v>35</v>
      </c>
      <c r="F1259" t="s">
        <v>57</v>
      </c>
      <c r="G1259">
        <v>42.938034000000002</v>
      </c>
      <c r="H1259">
        <v>-72.259299999999996</v>
      </c>
      <c r="I1259">
        <v>792</v>
      </c>
      <c r="J1259">
        <v>85</v>
      </c>
      <c r="K1259">
        <v>0</v>
      </c>
      <c r="L1259" s="1">
        <v>44784.417395833334</v>
      </c>
      <c r="M1259">
        <v>5</v>
      </c>
      <c r="N1259">
        <v>0</v>
      </c>
      <c r="O1259">
        <v>5</v>
      </c>
      <c r="P1259">
        <v>200</v>
      </c>
      <c r="Q1259">
        <v>0.1</v>
      </c>
      <c r="R1259">
        <v>0.1</v>
      </c>
      <c r="S1259">
        <v>0.1</v>
      </c>
      <c r="T1259" t="s">
        <v>43</v>
      </c>
      <c r="V1259">
        <v>59</v>
      </c>
      <c r="W1259">
        <v>0</v>
      </c>
      <c r="X1259">
        <v>59</v>
      </c>
      <c r="Y1259">
        <v>2</v>
      </c>
      <c r="Z1259">
        <v>0</v>
      </c>
      <c r="AA1259">
        <v>2</v>
      </c>
      <c r="AB1259" t="s">
        <v>36</v>
      </c>
      <c r="AC1259">
        <v>59</v>
      </c>
    </row>
    <row r="1260" spans="1:30" x14ac:dyDescent="0.25">
      <c r="A1260" s="1">
        <v>44784.41747685185</v>
      </c>
      <c r="B1260" s="1">
        <v>44784.416516203702</v>
      </c>
      <c r="C1260">
        <v>1202</v>
      </c>
      <c r="D1260" t="s">
        <v>58</v>
      </c>
      <c r="E1260" t="s">
        <v>35</v>
      </c>
      <c r="F1260" t="s">
        <v>57</v>
      </c>
      <c r="G1260">
        <v>42.936554000000001</v>
      </c>
      <c r="H1260">
        <v>-72.271019999999993</v>
      </c>
      <c r="I1260">
        <v>488</v>
      </c>
      <c r="J1260">
        <v>0</v>
      </c>
      <c r="K1260">
        <v>0</v>
      </c>
      <c r="L1260" s="1">
        <v>44784.417395833334</v>
      </c>
      <c r="M1260">
        <v>5.6</v>
      </c>
      <c r="N1260">
        <v>4.9000000000000004</v>
      </c>
      <c r="O1260">
        <v>0.7</v>
      </c>
      <c r="P1260">
        <v>13</v>
      </c>
      <c r="Q1260">
        <v>0.2</v>
      </c>
      <c r="R1260">
        <v>0.1</v>
      </c>
      <c r="S1260">
        <v>0.15</v>
      </c>
      <c r="T1260" t="s">
        <v>33</v>
      </c>
      <c r="U1260">
        <v>5.25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 t="s">
        <v>38</v>
      </c>
    </row>
    <row r="1261" spans="1:30" x14ac:dyDescent="0.25">
      <c r="A1261" s="1">
        <v>44784.41747685185</v>
      </c>
      <c r="B1261" s="1">
        <v>44612.080023148148</v>
      </c>
      <c r="C1261">
        <v>25985</v>
      </c>
      <c r="D1261" t="s">
        <v>59</v>
      </c>
      <c r="E1261" t="s">
        <v>35</v>
      </c>
      <c r="F1261">
        <v>6.01</v>
      </c>
      <c r="G1261">
        <v>42.927326000000001</v>
      </c>
      <c r="H1261">
        <v>-72.279979999999995</v>
      </c>
      <c r="I1261">
        <v>477</v>
      </c>
      <c r="J1261">
        <v>78</v>
      </c>
      <c r="K1261">
        <v>0</v>
      </c>
      <c r="L1261" s="1">
        <v>44784.417395833334</v>
      </c>
      <c r="M1261">
        <v>1.1000000000000001</v>
      </c>
      <c r="N1261">
        <v>1</v>
      </c>
      <c r="O1261">
        <v>0.1</v>
      </c>
      <c r="P1261">
        <v>10</v>
      </c>
      <c r="Q1261">
        <v>0</v>
      </c>
      <c r="R1261">
        <v>0</v>
      </c>
      <c r="S1261">
        <v>0</v>
      </c>
      <c r="T1261" t="s">
        <v>32</v>
      </c>
      <c r="V1261">
        <v>22</v>
      </c>
      <c r="W1261">
        <v>0</v>
      </c>
      <c r="X1261">
        <v>22</v>
      </c>
      <c r="Y1261">
        <v>0</v>
      </c>
      <c r="Z1261">
        <v>0</v>
      </c>
      <c r="AA1261">
        <v>0</v>
      </c>
      <c r="AB1261" t="s">
        <v>36</v>
      </c>
      <c r="AC1261">
        <v>22</v>
      </c>
    </row>
    <row r="1262" spans="1:30" x14ac:dyDescent="0.25">
      <c r="A1262" s="1">
        <v>44784.424351851849</v>
      </c>
      <c r="B1262" s="1">
        <v>44775.701319444444</v>
      </c>
      <c r="C1262">
        <v>151708</v>
      </c>
      <c r="D1262" t="s">
        <v>30</v>
      </c>
      <c r="E1262" t="s">
        <v>31</v>
      </c>
      <c r="F1262">
        <v>7</v>
      </c>
      <c r="G1262">
        <v>43.192042999999998</v>
      </c>
      <c r="H1262">
        <v>-71.541579999999996</v>
      </c>
      <c r="I1262">
        <v>291</v>
      </c>
      <c r="J1262">
        <v>93</v>
      </c>
      <c r="K1262">
        <v>94</v>
      </c>
      <c r="L1262" s="1">
        <v>44784.424340277779</v>
      </c>
      <c r="M1262">
        <v>7.9</v>
      </c>
      <c r="N1262">
        <v>7.6</v>
      </c>
      <c r="O1262">
        <v>0.3</v>
      </c>
      <c r="P1262">
        <v>4</v>
      </c>
      <c r="Q1262">
        <v>0</v>
      </c>
      <c r="R1262">
        <v>0</v>
      </c>
      <c r="S1262">
        <v>0</v>
      </c>
      <c r="T1262" t="s">
        <v>32</v>
      </c>
      <c r="V1262">
        <v>42</v>
      </c>
      <c r="W1262">
        <v>41</v>
      </c>
      <c r="X1262">
        <v>1</v>
      </c>
      <c r="Y1262">
        <v>0</v>
      </c>
      <c r="Z1262">
        <v>0</v>
      </c>
      <c r="AA1262">
        <v>0</v>
      </c>
      <c r="AB1262" t="s">
        <v>33</v>
      </c>
      <c r="AC1262">
        <v>41.5</v>
      </c>
    </row>
    <row r="1263" spans="1:30" x14ac:dyDescent="0.25">
      <c r="A1263" s="1">
        <v>44784.424363425926</v>
      </c>
      <c r="B1263" s="1">
        <v>44784.422673611109</v>
      </c>
      <c r="C1263">
        <v>143456</v>
      </c>
      <c r="D1263" t="s">
        <v>34</v>
      </c>
      <c r="E1263" t="s">
        <v>35</v>
      </c>
      <c r="F1263">
        <v>7</v>
      </c>
      <c r="G1263">
        <v>43.08963</v>
      </c>
      <c r="H1263">
        <v>-71.502440000000007</v>
      </c>
      <c r="I1263">
        <v>619</v>
      </c>
      <c r="J1263">
        <v>78</v>
      </c>
      <c r="K1263">
        <v>0</v>
      </c>
      <c r="L1263" s="1">
        <v>44784.424340277779</v>
      </c>
      <c r="M1263">
        <v>5.0999999999999996</v>
      </c>
      <c r="N1263">
        <v>5.6</v>
      </c>
      <c r="O1263">
        <v>0.5</v>
      </c>
      <c r="P1263">
        <v>9</v>
      </c>
      <c r="Q1263">
        <v>0.1</v>
      </c>
      <c r="R1263">
        <v>0.2</v>
      </c>
      <c r="S1263">
        <v>0.15</v>
      </c>
      <c r="T1263" t="s">
        <v>33</v>
      </c>
      <c r="U1263">
        <v>5.35</v>
      </c>
      <c r="V1263">
        <v>64</v>
      </c>
      <c r="W1263">
        <v>0</v>
      </c>
      <c r="X1263">
        <v>64</v>
      </c>
      <c r="Y1263">
        <v>1</v>
      </c>
      <c r="Z1263">
        <v>0</v>
      </c>
      <c r="AA1263">
        <v>1</v>
      </c>
      <c r="AB1263" t="s">
        <v>36</v>
      </c>
      <c r="AC1263">
        <v>64</v>
      </c>
      <c r="AD1263">
        <v>0.94</v>
      </c>
    </row>
    <row r="1264" spans="1:30" x14ac:dyDescent="0.25">
      <c r="A1264" s="1">
        <v>44784.424363425926</v>
      </c>
      <c r="B1264" s="1">
        <v>44784.422847222224</v>
      </c>
      <c r="C1264">
        <v>151702</v>
      </c>
      <c r="D1264" t="s">
        <v>37</v>
      </c>
      <c r="E1264" t="s">
        <v>31</v>
      </c>
      <c r="F1264">
        <v>7</v>
      </c>
      <c r="G1264">
        <v>43.118609999999997</v>
      </c>
      <c r="H1264">
        <v>-71.61618</v>
      </c>
      <c r="I1264">
        <v>885</v>
      </c>
      <c r="J1264">
        <v>0</v>
      </c>
      <c r="K1264">
        <v>0</v>
      </c>
      <c r="L1264" s="1">
        <v>44784.424340277779</v>
      </c>
      <c r="M1264">
        <v>5.5</v>
      </c>
      <c r="N1264">
        <v>5.3</v>
      </c>
      <c r="O1264">
        <v>0.2</v>
      </c>
      <c r="P1264">
        <v>4</v>
      </c>
      <c r="Q1264">
        <v>0.2</v>
      </c>
      <c r="R1264">
        <v>0.3</v>
      </c>
      <c r="S1264">
        <v>0.25</v>
      </c>
      <c r="T1264" t="s">
        <v>33</v>
      </c>
      <c r="U1264">
        <v>5.4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 t="s">
        <v>38</v>
      </c>
    </row>
    <row r="1265" spans="1:30" x14ac:dyDescent="0.25">
      <c r="A1265" s="1">
        <v>44784.424363425926</v>
      </c>
      <c r="B1265" s="1">
        <v>44784.422743055555</v>
      </c>
      <c r="C1265">
        <v>151700</v>
      </c>
      <c r="D1265" t="s">
        <v>30</v>
      </c>
      <c r="E1265" t="s">
        <v>31</v>
      </c>
      <c r="F1265">
        <v>7</v>
      </c>
      <c r="G1265">
        <v>43.19211</v>
      </c>
      <c r="H1265">
        <v>-71.541460000000001</v>
      </c>
      <c r="I1265">
        <v>286</v>
      </c>
      <c r="J1265">
        <v>77</v>
      </c>
      <c r="K1265">
        <v>0</v>
      </c>
      <c r="L1265" s="1">
        <v>44784.424340277779</v>
      </c>
      <c r="M1265">
        <v>5.5</v>
      </c>
      <c r="N1265">
        <v>6.2</v>
      </c>
      <c r="O1265">
        <v>0.7</v>
      </c>
      <c r="P1265">
        <v>12</v>
      </c>
      <c r="Q1265">
        <v>0.3</v>
      </c>
      <c r="R1265">
        <v>0.1</v>
      </c>
      <c r="S1265">
        <v>0.2</v>
      </c>
      <c r="T1265" t="s">
        <v>33</v>
      </c>
      <c r="U1265">
        <v>5.85</v>
      </c>
      <c r="V1265">
        <v>60</v>
      </c>
      <c r="W1265">
        <v>0</v>
      </c>
      <c r="X1265">
        <v>60</v>
      </c>
      <c r="Y1265">
        <v>1</v>
      </c>
      <c r="Z1265">
        <v>0</v>
      </c>
      <c r="AA1265">
        <v>1</v>
      </c>
      <c r="AB1265" t="s">
        <v>36</v>
      </c>
      <c r="AC1265">
        <v>60</v>
      </c>
      <c r="AD1265">
        <v>1.53</v>
      </c>
    </row>
    <row r="1266" spans="1:30" x14ac:dyDescent="0.25">
      <c r="A1266" s="1">
        <v>44784.424375000002</v>
      </c>
      <c r="B1266" s="1">
        <v>44784.423171296294</v>
      </c>
      <c r="C1266">
        <v>135984</v>
      </c>
      <c r="D1266" t="s">
        <v>39</v>
      </c>
      <c r="E1266" t="s">
        <v>31</v>
      </c>
      <c r="F1266">
        <v>7</v>
      </c>
      <c r="G1266">
        <v>43.565852999999997</v>
      </c>
      <c r="H1266">
        <v>-71.496129999999994</v>
      </c>
      <c r="I1266">
        <v>708</v>
      </c>
      <c r="J1266">
        <v>85</v>
      </c>
      <c r="K1266">
        <v>0</v>
      </c>
      <c r="L1266" s="1">
        <v>44784.424340277779</v>
      </c>
      <c r="M1266">
        <v>4</v>
      </c>
      <c r="N1266">
        <v>3.1</v>
      </c>
      <c r="O1266">
        <v>0.9</v>
      </c>
      <c r="P1266">
        <v>25</v>
      </c>
      <c r="Q1266">
        <v>0.1</v>
      </c>
      <c r="R1266">
        <v>0.1</v>
      </c>
      <c r="S1266">
        <v>0.1</v>
      </c>
      <c r="T1266" t="s">
        <v>33</v>
      </c>
      <c r="U1266">
        <v>3.55</v>
      </c>
      <c r="V1266">
        <v>61</v>
      </c>
      <c r="W1266">
        <v>0</v>
      </c>
      <c r="X1266">
        <v>61</v>
      </c>
      <c r="Y1266">
        <v>1</v>
      </c>
      <c r="Z1266">
        <v>0</v>
      </c>
      <c r="AA1266">
        <v>1</v>
      </c>
      <c r="AB1266" t="s">
        <v>36</v>
      </c>
      <c r="AC1266">
        <v>61</v>
      </c>
      <c r="AD1266">
        <v>0.06</v>
      </c>
    </row>
    <row r="1267" spans="1:30" x14ac:dyDescent="0.25">
      <c r="A1267" s="1">
        <v>44784.424375000002</v>
      </c>
      <c r="B1267" s="1">
        <v>44780.394780092596</v>
      </c>
      <c r="C1267">
        <v>151712</v>
      </c>
      <c r="D1267" t="s">
        <v>40</v>
      </c>
      <c r="E1267" t="s">
        <v>31</v>
      </c>
      <c r="F1267">
        <v>7</v>
      </c>
      <c r="G1267">
        <v>43.289763999999998</v>
      </c>
      <c r="H1267">
        <v>-71.564260000000004</v>
      </c>
      <c r="I1267">
        <v>370</v>
      </c>
      <c r="J1267">
        <v>86</v>
      </c>
      <c r="K1267">
        <v>0</v>
      </c>
      <c r="L1267" s="1">
        <v>44784.424340277779</v>
      </c>
      <c r="M1267">
        <v>14</v>
      </c>
      <c r="N1267">
        <v>13.2</v>
      </c>
      <c r="O1267">
        <v>0.8</v>
      </c>
      <c r="P1267">
        <v>6</v>
      </c>
      <c r="Q1267">
        <v>0</v>
      </c>
      <c r="R1267">
        <v>0</v>
      </c>
      <c r="S1267">
        <v>0</v>
      </c>
      <c r="T1267" t="s">
        <v>32</v>
      </c>
      <c r="V1267">
        <v>59</v>
      </c>
      <c r="W1267">
        <v>0</v>
      </c>
      <c r="X1267">
        <v>59</v>
      </c>
      <c r="Y1267">
        <v>0</v>
      </c>
      <c r="Z1267">
        <v>0</v>
      </c>
      <c r="AA1267">
        <v>0</v>
      </c>
      <c r="AB1267" t="s">
        <v>36</v>
      </c>
      <c r="AC1267">
        <v>59</v>
      </c>
    </row>
    <row r="1268" spans="1:30" x14ac:dyDescent="0.25">
      <c r="A1268" s="1">
        <v>44784.424375000002</v>
      </c>
      <c r="B1268" s="1">
        <v>44784.422465277778</v>
      </c>
      <c r="C1268">
        <v>151710</v>
      </c>
      <c r="D1268" t="s">
        <v>41</v>
      </c>
      <c r="E1268" t="s">
        <v>31</v>
      </c>
      <c r="F1268">
        <v>7</v>
      </c>
      <c r="G1268">
        <v>43.132477000000002</v>
      </c>
      <c r="H1268">
        <v>-71.458374000000006</v>
      </c>
      <c r="I1268">
        <v>230</v>
      </c>
      <c r="J1268">
        <v>83</v>
      </c>
      <c r="K1268">
        <v>0</v>
      </c>
      <c r="L1268" s="1">
        <v>44784.424340277779</v>
      </c>
      <c r="M1268">
        <v>7.7</v>
      </c>
      <c r="N1268">
        <v>6.2</v>
      </c>
      <c r="O1268">
        <v>1.5</v>
      </c>
      <c r="P1268">
        <v>22</v>
      </c>
      <c r="Q1268">
        <v>0</v>
      </c>
      <c r="R1268">
        <v>0</v>
      </c>
      <c r="S1268">
        <v>0</v>
      </c>
      <c r="T1268" t="s">
        <v>33</v>
      </c>
      <c r="U1268">
        <v>6.95</v>
      </c>
      <c r="V1268">
        <v>49</v>
      </c>
      <c r="W1268">
        <v>0</v>
      </c>
      <c r="X1268">
        <v>49</v>
      </c>
      <c r="Y1268">
        <v>1</v>
      </c>
      <c r="Z1268">
        <v>0</v>
      </c>
      <c r="AA1268">
        <v>1</v>
      </c>
      <c r="AB1268" t="s">
        <v>36</v>
      </c>
      <c r="AC1268">
        <v>49</v>
      </c>
      <c r="AD1268">
        <v>2.97</v>
      </c>
    </row>
    <row r="1269" spans="1:30" x14ac:dyDescent="0.25">
      <c r="A1269" s="1">
        <v>44784.424386574072</v>
      </c>
      <c r="B1269" s="1">
        <v>44784.423530092594</v>
      </c>
      <c r="C1269">
        <v>151706</v>
      </c>
      <c r="D1269" t="s">
        <v>42</v>
      </c>
      <c r="E1269" t="s">
        <v>31</v>
      </c>
      <c r="F1269">
        <v>7</v>
      </c>
      <c r="G1269">
        <v>43.004080000000002</v>
      </c>
      <c r="H1269">
        <v>-71.177040000000005</v>
      </c>
      <c r="I1269">
        <v>194</v>
      </c>
      <c r="J1269">
        <v>80</v>
      </c>
      <c r="K1269">
        <v>0</v>
      </c>
      <c r="L1269" s="1">
        <v>44784.424340277779</v>
      </c>
      <c r="M1269">
        <v>6.6</v>
      </c>
      <c r="N1269">
        <v>0</v>
      </c>
      <c r="O1269">
        <v>6.6</v>
      </c>
      <c r="P1269">
        <v>200</v>
      </c>
      <c r="Q1269">
        <v>0.1</v>
      </c>
      <c r="R1269">
        <v>0</v>
      </c>
      <c r="S1269">
        <v>0.05</v>
      </c>
      <c r="T1269" t="s">
        <v>43</v>
      </c>
      <c r="V1269">
        <v>56</v>
      </c>
      <c r="W1269">
        <v>0</v>
      </c>
      <c r="X1269">
        <v>56</v>
      </c>
      <c r="Y1269">
        <v>0</v>
      </c>
      <c r="Z1269">
        <v>0</v>
      </c>
      <c r="AA1269">
        <v>0</v>
      </c>
      <c r="AB1269" t="s">
        <v>36</v>
      </c>
      <c r="AC1269">
        <v>56</v>
      </c>
    </row>
    <row r="1270" spans="1:30" x14ac:dyDescent="0.25">
      <c r="A1270" s="1">
        <v>44784.424386574072</v>
      </c>
      <c r="B1270" s="1">
        <v>44784.423275462963</v>
      </c>
      <c r="C1270">
        <v>12212</v>
      </c>
      <c r="D1270" t="s">
        <v>44</v>
      </c>
      <c r="E1270" t="s">
        <v>35</v>
      </c>
      <c r="F1270">
        <v>7</v>
      </c>
      <c r="G1270">
        <v>42.930529999999997</v>
      </c>
      <c r="H1270">
        <v>-72.272350000000003</v>
      </c>
      <c r="I1270">
        <v>476</v>
      </c>
      <c r="J1270">
        <v>85</v>
      </c>
      <c r="K1270">
        <v>0</v>
      </c>
      <c r="L1270" s="1">
        <v>44784.424340277779</v>
      </c>
      <c r="M1270">
        <v>5</v>
      </c>
      <c r="N1270">
        <v>4.4000000000000004</v>
      </c>
      <c r="O1270">
        <v>0.6</v>
      </c>
      <c r="P1270">
        <v>13</v>
      </c>
      <c r="Q1270">
        <v>0.2</v>
      </c>
      <c r="R1270">
        <v>0.1</v>
      </c>
      <c r="S1270">
        <v>0.15</v>
      </c>
      <c r="T1270" t="s">
        <v>33</v>
      </c>
      <c r="U1270">
        <v>4.7</v>
      </c>
      <c r="V1270">
        <v>55</v>
      </c>
      <c r="W1270">
        <v>0</v>
      </c>
      <c r="X1270">
        <v>55</v>
      </c>
      <c r="Y1270">
        <v>6</v>
      </c>
      <c r="Z1270">
        <v>0</v>
      </c>
      <c r="AA1270">
        <v>6</v>
      </c>
      <c r="AB1270" t="s">
        <v>36</v>
      </c>
      <c r="AC1270">
        <v>55</v>
      </c>
      <c r="AD1270">
        <v>1.18</v>
      </c>
    </row>
    <row r="1271" spans="1:30" x14ac:dyDescent="0.25">
      <c r="A1271" s="1">
        <v>44784.424386574072</v>
      </c>
      <c r="B1271" s="1">
        <v>44769.376736111109</v>
      </c>
      <c r="C1271">
        <v>12178</v>
      </c>
      <c r="D1271" t="s">
        <v>45</v>
      </c>
      <c r="E1271" t="s">
        <v>35</v>
      </c>
      <c r="F1271">
        <v>7</v>
      </c>
      <c r="G1271">
        <v>42.899563000000001</v>
      </c>
      <c r="H1271">
        <v>-71.464650000000006</v>
      </c>
      <c r="I1271">
        <v>301</v>
      </c>
      <c r="J1271">
        <v>85</v>
      </c>
      <c r="K1271">
        <v>0</v>
      </c>
      <c r="L1271" s="1">
        <v>44784.424340277779</v>
      </c>
      <c r="M1271">
        <v>3.8</v>
      </c>
      <c r="N1271">
        <v>3.1</v>
      </c>
      <c r="O1271">
        <v>0.7</v>
      </c>
      <c r="P1271">
        <v>20</v>
      </c>
      <c r="Q1271">
        <v>0</v>
      </c>
      <c r="R1271">
        <v>0</v>
      </c>
      <c r="S1271">
        <v>0</v>
      </c>
      <c r="T1271" t="s">
        <v>32</v>
      </c>
      <c r="V1271">
        <v>35</v>
      </c>
      <c r="W1271">
        <v>0</v>
      </c>
      <c r="X1271">
        <v>35</v>
      </c>
      <c r="Y1271">
        <v>0</v>
      </c>
      <c r="Z1271">
        <v>0</v>
      </c>
      <c r="AA1271">
        <v>0</v>
      </c>
      <c r="AB1271" t="s">
        <v>36</v>
      </c>
      <c r="AC1271">
        <v>35</v>
      </c>
    </row>
    <row r="1272" spans="1:30" x14ac:dyDescent="0.25">
      <c r="A1272" s="1">
        <v>44784.424386574072</v>
      </c>
      <c r="B1272" s="1">
        <v>44784.422581018516</v>
      </c>
      <c r="C1272">
        <v>75981</v>
      </c>
      <c r="D1272" t="s">
        <v>46</v>
      </c>
      <c r="E1272" t="s">
        <v>35</v>
      </c>
      <c r="F1272">
        <v>7</v>
      </c>
      <c r="G1272">
        <v>42.97</v>
      </c>
      <c r="H1272">
        <v>-71.06</v>
      </c>
      <c r="I1272">
        <v>136</v>
      </c>
      <c r="J1272">
        <v>81</v>
      </c>
      <c r="K1272">
        <v>0</v>
      </c>
      <c r="L1272" s="1">
        <v>44784.424340277779</v>
      </c>
      <c r="M1272">
        <v>9.3000000000000007</v>
      </c>
      <c r="N1272">
        <v>8.6</v>
      </c>
      <c r="O1272">
        <v>0.7</v>
      </c>
      <c r="P1272">
        <v>8</v>
      </c>
      <c r="Q1272">
        <v>0</v>
      </c>
      <c r="R1272">
        <v>0.2</v>
      </c>
      <c r="S1272">
        <v>0.1</v>
      </c>
      <c r="T1272" t="s">
        <v>33</v>
      </c>
      <c r="U1272">
        <v>8.9499999999999993</v>
      </c>
      <c r="V1272">
        <v>57</v>
      </c>
      <c r="W1272">
        <v>0</v>
      </c>
      <c r="X1272">
        <v>57</v>
      </c>
      <c r="Y1272">
        <v>0</v>
      </c>
      <c r="Z1272">
        <v>0</v>
      </c>
      <c r="AA1272">
        <v>0</v>
      </c>
      <c r="AB1272" t="s">
        <v>36</v>
      </c>
      <c r="AC1272">
        <v>57</v>
      </c>
      <c r="AD1272">
        <v>3.63</v>
      </c>
    </row>
    <row r="1273" spans="1:30" x14ac:dyDescent="0.25">
      <c r="A1273" s="1">
        <v>44784.424398148149</v>
      </c>
      <c r="B1273" s="1">
        <v>44784.423113425924</v>
      </c>
      <c r="C1273">
        <v>115703</v>
      </c>
      <c r="D1273" t="s">
        <v>47</v>
      </c>
      <c r="E1273" t="s">
        <v>35</v>
      </c>
      <c r="F1273">
        <v>7</v>
      </c>
      <c r="G1273">
        <v>43.953625000000002</v>
      </c>
      <c r="H1273">
        <v>-71.508859999999999</v>
      </c>
      <c r="I1273">
        <v>1493</v>
      </c>
      <c r="J1273">
        <v>75</v>
      </c>
      <c r="K1273">
        <v>0</v>
      </c>
      <c r="L1273" s="1">
        <v>44784.424340277779</v>
      </c>
      <c r="M1273">
        <v>0</v>
      </c>
      <c r="N1273">
        <v>300.89999999999998</v>
      </c>
      <c r="O1273">
        <v>300.89999999999998</v>
      </c>
      <c r="P1273">
        <v>200</v>
      </c>
      <c r="Q1273">
        <v>0</v>
      </c>
      <c r="R1273">
        <v>0</v>
      </c>
      <c r="S1273">
        <v>0</v>
      </c>
      <c r="T1273" t="s">
        <v>48</v>
      </c>
      <c r="V1273">
        <v>54</v>
      </c>
      <c r="W1273">
        <v>0</v>
      </c>
      <c r="X1273">
        <v>54</v>
      </c>
      <c r="Y1273">
        <v>1</v>
      </c>
      <c r="Z1273">
        <v>0</v>
      </c>
      <c r="AA1273">
        <v>1</v>
      </c>
      <c r="AB1273" t="s">
        <v>36</v>
      </c>
      <c r="AC1273">
        <v>54</v>
      </c>
    </row>
    <row r="1274" spans="1:30" x14ac:dyDescent="0.25">
      <c r="A1274" s="1">
        <v>44784.424398148149</v>
      </c>
      <c r="B1274" s="1">
        <v>44784.422534722224</v>
      </c>
      <c r="C1274">
        <v>12050</v>
      </c>
      <c r="D1274" t="s">
        <v>49</v>
      </c>
      <c r="E1274" t="s">
        <v>35</v>
      </c>
      <c r="F1274">
        <v>7</v>
      </c>
      <c r="G1274">
        <v>44.220573000000002</v>
      </c>
      <c r="H1274">
        <v>-71.732315</v>
      </c>
      <c r="I1274">
        <v>999</v>
      </c>
      <c r="J1274">
        <v>89</v>
      </c>
      <c r="K1274">
        <v>0</v>
      </c>
      <c r="L1274" s="1">
        <v>44784.424340277779</v>
      </c>
      <c r="M1274">
        <v>3.6</v>
      </c>
      <c r="N1274">
        <v>3.1</v>
      </c>
      <c r="O1274">
        <v>0.5</v>
      </c>
      <c r="P1274">
        <v>15</v>
      </c>
      <c r="Q1274">
        <v>0.1</v>
      </c>
      <c r="R1274">
        <v>0</v>
      </c>
      <c r="S1274">
        <v>0.05</v>
      </c>
      <c r="T1274" t="s">
        <v>33</v>
      </c>
      <c r="U1274">
        <v>3.35</v>
      </c>
      <c r="V1274">
        <v>37</v>
      </c>
      <c r="W1274">
        <v>0</v>
      </c>
      <c r="X1274">
        <v>37</v>
      </c>
      <c r="Y1274">
        <v>1</v>
      </c>
      <c r="Z1274">
        <v>0</v>
      </c>
      <c r="AA1274">
        <v>1</v>
      </c>
      <c r="AB1274" t="s">
        <v>36</v>
      </c>
      <c r="AC1274">
        <v>37</v>
      </c>
      <c r="AD1274">
        <v>1.61</v>
      </c>
    </row>
    <row r="1275" spans="1:30" x14ac:dyDescent="0.25">
      <c r="A1275" s="1">
        <v>44784.424398148149</v>
      </c>
      <c r="B1275" s="1">
        <v>44784.422650462962</v>
      </c>
      <c r="C1275">
        <v>23443</v>
      </c>
      <c r="D1275" t="s">
        <v>50</v>
      </c>
      <c r="E1275" t="s">
        <v>35</v>
      </c>
      <c r="F1275">
        <v>7</v>
      </c>
      <c r="G1275">
        <v>43.556139999999999</v>
      </c>
      <c r="H1275">
        <v>-72.370990000000006</v>
      </c>
      <c r="I1275">
        <v>523</v>
      </c>
      <c r="J1275">
        <v>84</v>
      </c>
      <c r="K1275">
        <v>0</v>
      </c>
      <c r="L1275" s="1">
        <v>44784.424340277779</v>
      </c>
      <c r="M1275">
        <v>5</v>
      </c>
      <c r="N1275">
        <v>4.5</v>
      </c>
      <c r="O1275">
        <v>0.5</v>
      </c>
      <c r="P1275">
        <v>11</v>
      </c>
      <c r="Q1275">
        <v>0.3</v>
      </c>
      <c r="R1275">
        <v>0.3</v>
      </c>
      <c r="S1275">
        <v>0.3</v>
      </c>
      <c r="T1275" t="s">
        <v>33</v>
      </c>
      <c r="U1275">
        <v>4.75</v>
      </c>
      <c r="V1275">
        <v>47</v>
      </c>
      <c r="W1275">
        <v>0</v>
      </c>
      <c r="X1275">
        <v>47</v>
      </c>
      <c r="Y1275">
        <v>1</v>
      </c>
      <c r="Z1275">
        <v>0</v>
      </c>
      <c r="AA1275">
        <v>1</v>
      </c>
      <c r="AB1275" t="s">
        <v>36</v>
      </c>
      <c r="AC1275">
        <v>47</v>
      </c>
      <c r="AD1275">
        <v>1.77</v>
      </c>
    </row>
    <row r="1276" spans="1:30" x14ac:dyDescent="0.25">
      <c r="A1276" s="1">
        <v>44784.424409722225</v>
      </c>
      <c r="B1276" s="1">
        <v>44784.422719907408</v>
      </c>
      <c r="C1276">
        <v>58135</v>
      </c>
      <c r="D1276" t="s">
        <v>51</v>
      </c>
      <c r="E1276" t="s">
        <v>35</v>
      </c>
      <c r="F1276">
        <v>7</v>
      </c>
      <c r="G1276">
        <v>42.883873000000001</v>
      </c>
      <c r="H1276">
        <v>-71.972915999999998</v>
      </c>
      <c r="I1276">
        <v>808</v>
      </c>
      <c r="J1276">
        <v>84</v>
      </c>
      <c r="K1276">
        <v>0</v>
      </c>
      <c r="L1276" s="1">
        <v>44784.424340277779</v>
      </c>
      <c r="M1276">
        <v>4.3</v>
      </c>
      <c r="N1276">
        <v>2.7</v>
      </c>
      <c r="O1276">
        <v>1.6</v>
      </c>
      <c r="P1276">
        <v>46</v>
      </c>
      <c r="Q1276">
        <v>0.3</v>
      </c>
      <c r="R1276">
        <v>0.3</v>
      </c>
      <c r="S1276">
        <v>0.3</v>
      </c>
      <c r="T1276" t="s">
        <v>33</v>
      </c>
      <c r="U1276">
        <v>3.5</v>
      </c>
      <c r="V1276">
        <v>46</v>
      </c>
      <c r="W1276">
        <v>0</v>
      </c>
      <c r="X1276">
        <v>46</v>
      </c>
      <c r="Y1276">
        <v>2</v>
      </c>
      <c r="Z1276">
        <v>0</v>
      </c>
      <c r="AA1276">
        <v>2</v>
      </c>
      <c r="AB1276" t="s">
        <v>36</v>
      </c>
      <c r="AC1276">
        <v>46</v>
      </c>
      <c r="AD1276">
        <v>1.07</v>
      </c>
    </row>
    <row r="1277" spans="1:30" x14ac:dyDescent="0.25">
      <c r="A1277" s="1">
        <v>44784.424490740741</v>
      </c>
      <c r="B1277" s="1">
        <v>44784.424155092594</v>
      </c>
      <c r="C1277">
        <v>148555</v>
      </c>
      <c r="D1277" t="s">
        <v>52</v>
      </c>
      <c r="E1277" t="s">
        <v>53</v>
      </c>
      <c r="F1277">
        <v>7</v>
      </c>
      <c r="G1277">
        <v>42.904949999999999</v>
      </c>
      <c r="H1277">
        <v>-71.386764999999997</v>
      </c>
      <c r="I1277">
        <v>363</v>
      </c>
      <c r="J1277">
        <v>0</v>
      </c>
      <c r="K1277">
        <v>0</v>
      </c>
      <c r="L1277" s="1">
        <v>44784.424340277779</v>
      </c>
      <c r="M1277">
        <v>4.9000000000000004</v>
      </c>
      <c r="N1277">
        <v>5.6</v>
      </c>
      <c r="O1277">
        <v>0.7</v>
      </c>
      <c r="P1277">
        <v>13</v>
      </c>
      <c r="Q1277">
        <v>0.2</v>
      </c>
      <c r="R1277">
        <v>0</v>
      </c>
      <c r="S1277">
        <v>0.1</v>
      </c>
      <c r="T1277" t="s">
        <v>33</v>
      </c>
      <c r="U1277">
        <v>5.25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 t="s">
        <v>38</v>
      </c>
    </row>
    <row r="1278" spans="1:30" x14ac:dyDescent="0.25">
      <c r="A1278" s="1">
        <v>44784.424490740741</v>
      </c>
      <c r="B1278" s="1">
        <v>44784.423657407409</v>
      </c>
      <c r="C1278">
        <v>146644</v>
      </c>
      <c r="D1278" t="s">
        <v>54</v>
      </c>
      <c r="E1278" t="s">
        <v>53</v>
      </c>
      <c r="F1278">
        <v>7</v>
      </c>
      <c r="G1278">
        <v>43.06015</v>
      </c>
      <c r="H1278">
        <v>-70.758930000000007</v>
      </c>
      <c r="I1278">
        <v>35</v>
      </c>
      <c r="J1278">
        <v>76</v>
      </c>
      <c r="K1278">
        <v>78</v>
      </c>
      <c r="L1278" s="1">
        <v>44784.424340277779</v>
      </c>
      <c r="M1278">
        <v>11.9</v>
      </c>
      <c r="N1278">
        <v>10.7</v>
      </c>
      <c r="O1278">
        <v>1.2</v>
      </c>
      <c r="P1278">
        <v>11</v>
      </c>
      <c r="Q1278">
        <v>0</v>
      </c>
      <c r="R1278">
        <v>0.1</v>
      </c>
      <c r="S1278">
        <v>0.05</v>
      </c>
      <c r="T1278" t="s">
        <v>33</v>
      </c>
      <c r="U1278">
        <v>11.3</v>
      </c>
      <c r="V1278">
        <v>61</v>
      </c>
      <c r="W1278">
        <v>65</v>
      </c>
      <c r="X1278">
        <v>4</v>
      </c>
      <c r="Y1278">
        <v>1</v>
      </c>
      <c r="Z1278">
        <v>1</v>
      </c>
      <c r="AA1278">
        <v>0</v>
      </c>
      <c r="AB1278" t="s">
        <v>33</v>
      </c>
      <c r="AC1278">
        <v>63</v>
      </c>
      <c r="AD1278">
        <v>4.6399999999999997</v>
      </c>
    </row>
    <row r="1279" spans="1:30" x14ac:dyDescent="0.25">
      <c r="A1279" s="1">
        <v>44784.424490740741</v>
      </c>
      <c r="B1279" s="1">
        <v>43755.283437500002</v>
      </c>
      <c r="C1279">
        <v>12188</v>
      </c>
      <c r="D1279" t="s">
        <v>55</v>
      </c>
      <c r="E1279" t="s">
        <v>35</v>
      </c>
      <c r="F1279">
        <v>4.1100000000000003</v>
      </c>
      <c r="G1279">
        <v>42.927050000000001</v>
      </c>
      <c r="H1279">
        <v>-72.279610000000005</v>
      </c>
      <c r="I1279">
        <v>475</v>
      </c>
      <c r="J1279">
        <v>95</v>
      </c>
      <c r="K1279">
        <v>0</v>
      </c>
      <c r="L1279" s="1">
        <v>44784.424340277779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 t="s">
        <v>32</v>
      </c>
      <c r="V1279">
        <v>77</v>
      </c>
      <c r="W1279">
        <v>0</v>
      </c>
      <c r="X1279">
        <v>77</v>
      </c>
      <c r="Y1279">
        <v>0</v>
      </c>
      <c r="Z1279">
        <v>0</v>
      </c>
      <c r="AA1279">
        <v>0</v>
      </c>
      <c r="AB1279" t="s">
        <v>36</v>
      </c>
      <c r="AC1279">
        <v>77</v>
      </c>
    </row>
    <row r="1280" spans="1:30" x14ac:dyDescent="0.25">
      <c r="A1280" s="1">
        <v>44784.424502314818</v>
      </c>
      <c r="B1280" s="1">
        <v>44784.424027777779</v>
      </c>
      <c r="C1280">
        <v>1224</v>
      </c>
      <c r="D1280" t="s">
        <v>56</v>
      </c>
      <c r="E1280" t="s">
        <v>35</v>
      </c>
      <c r="F1280" t="s">
        <v>57</v>
      </c>
      <c r="G1280">
        <v>42.938034000000002</v>
      </c>
      <c r="H1280">
        <v>-72.259299999999996</v>
      </c>
      <c r="I1280">
        <v>792</v>
      </c>
      <c r="J1280">
        <v>86</v>
      </c>
      <c r="K1280">
        <v>0</v>
      </c>
      <c r="L1280" s="1">
        <v>44784.424340277779</v>
      </c>
      <c r="M1280">
        <v>5.0999999999999996</v>
      </c>
      <c r="N1280">
        <v>0.1</v>
      </c>
      <c r="O1280">
        <v>5</v>
      </c>
      <c r="P1280">
        <v>192</v>
      </c>
      <c r="Q1280">
        <v>0.1</v>
      </c>
      <c r="R1280">
        <v>0.1</v>
      </c>
      <c r="S1280">
        <v>0.1</v>
      </c>
      <c r="T1280" t="s">
        <v>33</v>
      </c>
      <c r="U1280">
        <v>2.6</v>
      </c>
      <c r="V1280">
        <v>58</v>
      </c>
      <c r="W1280">
        <v>0</v>
      </c>
      <c r="X1280">
        <v>58</v>
      </c>
      <c r="Y1280">
        <v>1</v>
      </c>
      <c r="Z1280">
        <v>0</v>
      </c>
      <c r="AA1280">
        <v>1</v>
      </c>
      <c r="AB1280" t="s">
        <v>36</v>
      </c>
      <c r="AC1280">
        <v>58</v>
      </c>
      <c r="AD1280">
        <v>-0.31</v>
      </c>
    </row>
    <row r="1281" spans="1:30" x14ac:dyDescent="0.25">
      <c r="A1281" s="1">
        <v>44784.424502314818</v>
      </c>
      <c r="B1281" s="1">
        <v>44784.423472222225</v>
      </c>
      <c r="C1281">
        <v>1202</v>
      </c>
      <c r="D1281" t="s">
        <v>58</v>
      </c>
      <c r="E1281" t="s">
        <v>35</v>
      </c>
      <c r="F1281" t="s">
        <v>57</v>
      </c>
      <c r="G1281">
        <v>42.936554000000001</v>
      </c>
      <c r="H1281">
        <v>-72.271019999999993</v>
      </c>
      <c r="I1281">
        <v>488</v>
      </c>
      <c r="J1281">
        <v>0</v>
      </c>
      <c r="K1281">
        <v>0</v>
      </c>
      <c r="L1281" s="1">
        <v>44784.424340277779</v>
      </c>
      <c r="M1281">
        <v>5.7</v>
      </c>
      <c r="N1281">
        <v>5.0999999999999996</v>
      </c>
      <c r="O1281">
        <v>0.6</v>
      </c>
      <c r="P1281">
        <v>11</v>
      </c>
      <c r="Q1281">
        <v>0.1</v>
      </c>
      <c r="R1281">
        <v>0.2</v>
      </c>
      <c r="S1281">
        <v>0.15</v>
      </c>
      <c r="T1281" t="s">
        <v>33</v>
      </c>
      <c r="U1281">
        <v>5.4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 t="s">
        <v>38</v>
      </c>
    </row>
    <row r="1282" spans="1:30" x14ac:dyDescent="0.25">
      <c r="A1282" s="1">
        <v>44784.424502314818</v>
      </c>
      <c r="B1282" s="1">
        <v>44612.080023148148</v>
      </c>
      <c r="C1282">
        <v>25985</v>
      </c>
      <c r="D1282" t="s">
        <v>59</v>
      </c>
      <c r="E1282" t="s">
        <v>35</v>
      </c>
      <c r="F1282">
        <v>6.01</v>
      </c>
      <c r="G1282">
        <v>42.927326000000001</v>
      </c>
      <c r="H1282">
        <v>-72.279979999999995</v>
      </c>
      <c r="I1282">
        <v>477</v>
      </c>
      <c r="J1282">
        <v>78</v>
      </c>
      <c r="K1282">
        <v>0</v>
      </c>
      <c r="L1282" s="1">
        <v>44784.424340277779</v>
      </c>
      <c r="M1282">
        <v>1.1000000000000001</v>
      </c>
      <c r="N1282">
        <v>1</v>
      </c>
      <c r="O1282">
        <v>0.1</v>
      </c>
      <c r="P1282">
        <v>10</v>
      </c>
      <c r="Q1282">
        <v>0</v>
      </c>
      <c r="R1282">
        <v>0</v>
      </c>
      <c r="S1282">
        <v>0</v>
      </c>
      <c r="T1282" t="s">
        <v>32</v>
      </c>
      <c r="V1282">
        <v>22</v>
      </c>
      <c r="W1282">
        <v>0</v>
      </c>
      <c r="X1282">
        <v>22</v>
      </c>
      <c r="Y1282">
        <v>0</v>
      </c>
      <c r="Z1282">
        <v>0</v>
      </c>
      <c r="AA1282">
        <v>0</v>
      </c>
      <c r="AB1282" t="s">
        <v>36</v>
      </c>
      <c r="AC1282">
        <v>22</v>
      </c>
    </row>
    <row r="1283" spans="1:30" x14ac:dyDescent="0.25">
      <c r="A1283" s="1">
        <v>44784.431296296294</v>
      </c>
      <c r="B1283" s="1">
        <v>44775.701319444444</v>
      </c>
      <c r="C1283">
        <v>151708</v>
      </c>
      <c r="D1283" t="s">
        <v>30</v>
      </c>
      <c r="E1283" t="s">
        <v>31</v>
      </c>
      <c r="F1283">
        <v>7</v>
      </c>
      <c r="G1283">
        <v>43.192042999999998</v>
      </c>
      <c r="H1283">
        <v>-71.541579999999996</v>
      </c>
      <c r="I1283">
        <v>291</v>
      </c>
      <c r="J1283">
        <v>93</v>
      </c>
      <c r="K1283">
        <v>94</v>
      </c>
      <c r="L1283" s="1">
        <v>44784.431284722225</v>
      </c>
      <c r="M1283">
        <v>7.9</v>
      </c>
      <c r="N1283">
        <v>7.6</v>
      </c>
      <c r="O1283">
        <v>0.3</v>
      </c>
      <c r="P1283">
        <v>4</v>
      </c>
      <c r="Q1283">
        <v>0</v>
      </c>
      <c r="R1283">
        <v>0</v>
      </c>
      <c r="S1283">
        <v>0</v>
      </c>
      <c r="T1283" t="s">
        <v>32</v>
      </c>
      <c r="V1283">
        <v>42</v>
      </c>
      <c r="W1283">
        <v>41</v>
      </c>
      <c r="X1283">
        <v>1</v>
      </c>
      <c r="Y1283">
        <v>0</v>
      </c>
      <c r="Z1283">
        <v>0</v>
      </c>
      <c r="AA1283">
        <v>0</v>
      </c>
      <c r="AB1283" t="s">
        <v>33</v>
      </c>
      <c r="AC1283">
        <v>41.5</v>
      </c>
    </row>
    <row r="1284" spans="1:30" x14ac:dyDescent="0.25">
      <c r="A1284" s="1">
        <v>44784.431296296294</v>
      </c>
      <c r="B1284" s="1">
        <v>44784.429629629631</v>
      </c>
      <c r="C1284">
        <v>143456</v>
      </c>
      <c r="D1284" t="s">
        <v>34</v>
      </c>
      <c r="E1284" t="s">
        <v>35</v>
      </c>
      <c r="F1284">
        <v>7</v>
      </c>
      <c r="G1284">
        <v>43.08963</v>
      </c>
      <c r="H1284">
        <v>-71.502440000000007</v>
      </c>
      <c r="I1284">
        <v>619</v>
      </c>
      <c r="J1284">
        <v>78</v>
      </c>
      <c r="K1284">
        <v>0</v>
      </c>
      <c r="L1284" s="1">
        <v>44784.431284722225</v>
      </c>
      <c r="M1284">
        <v>5</v>
      </c>
      <c r="N1284">
        <v>5.4</v>
      </c>
      <c r="O1284">
        <v>0.4</v>
      </c>
      <c r="P1284">
        <v>8</v>
      </c>
      <c r="Q1284">
        <v>0.1</v>
      </c>
      <c r="R1284">
        <v>0.2</v>
      </c>
      <c r="S1284">
        <v>0.15</v>
      </c>
      <c r="T1284" t="s">
        <v>33</v>
      </c>
      <c r="U1284">
        <v>5.2</v>
      </c>
      <c r="V1284">
        <v>62</v>
      </c>
      <c r="W1284">
        <v>0</v>
      </c>
      <c r="X1284">
        <v>62</v>
      </c>
      <c r="Y1284">
        <v>2</v>
      </c>
      <c r="Z1284">
        <v>0</v>
      </c>
      <c r="AA1284">
        <v>2</v>
      </c>
      <c r="AB1284" t="s">
        <v>36</v>
      </c>
      <c r="AC1284">
        <v>62</v>
      </c>
      <c r="AD1284">
        <v>0.99</v>
      </c>
    </row>
    <row r="1285" spans="1:30" x14ac:dyDescent="0.25">
      <c r="A1285" s="1">
        <v>44784.431307870371</v>
      </c>
      <c r="B1285" s="1">
        <v>44784.429791666669</v>
      </c>
      <c r="C1285">
        <v>151702</v>
      </c>
      <c r="D1285" t="s">
        <v>37</v>
      </c>
      <c r="E1285" t="s">
        <v>31</v>
      </c>
      <c r="F1285">
        <v>7</v>
      </c>
      <c r="G1285">
        <v>43.118609999999997</v>
      </c>
      <c r="H1285">
        <v>-71.61618</v>
      </c>
      <c r="I1285">
        <v>885</v>
      </c>
      <c r="J1285">
        <v>0</v>
      </c>
      <c r="K1285">
        <v>0</v>
      </c>
      <c r="L1285" s="1">
        <v>44784.431284722225</v>
      </c>
      <c r="M1285">
        <v>5.5</v>
      </c>
      <c r="N1285">
        <v>5.4</v>
      </c>
      <c r="O1285">
        <v>0.1</v>
      </c>
      <c r="P1285">
        <v>2</v>
      </c>
      <c r="Q1285">
        <v>0</v>
      </c>
      <c r="R1285">
        <v>0.1</v>
      </c>
      <c r="S1285">
        <v>0.05</v>
      </c>
      <c r="T1285" t="s">
        <v>33</v>
      </c>
      <c r="U1285">
        <v>5.45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 t="s">
        <v>38</v>
      </c>
    </row>
    <row r="1286" spans="1:30" x14ac:dyDescent="0.25">
      <c r="A1286" s="1">
        <v>44784.431307870371</v>
      </c>
      <c r="B1286" s="1">
        <v>44784.4296875</v>
      </c>
      <c r="C1286">
        <v>151700</v>
      </c>
      <c r="D1286" t="s">
        <v>30</v>
      </c>
      <c r="E1286" t="s">
        <v>31</v>
      </c>
      <c r="F1286">
        <v>7</v>
      </c>
      <c r="G1286">
        <v>43.19211</v>
      </c>
      <c r="H1286">
        <v>-71.541460000000001</v>
      </c>
      <c r="I1286">
        <v>286</v>
      </c>
      <c r="J1286">
        <v>77</v>
      </c>
      <c r="K1286">
        <v>0</v>
      </c>
      <c r="L1286" s="1">
        <v>44784.431284722225</v>
      </c>
      <c r="M1286">
        <v>5.7</v>
      </c>
      <c r="N1286">
        <v>6.4</v>
      </c>
      <c r="O1286">
        <v>0.7</v>
      </c>
      <c r="P1286">
        <v>12</v>
      </c>
      <c r="Q1286">
        <v>0.2</v>
      </c>
      <c r="R1286">
        <v>0.2</v>
      </c>
      <c r="S1286">
        <v>0.2</v>
      </c>
      <c r="T1286" t="s">
        <v>33</v>
      </c>
      <c r="U1286">
        <v>6.05</v>
      </c>
      <c r="V1286">
        <v>60</v>
      </c>
      <c r="W1286">
        <v>0</v>
      </c>
      <c r="X1286">
        <v>60</v>
      </c>
      <c r="Y1286">
        <v>0</v>
      </c>
      <c r="Z1286">
        <v>0</v>
      </c>
      <c r="AA1286">
        <v>0</v>
      </c>
      <c r="AB1286" t="s">
        <v>36</v>
      </c>
      <c r="AC1286">
        <v>60</v>
      </c>
      <c r="AD1286">
        <v>1.65</v>
      </c>
    </row>
    <row r="1287" spans="1:30" x14ac:dyDescent="0.25">
      <c r="A1287" s="1">
        <v>44784.431307870371</v>
      </c>
      <c r="B1287" s="1">
        <v>44784.430115740739</v>
      </c>
      <c r="C1287">
        <v>135984</v>
      </c>
      <c r="D1287" t="s">
        <v>39</v>
      </c>
      <c r="E1287" t="s">
        <v>31</v>
      </c>
      <c r="F1287">
        <v>7</v>
      </c>
      <c r="G1287">
        <v>43.565852999999997</v>
      </c>
      <c r="H1287">
        <v>-71.496129999999994</v>
      </c>
      <c r="I1287">
        <v>708</v>
      </c>
      <c r="J1287">
        <v>86</v>
      </c>
      <c r="K1287">
        <v>0</v>
      </c>
      <c r="L1287" s="1">
        <v>44784.431284722225</v>
      </c>
      <c r="M1287">
        <v>4</v>
      </c>
      <c r="N1287">
        <v>3.1</v>
      </c>
      <c r="O1287">
        <v>0.9</v>
      </c>
      <c r="P1287">
        <v>25</v>
      </c>
      <c r="Q1287">
        <v>0</v>
      </c>
      <c r="R1287">
        <v>0</v>
      </c>
      <c r="S1287">
        <v>0</v>
      </c>
      <c r="T1287" t="s">
        <v>33</v>
      </c>
      <c r="U1287">
        <v>3.55</v>
      </c>
      <c r="V1287">
        <v>58</v>
      </c>
      <c r="W1287">
        <v>0</v>
      </c>
      <c r="X1287">
        <v>58</v>
      </c>
      <c r="Y1287">
        <v>3</v>
      </c>
      <c r="Z1287">
        <v>0</v>
      </c>
      <c r="AA1287">
        <v>3</v>
      </c>
      <c r="AB1287" t="s">
        <v>36</v>
      </c>
      <c r="AC1287">
        <v>58</v>
      </c>
      <c r="AD1287">
        <v>0.27</v>
      </c>
    </row>
    <row r="1288" spans="1:30" x14ac:dyDescent="0.25">
      <c r="A1288" s="1">
        <v>44784.431319444448</v>
      </c>
      <c r="B1288" s="1">
        <v>44780.394780092596</v>
      </c>
      <c r="C1288">
        <v>151712</v>
      </c>
      <c r="D1288" t="s">
        <v>40</v>
      </c>
      <c r="E1288" t="s">
        <v>31</v>
      </c>
      <c r="F1288">
        <v>7</v>
      </c>
      <c r="G1288">
        <v>43.289763999999998</v>
      </c>
      <c r="H1288">
        <v>-71.564260000000004</v>
      </c>
      <c r="I1288">
        <v>370</v>
      </c>
      <c r="J1288">
        <v>86</v>
      </c>
      <c r="K1288">
        <v>0</v>
      </c>
      <c r="L1288" s="1">
        <v>44784.431284722225</v>
      </c>
      <c r="M1288">
        <v>14</v>
      </c>
      <c r="N1288">
        <v>13.2</v>
      </c>
      <c r="O1288">
        <v>0.8</v>
      </c>
      <c r="P1288">
        <v>6</v>
      </c>
      <c r="Q1288">
        <v>0</v>
      </c>
      <c r="R1288">
        <v>0</v>
      </c>
      <c r="S1288">
        <v>0</v>
      </c>
      <c r="T1288" t="s">
        <v>32</v>
      </c>
      <c r="V1288">
        <v>59</v>
      </c>
      <c r="W1288">
        <v>0</v>
      </c>
      <c r="X1288">
        <v>59</v>
      </c>
      <c r="Y1288">
        <v>0</v>
      </c>
      <c r="Z1288">
        <v>0</v>
      </c>
      <c r="AA1288">
        <v>0</v>
      </c>
      <c r="AB1288" t="s">
        <v>36</v>
      </c>
      <c r="AC1288">
        <v>59</v>
      </c>
    </row>
    <row r="1289" spans="1:30" x14ac:dyDescent="0.25">
      <c r="A1289" s="1">
        <v>44784.431319444448</v>
      </c>
      <c r="B1289" s="1">
        <v>44784.429409722223</v>
      </c>
      <c r="C1289">
        <v>151710</v>
      </c>
      <c r="D1289" t="s">
        <v>41</v>
      </c>
      <c r="E1289" t="s">
        <v>31</v>
      </c>
      <c r="F1289">
        <v>7</v>
      </c>
      <c r="G1289">
        <v>43.132477000000002</v>
      </c>
      <c r="H1289">
        <v>-71.458374000000006</v>
      </c>
      <c r="I1289">
        <v>230</v>
      </c>
      <c r="J1289">
        <v>83</v>
      </c>
      <c r="K1289">
        <v>0</v>
      </c>
      <c r="L1289" s="1">
        <v>44784.431284722225</v>
      </c>
      <c r="M1289">
        <v>7.6</v>
      </c>
      <c r="N1289">
        <v>6.3</v>
      </c>
      <c r="O1289">
        <v>1.3</v>
      </c>
      <c r="P1289">
        <v>19</v>
      </c>
      <c r="Q1289">
        <v>0.1</v>
      </c>
      <c r="R1289">
        <v>0.1</v>
      </c>
      <c r="S1289">
        <v>0.1</v>
      </c>
      <c r="T1289" t="s">
        <v>33</v>
      </c>
      <c r="U1289">
        <v>6.95</v>
      </c>
      <c r="V1289">
        <v>48</v>
      </c>
      <c r="W1289">
        <v>0</v>
      </c>
      <c r="X1289">
        <v>48</v>
      </c>
      <c r="Y1289">
        <v>1</v>
      </c>
      <c r="Z1289">
        <v>0</v>
      </c>
      <c r="AA1289">
        <v>1</v>
      </c>
      <c r="AB1289" t="s">
        <v>36</v>
      </c>
      <c r="AC1289">
        <v>48</v>
      </c>
      <c r="AD1289">
        <v>3.04</v>
      </c>
    </row>
    <row r="1290" spans="1:30" x14ac:dyDescent="0.25">
      <c r="A1290" s="1">
        <v>44784.431319444448</v>
      </c>
      <c r="B1290" s="1">
        <v>44784.430474537039</v>
      </c>
      <c r="C1290">
        <v>151706</v>
      </c>
      <c r="D1290" t="s">
        <v>42</v>
      </c>
      <c r="E1290" t="s">
        <v>31</v>
      </c>
      <c r="F1290">
        <v>7</v>
      </c>
      <c r="G1290">
        <v>43.004080000000002</v>
      </c>
      <c r="H1290">
        <v>-71.177040000000005</v>
      </c>
      <c r="I1290">
        <v>194</v>
      </c>
      <c r="J1290">
        <v>83</v>
      </c>
      <c r="K1290">
        <v>0</v>
      </c>
      <c r="L1290" s="1">
        <v>44784.431284722225</v>
      </c>
      <c r="M1290">
        <v>6.6</v>
      </c>
      <c r="N1290">
        <v>0</v>
      </c>
      <c r="O1290">
        <v>6.6</v>
      </c>
      <c r="P1290">
        <v>200</v>
      </c>
      <c r="Q1290">
        <v>0</v>
      </c>
      <c r="R1290">
        <v>0</v>
      </c>
      <c r="S1290">
        <v>0</v>
      </c>
      <c r="T1290" t="s">
        <v>43</v>
      </c>
      <c r="V1290">
        <v>54</v>
      </c>
      <c r="W1290">
        <v>0</v>
      </c>
      <c r="X1290">
        <v>54</v>
      </c>
      <c r="Y1290">
        <v>2</v>
      </c>
      <c r="Z1290">
        <v>0</v>
      </c>
      <c r="AA1290">
        <v>2</v>
      </c>
      <c r="AB1290" t="s">
        <v>36</v>
      </c>
      <c r="AC1290">
        <v>54</v>
      </c>
    </row>
    <row r="1291" spans="1:30" x14ac:dyDescent="0.25">
      <c r="A1291" s="1">
        <v>44784.431319444448</v>
      </c>
      <c r="B1291" s="1">
        <v>44784.430219907408</v>
      </c>
      <c r="C1291">
        <v>12212</v>
      </c>
      <c r="D1291" t="s">
        <v>44</v>
      </c>
      <c r="E1291" t="s">
        <v>35</v>
      </c>
      <c r="F1291">
        <v>7</v>
      </c>
      <c r="G1291">
        <v>42.930529999999997</v>
      </c>
      <c r="H1291">
        <v>-72.272350000000003</v>
      </c>
      <c r="I1291">
        <v>476</v>
      </c>
      <c r="J1291">
        <v>83</v>
      </c>
      <c r="K1291">
        <v>0</v>
      </c>
      <c r="L1291" s="1">
        <v>44784.431284722225</v>
      </c>
      <c r="M1291">
        <v>4.9000000000000004</v>
      </c>
      <c r="N1291">
        <v>4.5</v>
      </c>
      <c r="O1291">
        <v>0.4</v>
      </c>
      <c r="P1291">
        <v>9</v>
      </c>
      <c r="Q1291">
        <v>0.1</v>
      </c>
      <c r="R1291">
        <v>0.1</v>
      </c>
      <c r="S1291">
        <v>0.1</v>
      </c>
      <c r="T1291" t="s">
        <v>33</v>
      </c>
      <c r="U1291">
        <v>4.7</v>
      </c>
      <c r="V1291">
        <v>56</v>
      </c>
      <c r="W1291">
        <v>0</v>
      </c>
      <c r="X1291">
        <v>56</v>
      </c>
      <c r="Y1291">
        <v>1</v>
      </c>
      <c r="Z1291">
        <v>0</v>
      </c>
      <c r="AA1291">
        <v>1</v>
      </c>
      <c r="AB1291" t="s">
        <v>36</v>
      </c>
      <c r="AC1291">
        <v>56</v>
      </c>
      <c r="AD1291">
        <v>1.1100000000000001</v>
      </c>
    </row>
    <row r="1292" spans="1:30" x14ac:dyDescent="0.25">
      <c r="A1292" s="1">
        <v>44784.431331018517</v>
      </c>
      <c r="B1292" s="1">
        <v>44769.376736111109</v>
      </c>
      <c r="C1292">
        <v>12178</v>
      </c>
      <c r="D1292" t="s">
        <v>45</v>
      </c>
      <c r="E1292" t="s">
        <v>35</v>
      </c>
      <c r="F1292">
        <v>7</v>
      </c>
      <c r="G1292">
        <v>42.899563000000001</v>
      </c>
      <c r="H1292">
        <v>-71.464650000000006</v>
      </c>
      <c r="I1292">
        <v>301</v>
      </c>
      <c r="J1292">
        <v>85</v>
      </c>
      <c r="K1292">
        <v>0</v>
      </c>
      <c r="L1292" s="1">
        <v>44784.431284722225</v>
      </c>
      <c r="M1292">
        <v>3.8</v>
      </c>
      <c r="N1292">
        <v>3.1</v>
      </c>
      <c r="O1292">
        <v>0.7</v>
      </c>
      <c r="P1292">
        <v>20</v>
      </c>
      <c r="Q1292">
        <v>0</v>
      </c>
      <c r="R1292">
        <v>0</v>
      </c>
      <c r="S1292">
        <v>0</v>
      </c>
      <c r="T1292" t="s">
        <v>32</v>
      </c>
      <c r="V1292">
        <v>35</v>
      </c>
      <c r="W1292">
        <v>0</v>
      </c>
      <c r="X1292">
        <v>35</v>
      </c>
      <c r="Y1292">
        <v>0</v>
      </c>
      <c r="Z1292">
        <v>0</v>
      </c>
      <c r="AA1292">
        <v>0</v>
      </c>
      <c r="AB1292" t="s">
        <v>36</v>
      </c>
      <c r="AC1292">
        <v>35</v>
      </c>
    </row>
    <row r="1293" spans="1:30" x14ac:dyDescent="0.25">
      <c r="A1293" s="1">
        <v>44784.431331018517</v>
      </c>
      <c r="B1293" s="1">
        <v>44784.429525462961</v>
      </c>
      <c r="C1293">
        <v>75981</v>
      </c>
      <c r="D1293" t="s">
        <v>46</v>
      </c>
      <c r="E1293" t="s">
        <v>35</v>
      </c>
      <c r="F1293">
        <v>7</v>
      </c>
      <c r="G1293">
        <v>42.97</v>
      </c>
      <c r="H1293">
        <v>-71.06</v>
      </c>
      <c r="I1293">
        <v>136</v>
      </c>
      <c r="J1293">
        <v>81</v>
      </c>
      <c r="K1293">
        <v>0</v>
      </c>
      <c r="L1293" s="1">
        <v>44784.431284722225</v>
      </c>
      <c r="M1293">
        <v>9.5</v>
      </c>
      <c r="N1293">
        <v>8.6</v>
      </c>
      <c r="O1293">
        <v>0.9</v>
      </c>
      <c r="P1293">
        <v>10</v>
      </c>
      <c r="Q1293">
        <v>0.2</v>
      </c>
      <c r="R1293">
        <v>0</v>
      </c>
      <c r="S1293">
        <v>0.1</v>
      </c>
      <c r="T1293" t="s">
        <v>33</v>
      </c>
      <c r="U1293">
        <v>9.0500000000000007</v>
      </c>
      <c r="V1293">
        <v>56</v>
      </c>
      <c r="W1293">
        <v>0</v>
      </c>
      <c r="X1293">
        <v>56</v>
      </c>
      <c r="Y1293">
        <v>1</v>
      </c>
      <c r="Z1293">
        <v>0</v>
      </c>
      <c r="AA1293">
        <v>1</v>
      </c>
      <c r="AB1293" t="s">
        <v>36</v>
      </c>
      <c r="AC1293">
        <v>56</v>
      </c>
      <c r="AD1293">
        <v>3.76</v>
      </c>
    </row>
    <row r="1294" spans="1:30" x14ac:dyDescent="0.25">
      <c r="A1294" s="1">
        <v>44784.431331018517</v>
      </c>
      <c r="B1294" s="1">
        <v>44784.43005787037</v>
      </c>
      <c r="C1294">
        <v>115703</v>
      </c>
      <c r="D1294" t="s">
        <v>47</v>
      </c>
      <c r="E1294" t="s">
        <v>35</v>
      </c>
      <c r="F1294">
        <v>7</v>
      </c>
      <c r="G1294">
        <v>43.953625000000002</v>
      </c>
      <c r="H1294">
        <v>-71.508859999999999</v>
      </c>
      <c r="I1294">
        <v>1493</v>
      </c>
      <c r="J1294">
        <v>76</v>
      </c>
      <c r="K1294">
        <v>0</v>
      </c>
      <c r="L1294" s="1">
        <v>44784.431284722225</v>
      </c>
      <c r="M1294">
        <v>0</v>
      </c>
      <c r="N1294">
        <v>300.89999999999998</v>
      </c>
      <c r="O1294">
        <v>300.89999999999998</v>
      </c>
      <c r="P1294">
        <v>200</v>
      </c>
      <c r="Q1294">
        <v>0</v>
      </c>
      <c r="R1294">
        <v>0</v>
      </c>
      <c r="S1294">
        <v>0</v>
      </c>
      <c r="T1294" t="s">
        <v>48</v>
      </c>
      <c r="V1294">
        <v>53</v>
      </c>
      <c r="W1294">
        <v>0</v>
      </c>
      <c r="X1294">
        <v>53</v>
      </c>
      <c r="Y1294">
        <v>1</v>
      </c>
      <c r="Z1294">
        <v>0</v>
      </c>
      <c r="AA1294">
        <v>1</v>
      </c>
      <c r="AB1294" t="s">
        <v>36</v>
      </c>
      <c r="AC1294">
        <v>53</v>
      </c>
    </row>
    <row r="1295" spans="1:30" x14ac:dyDescent="0.25">
      <c r="A1295" s="1">
        <v>44784.431342592594</v>
      </c>
      <c r="B1295" s="1">
        <v>44784.429479166669</v>
      </c>
      <c r="C1295">
        <v>12050</v>
      </c>
      <c r="D1295" t="s">
        <v>49</v>
      </c>
      <c r="E1295" t="s">
        <v>35</v>
      </c>
      <c r="F1295">
        <v>7</v>
      </c>
      <c r="G1295">
        <v>44.220573000000002</v>
      </c>
      <c r="H1295">
        <v>-71.732315</v>
      </c>
      <c r="I1295">
        <v>999</v>
      </c>
      <c r="J1295">
        <v>89</v>
      </c>
      <c r="K1295">
        <v>0</v>
      </c>
      <c r="L1295" s="1">
        <v>44784.431284722225</v>
      </c>
      <c r="M1295">
        <v>3.6</v>
      </c>
      <c r="N1295">
        <v>3.1</v>
      </c>
      <c r="O1295">
        <v>0.5</v>
      </c>
      <c r="P1295">
        <v>15</v>
      </c>
      <c r="Q1295">
        <v>0</v>
      </c>
      <c r="R1295">
        <v>0</v>
      </c>
      <c r="S1295">
        <v>0</v>
      </c>
      <c r="T1295" t="s">
        <v>33</v>
      </c>
      <c r="U1295">
        <v>3.35</v>
      </c>
      <c r="V1295">
        <v>36</v>
      </c>
      <c r="W1295">
        <v>0</v>
      </c>
      <c r="X1295">
        <v>36</v>
      </c>
      <c r="Y1295">
        <v>1</v>
      </c>
      <c r="Z1295">
        <v>0</v>
      </c>
      <c r="AA1295">
        <v>1</v>
      </c>
      <c r="AB1295" t="s">
        <v>36</v>
      </c>
      <c r="AC1295">
        <v>36</v>
      </c>
      <c r="AD1295">
        <v>1.68</v>
      </c>
    </row>
    <row r="1296" spans="1:30" x14ac:dyDescent="0.25">
      <c r="A1296" s="1">
        <v>44784.431342592594</v>
      </c>
      <c r="B1296" s="1">
        <v>44784.429594907408</v>
      </c>
      <c r="C1296">
        <v>23443</v>
      </c>
      <c r="D1296" t="s">
        <v>50</v>
      </c>
      <c r="E1296" t="s">
        <v>35</v>
      </c>
      <c r="F1296">
        <v>7</v>
      </c>
      <c r="G1296">
        <v>43.556139999999999</v>
      </c>
      <c r="H1296">
        <v>-72.370990000000006</v>
      </c>
      <c r="I1296">
        <v>523</v>
      </c>
      <c r="J1296">
        <v>85</v>
      </c>
      <c r="K1296">
        <v>0</v>
      </c>
      <c r="L1296" s="1">
        <v>44784.431284722225</v>
      </c>
      <c r="M1296">
        <v>4.9000000000000004</v>
      </c>
      <c r="N1296">
        <v>4.3</v>
      </c>
      <c r="O1296">
        <v>0.6</v>
      </c>
      <c r="P1296">
        <v>13</v>
      </c>
      <c r="Q1296">
        <v>0.1</v>
      </c>
      <c r="R1296">
        <v>0.2</v>
      </c>
      <c r="S1296">
        <v>0.15</v>
      </c>
      <c r="T1296" t="s">
        <v>33</v>
      </c>
      <c r="U1296">
        <v>4.5999999999999996</v>
      </c>
      <c r="V1296">
        <v>45</v>
      </c>
      <c r="W1296">
        <v>0</v>
      </c>
      <c r="X1296">
        <v>45</v>
      </c>
      <c r="Y1296">
        <v>2</v>
      </c>
      <c r="Z1296">
        <v>0</v>
      </c>
      <c r="AA1296">
        <v>2</v>
      </c>
      <c r="AB1296" t="s">
        <v>36</v>
      </c>
      <c r="AC1296">
        <v>45</v>
      </c>
      <c r="AD1296">
        <v>1.82</v>
      </c>
    </row>
    <row r="1297" spans="1:30" x14ac:dyDescent="0.25">
      <c r="A1297" s="1">
        <v>44784.431342592594</v>
      </c>
      <c r="B1297" s="1">
        <v>44784.429675925923</v>
      </c>
      <c r="C1297">
        <v>58135</v>
      </c>
      <c r="D1297" t="s">
        <v>51</v>
      </c>
      <c r="E1297" t="s">
        <v>35</v>
      </c>
      <c r="F1297">
        <v>7</v>
      </c>
      <c r="G1297">
        <v>42.883873000000001</v>
      </c>
      <c r="H1297">
        <v>-71.972915999999998</v>
      </c>
      <c r="I1297">
        <v>808</v>
      </c>
      <c r="J1297">
        <v>83</v>
      </c>
      <c r="K1297">
        <v>0</v>
      </c>
      <c r="L1297" s="1">
        <v>44784.431284722225</v>
      </c>
      <c r="M1297">
        <v>4</v>
      </c>
      <c r="N1297">
        <v>2.5</v>
      </c>
      <c r="O1297">
        <v>1.5</v>
      </c>
      <c r="P1297">
        <v>46</v>
      </c>
      <c r="Q1297">
        <v>0.3</v>
      </c>
      <c r="R1297">
        <v>0.2</v>
      </c>
      <c r="S1297">
        <v>0.25</v>
      </c>
      <c r="T1297" t="s">
        <v>33</v>
      </c>
      <c r="U1297">
        <v>3.25</v>
      </c>
      <c r="V1297">
        <v>45</v>
      </c>
      <c r="W1297">
        <v>0</v>
      </c>
      <c r="X1297">
        <v>45</v>
      </c>
      <c r="Y1297">
        <v>1</v>
      </c>
      <c r="Z1297">
        <v>0</v>
      </c>
      <c r="AA1297">
        <v>1</v>
      </c>
      <c r="AB1297" t="s">
        <v>36</v>
      </c>
      <c r="AC1297">
        <v>45</v>
      </c>
      <c r="AD1297">
        <v>0.99</v>
      </c>
    </row>
    <row r="1298" spans="1:30" x14ac:dyDescent="0.25">
      <c r="A1298" s="1">
        <v>44784.431342592594</v>
      </c>
      <c r="B1298" s="1">
        <v>44784.429710648146</v>
      </c>
      <c r="C1298">
        <v>148555</v>
      </c>
      <c r="D1298" t="s">
        <v>52</v>
      </c>
      <c r="E1298" t="s">
        <v>53</v>
      </c>
      <c r="F1298">
        <v>7</v>
      </c>
      <c r="G1298">
        <v>42.904949999999999</v>
      </c>
      <c r="H1298">
        <v>-71.386764999999997</v>
      </c>
      <c r="I1298">
        <v>363</v>
      </c>
      <c r="J1298">
        <v>0</v>
      </c>
      <c r="K1298">
        <v>0</v>
      </c>
      <c r="L1298" s="1">
        <v>44784.431284722225</v>
      </c>
      <c r="M1298">
        <v>4.9000000000000004</v>
      </c>
      <c r="N1298">
        <v>5.7</v>
      </c>
      <c r="O1298">
        <v>0.8</v>
      </c>
      <c r="P1298">
        <v>15</v>
      </c>
      <c r="Q1298">
        <v>0</v>
      </c>
      <c r="R1298">
        <v>0.1</v>
      </c>
      <c r="S1298">
        <v>0.05</v>
      </c>
      <c r="T1298" t="s">
        <v>33</v>
      </c>
      <c r="U1298">
        <v>5.3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 t="s">
        <v>38</v>
      </c>
    </row>
    <row r="1299" spans="1:30" x14ac:dyDescent="0.25">
      <c r="A1299" s="1">
        <v>44784.431354166663</v>
      </c>
      <c r="B1299" s="1">
        <v>44784.430601851855</v>
      </c>
      <c r="C1299">
        <v>146644</v>
      </c>
      <c r="D1299" t="s">
        <v>54</v>
      </c>
      <c r="E1299" t="s">
        <v>53</v>
      </c>
      <c r="F1299">
        <v>7</v>
      </c>
      <c r="G1299">
        <v>43.06015</v>
      </c>
      <c r="H1299">
        <v>-70.758930000000007</v>
      </c>
      <c r="I1299">
        <v>35</v>
      </c>
      <c r="J1299">
        <v>76</v>
      </c>
      <c r="K1299">
        <v>78</v>
      </c>
      <c r="L1299" s="1">
        <v>44784.431284722225</v>
      </c>
      <c r="M1299">
        <v>12.1</v>
      </c>
      <c r="N1299">
        <v>11.1</v>
      </c>
      <c r="O1299">
        <v>1</v>
      </c>
      <c r="P1299">
        <v>9</v>
      </c>
      <c r="Q1299">
        <v>0.2</v>
      </c>
      <c r="R1299">
        <v>0.4</v>
      </c>
      <c r="S1299">
        <v>0.3</v>
      </c>
      <c r="T1299" t="s">
        <v>33</v>
      </c>
      <c r="U1299">
        <v>11.6</v>
      </c>
      <c r="V1299">
        <v>59</v>
      </c>
      <c r="W1299">
        <v>64</v>
      </c>
      <c r="X1299">
        <v>5</v>
      </c>
      <c r="Y1299">
        <v>2</v>
      </c>
      <c r="Z1299">
        <v>1</v>
      </c>
      <c r="AA1299">
        <v>1</v>
      </c>
      <c r="AB1299" t="s">
        <v>33</v>
      </c>
      <c r="AC1299">
        <v>61.5</v>
      </c>
      <c r="AD1299">
        <v>4.93</v>
      </c>
    </row>
    <row r="1300" spans="1:30" x14ac:dyDescent="0.25">
      <c r="A1300" s="1">
        <v>44784.431354166663</v>
      </c>
      <c r="B1300" s="1">
        <v>43755.283437500002</v>
      </c>
      <c r="C1300">
        <v>12188</v>
      </c>
      <c r="D1300" t="s">
        <v>55</v>
      </c>
      <c r="E1300" t="s">
        <v>35</v>
      </c>
      <c r="F1300">
        <v>4.1100000000000003</v>
      </c>
      <c r="G1300">
        <v>42.927050000000001</v>
      </c>
      <c r="H1300">
        <v>-72.279610000000005</v>
      </c>
      <c r="I1300">
        <v>475</v>
      </c>
      <c r="J1300">
        <v>95</v>
      </c>
      <c r="K1300">
        <v>0</v>
      </c>
      <c r="L1300" s="1">
        <v>44784.431284722225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 t="s">
        <v>32</v>
      </c>
      <c r="V1300">
        <v>77</v>
      </c>
      <c r="W1300">
        <v>0</v>
      </c>
      <c r="X1300">
        <v>77</v>
      </c>
      <c r="Y1300">
        <v>0</v>
      </c>
      <c r="Z1300">
        <v>0</v>
      </c>
      <c r="AA1300">
        <v>0</v>
      </c>
      <c r="AB1300" t="s">
        <v>36</v>
      </c>
      <c r="AC1300">
        <v>77</v>
      </c>
    </row>
    <row r="1301" spans="1:30" x14ac:dyDescent="0.25">
      <c r="A1301" s="1">
        <v>44784.431354166663</v>
      </c>
      <c r="B1301" s="1">
        <v>44784.429583333331</v>
      </c>
      <c r="C1301">
        <v>1224</v>
      </c>
      <c r="D1301" t="s">
        <v>56</v>
      </c>
      <c r="E1301" t="s">
        <v>35</v>
      </c>
      <c r="F1301" t="s">
        <v>57</v>
      </c>
      <c r="G1301">
        <v>42.938034000000002</v>
      </c>
      <c r="H1301">
        <v>-72.259299999999996</v>
      </c>
      <c r="I1301">
        <v>792</v>
      </c>
      <c r="J1301">
        <v>87</v>
      </c>
      <c r="K1301">
        <v>0</v>
      </c>
      <c r="L1301" s="1">
        <v>44784.431284722225</v>
      </c>
      <c r="M1301">
        <v>5.0999999999999996</v>
      </c>
      <c r="N1301">
        <v>0.2</v>
      </c>
      <c r="O1301">
        <v>4.9000000000000004</v>
      </c>
      <c r="P1301">
        <v>185</v>
      </c>
      <c r="Q1301">
        <v>0</v>
      </c>
      <c r="R1301">
        <v>0.1</v>
      </c>
      <c r="S1301">
        <v>0.05</v>
      </c>
      <c r="T1301" t="s">
        <v>33</v>
      </c>
      <c r="U1301">
        <v>2.65</v>
      </c>
      <c r="V1301">
        <v>56</v>
      </c>
      <c r="W1301">
        <v>0</v>
      </c>
      <c r="X1301">
        <v>56</v>
      </c>
      <c r="Y1301">
        <v>2</v>
      </c>
      <c r="Z1301">
        <v>0</v>
      </c>
      <c r="AA1301">
        <v>2</v>
      </c>
      <c r="AB1301" t="s">
        <v>36</v>
      </c>
      <c r="AC1301">
        <v>56</v>
      </c>
      <c r="AD1301">
        <v>-0.14000000000000001</v>
      </c>
    </row>
    <row r="1302" spans="1:30" x14ac:dyDescent="0.25">
      <c r="A1302" s="1">
        <v>44784.43136574074</v>
      </c>
      <c r="B1302" s="1">
        <v>44784.43041666667</v>
      </c>
      <c r="C1302">
        <v>1202</v>
      </c>
      <c r="D1302" t="s">
        <v>58</v>
      </c>
      <c r="E1302" t="s">
        <v>35</v>
      </c>
      <c r="F1302" t="s">
        <v>57</v>
      </c>
      <c r="G1302">
        <v>42.936554000000001</v>
      </c>
      <c r="H1302">
        <v>-72.271019999999993</v>
      </c>
      <c r="I1302">
        <v>488</v>
      </c>
      <c r="J1302">
        <v>0</v>
      </c>
      <c r="K1302">
        <v>0</v>
      </c>
      <c r="L1302" s="1">
        <v>44784.431284722225</v>
      </c>
      <c r="M1302">
        <v>5.8</v>
      </c>
      <c r="N1302">
        <v>5</v>
      </c>
      <c r="O1302">
        <v>0.8</v>
      </c>
      <c r="P1302">
        <v>15</v>
      </c>
      <c r="Q1302">
        <v>0.1</v>
      </c>
      <c r="R1302">
        <v>0.1</v>
      </c>
      <c r="S1302">
        <v>0.1</v>
      </c>
      <c r="T1302" t="s">
        <v>33</v>
      </c>
      <c r="U1302">
        <v>5.4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 t="s">
        <v>38</v>
      </c>
    </row>
    <row r="1303" spans="1:30" x14ac:dyDescent="0.25">
      <c r="A1303" s="1">
        <v>44784.43136574074</v>
      </c>
      <c r="B1303" s="1">
        <v>44612.080023148148</v>
      </c>
      <c r="C1303">
        <v>25985</v>
      </c>
      <c r="D1303" t="s">
        <v>59</v>
      </c>
      <c r="E1303" t="s">
        <v>35</v>
      </c>
      <c r="F1303">
        <v>6.01</v>
      </c>
      <c r="G1303">
        <v>42.927326000000001</v>
      </c>
      <c r="H1303">
        <v>-72.279979999999995</v>
      </c>
      <c r="I1303">
        <v>477</v>
      </c>
      <c r="J1303">
        <v>78</v>
      </c>
      <c r="K1303">
        <v>0</v>
      </c>
      <c r="L1303" s="1">
        <v>44784.431284722225</v>
      </c>
      <c r="M1303">
        <v>1.1000000000000001</v>
      </c>
      <c r="N1303">
        <v>1</v>
      </c>
      <c r="O1303">
        <v>0.1</v>
      </c>
      <c r="P1303">
        <v>10</v>
      </c>
      <c r="Q1303">
        <v>0</v>
      </c>
      <c r="R1303">
        <v>0</v>
      </c>
      <c r="S1303">
        <v>0</v>
      </c>
      <c r="T1303" t="s">
        <v>32</v>
      </c>
      <c r="V1303">
        <v>22</v>
      </c>
      <c r="W1303">
        <v>0</v>
      </c>
      <c r="X1303">
        <v>22</v>
      </c>
      <c r="Y1303">
        <v>0</v>
      </c>
      <c r="Z1303">
        <v>0</v>
      </c>
      <c r="AA1303">
        <v>0</v>
      </c>
      <c r="AB1303" t="s">
        <v>36</v>
      </c>
      <c r="AC1303">
        <v>22</v>
      </c>
    </row>
    <row r="1304" spans="1:30" x14ac:dyDescent="0.25">
      <c r="A1304" s="1">
        <v>44784.438252314816</v>
      </c>
      <c r="B1304" s="1">
        <v>44775.701319444444</v>
      </c>
      <c r="C1304">
        <v>151708</v>
      </c>
      <c r="D1304" t="s">
        <v>30</v>
      </c>
      <c r="E1304" t="s">
        <v>31</v>
      </c>
      <c r="F1304">
        <v>7</v>
      </c>
      <c r="G1304">
        <v>43.192042999999998</v>
      </c>
      <c r="H1304">
        <v>-71.541579999999996</v>
      </c>
      <c r="I1304">
        <v>291</v>
      </c>
      <c r="J1304">
        <v>93</v>
      </c>
      <c r="K1304">
        <v>94</v>
      </c>
      <c r="L1304" s="1">
        <v>44784.43822916667</v>
      </c>
      <c r="M1304">
        <v>7.9</v>
      </c>
      <c r="N1304">
        <v>7.6</v>
      </c>
      <c r="O1304">
        <v>0.3</v>
      </c>
      <c r="P1304">
        <v>4</v>
      </c>
      <c r="Q1304">
        <v>0</v>
      </c>
      <c r="R1304">
        <v>0</v>
      </c>
      <c r="S1304">
        <v>0</v>
      </c>
      <c r="T1304" t="s">
        <v>32</v>
      </c>
      <c r="V1304">
        <v>42</v>
      </c>
      <c r="W1304">
        <v>41</v>
      </c>
      <c r="X1304">
        <v>1</v>
      </c>
      <c r="Y1304">
        <v>0</v>
      </c>
      <c r="Z1304">
        <v>0</v>
      </c>
      <c r="AA1304">
        <v>0</v>
      </c>
      <c r="AB1304" t="s">
        <v>33</v>
      </c>
      <c r="AC1304">
        <v>41.5</v>
      </c>
    </row>
    <row r="1305" spans="1:30" x14ac:dyDescent="0.25">
      <c r="A1305" s="1">
        <v>44784.438252314816</v>
      </c>
      <c r="B1305" s="1">
        <v>44784.436574074076</v>
      </c>
      <c r="C1305">
        <v>143456</v>
      </c>
      <c r="D1305" t="s">
        <v>34</v>
      </c>
      <c r="E1305" t="s">
        <v>35</v>
      </c>
      <c r="F1305">
        <v>7</v>
      </c>
      <c r="G1305">
        <v>43.08963</v>
      </c>
      <c r="H1305">
        <v>-71.502440000000007</v>
      </c>
      <c r="I1305">
        <v>619</v>
      </c>
      <c r="J1305">
        <v>79</v>
      </c>
      <c r="K1305">
        <v>0</v>
      </c>
      <c r="L1305" s="1">
        <v>44784.43822916667</v>
      </c>
      <c r="M1305">
        <v>5.0999999999999996</v>
      </c>
      <c r="N1305">
        <v>5.5</v>
      </c>
      <c r="O1305">
        <v>0.4</v>
      </c>
      <c r="P1305">
        <v>8</v>
      </c>
      <c r="Q1305">
        <v>0.1</v>
      </c>
      <c r="R1305">
        <v>0.1</v>
      </c>
      <c r="S1305">
        <v>0.1</v>
      </c>
      <c r="T1305" t="s">
        <v>33</v>
      </c>
      <c r="U1305">
        <v>5.3</v>
      </c>
      <c r="V1305">
        <v>61</v>
      </c>
      <c r="W1305">
        <v>0</v>
      </c>
      <c r="X1305">
        <v>61</v>
      </c>
      <c r="Y1305">
        <v>1</v>
      </c>
      <c r="Z1305">
        <v>0</v>
      </c>
      <c r="AA1305">
        <v>1</v>
      </c>
      <c r="AB1305" t="s">
        <v>36</v>
      </c>
      <c r="AC1305">
        <v>61</v>
      </c>
      <c r="AD1305">
        <v>1.1200000000000001</v>
      </c>
    </row>
    <row r="1306" spans="1:30" x14ac:dyDescent="0.25">
      <c r="A1306" s="1">
        <v>44784.438252314816</v>
      </c>
      <c r="B1306" s="1">
        <v>44784.436736111114</v>
      </c>
      <c r="C1306">
        <v>151702</v>
      </c>
      <c r="D1306" t="s">
        <v>37</v>
      </c>
      <c r="E1306" t="s">
        <v>31</v>
      </c>
      <c r="F1306">
        <v>7</v>
      </c>
      <c r="G1306">
        <v>43.118609999999997</v>
      </c>
      <c r="H1306">
        <v>-71.61618</v>
      </c>
      <c r="I1306">
        <v>885</v>
      </c>
      <c r="J1306">
        <v>0</v>
      </c>
      <c r="K1306">
        <v>0</v>
      </c>
      <c r="L1306" s="1">
        <v>44784.43822916667</v>
      </c>
      <c r="M1306">
        <v>5.7</v>
      </c>
      <c r="N1306">
        <v>5.4</v>
      </c>
      <c r="O1306">
        <v>0.3</v>
      </c>
      <c r="P1306">
        <v>5</v>
      </c>
      <c r="Q1306">
        <v>0.2</v>
      </c>
      <c r="R1306">
        <v>0</v>
      </c>
      <c r="S1306">
        <v>0.1</v>
      </c>
      <c r="T1306" t="s">
        <v>33</v>
      </c>
      <c r="U1306">
        <v>5.55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 t="s">
        <v>38</v>
      </c>
    </row>
    <row r="1307" spans="1:30" x14ac:dyDescent="0.25">
      <c r="A1307" s="1">
        <v>44784.438263888886</v>
      </c>
      <c r="B1307" s="1">
        <v>44784.436631944445</v>
      </c>
      <c r="C1307">
        <v>151700</v>
      </c>
      <c r="D1307" t="s">
        <v>30</v>
      </c>
      <c r="E1307" t="s">
        <v>31</v>
      </c>
      <c r="F1307">
        <v>7</v>
      </c>
      <c r="G1307">
        <v>43.19211</v>
      </c>
      <c r="H1307">
        <v>-71.541460000000001</v>
      </c>
      <c r="I1307">
        <v>286</v>
      </c>
      <c r="J1307">
        <v>77</v>
      </c>
      <c r="K1307">
        <v>0</v>
      </c>
      <c r="L1307" s="1">
        <v>44784.43822916667</v>
      </c>
      <c r="M1307">
        <v>5.7</v>
      </c>
      <c r="N1307">
        <v>6.5</v>
      </c>
      <c r="O1307">
        <v>0.8</v>
      </c>
      <c r="P1307">
        <v>13</v>
      </c>
      <c r="Q1307">
        <v>0</v>
      </c>
      <c r="R1307">
        <v>0.1</v>
      </c>
      <c r="S1307">
        <v>0.05</v>
      </c>
      <c r="T1307" t="s">
        <v>33</v>
      </c>
      <c r="U1307">
        <v>6.1</v>
      </c>
      <c r="V1307">
        <v>60</v>
      </c>
      <c r="W1307">
        <v>0</v>
      </c>
      <c r="X1307">
        <v>60</v>
      </c>
      <c r="Y1307">
        <v>0</v>
      </c>
      <c r="Z1307">
        <v>0</v>
      </c>
      <c r="AA1307">
        <v>0</v>
      </c>
      <c r="AB1307" t="s">
        <v>36</v>
      </c>
      <c r="AC1307">
        <v>60</v>
      </c>
      <c r="AD1307">
        <v>1.68</v>
      </c>
    </row>
    <row r="1308" spans="1:30" x14ac:dyDescent="0.25">
      <c r="A1308" s="1">
        <v>44784.438263888886</v>
      </c>
      <c r="B1308" s="1">
        <v>44784.437060185184</v>
      </c>
      <c r="C1308">
        <v>135984</v>
      </c>
      <c r="D1308" t="s">
        <v>39</v>
      </c>
      <c r="E1308" t="s">
        <v>31</v>
      </c>
      <c r="F1308">
        <v>7</v>
      </c>
      <c r="G1308">
        <v>43.565852999999997</v>
      </c>
      <c r="H1308">
        <v>-71.496129999999994</v>
      </c>
      <c r="I1308">
        <v>708</v>
      </c>
      <c r="J1308">
        <v>85</v>
      </c>
      <c r="K1308">
        <v>0</v>
      </c>
      <c r="L1308" s="1">
        <v>44784.43822916667</v>
      </c>
      <c r="M1308">
        <v>4</v>
      </c>
      <c r="N1308">
        <v>3.1</v>
      </c>
      <c r="O1308">
        <v>0.9</v>
      </c>
      <c r="P1308">
        <v>25</v>
      </c>
      <c r="Q1308">
        <v>0</v>
      </c>
      <c r="R1308">
        <v>0</v>
      </c>
      <c r="S1308">
        <v>0</v>
      </c>
      <c r="T1308" t="s">
        <v>33</v>
      </c>
      <c r="U1308">
        <v>3.55</v>
      </c>
      <c r="V1308">
        <v>57</v>
      </c>
      <c r="W1308">
        <v>0</v>
      </c>
      <c r="X1308">
        <v>57</v>
      </c>
      <c r="Y1308">
        <v>1</v>
      </c>
      <c r="Z1308">
        <v>0</v>
      </c>
      <c r="AA1308">
        <v>1</v>
      </c>
      <c r="AB1308" t="s">
        <v>36</v>
      </c>
      <c r="AC1308">
        <v>57</v>
      </c>
      <c r="AD1308">
        <v>0.34</v>
      </c>
    </row>
    <row r="1309" spans="1:30" x14ac:dyDescent="0.25">
      <c r="A1309" s="1">
        <v>44784.438263888886</v>
      </c>
      <c r="B1309" s="1">
        <v>44780.394780092596</v>
      </c>
      <c r="C1309">
        <v>151712</v>
      </c>
      <c r="D1309" t="s">
        <v>40</v>
      </c>
      <c r="E1309" t="s">
        <v>31</v>
      </c>
      <c r="F1309">
        <v>7</v>
      </c>
      <c r="G1309">
        <v>43.289763999999998</v>
      </c>
      <c r="H1309">
        <v>-71.564260000000004</v>
      </c>
      <c r="I1309">
        <v>370</v>
      </c>
      <c r="J1309">
        <v>86</v>
      </c>
      <c r="K1309">
        <v>0</v>
      </c>
      <c r="L1309" s="1">
        <v>44784.43822916667</v>
      </c>
      <c r="M1309">
        <v>14</v>
      </c>
      <c r="N1309">
        <v>13.2</v>
      </c>
      <c r="O1309">
        <v>0.8</v>
      </c>
      <c r="P1309">
        <v>6</v>
      </c>
      <c r="Q1309">
        <v>0</v>
      </c>
      <c r="R1309">
        <v>0</v>
      </c>
      <c r="S1309">
        <v>0</v>
      </c>
      <c r="T1309" t="s">
        <v>32</v>
      </c>
      <c r="V1309">
        <v>59</v>
      </c>
      <c r="W1309">
        <v>0</v>
      </c>
      <c r="X1309">
        <v>59</v>
      </c>
      <c r="Y1309">
        <v>0</v>
      </c>
      <c r="Z1309">
        <v>0</v>
      </c>
      <c r="AA1309">
        <v>0</v>
      </c>
      <c r="AB1309" t="s">
        <v>36</v>
      </c>
      <c r="AC1309">
        <v>59</v>
      </c>
    </row>
    <row r="1310" spans="1:30" x14ac:dyDescent="0.25">
      <c r="A1310" s="1">
        <v>44784.438275462962</v>
      </c>
      <c r="B1310" s="1">
        <v>44784.437743055554</v>
      </c>
      <c r="C1310">
        <v>151710</v>
      </c>
      <c r="D1310" t="s">
        <v>41</v>
      </c>
      <c r="E1310" t="s">
        <v>31</v>
      </c>
      <c r="F1310">
        <v>7</v>
      </c>
      <c r="G1310">
        <v>43.132477000000002</v>
      </c>
      <c r="H1310">
        <v>-71.458374000000006</v>
      </c>
      <c r="I1310">
        <v>230</v>
      </c>
      <c r="J1310">
        <v>84</v>
      </c>
      <c r="K1310">
        <v>0</v>
      </c>
      <c r="L1310" s="1">
        <v>44784.43822916667</v>
      </c>
      <c r="M1310">
        <v>7.6</v>
      </c>
      <c r="N1310">
        <v>6.3</v>
      </c>
      <c r="O1310">
        <v>1.3</v>
      </c>
      <c r="P1310">
        <v>19</v>
      </c>
      <c r="Q1310">
        <v>0</v>
      </c>
      <c r="R1310">
        <v>0</v>
      </c>
      <c r="S1310">
        <v>0</v>
      </c>
      <c r="T1310" t="s">
        <v>33</v>
      </c>
      <c r="U1310">
        <v>6.95</v>
      </c>
      <c r="V1310">
        <v>48</v>
      </c>
      <c r="W1310">
        <v>0</v>
      </c>
      <c r="X1310">
        <v>48</v>
      </c>
      <c r="Y1310">
        <v>0</v>
      </c>
      <c r="Z1310">
        <v>0</v>
      </c>
      <c r="AA1310">
        <v>0</v>
      </c>
      <c r="AB1310" t="s">
        <v>36</v>
      </c>
      <c r="AC1310">
        <v>48</v>
      </c>
      <c r="AD1310">
        <v>3.04</v>
      </c>
    </row>
    <row r="1311" spans="1:30" x14ac:dyDescent="0.25">
      <c r="A1311" s="1">
        <v>44784.438275462962</v>
      </c>
      <c r="B1311" s="1">
        <v>44784.437418981484</v>
      </c>
      <c r="C1311">
        <v>151706</v>
      </c>
      <c r="D1311" t="s">
        <v>42</v>
      </c>
      <c r="E1311" t="s">
        <v>31</v>
      </c>
      <c r="F1311">
        <v>7</v>
      </c>
      <c r="G1311">
        <v>43.004080000000002</v>
      </c>
      <c r="H1311">
        <v>-71.177040000000005</v>
      </c>
      <c r="I1311">
        <v>194</v>
      </c>
      <c r="J1311">
        <v>85</v>
      </c>
      <c r="K1311">
        <v>0</v>
      </c>
      <c r="L1311" s="1">
        <v>44784.43822916667</v>
      </c>
      <c r="M1311">
        <v>6.7</v>
      </c>
      <c r="N1311">
        <v>0</v>
      </c>
      <c r="O1311">
        <v>6.7</v>
      </c>
      <c r="P1311">
        <v>200</v>
      </c>
      <c r="Q1311">
        <v>0.1</v>
      </c>
      <c r="R1311">
        <v>0</v>
      </c>
      <c r="S1311">
        <v>0.05</v>
      </c>
      <c r="T1311" t="s">
        <v>43</v>
      </c>
      <c r="V1311">
        <v>49</v>
      </c>
      <c r="W1311">
        <v>0</v>
      </c>
      <c r="X1311">
        <v>49</v>
      </c>
      <c r="Y1311">
        <v>5</v>
      </c>
      <c r="Z1311">
        <v>0</v>
      </c>
      <c r="AA1311">
        <v>5</v>
      </c>
      <c r="AB1311" t="s">
        <v>36</v>
      </c>
      <c r="AC1311">
        <v>49</v>
      </c>
    </row>
    <row r="1312" spans="1:30" x14ac:dyDescent="0.25">
      <c r="A1312" s="1">
        <v>44784.438275462962</v>
      </c>
      <c r="B1312" s="1">
        <v>44784.437164351853</v>
      </c>
      <c r="C1312">
        <v>12212</v>
      </c>
      <c r="D1312" t="s">
        <v>44</v>
      </c>
      <c r="E1312" t="s">
        <v>35</v>
      </c>
      <c r="F1312">
        <v>7</v>
      </c>
      <c r="G1312">
        <v>42.930529999999997</v>
      </c>
      <c r="H1312">
        <v>-72.272350000000003</v>
      </c>
      <c r="I1312">
        <v>476</v>
      </c>
      <c r="J1312">
        <v>85</v>
      </c>
      <c r="K1312">
        <v>0</v>
      </c>
      <c r="L1312" s="1">
        <v>44784.43822916667</v>
      </c>
      <c r="M1312">
        <v>5</v>
      </c>
      <c r="N1312">
        <v>4.5</v>
      </c>
      <c r="O1312">
        <v>0.5</v>
      </c>
      <c r="P1312">
        <v>11</v>
      </c>
      <c r="Q1312">
        <v>0.1</v>
      </c>
      <c r="R1312">
        <v>0</v>
      </c>
      <c r="S1312">
        <v>0.05</v>
      </c>
      <c r="T1312" t="s">
        <v>33</v>
      </c>
      <c r="U1312">
        <v>4.75</v>
      </c>
      <c r="V1312">
        <v>51</v>
      </c>
      <c r="W1312">
        <v>0</v>
      </c>
      <c r="X1312">
        <v>51</v>
      </c>
      <c r="Y1312">
        <v>5</v>
      </c>
      <c r="Z1312">
        <v>0</v>
      </c>
      <c r="AA1312">
        <v>5</v>
      </c>
      <c r="AB1312" t="s">
        <v>36</v>
      </c>
      <c r="AC1312">
        <v>51</v>
      </c>
      <c r="AD1312">
        <v>1.49</v>
      </c>
    </row>
    <row r="1313" spans="1:30" x14ac:dyDescent="0.25">
      <c r="A1313" s="1">
        <v>44784.438287037039</v>
      </c>
      <c r="B1313" s="1">
        <v>44769.376736111109</v>
      </c>
      <c r="C1313">
        <v>12178</v>
      </c>
      <c r="D1313" t="s">
        <v>45</v>
      </c>
      <c r="E1313" t="s">
        <v>35</v>
      </c>
      <c r="F1313">
        <v>7</v>
      </c>
      <c r="G1313">
        <v>42.899563000000001</v>
      </c>
      <c r="H1313">
        <v>-71.464650000000006</v>
      </c>
      <c r="I1313">
        <v>301</v>
      </c>
      <c r="J1313">
        <v>85</v>
      </c>
      <c r="K1313">
        <v>0</v>
      </c>
      <c r="L1313" s="1">
        <v>44784.43822916667</v>
      </c>
      <c r="M1313">
        <v>3.8</v>
      </c>
      <c r="N1313">
        <v>3.1</v>
      </c>
      <c r="O1313">
        <v>0.7</v>
      </c>
      <c r="P1313">
        <v>20</v>
      </c>
      <c r="Q1313">
        <v>0</v>
      </c>
      <c r="R1313">
        <v>0</v>
      </c>
      <c r="S1313">
        <v>0</v>
      </c>
      <c r="T1313" t="s">
        <v>32</v>
      </c>
      <c r="V1313">
        <v>35</v>
      </c>
      <c r="W1313">
        <v>0</v>
      </c>
      <c r="X1313">
        <v>35</v>
      </c>
      <c r="Y1313">
        <v>0</v>
      </c>
      <c r="Z1313">
        <v>0</v>
      </c>
      <c r="AA1313">
        <v>0</v>
      </c>
      <c r="AB1313" t="s">
        <v>36</v>
      </c>
      <c r="AC1313">
        <v>35</v>
      </c>
    </row>
    <row r="1314" spans="1:30" x14ac:dyDescent="0.25">
      <c r="A1314" s="1">
        <v>44784.438287037039</v>
      </c>
      <c r="B1314" s="1">
        <v>44784.436469907407</v>
      </c>
      <c r="C1314">
        <v>75981</v>
      </c>
      <c r="D1314" t="s">
        <v>46</v>
      </c>
      <c r="E1314" t="s">
        <v>35</v>
      </c>
      <c r="F1314">
        <v>7</v>
      </c>
      <c r="G1314">
        <v>42.97</v>
      </c>
      <c r="H1314">
        <v>-71.06</v>
      </c>
      <c r="I1314">
        <v>136</v>
      </c>
      <c r="J1314">
        <v>82</v>
      </c>
      <c r="K1314">
        <v>0</v>
      </c>
      <c r="L1314" s="1">
        <v>44784.43822916667</v>
      </c>
      <c r="M1314">
        <v>9.3000000000000007</v>
      </c>
      <c r="N1314">
        <v>9</v>
      </c>
      <c r="O1314">
        <v>0.3</v>
      </c>
      <c r="P1314">
        <v>3</v>
      </c>
      <c r="Q1314">
        <v>0.2</v>
      </c>
      <c r="R1314">
        <v>0.4</v>
      </c>
      <c r="S1314">
        <v>0.3</v>
      </c>
      <c r="T1314" t="s">
        <v>33</v>
      </c>
      <c r="U1314">
        <v>9.15</v>
      </c>
      <c r="V1314">
        <v>55</v>
      </c>
      <c r="W1314">
        <v>0</v>
      </c>
      <c r="X1314">
        <v>55</v>
      </c>
      <c r="Y1314">
        <v>1</v>
      </c>
      <c r="Z1314">
        <v>0</v>
      </c>
      <c r="AA1314">
        <v>1</v>
      </c>
      <c r="AB1314" t="s">
        <v>36</v>
      </c>
      <c r="AC1314">
        <v>55</v>
      </c>
      <c r="AD1314">
        <v>3.89</v>
      </c>
    </row>
    <row r="1315" spans="1:30" x14ac:dyDescent="0.25">
      <c r="A1315" s="1">
        <v>44784.438287037039</v>
      </c>
      <c r="B1315" s="1">
        <v>44784.437002314815</v>
      </c>
      <c r="C1315">
        <v>115703</v>
      </c>
      <c r="D1315" t="s">
        <v>47</v>
      </c>
      <c r="E1315" t="s">
        <v>35</v>
      </c>
      <c r="F1315">
        <v>7</v>
      </c>
      <c r="G1315">
        <v>43.953625000000002</v>
      </c>
      <c r="H1315">
        <v>-71.508859999999999</v>
      </c>
      <c r="I1315">
        <v>1493</v>
      </c>
      <c r="J1315">
        <v>76</v>
      </c>
      <c r="K1315">
        <v>0</v>
      </c>
      <c r="L1315" s="1">
        <v>44784.43822916667</v>
      </c>
      <c r="M1315">
        <v>0</v>
      </c>
      <c r="N1315">
        <v>300.89999999999998</v>
      </c>
      <c r="O1315">
        <v>300.89999999999998</v>
      </c>
      <c r="P1315">
        <v>200</v>
      </c>
      <c r="Q1315">
        <v>0</v>
      </c>
      <c r="R1315">
        <v>0</v>
      </c>
      <c r="S1315">
        <v>0</v>
      </c>
      <c r="T1315" t="s">
        <v>48</v>
      </c>
      <c r="V1315">
        <v>52</v>
      </c>
      <c r="W1315">
        <v>0</v>
      </c>
      <c r="X1315">
        <v>52</v>
      </c>
      <c r="Y1315">
        <v>1</v>
      </c>
      <c r="Z1315">
        <v>0</v>
      </c>
      <c r="AA1315">
        <v>1</v>
      </c>
      <c r="AB1315" t="s">
        <v>36</v>
      </c>
      <c r="AC1315">
        <v>52</v>
      </c>
    </row>
    <row r="1316" spans="1:30" x14ac:dyDescent="0.25">
      <c r="A1316" s="1">
        <v>44784.438298611109</v>
      </c>
      <c r="B1316" s="1">
        <v>44784.4378125</v>
      </c>
      <c r="C1316">
        <v>12050</v>
      </c>
      <c r="D1316" t="s">
        <v>49</v>
      </c>
      <c r="E1316" t="s">
        <v>35</v>
      </c>
      <c r="F1316">
        <v>7</v>
      </c>
      <c r="G1316">
        <v>44.220573000000002</v>
      </c>
      <c r="H1316">
        <v>-71.732315</v>
      </c>
      <c r="I1316">
        <v>999</v>
      </c>
      <c r="J1316">
        <v>88</v>
      </c>
      <c r="K1316">
        <v>0</v>
      </c>
      <c r="L1316" s="1">
        <v>44784.43822916667</v>
      </c>
      <c r="M1316">
        <v>3.7</v>
      </c>
      <c r="N1316">
        <v>3.2</v>
      </c>
      <c r="O1316">
        <v>0.5</v>
      </c>
      <c r="P1316">
        <v>14</v>
      </c>
      <c r="Q1316">
        <v>0.1</v>
      </c>
      <c r="R1316">
        <v>0.1</v>
      </c>
      <c r="S1316">
        <v>0.1</v>
      </c>
      <c r="T1316" t="s">
        <v>33</v>
      </c>
      <c r="U1316">
        <v>3.45</v>
      </c>
      <c r="V1316">
        <v>38</v>
      </c>
      <c r="W1316">
        <v>0</v>
      </c>
      <c r="X1316">
        <v>38</v>
      </c>
      <c r="Y1316">
        <v>2</v>
      </c>
      <c r="Z1316">
        <v>0</v>
      </c>
      <c r="AA1316">
        <v>2</v>
      </c>
      <c r="AB1316" t="s">
        <v>36</v>
      </c>
      <c r="AC1316">
        <v>38</v>
      </c>
      <c r="AD1316">
        <v>1.6</v>
      </c>
    </row>
    <row r="1317" spans="1:30" x14ac:dyDescent="0.25">
      <c r="A1317" s="1">
        <v>44784.438298611109</v>
      </c>
      <c r="B1317" s="1">
        <v>44784.436539351853</v>
      </c>
      <c r="C1317">
        <v>23443</v>
      </c>
      <c r="D1317" t="s">
        <v>50</v>
      </c>
      <c r="E1317" t="s">
        <v>35</v>
      </c>
      <c r="F1317">
        <v>7</v>
      </c>
      <c r="G1317">
        <v>43.556139999999999</v>
      </c>
      <c r="H1317">
        <v>-72.370990000000006</v>
      </c>
      <c r="I1317">
        <v>523</v>
      </c>
      <c r="J1317">
        <v>87</v>
      </c>
      <c r="K1317">
        <v>0</v>
      </c>
      <c r="L1317" s="1">
        <v>44784.43822916667</v>
      </c>
      <c r="M1317">
        <v>4.9000000000000004</v>
      </c>
      <c r="N1317">
        <v>4.2</v>
      </c>
      <c r="O1317">
        <v>0.7</v>
      </c>
      <c r="P1317">
        <v>15</v>
      </c>
      <c r="Q1317">
        <v>0</v>
      </c>
      <c r="R1317">
        <v>0.1</v>
      </c>
      <c r="S1317">
        <v>0.05</v>
      </c>
      <c r="T1317" t="s">
        <v>33</v>
      </c>
      <c r="U1317">
        <v>4.55</v>
      </c>
      <c r="V1317">
        <v>43</v>
      </c>
      <c r="W1317">
        <v>0</v>
      </c>
      <c r="X1317">
        <v>43</v>
      </c>
      <c r="Y1317">
        <v>2</v>
      </c>
      <c r="Z1317">
        <v>0</v>
      </c>
      <c r="AA1317">
        <v>2</v>
      </c>
      <c r="AB1317" t="s">
        <v>36</v>
      </c>
      <c r="AC1317">
        <v>43</v>
      </c>
      <c r="AD1317">
        <v>1.93</v>
      </c>
    </row>
    <row r="1318" spans="1:30" x14ac:dyDescent="0.25">
      <c r="A1318" s="1">
        <v>44784.438298611109</v>
      </c>
      <c r="B1318" s="1">
        <v>44784.436608796299</v>
      </c>
      <c r="C1318">
        <v>58135</v>
      </c>
      <c r="D1318" t="s">
        <v>51</v>
      </c>
      <c r="E1318" t="s">
        <v>35</v>
      </c>
      <c r="F1318">
        <v>7</v>
      </c>
      <c r="G1318">
        <v>42.883873000000001</v>
      </c>
      <c r="H1318">
        <v>-71.972915999999998</v>
      </c>
      <c r="I1318">
        <v>808</v>
      </c>
      <c r="J1318">
        <v>82</v>
      </c>
      <c r="K1318">
        <v>0</v>
      </c>
      <c r="L1318" s="1">
        <v>44784.43822916667</v>
      </c>
      <c r="M1318">
        <v>3.8</v>
      </c>
      <c r="N1318">
        <v>2.4</v>
      </c>
      <c r="O1318">
        <v>1.4</v>
      </c>
      <c r="P1318">
        <v>45</v>
      </c>
      <c r="Q1318">
        <v>0.2</v>
      </c>
      <c r="R1318">
        <v>0.1</v>
      </c>
      <c r="S1318">
        <v>0.15</v>
      </c>
      <c r="T1318" t="s">
        <v>33</v>
      </c>
      <c r="U1318">
        <v>3.1</v>
      </c>
      <c r="V1318">
        <v>47</v>
      </c>
      <c r="W1318">
        <v>0</v>
      </c>
      <c r="X1318">
        <v>47</v>
      </c>
      <c r="Y1318">
        <v>2</v>
      </c>
      <c r="Z1318">
        <v>0</v>
      </c>
      <c r="AA1318">
        <v>2</v>
      </c>
      <c r="AB1318" t="s">
        <v>36</v>
      </c>
      <c r="AC1318">
        <v>47</v>
      </c>
      <c r="AD1318">
        <v>0.76</v>
      </c>
    </row>
    <row r="1319" spans="1:30" x14ac:dyDescent="0.25">
      <c r="A1319" s="1">
        <v>44784.438310185185</v>
      </c>
      <c r="B1319" s="1">
        <v>44784.436655092592</v>
      </c>
      <c r="C1319">
        <v>148555</v>
      </c>
      <c r="D1319" t="s">
        <v>52</v>
      </c>
      <c r="E1319" t="s">
        <v>53</v>
      </c>
      <c r="F1319">
        <v>7</v>
      </c>
      <c r="G1319">
        <v>42.904949999999999</v>
      </c>
      <c r="H1319">
        <v>-71.386764999999997</v>
      </c>
      <c r="I1319">
        <v>363</v>
      </c>
      <c r="J1319">
        <v>0</v>
      </c>
      <c r="K1319">
        <v>0</v>
      </c>
      <c r="L1319" s="1">
        <v>44784.43822916667</v>
      </c>
      <c r="M1319">
        <v>5</v>
      </c>
      <c r="N1319">
        <v>5.6</v>
      </c>
      <c r="O1319">
        <v>0.6</v>
      </c>
      <c r="P1319">
        <v>11</v>
      </c>
      <c r="Q1319">
        <v>0.1</v>
      </c>
      <c r="R1319">
        <v>0.1</v>
      </c>
      <c r="S1319">
        <v>0.1</v>
      </c>
      <c r="T1319" t="s">
        <v>33</v>
      </c>
      <c r="U1319">
        <v>5.3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 t="s">
        <v>38</v>
      </c>
    </row>
    <row r="1320" spans="1:30" x14ac:dyDescent="0.25">
      <c r="A1320" s="1">
        <v>44784.438310185185</v>
      </c>
      <c r="B1320" s="1">
        <v>44784.4375462963</v>
      </c>
      <c r="C1320">
        <v>146644</v>
      </c>
      <c r="D1320" t="s">
        <v>54</v>
      </c>
      <c r="E1320" t="s">
        <v>53</v>
      </c>
      <c r="F1320">
        <v>7</v>
      </c>
      <c r="G1320">
        <v>43.06015</v>
      </c>
      <c r="H1320">
        <v>-70.758930000000007</v>
      </c>
      <c r="I1320">
        <v>35</v>
      </c>
      <c r="J1320">
        <v>77</v>
      </c>
      <c r="K1320">
        <v>79</v>
      </c>
      <c r="L1320" s="1">
        <v>44784.43822916667</v>
      </c>
      <c r="M1320">
        <v>12.4</v>
      </c>
      <c r="N1320">
        <v>11</v>
      </c>
      <c r="O1320">
        <v>1.4</v>
      </c>
      <c r="P1320">
        <v>12</v>
      </c>
      <c r="Q1320">
        <v>0.3</v>
      </c>
      <c r="R1320">
        <v>0.1</v>
      </c>
      <c r="S1320">
        <v>0.2</v>
      </c>
      <c r="T1320" t="s">
        <v>33</v>
      </c>
      <c r="U1320">
        <v>11.7</v>
      </c>
      <c r="V1320">
        <v>57</v>
      </c>
      <c r="W1320">
        <v>62</v>
      </c>
      <c r="X1320">
        <v>5</v>
      </c>
      <c r="Y1320">
        <v>2</v>
      </c>
      <c r="Z1320">
        <v>2</v>
      </c>
      <c r="AA1320">
        <v>0</v>
      </c>
      <c r="AB1320" t="s">
        <v>33</v>
      </c>
      <c r="AC1320">
        <v>59.5</v>
      </c>
      <c r="AD1320">
        <v>5.13</v>
      </c>
    </row>
    <row r="1321" spans="1:30" x14ac:dyDescent="0.25">
      <c r="A1321" s="1">
        <v>44784.438310185185</v>
      </c>
      <c r="B1321" s="1">
        <v>43755.283437500002</v>
      </c>
      <c r="C1321">
        <v>12188</v>
      </c>
      <c r="D1321" t="s">
        <v>55</v>
      </c>
      <c r="E1321" t="s">
        <v>35</v>
      </c>
      <c r="F1321">
        <v>4.1100000000000003</v>
      </c>
      <c r="G1321">
        <v>42.927050000000001</v>
      </c>
      <c r="H1321">
        <v>-72.279610000000005</v>
      </c>
      <c r="I1321">
        <v>475</v>
      </c>
      <c r="J1321">
        <v>95</v>
      </c>
      <c r="K1321">
        <v>0</v>
      </c>
      <c r="L1321" s="1">
        <v>44784.43822916667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 t="s">
        <v>32</v>
      </c>
      <c r="V1321">
        <v>77</v>
      </c>
      <c r="W1321">
        <v>0</v>
      </c>
      <c r="X1321">
        <v>77</v>
      </c>
      <c r="Y1321">
        <v>0</v>
      </c>
      <c r="Z1321">
        <v>0</v>
      </c>
      <c r="AA1321">
        <v>0</v>
      </c>
      <c r="AB1321" t="s">
        <v>36</v>
      </c>
      <c r="AC1321">
        <v>77</v>
      </c>
    </row>
    <row r="1322" spans="1:30" x14ac:dyDescent="0.25">
      <c r="A1322" s="1">
        <v>44784.438321759262</v>
      </c>
      <c r="B1322" s="1">
        <v>44784.436527777776</v>
      </c>
      <c r="C1322">
        <v>1224</v>
      </c>
      <c r="D1322" t="s">
        <v>56</v>
      </c>
      <c r="E1322" t="s">
        <v>35</v>
      </c>
      <c r="F1322" t="s">
        <v>57</v>
      </c>
      <c r="G1322">
        <v>42.938034000000002</v>
      </c>
      <c r="H1322">
        <v>-72.259299999999996</v>
      </c>
      <c r="I1322">
        <v>792</v>
      </c>
      <c r="J1322">
        <v>88</v>
      </c>
      <c r="K1322">
        <v>0</v>
      </c>
      <c r="L1322" s="1">
        <v>44784.43822916667</v>
      </c>
      <c r="M1322">
        <v>5</v>
      </c>
      <c r="N1322">
        <v>0.1</v>
      </c>
      <c r="O1322">
        <v>4.9000000000000004</v>
      </c>
      <c r="P1322">
        <v>192</v>
      </c>
      <c r="Q1322">
        <v>0.1</v>
      </c>
      <c r="R1322">
        <v>0.1</v>
      </c>
      <c r="S1322">
        <v>0.1</v>
      </c>
      <c r="T1322" t="s">
        <v>33</v>
      </c>
      <c r="U1322">
        <v>2.5499999999999998</v>
      </c>
      <c r="V1322">
        <v>55</v>
      </c>
      <c r="W1322">
        <v>0</v>
      </c>
      <c r="X1322">
        <v>55</v>
      </c>
      <c r="Y1322">
        <v>1</v>
      </c>
      <c r="Z1322">
        <v>0</v>
      </c>
      <c r="AA1322">
        <v>1</v>
      </c>
      <c r="AB1322" t="s">
        <v>36</v>
      </c>
      <c r="AC1322">
        <v>55</v>
      </c>
      <c r="AD1322">
        <v>-0.13</v>
      </c>
    </row>
    <row r="1323" spans="1:30" x14ac:dyDescent="0.25">
      <c r="A1323" s="1">
        <v>44784.438321759262</v>
      </c>
      <c r="B1323" s="1">
        <v>44784.437361111108</v>
      </c>
      <c r="C1323">
        <v>1202</v>
      </c>
      <c r="D1323" t="s">
        <v>58</v>
      </c>
      <c r="E1323" t="s">
        <v>35</v>
      </c>
      <c r="F1323" t="s">
        <v>57</v>
      </c>
      <c r="G1323">
        <v>42.936554000000001</v>
      </c>
      <c r="H1323">
        <v>-72.271019999999993</v>
      </c>
      <c r="I1323">
        <v>488</v>
      </c>
      <c r="J1323">
        <v>0</v>
      </c>
      <c r="K1323">
        <v>0</v>
      </c>
      <c r="L1323" s="1">
        <v>44784.43822916667</v>
      </c>
      <c r="M1323">
        <v>5.5</v>
      </c>
      <c r="N1323">
        <v>4.8</v>
      </c>
      <c r="O1323">
        <v>0.7</v>
      </c>
      <c r="P1323">
        <v>14</v>
      </c>
      <c r="Q1323">
        <v>0.3</v>
      </c>
      <c r="R1323">
        <v>0.2</v>
      </c>
      <c r="S1323">
        <v>0.25</v>
      </c>
      <c r="T1323" t="s">
        <v>33</v>
      </c>
      <c r="U1323">
        <v>5.15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 t="s">
        <v>38</v>
      </c>
    </row>
    <row r="1324" spans="1:30" x14ac:dyDescent="0.25">
      <c r="A1324" s="1">
        <v>44784.438321759262</v>
      </c>
      <c r="B1324" s="1">
        <v>44612.080023148148</v>
      </c>
      <c r="C1324">
        <v>25985</v>
      </c>
      <c r="D1324" t="s">
        <v>59</v>
      </c>
      <c r="E1324" t="s">
        <v>35</v>
      </c>
      <c r="F1324">
        <v>6.01</v>
      </c>
      <c r="G1324">
        <v>42.927326000000001</v>
      </c>
      <c r="H1324">
        <v>-72.279979999999995</v>
      </c>
      <c r="I1324">
        <v>477</v>
      </c>
      <c r="J1324">
        <v>78</v>
      </c>
      <c r="K1324">
        <v>0</v>
      </c>
      <c r="L1324" s="1">
        <v>44784.43822916667</v>
      </c>
      <c r="M1324">
        <v>1.1000000000000001</v>
      </c>
      <c r="N1324">
        <v>1</v>
      </c>
      <c r="O1324">
        <v>0.1</v>
      </c>
      <c r="P1324">
        <v>10</v>
      </c>
      <c r="Q1324">
        <v>0</v>
      </c>
      <c r="R1324">
        <v>0</v>
      </c>
      <c r="S1324">
        <v>0</v>
      </c>
      <c r="T1324" t="s">
        <v>32</v>
      </c>
      <c r="V1324">
        <v>22</v>
      </c>
      <c r="W1324">
        <v>0</v>
      </c>
      <c r="X1324">
        <v>22</v>
      </c>
      <c r="Y1324">
        <v>0</v>
      </c>
      <c r="Z1324">
        <v>0</v>
      </c>
      <c r="AA1324">
        <v>0</v>
      </c>
      <c r="AB1324" t="s">
        <v>36</v>
      </c>
      <c r="AC1324">
        <v>22</v>
      </c>
    </row>
    <row r="1325" spans="1:30" x14ac:dyDescent="0.25">
      <c r="A1325" s="1">
        <v>44784.445185185185</v>
      </c>
      <c r="B1325" s="1">
        <v>44775.701319444444</v>
      </c>
      <c r="C1325">
        <v>151708</v>
      </c>
      <c r="D1325" t="s">
        <v>30</v>
      </c>
      <c r="E1325" t="s">
        <v>31</v>
      </c>
      <c r="F1325">
        <v>7</v>
      </c>
      <c r="G1325">
        <v>43.192042999999998</v>
      </c>
      <c r="H1325">
        <v>-71.541579999999996</v>
      </c>
      <c r="I1325">
        <v>291</v>
      </c>
      <c r="J1325">
        <v>93</v>
      </c>
      <c r="K1325">
        <v>94</v>
      </c>
      <c r="L1325" s="1">
        <v>44784.445173611108</v>
      </c>
      <c r="M1325">
        <v>7.9</v>
      </c>
      <c r="N1325">
        <v>7.6</v>
      </c>
      <c r="O1325">
        <v>0.3</v>
      </c>
      <c r="P1325">
        <v>4</v>
      </c>
      <c r="Q1325">
        <v>0</v>
      </c>
      <c r="R1325">
        <v>0</v>
      </c>
      <c r="S1325">
        <v>0</v>
      </c>
      <c r="T1325" t="s">
        <v>32</v>
      </c>
      <c r="V1325">
        <v>42</v>
      </c>
      <c r="W1325">
        <v>41</v>
      </c>
      <c r="X1325">
        <v>1</v>
      </c>
      <c r="Y1325">
        <v>0</v>
      </c>
      <c r="Z1325">
        <v>0</v>
      </c>
      <c r="AA1325">
        <v>0</v>
      </c>
      <c r="AB1325" t="s">
        <v>33</v>
      </c>
      <c r="AC1325">
        <v>41.5</v>
      </c>
    </row>
    <row r="1326" spans="1:30" x14ac:dyDescent="0.25">
      <c r="A1326" s="1">
        <v>44784.445185185185</v>
      </c>
      <c r="B1326" s="1">
        <v>44784.443518518521</v>
      </c>
      <c r="C1326">
        <v>143456</v>
      </c>
      <c r="D1326" t="s">
        <v>34</v>
      </c>
      <c r="E1326" t="s">
        <v>35</v>
      </c>
      <c r="F1326">
        <v>7</v>
      </c>
      <c r="G1326">
        <v>43.08963</v>
      </c>
      <c r="H1326">
        <v>-71.502440000000007</v>
      </c>
      <c r="I1326">
        <v>619</v>
      </c>
      <c r="J1326">
        <v>79</v>
      </c>
      <c r="K1326">
        <v>0</v>
      </c>
      <c r="L1326" s="1">
        <v>44784.445173611108</v>
      </c>
      <c r="M1326">
        <v>5.3</v>
      </c>
      <c r="N1326">
        <v>5.9</v>
      </c>
      <c r="O1326">
        <v>0.6</v>
      </c>
      <c r="P1326">
        <v>11</v>
      </c>
      <c r="Q1326">
        <v>0.2</v>
      </c>
      <c r="R1326">
        <v>0.4</v>
      </c>
      <c r="S1326">
        <v>0.3</v>
      </c>
      <c r="T1326" t="s">
        <v>33</v>
      </c>
      <c r="U1326">
        <v>5.6</v>
      </c>
      <c r="V1326">
        <v>62</v>
      </c>
      <c r="W1326">
        <v>0</v>
      </c>
      <c r="X1326">
        <v>62</v>
      </c>
      <c r="Y1326">
        <v>1</v>
      </c>
      <c r="Z1326">
        <v>0</v>
      </c>
      <c r="AA1326">
        <v>1</v>
      </c>
      <c r="AB1326" t="s">
        <v>36</v>
      </c>
      <c r="AC1326">
        <v>62</v>
      </c>
      <c r="AD1326">
        <v>1.24</v>
      </c>
    </row>
    <row r="1327" spans="1:30" x14ac:dyDescent="0.25">
      <c r="A1327" s="1">
        <v>44784.445196759261</v>
      </c>
      <c r="B1327" s="1">
        <v>44784.443692129629</v>
      </c>
      <c r="C1327">
        <v>151702</v>
      </c>
      <c r="D1327" t="s">
        <v>37</v>
      </c>
      <c r="E1327" t="s">
        <v>31</v>
      </c>
      <c r="F1327">
        <v>7</v>
      </c>
      <c r="G1327">
        <v>43.118609999999997</v>
      </c>
      <c r="H1327">
        <v>-71.61618</v>
      </c>
      <c r="I1327">
        <v>885</v>
      </c>
      <c r="J1327">
        <v>0</v>
      </c>
      <c r="K1327">
        <v>0</v>
      </c>
      <c r="L1327" s="1">
        <v>44784.445173611108</v>
      </c>
      <c r="M1327">
        <v>5.7</v>
      </c>
      <c r="N1327">
        <v>5.4</v>
      </c>
      <c r="O1327">
        <v>0.3</v>
      </c>
      <c r="P1327">
        <v>5</v>
      </c>
      <c r="Q1327">
        <v>0</v>
      </c>
      <c r="R1327">
        <v>0</v>
      </c>
      <c r="S1327">
        <v>0</v>
      </c>
      <c r="T1327" t="s">
        <v>33</v>
      </c>
      <c r="U1327">
        <v>5.55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 t="s">
        <v>38</v>
      </c>
    </row>
    <row r="1328" spans="1:30" x14ac:dyDescent="0.25">
      <c r="A1328" s="1">
        <v>44784.445196759261</v>
      </c>
      <c r="B1328" s="1">
        <v>44784.443576388891</v>
      </c>
      <c r="C1328">
        <v>151700</v>
      </c>
      <c r="D1328" t="s">
        <v>30</v>
      </c>
      <c r="E1328" t="s">
        <v>31</v>
      </c>
      <c r="F1328">
        <v>7</v>
      </c>
      <c r="G1328">
        <v>43.19211</v>
      </c>
      <c r="H1328">
        <v>-71.541460000000001</v>
      </c>
      <c r="I1328">
        <v>286</v>
      </c>
      <c r="J1328">
        <v>77</v>
      </c>
      <c r="K1328">
        <v>0</v>
      </c>
      <c r="L1328" s="1">
        <v>44784.445173611108</v>
      </c>
      <c r="M1328">
        <v>5.9</v>
      </c>
      <c r="N1328">
        <v>6.6</v>
      </c>
      <c r="O1328">
        <v>0.7</v>
      </c>
      <c r="P1328">
        <v>11</v>
      </c>
      <c r="Q1328">
        <v>0.2</v>
      </c>
      <c r="R1328">
        <v>0.1</v>
      </c>
      <c r="S1328">
        <v>0.15</v>
      </c>
      <c r="T1328" t="s">
        <v>33</v>
      </c>
      <c r="U1328">
        <v>6.25</v>
      </c>
      <c r="V1328">
        <v>60</v>
      </c>
      <c r="W1328">
        <v>0</v>
      </c>
      <c r="X1328">
        <v>60</v>
      </c>
      <c r="Y1328">
        <v>0</v>
      </c>
      <c r="Z1328">
        <v>0</v>
      </c>
      <c r="AA1328">
        <v>0</v>
      </c>
      <c r="AB1328" t="s">
        <v>36</v>
      </c>
      <c r="AC1328">
        <v>60</v>
      </c>
      <c r="AD1328">
        <v>1.77</v>
      </c>
    </row>
    <row r="1329" spans="1:30" x14ac:dyDescent="0.25">
      <c r="A1329" s="1">
        <v>44784.445196759261</v>
      </c>
      <c r="B1329" s="1">
        <v>44784.444004629629</v>
      </c>
      <c r="C1329">
        <v>135984</v>
      </c>
      <c r="D1329" t="s">
        <v>39</v>
      </c>
      <c r="E1329" t="s">
        <v>31</v>
      </c>
      <c r="F1329">
        <v>7</v>
      </c>
      <c r="G1329">
        <v>43.565852999999997</v>
      </c>
      <c r="H1329">
        <v>-71.496129999999994</v>
      </c>
      <c r="I1329">
        <v>708</v>
      </c>
      <c r="J1329">
        <v>85</v>
      </c>
      <c r="K1329">
        <v>0</v>
      </c>
      <c r="L1329" s="1">
        <v>44784.445173611108</v>
      </c>
      <c r="M1329">
        <v>4</v>
      </c>
      <c r="N1329">
        <v>3.3</v>
      </c>
      <c r="O1329">
        <v>0.7</v>
      </c>
      <c r="P1329">
        <v>19</v>
      </c>
      <c r="Q1329">
        <v>0</v>
      </c>
      <c r="R1329">
        <v>0.2</v>
      </c>
      <c r="S1329">
        <v>0.1</v>
      </c>
      <c r="T1329" t="s">
        <v>33</v>
      </c>
      <c r="U1329">
        <v>3.65</v>
      </c>
      <c r="V1329">
        <v>58</v>
      </c>
      <c r="W1329">
        <v>0</v>
      </c>
      <c r="X1329">
        <v>58</v>
      </c>
      <c r="Y1329">
        <v>1</v>
      </c>
      <c r="Z1329">
        <v>0</v>
      </c>
      <c r="AA1329">
        <v>1</v>
      </c>
      <c r="AB1329" t="s">
        <v>36</v>
      </c>
      <c r="AC1329">
        <v>58</v>
      </c>
      <c r="AD1329">
        <v>0.33</v>
      </c>
    </row>
    <row r="1330" spans="1:30" x14ac:dyDescent="0.25">
      <c r="A1330" s="1">
        <v>44784.445208333331</v>
      </c>
      <c r="B1330" s="1">
        <v>44780.394780092596</v>
      </c>
      <c r="C1330">
        <v>151712</v>
      </c>
      <c r="D1330" t="s">
        <v>40</v>
      </c>
      <c r="E1330" t="s">
        <v>31</v>
      </c>
      <c r="F1330">
        <v>7</v>
      </c>
      <c r="G1330">
        <v>43.289763999999998</v>
      </c>
      <c r="H1330">
        <v>-71.564260000000004</v>
      </c>
      <c r="I1330">
        <v>370</v>
      </c>
      <c r="J1330">
        <v>86</v>
      </c>
      <c r="K1330">
        <v>0</v>
      </c>
      <c r="L1330" s="1">
        <v>44784.445173611108</v>
      </c>
      <c r="M1330">
        <v>14</v>
      </c>
      <c r="N1330">
        <v>13.2</v>
      </c>
      <c r="O1330">
        <v>0.8</v>
      </c>
      <c r="P1330">
        <v>6</v>
      </c>
      <c r="Q1330">
        <v>0</v>
      </c>
      <c r="R1330">
        <v>0</v>
      </c>
      <c r="S1330">
        <v>0</v>
      </c>
      <c r="T1330" t="s">
        <v>32</v>
      </c>
      <c r="V1330">
        <v>59</v>
      </c>
      <c r="W1330">
        <v>0</v>
      </c>
      <c r="X1330">
        <v>59</v>
      </c>
      <c r="Y1330">
        <v>0</v>
      </c>
      <c r="Z1330">
        <v>0</v>
      </c>
      <c r="AA1330">
        <v>0</v>
      </c>
      <c r="AB1330" t="s">
        <v>36</v>
      </c>
      <c r="AC1330">
        <v>59</v>
      </c>
    </row>
    <row r="1331" spans="1:30" x14ac:dyDescent="0.25">
      <c r="A1331" s="1">
        <v>44784.445208333331</v>
      </c>
      <c r="B1331" s="1">
        <v>44784.444687499999</v>
      </c>
      <c r="C1331">
        <v>151710</v>
      </c>
      <c r="D1331" t="s">
        <v>41</v>
      </c>
      <c r="E1331" t="s">
        <v>31</v>
      </c>
      <c r="F1331">
        <v>7</v>
      </c>
      <c r="G1331">
        <v>43.132477000000002</v>
      </c>
      <c r="H1331">
        <v>-71.458374000000006</v>
      </c>
      <c r="I1331">
        <v>230</v>
      </c>
      <c r="J1331">
        <v>83</v>
      </c>
      <c r="K1331">
        <v>0</v>
      </c>
      <c r="L1331" s="1">
        <v>44784.445173611108</v>
      </c>
      <c r="M1331">
        <v>7.5</v>
      </c>
      <c r="N1331">
        <v>6.5</v>
      </c>
      <c r="O1331">
        <v>1</v>
      </c>
      <c r="P1331">
        <v>14</v>
      </c>
      <c r="Q1331">
        <v>0.1</v>
      </c>
      <c r="R1331">
        <v>0.2</v>
      </c>
      <c r="S1331">
        <v>0.15</v>
      </c>
      <c r="T1331" t="s">
        <v>33</v>
      </c>
      <c r="U1331">
        <v>7</v>
      </c>
      <c r="V1331">
        <v>48</v>
      </c>
      <c r="W1331">
        <v>0</v>
      </c>
      <c r="X1331">
        <v>48</v>
      </c>
      <c r="Y1331">
        <v>0</v>
      </c>
      <c r="Z1331">
        <v>0</v>
      </c>
      <c r="AA1331">
        <v>0</v>
      </c>
      <c r="AB1331" t="s">
        <v>36</v>
      </c>
      <c r="AC1331">
        <v>48</v>
      </c>
      <c r="AD1331">
        <v>3.07</v>
      </c>
    </row>
    <row r="1332" spans="1:30" x14ac:dyDescent="0.25">
      <c r="A1332" s="1">
        <v>44784.445208333331</v>
      </c>
      <c r="B1332" s="1">
        <v>44784.444374999999</v>
      </c>
      <c r="C1332">
        <v>151706</v>
      </c>
      <c r="D1332" t="s">
        <v>42</v>
      </c>
      <c r="E1332" t="s">
        <v>31</v>
      </c>
      <c r="F1332">
        <v>7</v>
      </c>
      <c r="G1332">
        <v>43.004080000000002</v>
      </c>
      <c r="H1332">
        <v>-71.177040000000005</v>
      </c>
      <c r="I1332">
        <v>194</v>
      </c>
      <c r="J1332">
        <v>85</v>
      </c>
      <c r="K1332">
        <v>0</v>
      </c>
      <c r="L1332" s="1">
        <v>44784.445173611108</v>
      </c>
      <c r="M1332">
        <v>6.6</v>
      </c>
      <c r="N1332">
        <v>0</v>
      </c>
      <c r="O1332">
        <v>6.6</v>
      </c>
      <c r="P1332">
        <v>200</v>
      </c>
      <c r="Q1332">
        <v>0.1</v>
      </c>
      <c r="R1332">
        <v>0</v>
      </c>
      <c r="S1332">
        <v>0.05</v>
      </c>
      <c r="T1332" t="s">
        <v>43</v>
      </c>
      <c r="V1332">
        <v>50</v>
      </c>
      <c r="W1332">
        <v>0</v>
      </c>
      <c r="X1332">
        <v>50</v>
      </c>
      <c r="Y1332">
        <v>1</v>
      </c>
      <c r="Z1332">
        <v>0</v>
      </c>
      <c r="AA1332">
        <v>1</v>
      </c>
      <c r="AB1332" t="s">
        <v>36</v>
      </c>
      <c r="AC1332">
        <v>50</v>
      </c>
    </row>
    <row r="1333" spans="1:30" x14ac:dyDescent="0.25">
      <c r="A1333" s="1">
        <v>44784.445219907408</v>
      </c>
      <c r="B1333" s="1">
        <v>44784.444120370368</v>
      </c>
      <c r="C1333">
        <v>12212</v>
      </c>
      <c r="D1333" t="s">
        <v>44</v>
      </c>
      <c r="E1333" t="s">
        <v>35</v>
      </c>
      <c r="F1333">
        <v>7</v>
      </c>
      <c r="G1333">
        <v>42.930529999999997</v>
      </c>
      <c r="H1333">
        <v>-72.272350000000003</v>
      </c>
      <c r="I1333">
        <v>476</v>
      </c>
      <c r="J1333">
        <v>85</v>
      </c>
      <c r="K1333">
        <v>0</v>
      </c>
      <c r="L1333" s="1">
        <v>44784.445173611108</v>
      </c>
      <c r="M1333">
        <v>5</v>
      </c>
      <c r="N1333">
        <v>4.5</v>
      </c>
      <c r="O1333">
        <v>0.5</v>
      </c>
      <c r="P1333">
        <v>11</v>
      </c>
      <c r="Q1333">
        <v>0</v>
      </c>
      <c r="R1333">
        <v>0</v>
      </c>
      <c r="S1333">
        <v>0</v>
      </c>
      <c r="T1333" t="s">
        <v>33</v>
      </c>
      <c r="U1333">
        <v>4.75</v>
      </c>
      <c r="V1333">
        <v>51</v>
      </c>
      <c r="W1333">
        <v>0</v>
      </c>
      <c r="X1333">
        <v>51</v>
      </c>
      <c r="Y1333">
        <v>0</v>
      </c>
      <c r="Z1333">
        <v>0</v>
      </c>
      <c r="AA1333">
        <v>0</v>
      </c>
      <c r="AB1333" t="s">
        <v>36</v>
      </c>
      <c r="AC1333">
        <v>51</v>
      </c>
      <c r="AD1333">
        <v>1.49</v>
      </c>
    </row>
    <row r="1334" spans="1:30" x14ac:dyDescent="0.25">
      <c r="A1334" s="1">
        <v>44784.445219907408</v>
      </c>
      <c r="B1334" s="1">
        <v>44769.376736111109</v>
      </c>
      <c r="C1334">
        <v>12178</v>
      </c>
      <c r="D1334" t="s">
        <v>45</v>
      </c>
      <c r="E1334" t="s">
        <v>35</v>
      </c>
      <c r="F1334">
        <v>7</v>
      </c>
      <c r="G1334">
        <v>42.899563000000001</v>
      </c>
      <c r="H1334">
        <v>-71.464650000000006</v>
      </c>
      <c r="I1334">
        <v>301</v>
      </c>
      <c r="J1334">
        <v>85</v>
      </c>
      <c r="K1334">
        <v>0</v>
      </c>
      <c r="L1334" s="1">
        <v>44784.445173611108</v>
      </c>
      <c r="M1334">
        <v>3.8</v>
      </c>
      <c r="N1334">
        <v>3.1</v>
      </c>
      <c r="O1334">
        <v>0.7</v>
      </c>
      <c r="P1334">
        <v>20</v>
      </c>
      <c r="Q1334">
        <v>0</v>
      </c>
      <c r="R1334">
        <v>0</v>
      </c>
      <c r="S1334">
        <v>0</v>
      </c>
      <c r="T1334" t="s">
        <v>32</v>
      </c>
      <c r="V1334">
        <v>35</v>
      </c>
      <c r="W1334">
        <v>0</v>
      </c>
      <c r="X1334">
        <v>35</v>
      </c>
      <c r="Y1334">
        <v>0</v>
      </c>
      <c r="Z1334">
        <v>0</v>
      </c>
      <c r="AA1334">
        <v>0</v>
      </c>
      <c r="AB1334" t="s">
        <v>36</v>
      </c>
      <c r="AC1334">
        <v>35</v>
      </c>
    </row>
    <row r="1335" spans="1:30" x14ac:dyDescent="0.25">
      <c r="A1335" s="1">
        <v>44784.445219907408</v>
      </c>
      <c r="B1335" s="1">
        <v>44784.444803240738</v>
      </c>
      <c r="C1335">
        <v>75981</v>
      </c>
      <c r="D1335" t="s">
        <v>46</v>
      </c>
      <c r="E1335" t="s">
        <v>35</v>
      </c>
      <c r="F1335">
        <v>7</v>
      </c>
      <c r="G1335">
        <v>42.97</v>
      </c>
      <c r="H1335">
        <v>-71.06</v>
      </c>
      <c r="I1335">
        <v>136</v>
      </c>
      <c r="J1335">
        <v>82</v>
      </c>
      <c r="K1335">
        <v>0</v>
      </c>
      <c r="L1335" s="1">
        <v>44784.445173611108</v>
      </c>
      <c r="M1335">
        <v>9.6</v>
      </c>
      <c r="N1335">
        <v>9.4</v>
      </c>
      <c r="O1335">
        <v>0.2</v>
      </c>
      <c r="P1335">
        <v>2</v>
      </c>
      <c r="Q1335">
        <v>0.3</v>
      </c>
      <c r="R1335">
        <v>0.4</v>
      </c>
      <c r="S1335">
        <v>0.35</v>
      </c>
      <c r="T1335" t="s">
        <v>33</v>
      </c>
      <c r="U1335">
        <v>9.5</v>
      </c>
      <c r="V1335">
        <v>53</v>
      </c>
      <c r="W1335">
        <v>0</v>
      </c>
      <c r="X1335">
        <v>53</v>
      </c>
      <c r="Y1335">
        <v>2</v>
      </c>
      <c r="Z1335">
        <v>0</v>
      </c>
      <c r="AA1335">
        <v>2</v>
      </c>
      <c r="AB1335" t="s">
        <v>36</v>
      </c>
      <c r="AC1335">
        <v>53</v>
      </c>
      <c r="AD1335">
        <v>4.24</v>
      </c>
    </row>
    <row r="1336" spans="1:30" x14ac:dyDescent="0.25">
      <c r="A1336" s="1">
        <v>44784.445219907408</v>
      </c>
      <c r="B1336" s="1">
        <v>44784.443958333337</v>
      </c>
      <c r="C1336">
        <v>115703</v>
      </c>
      <c r="D1336" t="s">
        <v>47</v>
      </c>
      <c r="E1336" t="s">
        <v>35</v>
      </c>
      <c r="F1336">
        <v>7</v>
      </c>
      <c r="G1336">
        <v>43.953625000000002</v>
      </c>
      <c r="H1336">
        <v>-71.508859999999999</v>
      </c>
      <c r="I1336">
        <v>1493</v>
      </c>
      <c r="J1336">
        <v>76</v>
      </c>
      <c r="K1336">
        <v>0</v>
      </c>
      <c r="L1336" s="1">
        <v>44784.445173611108</v>
      </c>
      <c r="M1336">
        <v>0.1</v>
      </c>
      <c r="N1336">
        <v>300.89999999999998</v>
      </c>
      <c r="O1336">
        <v>300.8</v>
      </c>
      <c r="P1336">
        <v>200</v>
      </c>
      <c r="Q1336">
        <v>0.1</v>
      </c>
      <c r="R1336">
        <v>0</v>
      </c>
      <c r="S1336">
        <v>0.05</v>
      </c>
      <c r="T1336" t="s">
        <v>60</v>
      </c>
      <c r="V1336">
        <v>51</v>
      </c>
      <c r="W1336">
        <v>0</v>
      </c>
      <c r="X1336">
        <v>51</v>
      </c>
      <c r="Y1336">
        <v>1</v>
      </c>
      <c r="Z1336">
        <v>0</v>
      </c>
      <c r="AA1336">
        <v>1</v>
      </c>
      <c r="AB1336" t="s">
        <v>36</v>
      </c>
      <c r="AC1336">
        <v>51</v>
      </c>
    </row>
    <row r="1337" spans="1:30" x14ac:dyDescent="0.25">
      <c r="A1337" s="1">
        <v>44784.445231481484</v>
      </c>
      <c r="B1337" s="1">
        <v>44784.444756944446</v>
      </c>
      <c r="C1337">
        <v>12050</v>
      </c>
      <c r="D1337" t="s">
        <v>49</v>
      </c>
      <c r="E1337" t="s">
        <v>35</v>
      </c>
      <c r="F1337">
        <v>7</v>
      </c>
      <c r="G1337">
        <v>44.220573000000002</v>
      </c>
      <c r="H1337">
        <v>-71.732315</v>
      </c>
      <c r="I1337">
        <v>999</v>
      </c>
      <c r="J1337">
        <v>86</v>
      </c>
      <c r="K1337">
        <v>0</v>
      </c>
      <c r="L1337" s="1">
        <v>44784.445173611108</v>
      </c>
      <c r="M1337">
        <v>3.8</v>
      </c>
      <c r="N1337">
        <v>3.2</v>
      </c>
      <c r="O1337">
        <v>0.6</v>
      </c>
      <c r="P1337">
        <v>17</v>
      </c>
      <c r="Q1337">
        <v>0.1</v>
      </c>
      <c r="R1337">
        <v>0</v>
      </c>
      <c r="S1337">
        <v>0.05</v>
      </c>
      <c r="T1337" t="s">
        <v>33</v>
      </c>
      <c r="U1337">
        <v>3.5</v>
      </c>
      <c r="V1337">
        <v>38</v>
      </c>
      <c r="W1337">
        <v>0</v>
      </c>
      <c r="X1337">
        <v>38</v>
      </c>
      <c r="Y1337">
        <v>0</v>
      </c>
      <c r="Z1337">
        <v>0</v>
      </c>
      <c r="AA1337">
        <v>0</v>
      </c>
      <c r="AB1337" t="s">
        <v>36</v>
      </c>
      <c r="AC1337">
        <v>38</v>
      </c>
      <c r="AD1337">
        <v>1.63</v>
      </c>
    </row>
    <row r="1338" spans="1:30" x14ac:dyDescent="0.25">
      <c r="A1338" s="1">
        <v>44784.445231481484</v>
      </c>
      <c r="B1338" s="1">
        <v>44784.444872685184</v>
      </c>
      <c r="C1338">
        <v>23443</v>
      </c>
      <c r="D1338" t="s">
        <v>50</v>
      </c>
      <c r="E1338" t="s">
        <v>35</v>
      </c>
      <c r="F1338">
        <v>7</v>
      </c>
      <c r="G1338">
        <v>43.556139999999999</v>
      </c>
      <c r="H1338">
        <v>-72.370990000000006</v>
      </c>
      <c r="I1338">
        <v>523</v>
      </c>
      <c r="J1338">
        <v>90</v>
      </c>
      <c r="K1338">
        <v>0</v>
      </c>
      <c r="L1338" s="1">
        <v>44784.445173611108</v>
      </c>
      <c r="M1338">
        <v>4.8</v>
      </c>
      <c r="N1338">
        <v>4</v>
      </c>
      <c r="O1338">
        <v>0.8</v>
      </c>
      <c r="P1338">
        <v>18</v>
      </c>
      <c r="Q1338">
        <v>0.1</v>
      </c>
      <c r="R1338">
        <v>0.2</v>
      </c>
      <c r="S1338">
        <v>0.15</v>
      </c>
      <c r="T1338" t="s">
        <v>33</v>
      </c>
      <c r="U1338">
        <v>4.4000000000000004</v>
      </c>
      <c r="V1338">
        <v>40</v>
      </c>
      <c r="W1338">
        <v>0</v>
      </c>
      <c r="X1338">
        <v>40</v>
      </c>
      <c r="Y1338">
        <v>3</v>
      </c>
      <c r="Z1338">
        <v>0</v>
      </c>
      <c r="AA1338">
        <v>3</v>
      </c>
      <c r="AB1338" t="s">
        <v>36</v>
      </c>
      <c r="AC1338">
        <v>40</v>
      </c>
      <c r="AD1338">
        <v>2.04</v>
      </c>
    </row>
    <row r="1339" spans="1:30" x14ac:dyDescent="0.25">
      <c r="A1339" s="1">
        <v>44784.445231481484</v>
      </c>
      <c r="B1339" s="1">
        <v>44784.443564814814</v>
      </c>
      <c r="C1339">
        <v>58135</v>
      </c>
      <c r="D1339" t="s">
        <v>51</v>
      </c>
      <c r="E1339" t="s">
        <v>35</v>
      </c>
      <c r="F1339">
        <v>7</v>
      </c>
      <c r="G1339">
        <v>42.883873000000001</v>
      </c>
      <c r="H1339">
        <v>-71.972915999999998</v>
      </c>
      <c r="I1339">
        <v>808</v>
      </c>
      <c r="J1339">
        <v>82</v>
      </c>
      <c r="K1339">
        <v>0</v>
      </c>
      <c r="L1339" s="1">
        <v>44784.445173611108</v>
      </c>
      <c r="M1339">
        <v>3.7</v>
      </c>
      <c r="N1339">
        <v>2.2999999999999998</v>
      </c>
      <c r="O1339">
        <v>1.4</v>
      </c>
      <c r="P1339">
        <v>47</v>
      </c>
      <c r="Q1339">
        <v>0.1</v>
      </c>
      <c r="R1339">
        <v>0.1</v>
      </c>
      <c r="S1339">
        <v>0.1</v>
      </c>
      <c r="T1339" t="s">
        <v>33</v>
      </c>
      <c r="U1339">
        <v>3</v>
      </c>
      <c r="V1339">
        <v>46</v>
      </c>
      <c r="W1339">
        <v>0</v>
      </c>
      <c r="X1339">
        <v>46</v>
      </c>
      <c r="Y1339">
        <v>1</v>
      </c>
      <c r="Z1339">
        <v>0</v>
      </c>
      <c r="AA1339">
        <v>1</v>
      </c>
      <c r="AB1339" t="s">
        <v>36</v>
      </c>
      <c r="AC1339">
        <v>46</v>
      </c>
      <c r="AD1339">
        <v>0.77</v>
      </c>
    </row>
    <row r="1340" spans="1:30" x14ac:dyDescent="0.25">
      <c r="A1340" s="1">
        <v>44784.445243055554</v>
      </c>
      <c r="B1340" s="1">
        <v>44784.443599537037</v>
      </c>
      <c r="C1340">
        <v>148555</v>
      </c>
      <c r="D1340" t="s">
        <v>52</v>
      </c>
      <c r="E1340" t="s">
        <v>53</v>
      </c>
      <c r="F1340">
        <v>7</v>
      </c>
      <c r="G1340">
        <v>42.904949999999999</v>
      </c>
      <c r="H1340">
        <v>-71.386764999999997</v>
      </c>
      <c r="I1340">
        <v>363</v>
      </c>
      <c r="J1340">
        <v>0</v>
      </c>
      <c r="K1340">
        <v>0</v>
      </c>
      <c r="L1340" s="1">
        <v>44784.445173611108</v>
      </c>
      <c r="M1340">
        <v>4.9000000000000004</v>
      </c>
      <c r="N1340">
        <v>5.6</v>
      </c>
      <c r="O1340">
        <v>0.7</v>
      </c>
      <c r="P1340">
        <v>13</v>
      </c>
      <c r="Q1340">
        <v>0.1</v>
      </c>
      <c r="R1340">
        <v>0</v>
      </c>
      <c r="S1340">
        <v>0.05</v>
      </c>
      <c r="T1340" t="s">
        <v>33</v>
      </c>
      <c r="U1340">
        <v>5.25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 t="s">
        <v>38</v>
      </c>
    </row>
    <row r="1341" spans="1:30" x14ac:dyDescent="0.25">
      <c r="A1341" s="1">
        <v>44784.445243055554</v>
      </c>
      <c r="B1341" s="1">
        <v>44784.444490740738</v>
      </c>
      <c r="C1341">
        <v>146644</v>
      </c>
      <c r="D1341" t="s">
        <v>54</v>
      </c>
      <c r="E1341" t="s">
        <v>53</v>
      </c>
      <c r="F1341">
        <v>7</v>
      </c>
      <c r="G1341">
        <v>43.06015</v>
      </c>
      <c r="H1341">
        <v>-70.758930000000007</v>
      </c>
      <c r="I1341">
        <v>35</v>
      </c>
      <c r="J1341">
        <v>80</v>
      </c>
      <c r="K1341">
        <v>82</v>
      </c>
      <c r="L1341" s="1">
        <v>44784.445173611108</v>
      </c>
      <c r="M1341">
        <v>12.7</v>
      </c>
      <c r="N1341">
        <v>11.2</v>
      </c>
      <c r="O1341">
        <v>1.5</v>
      </c>
      <c r="P1341">
        <v>13</v>
      </c>
      <c r="Q1341">
        <v>0.3</v>
      </c>
      <c r="R1341">
        <v>0.2</v>
      </c>
      <c r="S1341">
        <v>0.25</v>
      </c>
      <c r="T1341" t="s">
        <v>33</v>
      </c>
      <c r="U1341">
        <v>11.95</v>
      </c>
      <c r="V1341">
        <v>55</v>
      </c>
      <c r="W1341">
        <v>61</v>
      </c>
      <c r="X1341">
        <v>6</v>
      </c>
      <c r="Y1341">
        <v>2</v>
      </c>
      <c r="Z1341">
        <v>1</v>
      </c>
      <c r="AA1341">
        <v>1</v>
      </c>
      <c r="AB1341" t="s">
        <v>33</v>
      </c>
      <c r="AC1341">
        <v>58</v>
      </c>
      <c r="AD1341">
        <v>5.39</v>
      </c>
    </row>
    <row r="1342" spans="1:30" x14ac:dyDescent="0.25">
      <c r="A1342" s="1">
        <v>44784.445243055554</v>
      </c>
      <c r="B1342" s="1">
        <v>43755.283437500002</v>
      </c>
      <c r="C1342">
        <v>12188</v>
      </c>
      <c r="D1342" t="s">
        <v>55</v>
      </c>
      <c r="E1342" t="s">
        <v>35</v>
      </c>
      <c r="F1342">
        <v>4.1100000000000003</v>
      </c>
      <c r="G1342">
        <v>42.927050000000001</v>
      </c>
      <c r="H1342">
        <v>-72.279610000000005</v>
      </c>
      <c r="I1342">
        <v>475</v>
      </c>
      <c r="J1342">
        <v>95</v>
      </c>
      <c r="K1342">
        <v>0</v>
      </c>
      <c r="L1342" s="1">
        <v>44784.445173611108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 t="s">
        <v>32</v>
      </c>
      <c r="V1342">
        <v>77</v>
      </c>
      <c r="W1342">
        <v>0</v>
      </c>
      <c r="X1342">
        <v>77</v>
      </c>
      <c r="Y1342">
        <v>0</v>
      </c>
      <c r="Z1342">
        <v>0</v>
      </c>
      <c r="AA1342">
        <v>0</v>
      </c>
      <c r="AB1342" t="s">
        <v>36</v>
      </c>
      <c r="AC1342">
        <v>77</v>
      </c>
    </row>
    <row r="1343" spans="1:30" x14ac:dyDescent="0.25">
      <c r="A1343" s="1">
        <v>44784.445254629631</v>
      </c>
      <c r="B1343" s="1">
        <v>44784.444861111115</v>
      </c>
      <c r="C1343">
        <v>1224</v>
      </c>
      <c r="D1343" t="s">
        <v>56</v>
      </c>
      <c r="E1343" t="s">
        <v>35</v>
      </c>
      <c r="F1343" t="s">
        <v>57</v>
      </c>
      <c r="G1343">
        <v>42.938034000000002</v>
      </c>
      <c r="H1343">
        <v>-72.259299999999996</v>
      </c>
      <c r="I1343">
        <v>792</v>
      </c>
      <c r="J1343">
        <v>87</v>
      </c>
      <c r="K1343">
        <v>0</v>
      </c>
      <c r="L1343" s="1">
        <v>44784.445173611108</v>
      </c>
      <c r="M1343">
        <v>4.9000000000000004</v>
      </c>
      <c r="N1343">
        <v>0.1</v>
      </c>
      <c r="O1343">
        <v>4.8</v>
      </c>
      <c r="P1343">
        <v>192</v>
      </c>
      <c r="Q1343">
        <v>0.1</v>
      </c>
      <c r="R1343">
        <v>0</v>
      </c>
      <c r="S1343">
        <v>0.05</v>
      </c>
      <c r="T1343" t="s">
        <v>33</v>
      </c>
      <c r="U1343">
        <v>2.5</v>
      </c>
      <c r="V1343">
        <v>51</v>
      </c>
      <c r="W1343">
        <v>0</v>
      </c>
      <c r="X1343">
        <v>51</v>
      </c>
      <c r="Y1343">
        <v>4</v>
      </c>
      <c r="Z1343">
        <v>0</v>
      </c>
      <c r="AA1343">
        <v>4</v>
      </c>
      <c r="AB1343" t="s">
        <v>36</v>
      </c>
      <c r="AC1343">
        <v>51</v>
      </c>
      <c r="AD1343">
        <v>0.11</v>
      </c>
    </row>
    <row r="1344" spans="1:30" x14ac:dyDescent="0.25">
      <c r="A1344" s="1">
        <v>44784.445254629631</v>
      </c>
      <c r="B1344" s="1">
        <v>44784.444305555553</v>
      </c>
      <c r="C1344">
        <v>1202</v>
      </c>
      <c r="D1344" t="s">
        <v>58</v>
      </c>
      <c r="E1344" t="s">
        <v>35</v>
      </c>
      <c r="F1344" t="s">
        <v>57</v>
      </c>
      <c r="G1344">
        <v>42.936554000000001</v>
      </c>
      <c r="H1344">
        <v>-72.271019999999993</v>
      </c>
      <c r="I1344">
        <v>488</v>
      </c>
      <c r="J1344">
        <v>0</v>
      </c>
      <c r="K1344">
        <v>0</v>
      </c>
      <c r="L1344" s="1">
        <v>44784.445173611108</v>
      </c>
      <c r="M1344">
        <v>5.2</v>
      </c>
      <c r="N1344">
        <v>4.7</v>
      </c>
      <c r="O1344">
        <v>0.5</v>
      </c>
      <c r="P1344">
        <v>10</v>
      </c>
      <c r="Q1344">
        <v>0.3</v>
      </c>
      <c r="R1344">
        <v>0.1</v>
      </c>
      <c r="S1344">
        <v>0.2</v>
      </c>
      <c r="T1344" t="s">
        <v>33</v>
      </c>
      <c r="U1344">
        <v>4.95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 t="s">
        <v>38</v>
      </c>
    </row>
    <row r="1345" spans="1:30" x14ac:dyDescent="0.25">
      <c r="A1345" s="1">
        <v>44784.445254629631</v>
      </c>
      <c r="B1345" s="1">
        <v>44612.080023148148</v>
      </c>
      <c r="C1345">
        <v>25985</v>
      </c>
      <c r="D1345" t="s">
        <v>59</v>
      </c>
      <c r="E1345" t="s">
        <v>35</v>
      </c>
      <c r="F1345">
        <v>6.01</v>
      </c>
      <c r="G1345">
        <v>42.927326000000001</v>
      </c>
      <c r="H1345">
        <v>-72.279979999999995</v>
      </c>
      <c r="I1345">
        <v>477</v>
      </c>
      <c r="J1345">
        <v>78</v>
      </c>
      <c r="K1345">
        <v>0</v>
      </c>
      <c r="L1345" s="1">
        <v>44784.445173611108</v>
      </c>
      <c r="M1345">
        <v>1.1000000000000001</v>
      </c>
      <c r="N1345">
        <v>1</v>
      </c>
      <c r="O1345">
        <v>0.1</v>
      </c>
      <c r="P1345">
        <v>10</v>
      </c>
      <c r="Q1345">
        <v>0</v>
      </c>
      <c r="R1345">
        <v>0</v>
      </c>
      <c r="S1345">
        <v>0</v>
      </c>
      <c r="T1345" t="s">
        <v>32</v>
      </c>
      <c r="V1345">
        <v>22</v>
      </c>
      <c r="W1345">
        <v>0</v>
      </c>
      <c r="X1345">
        <v>22</v>
      </c>
      <c r="Y1345">
        <v>0</v>
      </c>
      <c r="Z1345">
        <v>0</v>
      </c>
      <c r="AA1345">
        <v>0</v>
      </c>
      <c r="AB1345" t="s">
        <v>36</v>
      </c>
      <c r="AC1345">
        <v>22</v>
      </c>
    </row>
    <row r="1346" spans="1:30" x14ac:dyDescent="0.25">
      <c r="A1346" s="1">
        <v>44784.45212962963</v>
      </c>
      <c r="B1346" s="1">
        <v>44775.701319444444</v>
      </c>
      <c r="C1346">
        <v>151708</v>
      </c>
      <c r="D1346" t="s">
        <v>30</v>
      </c>
      <c r="E1346" t="s">
        <v>31</v>
      </c>
      <c r="F1346">
        <v>7</v>
      </c>
      <c r="G1346">
        <v>43.192042999999998</v>
      </c>
      <c r="H1346">
        <v>-71.541579999999996</v>
      </c>
      <c r="I1346">
        <v>291</v>
      </c>
      <c r="J1346">
        <v>93</v>
      </c>
      <c r="K1346">
        <v>94</v>
      </c>
      <c r="L1346" s="1">
        <v>44784.452118055553</v>
      </c>
      <c r="M1346">
        <v>7.9</v>
      </c>
      <c r="N1346">
        <v>7.6</v>
      </c>
      <c r="O1346">
        <v>0.3</v>
      </c>
      <c r="P1346">
        <v>4</v>
      </c>
      <c r="Q1346">
        <v>0</v>
      </c>
      <c r="R1346">
        <v>0</v>
      </c>
      <c r="S1346">
        <v>0</v>
      </c>
      <c r="T1346" t="s">
        <v>32</v>
      </c>
      <c r="V1346">
        <v>42</v>
      </c>
      <c r="W1346">
        <v>41</v>
      </c>
      <c r="X1346">
        <v>1</v>
      </c>
      <c r="Y1346">
        <v>0</v>
      </c>
      <c r="Z1346">
        <v>0</v>
      </c>
      <c r="AA1346">
        <v>0</v>
      </c>
      <c r="AB1346" t="s">
        <v>33</v>
      </c>
      <c r="AC1346">
        <v>41.5</v>
      </c>
    </row>
    <row r="1347" spans="1:30" x14ac:dyDescent="0.25">
      <c r="A1347" s="1">
        <v>44784.452141203707</v>
      </c>
      <c r="B1347" s="1">
        <v>44784.450462962966</v>
      </c>
      <c r="C1347">
        <v>143456</v>
      </c>
      <c r="D1347" t="s">
        <v>34</v>
      </c>
      <c r="E1347" t="s">
        <v>35</v>
      </c>
      <c r="F1347">
        <v>7</v>
      </c>
      <c r="G1347">
        <v>43.08963</v>
      </c>
      <c r="H1347">
        <v>-71.502440000000007</v>
      </c>
      <c r="I1347">
        <v>619</v>
      </c>
      <c r="J1347">
        <v>79</v>
      </c>
      <c r="K1347">
        <v>0</v>
      </c>
      <c r="L1347" s="1">
        <v>44784.452118055553</v>
      </c>
      <c r="M1347">
        <v>5.7</v>
      </c>
      <c r="N1347">
        <v>6</v>
      </c>
      <c r="O1347">
        <v>0.3</v>
      </c>
      <c r="P1347">
        <v>5</v>
      </c>
      <c r="Q1347">
        <v>0.4</v>
      </c>
      <c r="R1347">
        <v>0.1</v>
      </c>
      <c r="S1347">
        <v>0.25</v>
      </c>
      <c r="T1347" t="s">
        <v>33</v>
      </c>
      <c r="U1347">
        <v>5.85</v>
      </c>
      <c r="V1347">
        <v>62</v>
      </c>
      <c r="W1347">
        <v>0</v>
      </c>
      <c r="X1347">
        <v>62</v>
      </c>
      <c r="Y1347">
        <v>0</v>
      </c>
      <c r="Z1347">
        <v>0</v>
      </c>
      <c r="AA1347">
        <v>0</v>
      </c>
      <c r="AB1347" t="s">
        <v>36</v>
      </c>
      <c r="AC1347">
        <v>62</v>
      </c>
      <c r="AD1347">
        <v>1.39</v>
      </c>
    </row>
    <row r="1348" spans="1:30" x14ac:dyDescent="0.25">
      <c r="A1348" s="1">
        <v>44784.452141203707</v>
      </c>
      <c r="B1348" s="1">
        <v>44784.450636574074</v>
      </c>
      <c r="C1348">
        <v>151702</v>
      </c>
      <c r="D1348" t="s">
        <v>37</v>
      </c>
      <c r="E1348" t="s">
        <v>31</v>
      </c>
      <c r="F1348">
        <v>7</v>
      </c>
      <c r="G1348">
        <v>43.118609999999997</v>
      </c>
      <c r="H1348">
        <v>-71.61618</v>
      </c>
      <c r="I1348">
        <v>885</v>
      </c>
      <c r="J1348">
        <v>0</v>
      </c>
      <c r="K1348">
        <v>0</v>
      </c>
      <c r="L1348" s="1">
        <v>44784.452118055553</v>
      </c>
      <c r="M1348">
        <v>5.8</v>
      </c>
      <c r="N1348">
        <v>5.4</v>
      </c>
      <c r="O1348">
        <v>0.4</v>
      </c>
      <c r="P1348">
        <v>7</v>
      </c>
      <c r="Q1348">
        <v>0.1</v>
      </c>
      <c r="R1348">
        <v>0</v>
      </c>
      <c r="S1348">
        <v>0.05</v>
      </c>
      <c r="T1348" t="s">
        <v>33</v>
      </c>
      <c r="U1348">
        <v>5.6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 t="s">
        <v>38</v>
      </c>
    </row>
    <row r="1349" spans="1:30" x14ac:dyDescent="0.25">
      <c r="A1349" s="1">
        <v>44784.452141203707</v>
      </c>
      <c r="B1349" s="1">
        <v>44784.450520833336</v>
      </c>
      <c r="C1349">
        <v>151700</v>
      </c>
      <c r="D1349" t="s">
        <v>30</v>
      </c>
      <c r="E1349" t="s">
        <v>31</v>
      </c>
      <c r="F1349">
        <v>7</v>
      </c>
      <c r="G1349">
        <v>43.19211</v>
      </c>
      <c r="H1349">
        <v>-71.541460000000001</v>
      </c>
      <c r="I1349">
        <v>286</v>
      </c>
      <c r="J1349">
        <v>77</v>
      </c>
      <c r="K1349">
        <v>0</v>
      </c>
      <c r="L1349" s="1">
        <v>44784.452118055553</v>
      </c>
      <c r="M1349">
        <v>5.9</v>
      </c>
      <c r="N1349">
        <v>6.5</v>
      </c>
      <c r="O1349">
        <v>0.6</v>
      </c>
      <c r="P1349">
        <v>10</v>
      </c>
      <c r="Q1349">
        <v>0</v>
      </c>
      <c r="R1349">
        <v>0.1</v>
      </c>
      <c r="S1349">
        <v>0.05</v>
      </c>
      <c r="T1349" t="s">
        <v>33</v>
      </c>
      <c r="U1349">
        <v>6.2</v>
      </c>
      <c r="V1349">
        <v>59</v>
      </c>
      <c r="W1349">
        <v>0</v>
      </c>
      <c r="X1349">
        <v>59</v>
      </c>
      <c r="Y1349">
        <v>1</v>
      </c>
      <c r="Z1349">
        <v>0</v>
      </c>
      <c r="AA1349">
        <v>1</v>
      </c>
      <c r="AB1349" t="s">
        <v>36</v>
      </c>
      <c r="AC1349">
        <v>59</v>
      </c>
      <c r="AD1349">
        <v>1.81</v>
      </c>
    </row>
    <row r="1350" spans="1:30" x14ac:dyDescent="0.25">
      <c r="A1350" s="1">
        <v>44784.452152777776</v>
      </c>
      <c r="B1350" s="1">
        <v>44784.450949074075</v>
      </c>
      <c r="C1350">
        <v>135984</v>
      </c>
      <c r="D1350" t="s">
        <v>39</v>
      </c>
      <c r="E1350" t="s">
        <v>31</v>
      </c>
      <c r="F1350">
        <v>7</v>
      </c>
      <c r="G1350">
        <v>43.565852999999997</v>
      </c>
      <c r="H1350">
        <v>-71.496129999999994</v>
      </c>
      <c r="I1350">
        <v>708</v>
      </c>
      <c r="J1350">
        <v>87</v>
      </c>
      <c r="K1350">
        <v>0</v>
      </c>
      <c r="L1350" s="1">
        <v>44784.452118055553</v>
      </c>
      <c r="M1350">
        <v>4.0999999999999996</v>
      </c>
      <c r="N1350">
        <v>3.3</v>
      </c>
      <c r="O1350">
        <v>0.8</v>
      </c>
      <c r="P1350">
        <v>22</v>
      </c>
      <c r="Q1350">
        <v>0.1</v>
      </c>
      <c r="R1350">
        <v>0</v>
      </c>
      <c r="S1350">
        <v>0.05</v>
      </c>
      <c r="T1350" t="s">
        <v>33</v>
      </c>
      <c r="U1350">
        <v>3.7</v>
      </c>
      <c r="V1350">
        <v>56</v>
      </c>
      <c r="W1350">
        <v>0</v>
      </c>
      <c r="X1350">
        <v>56</v>
      </c>
      <c r="Y1350">
        <v>2</v>
      </c>
      <c r="Z1350">
        <v>0</v>
      </c>
      <c r="AA1350">
        <v>2</v>
      </c>
      <c r="AB1350" t="s">
        <v>36</v>
      </c>
      <c r="AC1350">
        <v>56</v>
      </c>
      <c r="AD1350">
        <v>0.5</v>
      </c>
    </row>
    <row r="1351" spans="1:30" x14ac:dyDescent="0.25">
      <c r="A1351" s="1">
        <v>44784.452152777776</v>
      </c>
      <c r="B1351" s="1">
        <v>44780.394780092596</v>
      </c>
      <c r="C1351">
        <v>151712</v>
      </c>
      <c r="D1351" t="s">
        <v>40</v>
      </c>
      <c r="E1351" t="s">
        <v>31</v>
      </c>
      <c r="F1351">
        <v>7</v>
      </c>
      <c r="G1351">
        <v>43.289763999999998</v>
      </c>
      <c r="H1351">
        <v>-71.564260000000004</v>
      </c>
      <c r="I1351">
        <v>370</v>
      </c>
      <c r="J1351">
        <v>86</v>
      </c>
      <c r="K1351">
        <v>0</v>
      </c>
      <c r="L1351" s="1">
        <v>44784.452118055553</v>
      </c>
      <c r="M1351">
        <v>14</v>
      </c>
      <c r="N1351">
        <v>13.2</v>
      </c>
      <c r="O1351">
        <v>0.8</v>
      </c>
      <c r="P1351">
        <v>6</v>
      </c>
      <c r="Q1351">
        <v>0</v>
      </c>
      <c r="R1351">
        <v>0</v>
      </c>
      <c r="S1351">
        <v>0</v>
      </c>
      <c r="T1351" t="s">
        <v>32</v>
      </c>
      <c r="V1351">
        <v>59</v>
      </c>
      <c r="W1351">
        <v>0</v>
      </c>
      <c r="X1351">
        <v>59</v>
      </c>
      <c r="Y1351">
        <v>0</v>
      </c>
      <c r="Z1351">
        <v>0</v>
      </c>
      <c r="AA1351">
        <v>0</v>
      </c>
      <c r="AB1351" t="s">
        <v>36</v>
      </c>
      <c r="AC1351">
        <v>59</v>
      </c>
    </row>
    <row r="1352" spans="1:30" x14ac:dyDescent="0.25">
      <c r="A1352" s="1">
        <v>44784.452152777776</v>
      </c>
      <c r="B1352" s="1">
        <v>44784.450254629628</v>
      </c>
      <c r="C1352">
        <v>151710</v>
      </c>
      <c r="D1352" t="s">
        <v>41</v>
      </c>
      <c r="E1352" t="s">
        <v>31</v>
      </c>
      <c r="F1352">
        <v>7</v>
      </c>
      <c r="G1352">
        <v>43.132477000000002</v>
      </c>
      <c r="H1352">
        <v>-71.458374000000006</v>
      </c>
      <c r="I1352">
        <v>230</v>
      </c>
      <c r="J1352">
        <v>84</v>
      </c>
      <c r="K1352">
        <v>0</v>
      </c>
      <c r="L1352" s="1">
        <v>44784.452118055553</v>
      </c>
      <c r="M1352">
        <v>7.7</v>
      </c>
      <c r="N1352">
        <v>6.4</v>
      </c>
      <c r="O1352">
        <v>1.3</v>
      </c>
      <c r="P1352">
        <v>18</v>
      </c>
      <c r="Q1352">
        <v>0.2</v>
      </c>
      <c r="R1352">
        <v>0.1</v>
      </c>
      <c r="S1352">
        <v>0.15</v>
      </c>
      <c r="T1352" t="s">
        <v>33</v>
      </c>
      <c r="U1352">
        <v>7.05</v>
      </c>
      <c r="V1352">
        <v>48</v>
      </c>
      <c r="W1352">
        <v>0</v>
      </c>
      <c r="X1352">
        <v>48</v>
      </c>
      <c r="Y1352">
        <v>0</v>
      </c>
      <c r="Z1352">
        <v>0</v>
      </c>
      <c r="AA1352">
        <v>0</v>
      </c>
      <c r="AB1352" t="s">
        <v>36</v>
      </c>
      <c r="AC1352">
        <v>48</v>
      </c>
      <c r="AD1352">
        <v>3.1</v>
      </c>
    </row>
    <row r="1353" spans="1:30" x14ac:dyDescent="0.25">
      <c r="A1353" s="1">
        <v>44784.452152777776</v>
      </c>
      <c r="B1353" s="1">
        <v>44784.451307870368</v>
      </c>
      <c r="C1353">
        <v>151706</v>
      </c>
      <c r="D1353" t="s">
        <v>42</v>
      </c>
      <c r="E1353" t="s">
        <v>31</v>
      </c>
      <c r="F1353">
        <v>7</v>
      </c>
      <c r="G1353">
        <v>43.004080000000002</v>
      </c>
      <c r="H1353">
        <v>-71.177040000000005</v>
      </c>
      <c r="I1353">
        <v>194</v>
      </c>
      <c r="J1353">
        <v>87</v>
      </c>
      <c r="K1353">
        <v>0</v>
      </c>
      <c r="L1353" s="1">
        <v>44784.452118055553</v>
      </c>
      <c r="M1353">
        <v>6.3</v>
      </c>
      <c r="N1353">
        <v>0</v>
      </c>
      <c r="O1353">
        <v>6.3</v>
      </c>
      <c r="P1353">
        <v>200</v>
      </c>
      <c r="Q1353">
        <v>0.3</v>
      </c>
      <c r="R1353">
        <v>0</v>
      </c>
      <c r="S1353">
        <v>0.15</v>
      </c>
      <c r="T1353" t="s">
        <v>43</v>
      </c>
      <c r="V1353">
        <v>47</v>
      </c>
      <c r="W1353">
        <v>0</v>
      </c>
      <c r="X1353">
        <v>47</v>
      </c>
      <c r="Y1353">
        <v>3</v>
      </c>
      <c r="Z1353">
        <v>0</v>
      </c>
      <c r="AA1353">
        <v>3</v>
      </c>
      <c r="AB1353" t="s">
        <v>36</v>
      </c>
      <c r="AC1353">
        <v>47</v>
      </c>
    </row>
    <row r="1354" spans="1:30" x14ac:dyDescent="0.25">
      <c r="A1354" s="1">
        <v>44784.452164351853</v>
      </c>
      <c r="B1354" s="1">
        <v>44784.451064814813</v>
      </c>
      <c r="C1354">
        <v>12212</v>
      </c>
      <c r="D1354" t="s">
        <v>44</v>
      </c>
      <c r="E1354" t="s">
        <v>35</v>
      </c>
      <c r="F1354">
        <v>7</v>
      </c>
      <c r="G1354">
        <v>42.930529999999997</v>
      </c>
      <c r="H1354">
        <v>-72.272350000000003</v>
      </c>
      <c r="I1354">
        <v>476</v>
      </c>
      <c r="J1354">
        <v>86</v>
      </c>
      <c r="K1354">
        <v>0</v>
      </c>
      <c r="L1354" s="1">
        <v>44784.452118055553</v>
      </c>
      <c r="M1354">
        <v>4.9000000000000004</v>
      </c>
      <c r="N1354">
        <v>4.4000000000000004</v>
      </c>
      <c r="O1354">
        <v>0.5</v>
      </c>
      <c r="P1354">
        <v>11</v>
      </c>
      <c r="Q1354">
        <v>0.1</v>
      </c>
      <c r="R1354">
        <v>0.1</v>
      </c>
      <c r="S1354">
        <v>0.1</v>
      </c>
      <c r="T1354" t="s">
        <v>33</v>
      </c>
      <c r="U1354">
        <v>4.6500000000000004</v>
      </c>
      <c r="V1354">
        <v>45</v>
      </c>
      <c r="W1354">
        <v>0</v>
      </c>
      <c r="X1354">
        <v>45</v>
      </c>
      <c r="Y1354">
        <v>6</v>
      </c>
      <c r="Z1354">
        <v>0</v>
      </c>
      <c r="AA1354">
        <v>6</v>
      </c>
      <c r="AB1354" t="s">
        <v>36</v>
      </c>
      <c r="AC1354">
        <v>45</v>
      </c>
      <c r="AD1354">
        <v>1.85</v>
      </c>
    </row>
    <row r="1355" spans="1:30" x14ac:dyDescent="0.25">
      <c r="A1355" s="1">
        <v>44784.452164351853</v>
      </c>
      <c r="B1355" s="1">
        <v>44769.376736111109</v>
      </c>
      <c r="C1355">
        <v>12178</v>
      </c>
      <c r="D1355" t="s">
        <v>45</v>
      </c>
      <c r="E1355" t="s">
        <v>35</v>
      </c>
      <c r="F1355">
        <v>7</v>
      </c>
      <c r="G1355">
        <v>42.899563000000001</v>
      </c>
      <c r="H1355">
        <v>-71.464650000000006</v>
      </c>
      <c r="I1355">
        <v>301</v>
      </c>
      <c r="J1355">
        <v>85</v>
      </c>
      <c r="K1355">
        <v>0</v>
      </c>
      <c r="L1355" s="1">
        <v>44784.452118055553</v>
      </c>
      <c r="M1355">
        <v>3.8</v>
      </c>
      <c r="N1355">
        <v>3.1</v>
      </c>
      <c r="O1355">
        <v>0.7</v>
      </c>
      <c r="P1355">
        <v>20</v>
      </c>
      <c r="Q1355">
        <v>0</v>
      </c>
      <c r="R1355">
        <v>0</v>
      </c>
      <c r="S1355">
        <v>0</v>
      </c>
      <c r="T1355" t="s">
        <v>32</v>
      </c>
      <c r="V1355">
        <v>35</v>
      </c>
      <c r="W1355">
        <v>0</v>
      </c>
      <c r="X1355">
        <v>35</v>
      </c>
      <c r="Y1355">
        <v>0</v>
      </c>
      <c r="Z1355">
        <v>0</v>
      </c>
      <c r="AA1355">
        <v>0</v>
      </c>
      <c r="AB1355" t="s">
        <v>36</v>
      </c>
      <c r="AC1355">
        <v>35</v>
      </c>
    </row>
    <row r="1356" spans="1:30" x14ac:dyDescent="0.25">
      <c r="A1356" s="1">
        <v>44784.452164351853</v>
      </c>
      <c r="B1356" s="1">
        <v>44784.450358796297</v>
      </c>
      <c r="C1356">
        <v>75981</v>
      </c>
      <c r="D1356" t="s">
        <v>46</v>
      </c>
      <c r="E1356" t="s">
        <v>35</v>
      </c>
      <c r="F1356">
        <v>7</v>
      </c>
      <c r="G1356">
        <v>42.97</v>
      </c>
      <c r="H1356">
        <v>-71.06</v>
      </c>
      <c r="I1356">
        <v>136</v>
      </c>
      <c r="J1356">
        <v>82</v>
      </c>
      <c r="K1356">
        <v>0</v>
      </c>
      <c r="L1356" s="1">
        <v>44784.452118055553</v>
      </c>
      <c r="M1356">
        <v>9.6</v>
      </c>
      <c r="N1356">
        <v>9.3000000000000007</v>
      </c>
      <c r="O1356">
        <v>0.3</v>
      </c>
      <c r="P1356">
        <v>3</v>
      </c>
      <c r="Q1356">
        <v>0</v>
      </c>
      <c r="R1356">
        <v>0.1</v>
      </c>
      <c r="S1356">
        <v>0.05</v>
      </c>
      <c r="T1356" t="s">
        <v>33</v>
      </c>
      <c r="U1356">
        <v>9.4499999999999993</v>
      </c>
      <c r="V1356">
        <v>53</v>
      </c>
      <c r="W1356">
        <v>0</v>
      </c>
      <c r="X1356">
        <v>53</v>
      </c>
      <c r="Y1356">
        <v>0</v>
      </c>
      <c r="Z1356">
        <v>0</v>
      </c>
      <c r="AA1356">
        <v>0</v>
      </c>
      <c r="AB1356" t="s">
        <v>36</v>
      </c>
      <c r="AC1356">
        <v>53</v>
      </c>
      <c r="AD1356">
        <v>4.21</v>
      </c>
    </row>
    <row r="1357" spans="1:30" x14ac:dyDescent="0.25">
      <c r="A1357" s="1">
        <v>44784.452175925922</v>
      </c>
      <c r="B1357" s="1">
        <v>44784.450902777775</v>
      </c>
      <c r="C1357">
        <v>115703</v>
      </c>
      <c r="D1357" t="s">
        <v>47</v>
      </c>
      <c r="E1357" t="s">
        <v>35</v>
      </c>
      <c r="F1357">
        <v>7</v>
      </c>
      <c r="G1357">
        <v>43.953625000000002</v>
      </c>
      <c r="H1357">
        <v>-71.508859999999999</v>
      </c>
      <c r="I1357">
        <v>1493</v>
      </c>
      <c r="J1357">
        <v>77</v>
      </c>
      <c r="K1357">
        <v>0</v>
      </c>
      <c r="L1357" s="1">
        <v>44784.452118055553</v>
      </c>
      <c r="M1357">
        <v>0.1</v>
      </c>
      <c r="N1357">
        <v>300.89999999999998</v>
      </c>
      <c r="O1357">
        <v>300.8</v>
      </c>
      <c r="P1357">
        <v>200</v>
      </c>
      <c r="Q1357">
        <v>0</v>
      </c>
      <c r="R1357">
        <v>0</v>
      </c>
      <c r="S1357">
        <v>0</v>
      </c>
      <c r="T1357" t="s">
        <v>60</v>
      </c>
      <c r="V1357">
        <v>50</v>
      </c>
      <c r="W1357">
        <v>0</v>
      </c>
      <c r="X1357">
        <v>50</v>
      </c>
      <c r="Y1357">
        <v>1</v>
      </c>
      <c r="Z1357">
        <v>0</v>
      </c>
      <c r="AA1357">
        <v>1</v>
      </c>
      <c r="AB1357" t="s">
        <v>36</v>
      </c>
      <c r="AC1357">
        <v>50</v>
      </c>
    </row>
    <row r="1358" spans="1:30" x14ac:dyDescent="0.25">
      <c r="A1358" s="1">
        <v>44784.452175925922</v>
      </c>
      <c r="B1358" s="1">
        <v>44784.450312499997</v>
      </c>
      <c r="C1358">
        <v>12050</v>
      </c>
      <c r="D1358" t="s">
        <v>49</v>
      </c>
      <c r="E1358" t="s">
        <v>35</v>
      </c>
      <c r="F1358">
        <v>7</v>
      </c>
      <c r="G1358">
        <v>44.220573000000002</v>
      </c>
      <c r="H1358">
        <v>-71.732315</v>
      </c>
      <c r="I1358">
        <v>999</v>
      </c>
      <c r="J1358">
        <v>85</v>
      </c>
      <c r="K1358">
        <v>0</v>
      </c>
      <c r="L1358" s="1">
        <v>44784.452118055553</v>
      </c>
      <c r="M1358">
        <v>3.7</v>
      </c>
      <c r="N1358">
        <v>3.3</v>
      </c>
      <c r="O1358">
        <v>0.4</v>
      </c>
      <c r="P1358">
        <v>11</v>
      </c>
      <c r="Q1358">
        <v>0.1</v>
      </c>
      <c r="R1358">
        <v>0.1</v>
      </c>
      <c r="S1358">
        <v>0.1</v>
      </c>
      <c r="T1358" t="s">
        <v>33</v>
      </c>
      <c r="U1358">
        <v>3.5</v>
      </c>
      <c r="V1358">
        <v>42</v>
      </c>
      <c r="W1358">
        <v>0</v>
      </c>
      <c r="X1358">
        <v>42</v>
      </c>
      <c r="Y1358">
        <v>4</v>
      </c>
      <c r="Z1358">
        <v>0</v>
      </c>
      <c r="AA1358">
        <v>4</v>
      </c>
      <c r="AB1358" t="s">
        <v>36</v>
      </c>
      <c r="AC1358">
        <v>42</v>
      </c>
      <c r="AD1358">
        <v>1.35</v>
      </c>
    </row>
    <row r="1359" spans="1:30" x14ac:dyDescent="0.25">
      <c r="A1359" s="1">
        <v>44784.452175925922</v>
      </c>
      <c r="B1359" s="1">
        <v>44784.450428240743</v>
      </c>
      <c r="C1359">
        <v>23443</v>
      </c>
      <c r="D1359" t="s">
        <v>50</v>
      </c>
      <c r="E1359" t="s">
        <v>35</v>
      </c>
      <c r="F1359">
        <v>7</v>
      </c>
      <c r="G1359">
        <v>43.556139999999999</v>
      </c>
      <c r="H1359">
        <v>-72.370990000000006</v>
      </c>
      <c r="I1359">
        <v>523</v>
      </c>
      <c r="J1359">
        <v>91</v>
      </c>
      <c r="K1359">
        <v>0</v>
      </c>
      <c r="L1359" s="1">
        <v>44784.452118055553</v>
      </c>
      <c r="M1359">
        <v>4.7</v>
      </c>
      <c r="N1359">
        <v>4</v>
      </c>
      <c r="O1359">
        <v>0.7</v>
      </c>
      <c r="P1359">
        <v>16</v>
      </c>
      <c r="Q1359">
        <v>0.1</v>
      </c>
      <c r="R1359">
        <v>0</v>
      </c>
      <c r="S1359">
        <v>0.05</v>
      </c>
      <c r="T1359" t="s">
        <v>33</v>
      </c>
      <c r="U1359">
        <v>4.3499999999999996</v>
      </c>
      <c r="V1359">
        <v>39</v>
      </c>
      <c r="W1359">
        <v>0</v>
      </c>
      <c r="X1359">
        <v>39</v>
      </c>
      <c r="Y1359">
        <v>1</v>
      </c>
      <c r="Z1359">
        <v>0</v>
      </c>
      <c r="AA1359">
        <v>1</v>
      </c>
      <c r="AB1359" t="s">
        <v>36</v>
      </c>
      <c r="AC1359">
        <v>39</v>
      </c>
      <c r="AD1359">
        <v>2.08</v>
      </c>
    </row>
    <row r="1360" spans="1:30" x14ac:dyDescent="0.25">
      <c r="A1360" s="1">
        <v>44784.452187499999</v>
      </c>
      <c r="B1360" s="1">
        <v>44784.450509259259</v>
      </c>
      <c r="C1360">
        <v>58135</v>
      </c>
      <c r="D1360" t="s">
        <v>51</v>
      </c>
      <c r="E1360" t="s">
        <v>35</v>
      </c>
      <c r="F1360">
        <v>7</v>
      </c>
      <c r="G1360">
        <v>42.883873000000001</v>
      </c>
      <c r="H1360">
        <v>-71.972915999999998</v>
      </c>
      <c r="I1360">
        <v>808</v>
      </c>
      <c r="J1360">
        <v>82</v>
      </c>
      <c r="K1360">
        <v>0</v>
      </c>
      <c r="L1360" s="1">
        <v>44784.452118055553</v>
      </c>
      <c r="M1360">
        <v>3.5</v>
      </c>
      <c r="N1360">
        <v>2.2999999999999998</v>
      </c>
      <c r="O1360">
        <v>1.2</v>
      </c>
      <c r="P1360">
        <v>41</v>
      </c>
      <c r="Q1360">
        <v>0.2</v>
      </c>
      <c r="R1360">
        <v>0</v>
      </c>
      <c r="S1360">
        <v>0.1</v>
      </c>
      <c r="T1360" t="s">
        <v>33</v>
      </c>
      <c r="U1360">
        <v>2.9</v>
      </c>
      <c r="V1360">
        <v>45</v>
      </c>
      <c r="W1360">
        <v>0</v>
      </c>
      <c r="X1360">
        <v>45</v>
      </c>
      <c r="Y1360">
        <v>1</v>
      </c>
      <c r="Z1360">
        <v>0</v>
      </c>
      <c r="AA1360">
        <v>1</v>
      </c>
      <c r="AB1360" t="s">
        <v>36</v>
      </c>
      <c r="AC1360">
        <v>45</v>
      </c>
      <c r="AD1360">
        <v>0.78</v>
      </c>
    </row>
    <row r="1361" spans="1:30" x14ac:dyDescent="0.25">
      <c r="A1361" s="1">
        <v>44784.452187499999</v>
      </c>
      <c r="B1361" s="1">
        <v>44784.450543981482</v>
      </c>
      <c r="C1361">
        <v>148555</v>
      </c>
      <c r="D1361" t="s">
        <v>52</v>
      </c>
      <c r="E1361" t="s">
        <v>53</v>
      </c>
      <c r="F1361">
        <v>7</v>
      </c>
      <c r="G1361">
        <v>42.904949999999999</v>
      </c>
      <c r="H1361">
        <v>-71.386764999999997</v>
      </c>
      <c r="I1361">
        <v>363</v>
      </c>
      <c r="J1361">
        <v>0</v>
      </c>
      <c r="K1361">
        <v>0</v>
      </c>
      <c r="L1361" s="1">
        <v>44784.452118055553</v>
      </c>
      <c r="M1361">
        <v>4.7</v>
      </c>
      <c r="N1361">
        <v>5.5</v>
      </c>
      <c r="O1361">
        <v>0.8</v>
      </c>
      <c r="P1361">
        <v>16</v>
      </c>
      <c r="Q1361">
        <v>0.2</v>
      </c>
      <c r="R1361">
        <v>0.1</v>
      </c>
      <c r="S1361">
        <v>0.15</v>
      </c>
      <c r="T1361" t="s">
        <v>33</v>
      </c>
      <c r="U1361">
        <v>5.0999999999999996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 t="s">
        <v>38</v>
      </c>
    </row>
    <row r="1362" spans="1:30" x14ac:dyDescent="0.25">
      <c r="A1362" s="1">
        <v>44784.452187499999</v>
      </c>
      <c r="B1362" s="1">
        <v>44784.451435185183</v>
      </c>
      <c r="C1362">
        <v>146644</v>
      </c>
      <c r="D1362" t="s">
        <v>54</v>
      </c>
      <c r="E1362" t="s">
        <v>53</v>
      </c>
      <c r="F1362">
        <v>7</v>
      </c>
      <c r="G1362">
        <v>43.06015</v>
      </c>
      <c r="H1362">
        <v>-70.758930000000007</v>
      </c>
      <c r="I1362">
        <v>35</v>
      </c>
      <c r="J1362">
        <v>82</v>
      </c>
      <c r="K1362">
        <v>83</v>
      </c>
      <c r="L1362" s="1">
        <v>44784.452118055553</v>
      </c>
      <c r="M1362">
        <v>12.4</v>
      </c>
      <c r="N1362">
        <v>11.4</v>
      </c>
      <c r="O1362">
        <v>1</v>
      </c>
      <c r="P1362">
        <v>8</v>
      </c>
      <c r="Q1362">
        <v>0.3</v>
      </c>
      <c r="R1362">
        <v>0.2</v>
      </c>
      <c r="S1362">
        <v>0.25</v>
      </c>
      <c r="T1362" t="s">
        <v>33</v>
      </c>
      <c r="U1362">
        <v>11.9</v>
      </c>
      <c r="V1362">
        <v>49</v>
      </c>
      <c r="W1362">
        <v>55</v>
      </c>
      <c r="X1362">
        <v>6</v>
      </c>
      <c r="Y1362">
        <v>6</v>
      </c>
      <c r="Z1362">
        <v>6</v>
      </c>
      <c r="AA1362">
        <v>0</v>
      </c>
      <c r="AB1362" t="s">
        <v>33</v>
      </c>
      <c r="AC1362">
        <v>52</v>
      </c>
      <c r="AD1362">
        <v>5.78</v>
      </c>
    </row>
    <row r="1363" spans="1:30" x14ac:dyDescent="0.25">
      <c r="A1363" s="1">
        <v>44784.452187499999</v>
      </c>
      <c r="B1363" s="1">
        <v>43755.283437500002</v>
      </c>
      <c r="C1363">
        <v>12188</v>
      </c>
      <c r="D1363" t="s">
        <v>55</v>
      </c>
      <c r="E1363" t="s">
        <v>35</v>
      </c>
      <c r="F1363">
        <v>4.1100000000000003</v>
      </c>
      <c r="G1363">
        <v>42.927050000000001</v>
      </c>
      <c r="H1363">
        <v>-72.279610000000005</v>
      </c>
      <c r="I1363">
        <v>475</v>
      </c>
      <c r="J1363">
        <v>95</v>
      </c>
      <c r="K1363">
        <v>0</v>
      </c>
      <c r="L1363" s="1">
        <v>44784.452118055553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 t="s">
        <v>32</v>
      </c>
      <c r="V1363">
        <v>77</v>
      </c>
      <c r="W1363">
        <v>0</v>
      </c>
      <c r="X1363">
        <v>77</v>
      </c>
      <c r="Y1363">
        <v>0</v>
      </c>
      <c r="Z1363">
        <v>0</v>
      </c>
      <c r="AA1363">
        <v>0</v>
      </c>
      <c r="AB1363" t="s">
        <v>36</v>
      </c>
      <c r="AC1363">
        <v>77</v>
      </c>
    </row>
    <row r="1364" spans="1:30" x14ac:dyDescent="0.25">
      <c r="A1364" s="1">
        <v>44784.452199074076</v>
      </c>
      <c r="B1364" s="1">
        <v>44784.450416666667</v>
      </c>
      <c r="C1364">
        <v>1224</v>
      </c>
      <c r="D1364" t="s">
        <v>56</v>
      </c>
      <c r="E1364" t="s">
        <v>35</v>
      </c>
      <c r="F1364" t="s">
        <v>57</v>
      </c>
      <c r="G1364">
        <v>42.938034000000002</v>
      </c>
      <c r="H1364">
        <v>-72.259299999999996</v>
      </c>
      <c r="I1364">
        <v>792</v>
      </c>
      <c r="J1364">
        <v>88</v>
      </c>
      <c r="K1364">
        <v>0</v>
      </c>
      <c r="L1364" s="1">
        <v>44784.452118055553</v>
      </c>
      <c r="M1364">
        <v>4.8</v>
      </c>
      <c r="N1364">
        <v>0</v>
      </c>
      <c r="O1364">
        <v>4.8</v>
      </c>
      <c r="P1364">
        <v>200</v>
      </c>
      <c r="Q1364">
        <v>0.1</v>
      </c>
      <c r="R1364">
        <v>0.1</v>
      </c>
      <c r="S1364">
        <v>0.1</v>
      </c>
      <c r="T1364" t="s">
        <v>43</v>
      </c>
      <c r="V1364">
        <v>50</v>
      </c>
      <c r="W1364">
        <v>0</v>
      </c>
      <c r="X1364">
        <v>50</v>
      </c>
      <c r="Y1364">
        <v>1</v>
      </c>
      <c r="Z1364">
        <v>0</v>
      </c>
      <c r="AA1364">
        <v>1</v>
      </c>
      <c r="AB1364" t="s">
        <v>36</v>
      </c>
      <c r="AC1364">
        <v>50</v>
      </c>
    </row>
    <row r="1365" spans="1:30" x14ac:dyDescent="0.25">
      <c r="A1365" s="1">
        <v>44784.452199074076</v>
      </c>
      <c r="B1365" s="1">
        <v>44784.451249999998</v>
      </c>
      <c r="C1365">
        <v>1202</v>
      </c>
      <c r="D1365" t="s">
        <v>58</v>
      </c>
      <c r="E1365" t="s">
        <v>35</v>
      </c>
      <c r="F1365" t="s">
        <v>57</v>
      </c>
      <c r="G1365">
        <v>42.936554000000001</v>
      </c>
      <c r="H1365">
        <v>-72.271019999999993</v>
      </c>
      <c r="I1365">
        <v>488</v>
      </c>
      <c r="J1365">
        <v>0</v>
      </c>
      <c r="K1365">
        <v>0</v>
      </c>
      <c r="L1365" s="1">
        <v>44784.452118055553</v>
      </c>
      <c r="M1365">
        <v>5.2</v>
      </c>
      <c r="N1365">
        <v>4.5999999999999996</v>
      </c>
      <c r="O1365">
        <v>0.6</v>
      </c>
      <c r="P1365">
        <v>12</v>
      </c>
      <c r="Q1365">
        <v>0</v>
      </c>
      <c r="R1365">
        <v>0.1</v>
      </c>
      <c r="S1365">
        <v>0.05</v>
      </c>
      <c r="T1365" t="s">
        <v>33</v>
      </c>
      <c r="U1365">
        <v>4.9000000000000004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 t="s">
        <v>38</v>
      </c>
    </row>
    <row r="1366" spans="1:30" x14ac:dyDescent="0.25">
      <c r="A1366" s="1">
        <v>44784.452199074076</v>
      </c>
      <c r="B1366" s="1">
        <v>44612.080023148148</v>
      </c>
      <c r="C1366">
        <v>25985</v>
      </c>
      <c r="D1366" t="s">
        <v>59</v>
      </c>
      <c r="E1366" t="s">
        <v>35</v>
      </c>
      <c r="F1366">
        <v>6.01</v>
      </c>
      <c r="G1366">
        <v>42.927326000000001</v>
      </c>
      <c r="H1366">
        <v>-72.279979999999995</v>
      </c>
      <c r="I1366">
        <v>477</v>
      </c>
      <c r="J1366">
        <v>78</v>
      </c>
      <c r="K1366">
        <v>0</v>
      </c>
      <c r="L1366" s="1">
        <v>44784.452118055553</v>
      </c>
      <c r="M1366">
        <v>1.1000000000000001</v>
      </c>
      <c r="N1366">
        <v>1</v>
      </c>
      <c r="O1366">
        <v>0.1</v>
      </c>
      <c r="P1366">
        <v>10</v>
      </c>
      <c r="Q1366">
        <v>0</v>
      </c>
      <c r="R1366">
        <v>0</v>
      </c>
      <c r="S1366">
        <v>0</v>
      </c>
      <c r="T1366" t="s">
        <v>32</v>
      </c>
      <c r="V1366">
        <v>22</v>
      </c>
      <c r="W1366">
        <v>0</v>
      </c>
      <c r="X1366">
        <v>22</v>
      </c>
      <c r="Y1366">
        <v>0</v>
      </c>
      <c r="Z1366">
        <v>0</v>
      </c>
      <c r="AA1366">
        <v>0</v>
      </c>
      <c r="AB1366" t="s">
        <v>36</v>
      </c>
      <c r="AC1366">
        <v>22</v>
      </c>
    </row>
    <row r="1367" spans="1:30" x14ac:dyDescent="0.25">
      <c r="A1367" s="1">
        <v>44784.459074074075</v>
      </c>
      <c r="B1367" s="1">
        <v>44775.701319444444</v>
      </c>
      <c r="C1367">
        <v>151708</v>
      </c>
      <c r="D1367" t="s">
        <v>30</v>
      </c>
      <c r="E1367" t="s">
        <v>31</v>
      </c>
      <c r="F1367">
        <v>7</v>
      </c>
      <c r="G1367">
        <v>43.192042999999998</v>
      </c>
      <c r="H1367">
        <v>-71.541579999999996</v>
      </c>
      <c r="I1367">
        <v>291</v>
      </c>
      <c r="J1367">
        <v>93</v>
      </c>
      <c r="K1367">
        <v>94</v>
      </c>
      <c r="L1367" s="1">
        <v>44784.459062499998</v>
      </c>
      <c r="M1367">
        <v>7.9</v>
      </c>
      <c r="N1367">
        <v>7.6</v>
      </c>
      <c r="O1367">
        <v>0.3</v>
      </c>
      <c r="P1367">
        <v>4</v>
      </c>
      <c r="Q1367">
        <v>0</v>
      </c>
      <c r="R1367">
        <v>0</v>
      </c>
      <c r="S1367">
        <v>0</v>
      </c>
      <c r="T1367" t="s">
        <v>32</v>
      </c>
      <c r="V1367">
        <v>42</v>
      </c>
      <c r="W1367">
        <v>41</v>
      </c>
      <c r="X1367">
        <v>1</v>
      </c>
      <c r="Y1367">
        <v>0</v>
      </c>
      <c r="Z1367">
        <v>0</v>
      </c>
      <c r="AA1367">
        <v>0</v>
      </c>
      <c r="AB1367" t="s">
        <v>33</v>
      </c>
      <c r="AC1367">
        <v>41.5</v>
      </c>
    </row>
    <row r="1368" spans="1:30" x14ac:dyDescent="0.25">
      <c r="A1368" s="1">
        <v>44784.459085648145</v>
      </c>
      <c r="B1368" s="1">
        <v>44784.457407407404</v>
      </c>
      <c r="C1368">
        <v>143456</v>
      </c>
      <c r="D1368" t="s">
        <v>34</v>
      </c>
      <c r="E1368" t="s">
        <v>35</v>
      </c>
      <c r="F1368">
        <v>7</v>
      </c>
      <c r="G1368">
        <v>43.08963</v>
      </c>
      <c r="H1368">
        <v>-71.502440000000007</v>
      </c>
      <c r="I1368">
        <v>619</v>
      </c>
      <c r="J1368">
        <v>79</v>
      </c>
      <c r="K1368">
        <v>0</v>
      </c>
      <c r="L1368" s="1">
        <v>44784.459062499998</v>
      </c>
      <c r="M1368">
        <v>6.2</v>
      </c>
      <c r="N1368">
        <v>6.1</v>
      </c>
      <c r="O1368">
        <v>0.1</v>
      </c>
      <c r="P1368">
        <v>2</v>
      </c>
      <c r="Q1368">
        <v>0.5</v>
      </c>
      <c r="R1368">
        <v>0.1</v>
      </c>
      <c r="S1368">
        <v>0.3</v>
      </c>
      <c r="T1368" t="s">
        <v>33</v>
      </c>
      <c r="U1368">
        <v>6.15</v>
      </c>
      <c r="V1368">
        <v>60</v>
      </c>
      <c r="W1368">
        <v>0</v>
      </c>
      <c r="X1368">
        <v>60</v>
      </c>
      <c r="Y1368">
        <v>2</v>
      </c>
      <c r="Z1368">
        <v>0</v>
      </c>
      <c r="AA1368">
        <v>2</v>
      </c>
      <c r="AB1368" t="s">
        <v>36</v>
      </c>
      <c r="AC1368">
        <v>60</v>
      </c>
      <c r="AD1368">
        <v>1.71</v>
      </c>
    </row>
    <row r="1369" spans="1:30" x14ac:dyDescent="0.25">
      <c r="A1369" s="1">
        <v>44784.459085648145</v>
      </c>
      <c r="B1369" s="1">
        <v>44784.45758101852</v>
      </c>
      <c r="C1369">
        <v>151702</v>
      </c>
      <c r="D1369" t="s">
        <v>37</v>
      </c>
      <c r="E1369" t="s">
        <v>31</v>
      </c>
      <c r="F1369">
        <v>7</v>
      </c>
      <c r="G1369">
        <v>43.118609999999997</v>
      </c>
      <c r="H1369">
        <v>-71.61618</v>
      </c>
      <c r="I1369">
        <v>885</v>
      </c>
      <c r="J1369">
        <v>0</v>
      </c>
      <c r="K1369">
        <v>0</v>
      </c>
      <c r="L1369" s="1">
        <v>44784.459062499998</v>
      </c>
      <c r="M1369">
        <v>5.4</v>
      </c>
      <c r="N1369">
        <v>5.2</v>
      </c>
      <c r="O1369">
        <v>0.2</v>
      </c>
      <c r="P1369">
        <v>4</v>
      </c>
      <c r="Q1369">
        <v>0.4</v>
      </c>
      <c r="R1369">
        <v>0.2</v>
      </c>
      <c r="S1369">
        <v>0.3</v>
      </c>
      <c r="T1369" t="s">
        <v>33</v>
      </c>
      <c r="U1369">
        <v>5.3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 t="s">
        <v>38</v>
      </c>
    </row>
    <row r="1370" spans="1:30" x14ac:dyDescent="0.25">
      <c r="A1370" s="1">
        <v>44784.459085648145</v>
      </c>
      <c r="B1370" s="1">
        <v>44784.457465277781</v>
      </c>
      <c r="C1370">
        <v>151700</v>
      </c>
      <c r="D1370" t="s">
        <v>30</v>
      </c>
      <c r="E1370" t="s">
        <v>31</v>
      </c>
      <c r="F1370">
        <v>7</v>
      </c>
      <c r="G1370">
        <v>43.19211</v>
      </c>
      <c r="H1370">
        <v>-71.541460000000001</v>
      </c>
      <c r="I1370">
        <v>286</v>
      </c>
      <c r="J1370">
        <v>78</v>
      </c>
      <c r="K1370">
        <v>0</v>
      </c>
      <c r="L1370" s="1">
        <v>44784.459062499998</v>
      </c>
      <c r="M1370">
        <v>5.9</v>
      </c>
      <c r="N1370">
        <v>6.5</v>
      </c>
      <c r="O1370">
        <v>0.6</v>
      </c>
      <c r="P1370">
        <v>10</v>
      </c>
      <c r="Q1370">
        <v>0</v>
      </c>
      <c r="R1370">
        <v>0</v>
      </c>
      <c r="S1370">
        <v>0</v>
      </c>
      <c r="T1370" t="s">
        <v>33</v>
      </c>
      <c r="U1370">
        <v>6.2</v>
      </c>
      <c r="V1370">
        <v>59</v>
      </c>
      <c r="W1370">
        <v>0</v>
      </c>
      <c r="X1370">
        <v>59</v>
      </c>
      <c r="Y1370">
        <v>0</v>
      </c>
      <c r="Z1370">
        <v>0</v>
      </c>
      <c r="AA1370">
        <v>0</v>
      </c>
      <c r="AB1370" t="s">
        <v>36</v>
      </c>
      <c r="AC1370">
        <v>59</v>
      </c>
      <c r="AD1370">
        <v>1.81</v>
      </c>
    </row>
    <row r="1371" spans="1:30" x14ac:dyDescent="0.25">
      <c r="A1371" s="1">
        <v>44784.459097222221</v>
      </c>
      <c r="B1371" s="1">
        <v>44784.45789351852</v>
      </c>
      <c r="C1371">
        <v>135984</v>
      </c>
      <c r="D1371" t="s">
        <v>39</v>
      </c>
      <c r="E1371" t="s">
        <v>31</v>
      </c>
      <c r="F1371">
        <v>7</v>
      </c>
      <c r="G1371">
        <v>43.565852999999997</v>
      </c>
      <c r="H1371">
        <v>-71.496129999999994</v>
      </c>
      <c r="I1371">
        <v>708</v>
      </c>
      <c r="J1371">
        <v>88</v>
      </c>
      <c r="K1371">
        <v>0</v>
      </c>
      <c r="L1371" s="1">
        <v>44784.459062499998</v>
      </c>
      <c r="M1371">
        <v>4.0999999999999996</v>
      </c>
      <c r="N1371">
        <v>3.3</v>
      </c>
      <c r="O1371">
        <v>0.8</v>
      </c>
      <c r="P1371">
        <v>22</v>
      </c>
      <c r="Q1371">
        <v>0</v>
      </c>
      <c r="R1371">
        <v>0</v>
      </c>
      <c r="S1371">
        <v>0</v>
      </c>
      <c r="T1371" t="s">
        <v>33</v>
      </c>
      <c r="U1371">
        <v>3.7</v>
      </c>
      <c r="V1371">
        <v>53</v>
      </c>
      <c r="W1371">
        <v>0</v>
      </c>
      <c r="X1371">
        <v>53</v>
      </c>
      <c r="Y1371">
        <v>3</v>
      </c>
      <c r="Z1371">
        <v>0</v>
      </c>
      <c r="AA1371">
        <v>3</v>
      </c>
      <c r="AB1371" t="s">
        <v>36</v>
      </c>
      <c r="AC1371">
        <v>53</v>
      </c>
      <c r="AD1371">
        <v>0.71</v>
      </c>
    </row>
    <row r="1372" spans="1:30" x14ac:dyDescent="0.25">
      <c r="A1372" s="1">
        <v>44784.459097222221</v>
      </c>
      <c r="B1372" s="1">
        <v>44780.394780092596</v>
      </c>
      <c r="C1372">
        <v>151712</v>
      </c>
      <c r="D1372" t="s">
        <v>40</v>
      </c>
      <c r="E1372" t="s">
        <v>31</v>
      </c>
      <c r="F1372">
        <v>7</v>
      </c>
      <c r="G1372">
        <v>43.289763999999998</v>
      </c>
      <c r="H1372">
        <v>-71.564260000000004</v>
      </c>
      <c r="I1372">
        <v>370</v>
      </c>
      <c r="J1372">
        <v>86</v>
      </c>
      <c r="K1372">
        <v>0</v>
      </c>
      <c r="L1372" s="1">
        <v>44784.459062499998</v>
      </c>
      <c r="M1372">
        <v>14</v>
      </c>
      <c r="N1372">
        <v>13.2</v>
      </c>
      <c r="O1372">
        <v>0.8</v>
      </c>
      <c r="P1372">
        <v>6</v>
      </c>
      <c r="Q1372">
        <v>0</v>
      </c>
      <c r="R1372">
        <v>0</v>
      </c>
      <c r="S1372">
        <v>0</v>
      </c>
      <c r="T1372" t="s">
        <v>32</v>
      </c>
      <c r="V1372">
        <v>59</v>
      </c>
      <c r="W1372">
        <v>0</v>
      </c>
      <c r="X1372">
        <v>59</v>
      </c>
      <c r="Y1372">
        <v>0</v>
      </c>
      <c r="Z1372">
        <v>0</v>
      </c>
      <c r="AA1372">
        <v>0</v>
      </c>
      <c r="AB1372" t="s">
        <v>36</v>
      </c>
      <c r="AC1372">
        <v>59</v>
      </c>
    </row>
    <row r="1373" spans="1:30" x14ac:dyDescent="0.25">
      <c r="A1373" s="1">
        <v>44784.459097222221</v>
      </c>
      <c r="B1373" s="1">
        <v>44784.457199074073</v>
      </c>
      <c r="C1373">
        <v>151710</v>
      </c>
      <c r="D1373" t="s">
        <v>41</v>
      </c>
      <c r="E1373" t="s">
        <v>31</v>
      </c>
      <c r="F1373">
        <v>7</v>
      </c>
      <c r="G1373">
        <v>43.132477000000002</v>
      </c>
      <c r="H1373">
        <v>-71.458374000000006</v>
      </c>
      <c r="I1373">
        <v>230</v>
      </c>
      <c r="J1373">
        <v>84</v>
      </c>
      <c r="K1373">
        <v>0</v>
      </c>
      <c r="L1373" s="1">
        <v>44784.459062499998</v>
      </c>
      <c r="M1373">
        <v>7.5</v>
      </c>
      <c r="N1373">
        <v>6.5</v>
      </c>
      <c r="O1373">
        <v>1</v>
      </c>
      <c r="P1373">
        <v>14</v>
      </c>
      <c r="Q1373">
        <v>0.2</v>
      </c>
      <c r="R1373">
        <v>0.1</v>
      </c>
      <c r="S1373">
        <v>0.15</v>
      </c>
      <c r="T1373" t="s">
        <v>33</v>
      </c>
      <c r="U1373">
        <v>7</v>
      </c>
      <c r="V1373">
        <v>46</v>
      </c>
      <c r="W1373">
        <v>0</v>
      </c>
      <c r="X1373">
        <v>46</v>
      </c>
      <c r="Y1373">
        <v>2</v>
      </c>
      <c r="Z1373">
        <v>0</v>
      </c>
      <c r="AA1373">
        <v>2</v>
      </c>
      <c r="AB1373" t="s">
        <v>36</v>
      </c>
      <c r="AC1373">
        <v>46</v>
      </c>
      <c r="AD1373">
        <v>3.21</v>
      </c>
    </row>
    <row r="1374" spans="1:30" x14ac:dyDescent="0.25">
      <c r="A1374" s="1">
        <v>44784.459097222221</v>
      </c>
      <c r="B1374" s="1">
        <v>44784.458252314813</v>
      </c>
      <c r="C1374">
        <v>151706</v>
      </c>
      <c r="D1374" t="s">
        <v>42</v>
      </c>
      <c r="E1374" t="s">
        <v>31</v>
      </c>
      <c r="F1374">
        <v>7</v>
      </c>
      <c r="G1374">
        <v>43.004080000000002</v>
      </c>
      <c r="H1374">
        <v>-71.177040000000005</v>
      </c>
      <c r="I1374">
        <v>194</v>
      </c>
      <c r="J1374">
        <v>88</v>
      </c>
      <c r="K1374">
        <v>0</v>
      </c>
      <c r="L1374" s="1">
        <v>44784.459062499998</v>
      </c>
      <c r="M1374">
        <v>6.1</v>
      </c>
      <c r="N1374">
        <v>0</v>
      </c>
      <c r="O1374">
        <v>6.1</v>
      </c>
      <c r="P1374">
        <v>200</v>
      </c>
      <c r="Q1374">
        <v>0.2</v>
      </c>
      <c r="R1374">
        <v>0</v>
      </c>
      <c r="S1374">
        <v>0.1</v>
      </c>
      <c r="T1374" t="s">
        <v>43</v>
      </c>
      <c r="V1374">
        <v>45</v>
      </c>
      <c r="W1374">
        <v>0</v>
      </c>
      <c r="X1374">
        <v>45</v>
      </c>
      <c r="Y1374">
        <v>2</v>
      </c>
      <c r="Z1374">
        <v>0</v>
      </c>
      <c r="AA1374">
        <v>2</v>
      </c>
      <c r="AB1374" t="s">
        <v>36</v>
      </c>
      <c r="AC1374">
        <v>45</v>
      </c>
    </row>
    <row r="1375" spans="1:30" x14ac:dyDescent="0.25">
      <c r="A1375" s="1">
        <v>44784.459108796298</v>
      </c>
      <c r="B1375" s="1">
        <v>44784.458009259259</v>
      </c>
      <c r="C1375">
        <v>12212</v>
      </c>
      <c r="D1375" t="s">
        <v>44</v>
      </c>
      <c r="E1375" t="s">
        <v>35</v>
      </c>
      <c r="F1375">
        <v>7</v>
      </c>
      <c r="G1375">
        <v>42.930529999999997</v>
      </c>
      <c r="H1375">
        <v>-72.272350000000003</v>
      </c>
      <c r="I1375">
        <v>476</v>
      </c>
      <c r="J1375">
        <v>87</v>
      </c>
      <c r="K1375">
        <v>0</v>
      </c>
      <c r="L1375" s="1">
        <v>44784.459062499998</v>
      </c>
      <c r="M1375">
        <v>4.7</v>
      </c>
      <c r="N1375">
        <v>4.0999999999999996</v>
      </c>
      <c r="O1375">
        <v>0.6</v>
      </c>
      <c r="P1375">
        <v>14</v>
      </c>
      <c r="Q1375">
        <v>0.2</v>
      </c>
      <c r="R1375">
        <v>0.3</v>
      </c>
      <c r="S1375">
        <v>0.25</v>
      </c>
      <c r="T1375" t="s">
        <v>33</v>
      </c>
      <c r="U1375">
        <v>4.4000000000000004</v>
      </c>
      <c r="V1375">
        <v>42</v>
      </c>
      <c r="W1375">
        <v>0</v>
      </c>
      <c r="X1375">
        <v>42</v>
      </c>
      <c r="Y1375">
        <v>3</v>
      </c>
      <c r="Z1375">
        <v>0</v>
      </c>
      <c r="AA1375">
        <v>3</v>
      </c>
      <c r="AB1375" t="s">
        <v>36</v>
      </c>
      <c r="AC1375">
        <v>42</v>
      </c>
      <c r="AD1375">
        <v>1.9</v>
      </c>
    </row>
    <row r="1376" spans="1:30" x14ac:dyDescent="0.25">
      <c r="A1376" s="1">
        <v>44784.459108796298</v>
      </c>
      <c r="B1376" s="1">
        <v>44769.376736111109</v>
      </c>
      <c r="C1376">
        <v>12178</v>
      </c>
      <c r="D1376" t="s">
        <v>45</v>
      </c>
      <c r="E1376" t="s">
        <v>35</v>
      </c>
      <c r="F1376">
        <v>7</v>
      </c>
      <c r="G1376">
        <v>42.899563000000001</v>
      </c>
      <c r="H1376">
        <v>-71.464650000000006</v>
      </c>
      <c r="I1376">
        <v>301</v>
      </c>
      <c r="J1376">
        <v>85</v>
      </c>
      <c r="K1376">
        <v>0</v>
      </c>
      <c r="L1376" s="1">
        <v>44784.459062499998</v>
      </c>
      <c r="M1376">
        <v>3.8</v>
      </c>
      <c r="N1376">
        <v>3.1</v>
      </c>
      <c r="O1376">
        <v>0.7</v>
      </c>
      <c r="P1376">
        <v>20</v>
      </c>
      <c r="Q1376">
        <v>0</v>
      </c>
      <c r="R1376">
        <v>0</v>
      </c>
      <c r="S1376">
        <v>0</v>
      </c>
      <c r="T1376" t="s">
        <v>32</v>
      </c>
      <c r="V1376">
        <v>35</v>
      </c>
      <c r="W1376">
        <v>0</v>
      </c>
      <c r="X1376">
        <v>35</v>
      </c>
      <c r="Y1376">
        <v>0</v>
      </c>
      <c r="Z1376">
        <v>0</v>
      </c>
      <c r="AA1376">
        <v>0</v>
      </c>
      <c r="AB1376" t="s">
        <v>36</v>
      </c>
      <c r="AC1376">
        <v>35</v>
      </c>
    </row>
    <row r="1377" spans="1:30" x14ac:dyDescent="0.25">
      <c r="A1377" s="1">
        <v>44784.459108796298</v>
      </c>
      <c r="B1377" s="1">
        <v>44784.457314814812</v>
      </c>
      <c r="C1377">
        <v>75981</v>
      </c>
      <c r="D1377" t="s">
        <v>46</v>
      </c>
      <c r="E1377" t="s">
        <v>35</v>
      </c>
      <c r="F1377">
        <v>7</v>
      </c>
      <c r="G1377">
        <v>42.97</v>
      </c>
      <c r="H1377">
        <v>-71.06</v>
      </c>
      <c r="I1377">
        <v>136</v>
      </c>
      <c r="J1377">
        <v>83</v>
      </c>
      <c r="K1377">
        <v>0</v>
      </c>
      <c r="L1377" s="1">
        <v>44784.459062499998</v>
      </c>
      <c r="M1377">
        <v>9.6</v>
      </c>
      <c r="N1377">
        <v>8.9</v>
      </c>
      <c r="O1377">
        <v>0.7</v>
      </c>
      <c r="P1377">
        <v>8</v>
      </c>
      <c r="Q1377">
        <v>0</v>
      </c>
      <c r="R1377">
        <v>0.4</v>
      </c>
      <c r="S1377">
        <v>0.2</v>
      </c>
      <c r="T1377" t="s">
        <v>33</v>
      </c>
      <c r="U1377">
        <v>9.25</v>
      </c>
      <c r="V1377">
        <v>53</v>
      </c>
      <c r="W1377">
        <v>0</v>
      </c>
      <c r="X1377">
        <v>53</v>
      </c>
      <c r="Y1377">
        <v>0</v>
      </c>
      <c r="Z1377">
        <v>0</v>
      </c>
      <c r="AA1377">
        <v>0</v>
      </c>
      <c r="AB1377" t="s">
        <v>36</v>
      </c>
      <c r="AC1377">
        <v>53</v>
      </c>
      <c r="AD1377">
        <v>4.09</v>
      </c>
    </row>
    <row r="1378" spans="1:30" x14ac:dyDescent="0.25">
      <c r="A1378" s="1">
        <v>44784.459120370368</v>
      </c>
      <c r="B1378" s="1">
        <v>44784.45784722222</v>
      </c>
      <c r="C1378">
        <v>115703</v>
      </c>
      <c r="D1378" t="s">
        <v>47</v>
      </c>
      <c r="E1378" t="s">
        <v>35</v>
      </c>
      <c r="F1378">
        <v>7</v>
      </c>
      <c r="G1378">
        <v>43.953625000000002</v>
      </c>
      <c r="H1378">
        <v>-71.508859999999999</v>
      </c>
      <c r="I1378">
        <v>1493</v>
      </c>
      <c r="J1378">
        <v>76</v>
      </c>
      <c r="K1378">
        <v>0</v>
      </c>
      <c r="L1378" s="1">
        <v>44784.459062499998</v>
      </c>
      <c r="M1378">
        <v>0.1</v>
      </c>
      <c r="N1378">
        <v>300.89999999999998</v>
      </c>
      <c r="O1378">
        <v>300.8</v>
      </c>
      <c r="P1378">
        <v>200</v>
      </c>
      <c r="Q1378">
        <v>0</v>
      </c>
      <c r="R1378">
        <v>0</v>
      </c>
      <c r="S1378">
        <v>0</v>
      </c>
      <c r="T1378" t="s">
        <v>60</v>
      </c>
      <c r="V1378">
        <v>49</v>
      </c>
      <c r="W1378">
        <v>0</v>
      </c>
      <c r="X1378">
        <v>49</v>
      </c>
      <c r="Y1378">
        <v>1</v>
      </c>
      <c r="Z1378">
        <v>0</v>
      </c>
      <c r="AA1378">
        <v>1</v>
      </c>
      <c r="AB1378" t="s">
        <v>36</v>
      </c>
      <c r="AC1378">
        <v>49</v>
      </c>
    </row>
    <row r="1379" spans="1:30" x14ac:dyDescent="0.25">
      <c r="A1379" s="1">
        <v>44784.459120370368</v>
      </c>
      <c r="B1379" s="1">
        <v>44784.457268518519</v>
      </c>
      <c r="C1379">
        <v>12050</v>
      </c>
      <c r="D1379" t="s">
        <v>49</v>
      </c>
      <c r="E1379" t="s">
        <v>35</v>
      </c>
      <c r="F1379">
        <v>7</v>
      </c>
      <c r="G1379">
        <v>44.220573000000002</v>
      </c>
      <c r="H1379">
        <v>-71.732315</v>
      </c>
      <c r="I1379">
        <v>999</v>
      </c>
      <c r="J1379">
        <v>85</v>
      </c>
      <c r="K1379">
        <v>0</v>
      </c>
      <c r="L1379" s="1">
        <v>44784.459062499998</v>
      </c>
      <c r="M1379">
        <v>3.7</v>
      </c>
      <c r="N1379">
        <v>3.2</v>
      </c>
      <c r="O1379">
        <v>0.5</v>
      </c>
      <c r="P1379">
        <v>14</v>
      </c>
      <c r="Q1379">
        <v>0</v>
      </c>
      <c r="R1379">
        <v>0.1</v>
      </c>
      <c r="S1379">
        <v>0.05</v>
      </c>
      <c r="T1379" t="s">
        <v>33</v>
      </c>
      <c r="U1379">
        <v>3.45</v>
      </c>
      <c r="V1379">
        <v>41</v>
      </c>
      <c r="W1379">
        <v>0</v>
      </c>
      <c r="X1379">
        <v>41</v>
      </c>
      <c r="Y1379">
        <v>1</v>
      </c>
      <c r="Z1379">
        <v>0</v>
      </c>
      <c r="AA1379">
        <v>1</v>
      </c>
      <c r="AB1379" t="s">
        <v>36</v>
      </c>
      <c r="AC1379">
        <v>41</v>
      </c>
      <c r="AD1379">
        <v>1.39</v>
      </c>
    </row>
    <row r="1380" spans="1:30" x14ac:dyDescent="0.25">
      <c r="A1380" s="1">
        <v>44784.459120370368</v>
      </c>
      <c r="B1380" s="1">
        <v>44784.457372685189</v>
      </c>
      <c r="C1380">
        <v>23443</v>
      </c>
      <c r="D1380" t="s">
        <v>50</v>
      </c>
      <c r="E1380" t="s">
        <v>35</v>
      </c>
      <c r="F1380">
        <v>7</v>
      </c>
      <c r="G1380">
        <v>43.556139999999999</v>
      </c>
      <c r="H1380">
        <v>-72.370990000000006</v>
      </c>
      <c r="I1380">
        <v>523</v>
      </c>
      <c r="J1380">
        <v>91</v>
      </c>
      <c r="K1380">
        <v>0</v>
      </c>
      <c r="L1380" s="1">
        <v>44784.459062499998</v>
      </c>
      <c r="M1380">
        <v>4.5999999999999996</v>
      </c>
      <c r="N1380">
        <v>3.9</v>
      </c>
      <c r="O1380">
        <v>0.7</v>
      </c>
      <c r="P1380">
        <v>16</v>
      </c>
      <c r="Q1380">
        <v>0.1</v>
      </c>
      <c r="R1380">
        <v>0.1</v>
      </c>
      <c r="S1380">
        <v>0.1</v>
      </c>
      <c r="T1380" t="s">
        <v>33</v>
      </c>
      <c r="U1380">
        <v>4.25</v>
      </c>
      <c r="V1380">
        <v>37</v>
      </c>
      <c r="W1380">
        <v>0</v>
      </c>
      <c r="X1380">
        <v>37</v>
      </c>
      <c r="Y1380">
        <v>2</v>
      </c>
      <c r="Z1380">
        <v>0</v>
      </c>
      <c r="AA1380">
        <v>2</v>
      </c>
      <c r="AB1380" t="s">
        <v>36</v>
      </c>
      <c r="AC1380">
        <v>37</v>
      </c>
      <c r="AD1380">
        <v>2.16</v>
      </c>
    </row>
    <row r="1381" spans="1:30" x14ac:dyDescent="0.25">
      <c r="A1381" s="1">
        <v>44784.459131944444</v>
      </c>
      <c r="B1381" s="1">
        <v>44784.45752314815</v>
      </c>
      <c r="C1381">
        <v>58135</v>
      </c>
      <c r="D1381" t="s">
        <v>51</v>
      </c>
      <c r="E1381" t="s">
        <v>35</v>
      </c>
      <c r="F1381">
        <v>7</v>
      </c>
      <c r="G1381">
        <v>42.883873000000001</v>
      </c>
      <c r="H1381">
        <v>-71.972915999999998</v>
      </c>
      <c r="I1381">
        <v>808</v>
      </c>
      <c r="J1381">
        <v>83</v>
      </c>
      <c r="K1381">
        <v>0</v>
      </c>
      <c r="L1381" s="1">
        <v>44784.459062499998</v>
      </c>
      <c r="M1381">
        <v>3.1</v>
      </c>
      <c r="N1381">
        <v>2.1</v>
      </c>
      <c r="O1381">
        <v>1</v>
      </c>
      <c r="P1381">
        <v>38</v>
      </c>
      <c r="Q1381">
        <v>0.4</v>
      </c>
      <c r="R1381">
        <v>0.2</v>
      </c>
      <c r="S1381">
        <v>0.3</v>
      </c>
      <c r="T1381" t="s">
        <v>33</v>
      </c>
      <c r="U1381">
        <v>2.6</v>
      </c>
      <c r="V1381">
        <v>43</v>
      </c>
      <c r="W1381">
        <v>0</v>
      </c>
      <c r="X1381">
        <v>43</v>
      </c>
      <c r="Y1381">
        <v>2</v>
      </c>
      <c r="Z1381">
        <v>0</v>
      </c>
      <c r="AA1381">
        <v>2</v>
      </c>
      <c r="AB1381" t="s">
        <v>36</v>
      </c>
      <c r="AC1381">
        <v>43</v>
      </c>
      <c r="AD1381">
        <v>0.74</v>
      </c>
    </row>
    <row r="1382" spans="1:30" x14ac:dyDescent="0.25">
      <c r="A1382" s="1">
        <v>44784.459131944444</v>
      </c>
      <c r="B1382" s="1">
        <v>44784.457488425927</v>
      </c>
      <c r="C1382">
        <v>148555</v>
      </c>
      <c r="D1382" t="s">
        <v>52</v>
      </c>
      <c r="E1382" t="s">
        <v>53</v>
      </c>
      <c r="F1382">
        <v>7</v>
      </c>
      <c r="G1382">
        <v>42.904949999999999</v>
      </c>
      <c r="H1382">
        <v>-71.386764999999997</v>
      </c>
      <c r="I1382">
        <v>363</v>
      </c>
      <c r="J1382">
        <v>0</v>
      </c>
      <c r="K1382">
        <v>0</v>
      </c>
      <c r="L1382" s="1">
        <v>44784.459062499998</v>
      </c>
      <c r="M1382">
        <v>4.5</v>
      </c>
      <c r="N1382">
        <v>5.0999999999999996</v>
      </c>
      <c r="O1382">
        <v>0.6</v>
      </c>
      <c r="P1382">
        <v>12</v>
      </c>
      <c r="Q1382">
        <v>0.2</v>
      </c>
      <c r="R1382">
        <v>0.4</v>
      </c>
      <c r="S1382">
        <v>0.3</v>
      </c>
      <c r="T1382" t="s">
        <v>33</v>
      </c>
      <c r="U1382">
        <v>4.8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 t="s">
        <v>38</v>
      </c>
    </row>
    <row r="1383" spans="1:30" x14ac:dyDescent="0.25">
      <c r="A1383" s="1">
        <v>44784.459131944444</v>
      </c>
      <c r="B1383" s="1">
        <v>44784.458379629628</v>
      </c>
      <c r="C1383">
        <v>146644</v>
      </c>
      <c r="D1383" t="s">
        <v>54</v>
      </c>
      <c r="E1383" t="s">
        <v>53</v>
      </c>
      <c r="F1383">
        <v>7</v>
      </c>
      <c r="G1383">
        <v>43.06015</v>
      </c>
      <c r="H1383">
        <v>-70.758930000000007</v>
      </c>
      <c r="I1383">
        <v>35</v>
      </c>
      <c r="J1383">
        <v>81</v>
      </c>
      <c r="K1383">
        <v>83</v>
      </c>
      <c r="L1383" s="1">
        <v>44784.459062499998</v>
      </c>
      <c r="M1383">
        <v>12.1</v>
      </c>
      <c r="N1383">
        <v>11.6</v>
      </c>
      <c r="O1383">
        <v>0.5</v>
      </c>
      <c r="P1383">
        <v>4</v>
      </c>
      <c r="Q1383">
        <v>0.3</v>
      </c>
      <c r="R1383">
        <v>0.2</v>
      </c>
      <c r="S1383">
        <v>0.25</v>
      </c>
      <c r="T1383" t="s">
        <v>33</v>
      </c>
      <c r="U1383">
        <v>11.85</v>
      </c>
      <c r="V1383">
        <v>52</v>
      </c>
      <c r="W1383">
        <v>57</v>
      </c>
      <c r="X1383">
        <v>5</v>
      </c>
      <c r="Y1383">
        <v>3</v>
      </c>
      <c r="Z1383">
        <v>2</v>
      </c>
      <c r="AA1383">
        <v>1</v>
      </c>
      <c r="AB1383" t="s">
        <v>33</v>
      </c>
      <c r="AC1383">
        <v>54.5</v>
      </c>
      <c r="AD1383">
        <v>5.57</v>
      </c>
    </row>
    <row r="1384" spans="1:30" x14ac:dyDescent="0.25">
      <c r="A1384" s="1">
        <v>44784.459143518521</v>
      </c>
      <c r="B1384" s="1">
        <v>43755.283437500002</v>
      </c>
      <c r="C1384">
        <v>12188</v>
      </c>
      <c r="D1384" t="s">
        <v>55</v>
      </c>
      <c r="E1384" t="s">
        <v>35</v>
      </c>
      <c r="F1384">
        <v>4.1100000000000003</v>
      </c>
      <c r="G1384">
        <v>42.927050000000001</v>
      </c>
      <c r="H1384">
        <v>-72.279610000000005</v>
      </c>
      <c r="I1384">
        <v>475</v>
      </c>
      <c r="J1384">
        <v>95</v>
      </c>
      <c r="K1384">
        <v>0</v>
      </c>
      <c r="L1384" s="1">
        <v>44784.459062499998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 t="s">
        <v>32</v>
      </c>
      <c r="V1384">
        <v>77</v>
      </c>
      <c r="W1384">
        <v>0</v>
      </c>
      <c r="X1384">
        <v>77</v>
      </c>
      <c r="Y1384">
        <v>0</v>
      </c>
      <c r="Z1384">
        <v>0</v>
      </c>
      <c r="AA1384">
        <v>0</v>
      </c>
      <c r="AB1384" t="s">
        <v>36</v>
      </c>
      <c r="AC1384">
        <v>77</v>
      </c>
    </row>
    <row r="1385" spans="1:30" x14ac:dyDescent="0.25">
      <c r="A1385" s="1">
        <v>44784.459143518521</v>
      </c>
      <c r="B1385" s="1">
        <v>44784.458749999998</v>
      </c>
      <c r="C1385">
        <v>1224</v>
      </c>
      <c r="D1385" t="s">
        <v>56</v>
      </c>
      <c r="E1385" t="s">
        <v>35</v>
      </c>
      <c r="F1385" t="s">
        <v>57</v>
      </c>
      <c r="G1385">
        <v>42.938034000000002</v>
      </c>
      <c r="H1385">
        <v>-72.259299999999996</v>
      </c>
      <c r="I1385">
        <v>792</v>
      </c>
      <c r="J1385">
        <v>88</v>
      </c>
      <c r="K1385">
        <v>0</v>
      </c>
      <c r="L1385" s="1">
        <v>44784.459062499998</v>
      </c>
      <c r="M1385">
        <v>4.7</v>
      </c>
      <c r="N1385">
        <v>0</v>
      </c>
      <c r="O1385">
        <v>4.7</v>
      </c>
      <c r="P1385">
        <v>200</v>
      </c>
      <c r="Q1385">
        <v>0.1</v>
      </c>
      <c r="R1385">
        <v>0</v>
      </c>
      <c r="S1385">
        <v>0.05</v>
      </c>
      <c r="T1385" t="s">
        <v>43</v>
      </c>
      <c r="V1385">
        <v>49</v>
      </c>
      <c r="W1385">
        <v>0</v>
      </c>
      <c r="X1385">
        <v>49</v>
      </c>
      <c r="Y1385">
        <v>1</v>
      </c>
      <c r="Z1385">
        <v>0</v>
      </c>
      <c r="AA1385">
        <v>1</v>
      </c>
      <c r="AB1385" t="s">
        <v>36</v>
      </c>
      <c r="AC1385">
        <v>49</v>
      </c>
    </row>
    <row r="1386" spans="1:30" x14ac:dyDescent="0.25">
      <c r="A1386" s="1">
        <v>44784.459155092591</v>
      </c>
      <c r="B1386" s="1">
        <v>44784.458194444444</v>
      </c>
      <c r="C1386">
        <v>1202</v>
      </c>
      <c r="D1386" t="s">
        <v>58</v>
      </c>
      <c r="E1386" t="s">
        <v>35</v>
      </c>
      <c r="F1386" t="s">
        <v>57</v>
      </c>
      <c r="G1386">
        <v>42.936554000000001</v>
      </c>
      <c r="H1386">
        <v>-72.271019999999993</v>
      </c>
      <c r="I1386">
        <v>488</v>
      </c>
      <c r="J1386">
        <v>0</v>
      </c>
      <c r="K1386">
        <v>0</v>
      </c>
      <c r="L1386" s="1">
        <v>44784.459062499998</v>
      </c>
      <c r="M1386">
        <v>5</v>
      </c>
      <c r="N1386">
        <v>4.5999999999999996</v>
      </c>
      <c r="O1386">
        <v>0.4</v>
      </c>
      <c r="P1386">
        <v>8</v>
      </c>
      <c r="Q1386">
        <v>0.2</v>
      </c>
      <c r="R1386">
        <v>0</v>
      </c>
      <c r="S1386">
        <v>0.1</v>
      </c>
      <c r="T1386" t="s">
        <v>33</v>
      </c>
      <c r="U1386">
        <v>4.8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 t="s">
        <v>38</v>
      </c>
    </row>
    <row r="1387" spans="1:30" x14ac:dyDescent="0.25">
      <c r="A1387" s="1">
        <v>44784.459155092591</v>
      </c>
      <c r="B1387" s="1">
        <v>44612.080023148148</v>
      </c>
      <c r="C1387">
        <v>25985</v>
      </c>
      <c r="D1387" t="s">
        <v>59</v>
      </c>
      <c r="E1387" t="s">
        <v>35</v>
      </c>
      <c r="F1387">
        <v>6.01</v>
      </c>
      <c r="G1387">
        <v>42.927326000000001</v>
      </c>
      <c r="H1387">
        <v>-72.279979999999995</v>
      </c>
      <c r="I1387">
        <v>477</v>
      </c>
      <c r="J1387">
        <v>78</v>
      </c>
      <c r="K1387">
        <v>0</v>
      </c>
      <c r="L1387" s="1">
        <v>44784.459062499998</v>
      </c>
      <c r="M1387">
        <v>1.1000000000000001</v>
      </c>
      <c r="N1387">
        <v>1</v>
      </c>
      <c r="O1387">
        <v>0.1</v>
      </c>
      <c r="P1387">
        <v>10</v>
      </c>
      <c r="Q1387">
        <v>0</v>
      </c>
      <c r="R1387">
        <v>0</v>
      </c>
      <c r="S1387">
        <v>0</v>
      </c>
      <c r="T1387" t="s">
        <v>32</v>
      </c>
      <c r="V1387">
        <v>22</v>
      </c>
      <c r="W1387">
        <v>0</v>
      </c>
      <c r="X1387">
        <v>22</v>
      </c>
      <c r="Y1387">
        <v>0</v>
      </c>
      <c r="Z1387">
        <v>0</v>
      </c>
      <c r="AA1387">
        <v>0</v>
      </c>
      <c r="AB1387" t="s">
        <v>36</v>
      </c>
      <c r="AC1387">
        <v>22</v>
      </c>
    </row>
    <row r="1388" spans="1:30" x14ac:dyDescent="0.25">
      <c r="A1388" s="1">
        <v>44784.46601851852</v>
      </c>
      <c r="B1388" s="1">
        <v>44775.701319444444</v>
      </c>
      <c r="C1388">
        <v>151708</v>
      </c>
      <c r="D1388" t="s">
        <v>30</v>
      </c>
      <c r="E1388" t="s">
        <v>31</v>
      </c>
      <c r="F1388">
        <v>7</v>
      </c>
      <c r="G1388">
        <v>43.192042999999998</v>
      </c>
      <c r="H1388">
        <v>-71.541579999999996</v>
      </c>
      <c r="I1388">
        <v>291</v>
      </c>
      <c r="J1388">
        <v>93</v>
      </c>
      <c r="K1388">
        <v>94</v>
      </c>
      <c r="L1388" s="1">
        <v>44784.466006944444</v>
      </c>
      <c r="M1388">
        <v>7.9</v>
      </c>
      <c r="N1388">
        <v>7.6</v>
      </c>
      <c r="O1388">
        <v>0.3</v>
      </c>
      <c r="P1388">
        <v>4</v>
      </c>
      <c r="Q1388">
        <v>0</v>
      </c>
      <c r="R1388">
        <v>0</v>
      </c>
      <c r="S1388">
        <v>0</v>
      </c>
      <c r="T1388" t="s">
        <v>32</v>
      </c>
      <c r="V1388">
        <v>42</v>
      </c>
      <c r="W1388">
        <v>41</v>
      </c>
      <c r="X1388">
        <v>1</v>
      </c>
      <c r="Y1388">
        <v>0</v>
      </c>
      <c r="Z1388">
        <v>0</v>
      </c>
      <c r="AA1388">
        <v>0</v>
      </c>
      <c r="AB1388" t="s">
        <v>33</v>
      </c>
      <c r="AC1388">
        <v>41.5</v>
      </c>
    </row>
    <row r="1389" spans="1:30" x14ac:dyDescent="0.25">
      <c r="A1389" s="1">
        <v>44784.46601851852</v>
      </c>
      <c r="B1389" s="1">
        <v>44784.46435185185</v>
      </c>
      <c r="C1389">
        <v>143456</v>
      </c>
      <c r="D1389" t="s">
        <v>34</v>
      </c>
      <c r="E1389" t="s">
        <v>35</v>
      </c>
      <c r="F1389">
        <v>7</v>
      </c>
      <c r="G1389">
        <v>43.08963</v>
      </c>
      <c r="H1389">
        <v>-71.502440000000007</v>
      </c>
      <c r="I1389">
        <v>619</v>
      </c>
      <c r="J1389">
        <v>80</v>
      </c>
      <c r="K1389">
        <v>0</v>
      </c>
      <c r="L1389" s="1">
        <v>44784.466006944444</v>
      </c>
      <c r="M1389">
        <v>6.3</v>
      </c>
      <c r="N1389">
        <v>6.3</v>
      </c>
      <c r="O1389">
        <v>0</v>
      </c>
      <c r="P1389">
        <v>0</v>
      </c>
      <c r="Q1389">
        <v>0.1</v>
      </c>
      <c r="R1389">
        <v>0.2</v>
      </c>
      <c r="S1389">
        <v>0.15</v>
      </c>
      <c r="T1389" t="s">
        <v>33</v>
      </c>
      <c r="U1389">
        <v>6.3</v>
      </c>
      <c r="V1389">
        <v>60</v>
      </c>
      <c r="W1389">
        <v>0</v>
      </c>
      <c r="X1389">
        <v>60</v>
      </c>
      <c r="Y1389">
        <v>0</v>
      </c>
      <c r="Z1389">
        <v>0</v>
      </c>
      <c r="AA1389">
        <v>0</v>
      </c>
      <c r="AB1389" t="s">
        <v>36</v>
      </c>
      <c r="AC1389">
        <v>60</v>
      </c>
      <c r="AD1389">
        <v>1.8</v>
      </c>
    </row>
    <row r="1390" spans="1:30" x14ac:dyDescent="0.25">
      <c r="A1390" s="1">
        <v>44784.46603009259</v>
      </c>
      <c r="B1390" s="1">
        <v>44784.464525462965</v>
      </c>
      <c r="C1390">
        <v>151702</v>
      </c>
      <c r="D1390" t="s">
        <v>37</v>
      </c>
      <c r="E1390" t="s">
        <v>31</v>
      </c>
      <c r="F1390">
        <v>7</v>
      </c>
      <c r="G1390">
        <v>43.118609999999997</v>
      </c>
      <c r="H1390">
        <v>-71.61618</v>
      </c>
      <c r="I1390">
        <v>885</v>
      </c>
      <c r="J1390">
        <v>0</v>
      </c>
      <c r="K1390">
        <v>0</v>
      </c>
      <c r="L1390" s="1">
        <v>44784.466006944444</v>
      </c>
      <c r="M1390">
        <v>5.3</v>
      </c>
      <c r="N1390">
        <v>5.0999999999999996</v>
      </c>
      <c r="O1390">
        <v>0.2</v>
      </c>
      <c r="P1390">
        <v>4</v>
      </c>
      <c r="Q1390">
        <v>0.1</v>
      </c>
      <c r="R1390">
        <v>0.1</v>
      </c>
      <c r="S1390">
        <v>0.1</v>
      </c>
      <c r="T1390" t="s">
        <v>33</v>
      </c>
      <c r="U1390">
        <v>5.2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 t="s">
        <v>38</v>
      </c>
    </row>
    <row r="1391" spans="1:30" x14ac:dyDescent="0.25">
      <c r="A1391" s="1">
        <v>44784.46603009259</v>
      </c>
      <c r="B1391" s="1">
        <v>44784.464409722219</v>
      </c>
      <c r="C1391">
        <v>151700</v>
      </c>
      <c r="D1391" t="s">
        <v>30</v>
      </c>
      <c r="E1391" t="s">
        <v>31</v>
      </c>
      <c r="F1391">
        <v>7</v>
      </c>
      <c r="G1391">
        <v>43.19211</v>
      </c>
      <c r="H1391">
        <v>-71.541460000000001</v>
      </c>
      <c r="I1391">
        <v>286</v>
      </c>
      <c r="J1391">
        <v>78</v>
      </c>
      <c r="K1391">
        <v>0</v>
      </c>
      <c r="L1391" s="1">
        <v>44784.466006944444</v>
      </c>
      <c r="M1391">
        <v>5.8</v>
      </c>
      <c r="N1391">
        <v>6.6</v>
      </c>
      <c r="O1391">
        <v>0.8</v>
      </c>
      <c r="P1391">
        <v>13</v>
      </c>
      <c r="Q1391">
        <v>0.1</v>
      </c>
      <c r="R1391">
        <v>0.1</v>
      </c>
      <c r="S1391">
        <v>0.1</v>
      </c>
      <c r="T1391" t="s">
        <v>33</v>
      </c>
      <c r="U1391">
        <v>6.2</v>
      </c>
      <c r="V1391">
        <v>58</v>
      </c>
      <c r="W1391">
        <v>0</v>
      </c>
      <c r="X1391">
        <v>58</v>
      </c>
      <c r="Y1391">
        <v>1</v>
      </c>
      <c r="Z1391">
        <v>0</v>
      </c>
      <c r="AA1391">
        <v>1</v>
      </c>
      <c r="AB1391" t="s">
        <v>36</v>
      </c>
      <c r="AC1391">
        <v>58</v>
      </c>
      <c r="AD1391">
        <v>1.88</v>
      </c>
    </row>
    <row r="1392" spans="1:30" x14ac:dyDescent="0.25">
      <c r="A1392" s="1">
        <v>44784.46603009259</v>
      </c>
      <c r="B1392" s="1">
        <v>44784.464837962965</v>
      </c>
      <c r="C1392">
        <v>135984</v>
      </c>
      <c r="D1392" t="s">
        <v>39</v>
      </c>
      <c r="E1392" t="s">
        <v>31</v>
      </c>
      <c r="F1392">
        <v>7</v>
      </c>
      <c r="G1392">
        <v>43.565852999999997</v>
      </c>
      <c r="H1392">
        <v>-71.496129999999994</v>
      </c>
      <c r="I1392">
        <v>708</v>
      </c>
      <c r="J1392">
        <v>87</v>
      </c>
      <c r="K1392">
        <v>0</v>
      </c>
      <c r="L1392" s="1">
        <v>44784.466006944444</v>
      </c>
      <c r="M1392">
        <v>4.0999999999999996</v>
      </c>
      <c r="N1392">
        <v>3.3</v>
      </c>
      <c r="O1392">
        <v>0.8</v>
      </c>
      <c r="P1392">
        <v>22</v>
      </c>
      <c r="Q1392">
        <v>0</v>
      </c>
      <c r="R1392">
        <v>0</v>
      </c>
      <c r="S1392">
        <v>0</v>
      </c>
      <c r="T1392" t="s">
        <v>33</v>
      </c>
      <c r="U1392">
        <v>3.7</v>
      </c>
      <c r="V1392">
        <v>54</v>
      </c>
      <c r="W1392">
        <v>0</v>
      </c>
      <c r="X1392">
        <v>54</v>
      </c>
      <c r="Y1392">
        <v>1</v>
      </c>
      <c r="Z1392">
        <v>0</v>
      </c>
      <c r="AA1392">
        <v>1</v>
      </c>
      <c r="AB1392" t="s">
        <v>36</v>
      </c>
      <c r="AC1392">
        <v>54</v>
      </c>
      <c r="AD1392">
        <v>0.64</v>
      </c>
    </row>
    <row r="1393" spans="1:30" x14ac:dyDescent="0.25">
      <c r="A1393" s="1">
        <v>44784.466041666667</v>
      </c>
      <c r="B1393" s="1">
        <v>44780.394780092596</v>
      </c>
      <c r="C1393">
        <v>151712</v>
      </c>
      <c r="D1393" t="s">
        <v>40</v>
      </c>
      <c r="E1393" t="s">
        <v>31</v>
      </c>
      <c r="F1393">
        <v>7</v>
      </c>
      <c r="G1393">
        <v>43.289763999999998</v>
      </c>
      <c r="H1393">
        <v>-71.564260000000004</v>
      </c>
      <c r="I1393">
        <v>370</v>
      </c>
      <c r="J1393">
        <v>86</v>
      </c>
      <c r="K1393">
        <v>0</v>
      </c>
      <c r="L1393" s="1">
        <v>44784.466006944444</v>
      </c>
      <c r="M1393">
        <v>14</v>
      </c>
      <c r="N1393">
        <v>13.2</v>
      </c>
      <c r="O1393">
        <v>0.8</v>
      </c>
      <c r="P1393">
        <v>6</v>
      </c>
      <c r="Q1393">
        <v>0</v>
      </c>
      <c r="R1393">
        <v>0</v>
      </c>
      <c r="S1393">
        <v>0</v>
      </c>
      <c r="T1393" t="s">
        <v>32</v>
      </c>
      <c r="V1393">
        <v>59</v>
      </c>
      <c r="W1393">
        <v>0</v>
      </c>
      <c r="X1393">
        <v>59</v>
      </c>
      <c r="Y1393">
        <v>0</v>
      </c>
      <c r="Z1393">
        <v>0</v>
      </c>
      <c r="AA1393">
        <v>0</v>
      </c>
      <c r="AB1393" t="s">
        <v>36</v>
      </c>
      <c r="AC1393">
        <v>59</v>
      </c>
    </row>
    <row r="1394" spans="1:30" x14ac:dyDescent="0.25">
      <c r="A1394" s="1">
        <v>44784.466041666667</v>
      </c>
      <c r="B1394" s="1">
        <v>44784.465532407405</v>
      </c>
      <c r="C1394">
        <v>151710</v>
      </c>
      <c r="D1394" t="s">
        <v>41</v>
      </c>
      <c r="E1394" t="s">
        <v>31</v>
      </c>
      <c r="F1394">
        <v>7</v>
      </c>
      <c r="G1394">
        <v>43.132477000000002</v>
      </c>
      <c r="H1394">
        <v>-71.458374000000006</v>
      </c>
      <c r="I1394">
        <v>230</v>
      </c>
      <c r="J1394">
        <v>85</v>
      </c>
      <c r="K1394">
        <v>0</v>
      </c>
      <c r="L1394" s="1">
        <v>44784.466006944444</v>
      </c>
      <c r="M1394">
        <v>7.5</v>
      </c>
      <c r="N1394">
        <v>6.4</v>
      </c>
      <c r="O1394">
        <v>1.1000000000000001</v>
      </c>
      <c r="P1394">
        <v>16</v>
      </c>
      <c r="Q1394">
        <v>0</v>
      </c>
      <c r="R1394">
        <v>0.1</v>
      </c>
      <c r="S1394">
        <v>0.05</v>
      </c>
      <c r="T1394" t="s">
        <v>33</v>
      </c>
      <c r="U1394">
        <v>6.95</v>
      </c>
      <c r="V1394">
        <v>46</v>
      </c>
      <c r="W1394">
        <v>0</v>
      </c>
      <c r="X1394">
        <v>46</v>
      </c>
      <c r="Y1394">
        <v>0</v>
      </c>
      <c r="Z1394">
        <v>0</v>
      </c>
      <c r="AA1394">
        <v>0</v>
      </c>
      <c r="AB1394" t="s">
        <v>36</v>
      </c>
      <c r="AC1394">
        <v>46</v>
      </c>
      <c r="AD1394">
        <v>3.18</v>
      </c>
    </row>
    <row r="1395" spans="1:30" x14ac:dyDescent="0.25">
      <c r="A1395" s="1">
        <v>44784.466053240743</v>
      </c>
      <c r="B1395" s="1">
        <v>44784.465196759258</v>
      </c>
      <c r="C1395">
        <v>151706</v>
      </c>
      <c r="D1395" t="s">
        <v>42</v>
      </c>
      <c r="E1395" t="s">
        <v>31</v>
      </c>
      <c r="F1395">
        <v>7</v>
      </c>
      <c r="G1395">
        <v>43.004080000000002</v>
      </c>
      <c r="H1395">
        <v>-71.177040000000005</v>
      </c>
      <c r="I1395">
        <v>194</v>
      </c>
      <c r="J1395">
        <v>87</v>
      </c>
      <c r="K1395">
        <v>0</v>
      </c>
      <c r="L1395" s="1">
        <v>44784.466006944444</v>
      </c>
      <c r="M1395">
        <v>6.1</v>
      </c>
      <c r="N1395">
        <v>0</v>
      </c>
      <c r="O1395">
        <v>6.1</v>
      </c>
      <c r="P1395">
        <v>200</v>
      </c>
      <c r="Q1395">
        <v>0</v>
      </c>
      <c r="R1395">
        <v>0</v>
      </c>
      <c r="S1395">
        <v>0</v>
      </c>
      <c r="T1395" t="s">
        <v>43</v>
      </c>
      <c r="V1395">
        <v>44</v>
      </c>
      <c r="W1395">
        <v>0</v>
      </c>
      <c r="X1395">
        <v>44</v>
      </c>
      <c r="Y1395">
        <v>1</v>
      </c>
      <c r="Z1395">
        <v>0</v>
      </c>
      <c r="AA1395">
        <v>1</v>
      </c>
      <c r="AB1395" t="s">
        <v>36</v>
      </c>
      <c r="AC1395">
        <v>44</v>
      </c>
    </row>
    <row r="1396" spans="1:30" x14ac:dyDescent="0.25">
      <c r="A1396" s="1">
        <v>44784.466053240743</v>
      </c>
      <c r="B1396" s="1">
        <v>44784.464953703704</v>
      </c>
      <c r="C1396">
        <v>12212</v>
      </c>
      <c r="D1396" t="s">
        <v>44</v>
      </c>
      <c r="E1396" t="s">
        <v>35</v>
      </c>
      <c r="F1396">
        <v>7</v>
      </c>
      <c r="G1396">
        <v>42.930529999999997</v>
      </c>
      <c r="H1396">
        <v>-72.272350000000003</v>
      </c>
      <c r="I1396">
        <v>476</v>
      </c>
      <c r="J1396">
        <v>88</v>
      </c>
      <c r="K1396">
        <v>0</v>
      </c>
      <c r="L1396" s="1">
        <v>44784.466006944444</v>
      </c>
      <c r="M1396">
        <v>4.2</v>
      </c>
      <c r="N1396">
        <v>3.6</v>
      </c>
      <c r="O1396">
        <v>0.6</v>
      </c>
      <c r="P1396">
        <v>15</v>
      </c>
      <c r="Q1396">
        <v>0.5</v>
      </c>
      <c r="R1396">
        <v>0.5</v>
      </c>
      <c r="S1396">
        <v>0.5</v>
      </c>
      <c r="T1396" t="s">
        <v>33</v>
      </c>
      <c r="U1396">
        <v>3.9</v>
      </c>
      <c r="V1396">
        <v>36</v>
      </c>
      <c r="W1396">
        <v>0</v>
      </c>
      <c r="X1396">
        <v>36</v>
      </c>
      <c r="Y1396">
        <v>6</v>
      </c>
      <c r="Z1396">
        <v>0</v>
      </c>
      <c r="AA1396">
        <v>6</v>
      </c>
      <c r="AB1396" t="s">
        <v>36</v>
      </c>
      <c r="AC1396">
        <v>36</v>
      </c>
      <c r="AD1396">
        <v>2.02</v>
      </c>
    </row>
    <row r="1397" spans="1:30" x14ac:dyDescent="0.25">
      <c r="A1397" s="1">
        <v>44784.466053240743</v>
      </c>
      <c r="B1397" s="1">
        <v>44769.376736111109</v>
      </c>
      <c r="C1397">
        <v>12178</v>
      </c>
      <c r="D1397" t="s">
        <v>45</v>
      </c>
      <c r="E1397" t="s">
        <v>35</v>
      </c>
      <c r="F1397">
        <v>7</v>
      </c>
      <c r="G1397">
        <v>42.899563000000001</v>
      </c>
      <c r="H1397">
        <v>-71.464650000000006</v>
      </c>
      <c r="I1397">
        <v>301</v>
      </c>
      <c r="J1397">
        <v>85</v>
      </c>
      <c r="K1397">
        <v>0</v>
      </c>
      <c r="L1397" s="1">
        <v>44784.466006944444</v>
      </c>
      <c r="M1397">
        <v>3.8</v>
      </c>
      <c r="N1397">
        <v>3.1</v>
      </c>
      <c r="O1397">
        <v>0.7</v>
      </c>
      <c r="P1397">
        <v>20</v>
      </c>
      <c r="Q1397">
        <v>0</v>
      </c>
      <c r="R1397">
        <v>0</v>
      </c>
      <c r="S1397">
        <v>0</v>
      </c>
      <c r="T1397" t="s">
        <v>32</v>
      </c>
      <c r="V1397">
        <v>35</v>
      </c>
      <c r="W1397">
        <v>0</v>
      </c>
      <c r="X1397">
        <v>35</v>
      </c>
      <c r="Y1397">
        <v>0</v>
      </c>
      <c r="Z1397">
        <v>0</v>
      </c>
      <c r="AA1397">
        <v>0</v>
      </c>
      <c r="AB1397" t="s">
        <v>36</v>
      </c>
      <c r="AC1397">
        <v>35</v>
      </c>
    </row>
    <row r="1398" spans="1:30" x14ac:dyDescent="0.25">
      <c r="A1398" s="1">
        <v>44784.466064814813</v>
      </c>
      <c r="B1398" s="1">
        <v>44784.465648148151</v>
      </c>
      <c r="C1398">
        <v>75981</v>
      </c>
      <c r="D1398" t="s">
        <v>46</v>
      </c>
      <c r="E1398" t="s">
        <v>35</v>
      </c>
      <c r="F1398">
        <v>7</v>
      </c>
      <c r="G1398">
        <v>42.97</v>
      </c>
      <c r="H1398">
        <v>-71.06</v>
      </c>
      <c r="I1398">
        <v>136</v>
      </c>
      <c r="J1398">
        <v>83</v>
      </c>
      <c r="K1398">
        <v>0</v>
      </c>
      <c r="L1398" s="1">
        <v>44784.466006944444</v>
      </c>
      <c r="M1398">
        <v>9.9</v>
      </c>
      <c r="N1398">
        <v>9</v>
      </c>
      <c r="O1398">
        <v>0.9</v>
      </c>
      <c r="P1398">
        <v>10</v>
      </c>
      <c r="Q1398">
        <v>0.3</v>
      </c>
      <c r="R1398">
        <v>0.1</v>
      </c>
      <c r="S1398">
        <v>0.2</v>
      </c>
      <c r="T1398" t="s">
        <v>33</v>
      </c>
      <c r="U1398">
        <v>9.4499999999999993</v>
      </c>
      <c r="V1398">
        <v>52</v>
      </c>
      <c r="W1398">
        <v>0</v>
      </c>
      <c r="X1398">
        <v>52</v>
      </c>
      <c r="Y1398">
        <v>1</v>
      </c>
      <c r="Z1398">
        <v>0</v>
      </c>
      <c r="AA1398">
        <v>1</v>
      </c>
      <c r="AB1398" t="s">
        <v>36</v>
      </c>
      <c r="AC1398">
        <v>52</v>
      </c>
      <c r="AD1398">
        <v>4.28</v>
      </c>
    </row>
    <row r="1399" spans="1:30" x14ac:dyDescent="0.25">
      <c r="A1399" s="1">
        <v>44784.466064814813</v>
      </c>
      <c r="B1399" s="1">
        <v>44784.464791666665</v>
      </c>
      <c r="C1399">
        <v>115703</v>
      </c>
      <c r="D1399" t="s">
        <v>47</v>
      </c>
      <c r="E1399" t="s">
        <v>35</v>
      </c>
      <c r="F1399">
        <v>7</v>
      </c>
      <c r="G1399">
        <v>43.953625000000002</v>
      </c>
      <c r="H1399">
        <v>-71.508859999999999</v>
      </c>
      <c r="I1399">
        <v>1493</v>
      </c>
      <c r="J1399">
        <v>77</v>
      </c>
      <c r="K1399">
        <v>0</v>
      </c>
      <c r="L1399" s="1">
        <v>44784.466006944444</v>
      </c>
      <c r="M1399">
        <v>0</v>
      </c>
      <c r="N1399">
        <v>300.89999999999998</v>
      </c>
      <c r="O1399">
        <v>300.89999999999998</v>
      </c>
      <c r="P1399">
        <v>200</v>
      </c>
      <c r="Q1399">
        <v>0.1</v>
      </c>
      <c r="R1399">
        <v>0</v>
      </c>
      <c r="S1399">
        <v>0.05</v>
      </c>
      <c r="T1399" t="s">
        <v>48</v>
      </c>
      <c r="V1399">
        <v>49</v>
      </c>
      <c r="W1399">
        <v>0</v>
      </c>
      <c r="X1399">
        <v>49</v>
      </c>
      <c r="Y1399">
        <v>0</v>
      </c>
      <c r="Z1399">
        <v>0</v>
      </c>
      <c r="AA1399">
        <v>0</v>
      </c>
      <c r="AB1399" t="s">
        <v>36</v>
      </c>
      <c r="AC1399">
        <v>49</v>
      </c>
    </row>
    <row r="1400" spans="1:30" x14ac:dyDescent="0.25">
      <c r="A1400" s="1">
        <v>44784.466064814813</v>
      </c>
      <c r="B1400" s="1">
        <v>44784.464201388888</v>
      </c>
      <c r="C1400">
        <v>12050</v>
      </c>
      <c r="D1400" t="s">
        <v>49</v>
      </c>
      <c r="E1400" t="s">
        <v>35</v>
      </c>
      <c r="F1400">
        <v>7</v>
      </c>
      <c r="G1400">
        <v>44.220573000000002</v>
      </c>
      <c r="H1400">
        <v>-71.732315</v>
      </c>
      <c r="I1400">
        <v>999</v>
      </c>
      <c r="J1400">
        <v>85</v>
      </c>
      <c r="K1400">
        <v>0</v>
      </c>
      <c r="L1400" s="1">
        <v>44784.466006944444</v>
      </c>
      <c r="M1400">
        <v>3.6</v>
      </c>
      <c r="N1400">
        <v>3.3</v>
      </c>
      <c r="O1400">
        <v>0.3</v>
      </c>
      <c r="P1400">
        <v>9</v>
      </c>
      <c r="Q1400">
        <v>0.1</v>
      </c>
      <c r="R1400">
        <v>0.1</v>
      </c>
      <c r="S1400">
        <v>0.1</v>
      </c>
      <c r="T1400" t="s">
        <v>33</v>
      </c>
      <c r="U1400">
        <v>3.45</v>
      </c>
      <c r="V1400">
        <v>41</v>
      </c>
      <c r="W1400">
        <v>0</v>
      </c>
      <c r="X1400">
        <v>41</v>
      </c>
      <c r="Y1400">
        <v>0</v>
      </c>
      <c r="Z1400">
        <v>0</v>
      </c>
      <c r="AA1400">
        <v>0</v>
      </c>
      <c r="AB1400" t="s">
        <v>36</v>
      </c>
      <c r="AC1400">
        <v>41</v>
      </c>
      <c r="AD1400">
        <v>1.39</v>
      </c>
    </row>
    <row r="1401" spans="1:30" x14ac:dyDescent="0.25">
      <c r="A1401" s="1">
        <v>44784.46607638889</v>
      </c>
      <c r="B1401" s="1">
        <v>44784.46570601852</v>
      </c>
      <c r="C1401">
        <v>23443</v>
      </c>
      <c r="D1401" t="s">
        <v>50</v>
      </c>
      <c r="E1401" t="s">
        <v>35</v>
      </c>
      <c r="F1401">
        <v>7</v>
      </c>
      <c r="G1401">
        <v>43.556139999999999</v>
      </c>
      <c r="H1401">
        <v>-72.370990000000006</v>
      </c>
      <c r="I1401">
        <v>523</v>
      </c>
      <c r="J1401">
        <v>93</v>
      </c>
      <c r="K1401">
        <v>0</v>
      </c>
      <c r="L1401" s="1">
        <v>44784.466006944444</v>
      </c>
      <c r="M1401">
        <v>4.4000000000000004</v>
      </c>
      <c r="N1401">
        <v>3.8</v>
      </c>
      <c r="O1401">
        <v>0.6</v>
      </c>
      <c r="P1401">
        <v>15</v>
      </c>
      <c r="Q1401">
        <v>0.2</v>
      </c>
      <c r="R1401">
        <v>0.1</v>
      </c>
      <c r="S1401">
        <v>0.15</v>
      </c>
      <c r="T1401" t="s">
        <v>33</v>
      </c>
      <c r="U1401">
        <v>4.0999999999999996</v>
      </c>
      <c r="V1401">
        <v>34</v>
      </c>
      <c r="W1401">
        <v>0</v>
      </c>
      <c r="X1401">
        <v>34</v>
      </c>
      <c r="Y1401">
        <v>3</v>
      </c>
      <c r="Z1401">
        <v>0</v>
      </c>
      <c r="AA1401">
        <v>3</v>
      </c>
      <c r="AB1401" t="s">
        <v>36</v>
      </c>
      <c r="AC1401">
        <v>34</v>
      </c>
      <c r="AD1401">
        <v>2.2799999999999998</v>
      </c>
    </row>
    <row r="1402" spans="1:30" x14ac:dyDescent="0.25">
      <c r="A1402" s="1">
        <v>44784.46607638889</v>
      </c>
      <c r="B1402" s="1">
        <v>44784.465810185182</v>
      </c>
      <c r="C1402">
        <v>58135</v>
      </c>
      <c r="D1402" t="s">
        <v>51</v>
      </c>
      <c r="E1402" t="s">
        <v>35</v>
      </c>
      <c r="F1402">
        <v>7</v>
      </c>
      <c r="G1402">
        <v>42.883873000000001</v>
      </c>
      <c r="H1402">
        <v>-71.972915999999998</v>
      </c>
      <c r="I1402">
        <v>808</v>
      </c>
      <c r="J1402">
        <v>69</v>
      </c>
      <c r="K1402">
        <v>0</v>
      </c>
      <c r="L1402" s="1">
        <v>44784.466006944444</v>
      </c>
      <c r="M1402">
        <v>3.1</v>
      </c>
      <c r="N1402">
        <v>2</v>
      </c>
      <c r="O1402">
        <v>1.1000000000000001</v>
      </c>
      <c r="P1402">
        <v>43</v>
      </c>
      <c r="Q1402">
        <v>0</v>
      </c>
      <c r="R1402">
        <v>0.1</v>
      </c>
      <c r="S1402">
        <v>0.05</v>
      </c>
      <c r="T1402" t="s">
        <v>33</v>
      </c>
      <c r="U1402">
        <v>2.5499999999999998</v>
      </c>
      <c r="V1402">
        <v>42</v>
      </c>
      <c r="W1402">
        <v>0</v>
      </c>
      <c r="X1402">
        <v>42</v>
      </c>
      <c r="Y1402">
        <v>1</v>
      </c>
      <c r="Z1402">
        <v>0</v>
      </c>
      <c r="AA1402">
        <v>1</v>
      </c>
      <c r="AB1402" t="s">
        <v>36</v>
      </c>
      <c r="AC1402">
        <v>42</v>
      </c>
      <c r="AD1402">
        <v>0.78</v>
      </c>
    </row>
    <row r="1403" spans="1:30" x14ac:dyDescent="0.25">
      <c r="A1403" s="1">
        <v>44784.466087962966</v>
      </c>
      <c r="B1403" s="1">
        <v>44784.464432870373</v>
      </c>
      <c r="C1403">
        <v>148555</v>
      </c>
      <c r="D1403" t="s">
        <v>52</v>
      </c>
      <c r="E1403" t="s">
        <v>53</v>
      </c>
      <c r="F1403">
        <v>7</v>
      </c>
      <c r="G1403">
        <v>42.904949999999999</v>
      </c>
      <c r="H1403">
        <v>-71.386764999999997</v>
      </c>
      <c r="I1403">
        <v>363</v>
      </c>
      <c r="J1403">
        <v>0</v>
      </c>
      <c r="K1403">
        <v>0</v>
      </c>
      <c r="L1403" s="1">
        <v>44784.466006944444</v>
      </c>
      <c r="M1403">
        <v>4.2</v>
      </c>
      <c r="N1403">
        <v>4.8</v>
      </c>
      <c r="O1403">
        <v>0.6</v>
      </c>
      <c r="P1403">
        <v>13</v>
      </c>
      <c r="Q1403">
        <v>0.3</v>
      </c>
      <c r="R1403">
        <v>0.3</v>
      </c>
      <c r="S1403">
        <v>0.3</v>
      </c>
      <c r="T1403" t="s">
        <v>33</v>
      </c>
      <c r="U1403">
        <v>4.5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 t="s">
        <v>38</v>
      </c>
    </row>
    <row r="1404" spans="1:30" x14ac:dyDescent="0.25">
      <c r="A1404" s="1">
        <v>44784.466087962966</v>
      </c>
      <c r="B1404" s="1">
        <v>44784.465324074074</v>
      </c>
      <c r="C1404">
        <v>146644</v>
      </c>
      <c r="D1404" t="s">
        <v>54</v>
      </c>
      <c r="E1404" t="s">
        <v>53</v>
      </c>
      <c r="F1404">
        <v>7</v>
      </c>
      <c r="G1404">
        <v>43.06015</v>
      </c>
      <c r="H1404">
        <v>-70.758930000000007</v>
      </c>
      <c r="I1404">
        <v>35</v>
      </c>
      <c r="J1404">
        <v>81</v>
      </c>
      <c r="K1404">
        <v>83</v>
      </c>
      <c r="L1404" s="1">
        <v>44784.466006944444</v>
      </c>
      <c r="M1404">
        <v>12.1</v>
      </c>
      <c r="N1404">
        <v>11.8</v>
      </c>
      <c r="O1404">
        <v>0.3</v>
      </c>
      <c r="P1404">
        <v>3</v>
      </c>
      <c r="Q1404">
        <v>0</v>
      </c>
      <c r="R1404">
        <v>0.2</v>
      </c>
      <c r="S1404">
        <v>0.1</v>
      </c>
      <c r="T1404" t="s">
        <v>33</v>
      </c>
      <c r="U1404">
        <v>11.95</v>
      </c>
      <c r="V1404">
        <v>51</v>
      </c>
      <c r="W1404">
        <v>56</v>
      </c>
      <c r="X1404">
        <v>5</v>
      </c>
      <c r="Y1404">
        <v>1</v>
      </c>
      <c r="Z1404">
        <v>1</v>
      </c>
      <c r="AA1404">
        <v>0</v>
      </c>
      <c r="AB1404" t="s">
        <v>33</v>
      </c>
      <c r="AC1404">
        <v>53.5</v>
      </c>
      <c r="AD1404">
        <v>5.7</v>
      </c>
    </row>
    <row r="1405" spans="1:30" x14ac:dyDescent="0.25">
      <c r="A1405" s="1">
        <v>44784.466087962966</v>
      </c>
      <c r="B1405" s="1">
        <v>43755.283437500002</v>
      </c>
      <c r="C1405">
        <v>12188</v>
      </c>
      <c r="D1405" t="s">
        <v>55</v>
      </c>
      <c r="E1405" t="s">
        <v>35</v>
      </c>
      <c r="F1405">
        <v>4.1100000000000003</v>
      </c>
      <c r="G1405">
        <v>42.927050000000001</v>
      </c>
      <c r="H1405">
        <v>-72.279610000000005</v>
      </c>
      <c r="I1405">
        <v>475</v>
      </c>
      <c r="J1405">
        <v>95</v>
      </c>
      <c r="K1405">
        <v>0</v>
      </c>
      <c r="L1405" s="1">
        <v>44784.466006944444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 t="s">
        <v>32</v>
      </c>
      <c r="V1405">
        <v>77</v>
      </c>
      <c r="W1405">
        <v>0</v>
      </c>
      <c r="X1405">
        <v>77</v>
      </c>
      <c r="Y1405">
        <v>0</v>
      </c>
      <c r="Z1405">
        <v>0</v>
      </c>
      <c r="AA1405">
        <v>0</v>
      </c>
      <c r="AB1405" t="s">
        <v>36</v>
      </c>
      <c r="AC1405">
        <v>77</v>
      </c>
    </row>
    <row r="1406" spans="1:30" x14ac:dyDescent="0.25">
      <c r="A1406" s="1">
        <v>44784.466099537036</v>
      </c>
      <c r="B1406" s="1">
        <v>44784.465694444443</v>
      </c>
      <c r="C1406">
        <v>1224</v>
      </c>
      <c r="D1406" t="s">
        <v>56</v>
      </c>
      <c r="E1406" t="s">
        <v>35</v>
      </c>
      <c r="F1406" t="s">
        <v>57</v>
      </c>
      <c r="G1406">
        <v>42.938034000000002</v>
      </c>
      <c r="H1406">
        <v>-72.259299999999996</v>
      </c>
      <c r="I1406">
        <v>792</v>
      </c>
      <c r="J1406">
        <v>84</v>
      </c>
      <c r="K1406">
        <v>0</v>
      </c>
      <c r="L1406" s="1">
        <v>44784.466006944444</v>
      </c>
      <c r="M1406">
        <v>4.5999999999999996</v>
      </c>
      <c r="N1406">
        <v>0</v>
      </c>
      <c r="O1406">
        <v>4.5999999999999996</v>
      </c>
      <c r="P1406">
        <v>200</v>
      </c>
      <c r="Q1406">
        <v>0.1</v>
      </c>
      <c r="R1406">
        <v>0</v>
      </c>
      <c r="S1406">
        <v>0.05</v>
      </c>
      <c r="T1406" t="s">
        <v>43</v>
      </c>
      <c r="V1406">
        <v>50</v>
      </c>
      <c r="W1406">
        <v>0</v>
      </c>
      <c r="X1406">
        <v>50</v>
      </c>
      <c r="Y1406">
        <v>1</v>
      </c>
      <c r="Z1406">
        <v>0</v>
      </c>
      <c r="AA1406">
        <v>1</v>
      </c>
      <c r="AB1406" t="s">
        <v>36</v>
      </c>
      <c r="AC1406">
        <v>50</v>
      </c>
    </row>
    <row r="1407" spans="1:30" x14ac:dyDescent="0.25">
      <c r="A1407" s="1">
        <v>44784.466099537036</v>
      </c>
      <c r="B1407" s="1">
        <v>44784.465150462966</v>
      </c>
      <c r="C1407">
        <v>1202</v>
      </c>
      <c r="D1407" t="s">
        <v>58</v>
      </c>
      <c r="E1407" t="s">
        <v>35</v>
      </c>
      <c r="F1407" t="s">
        <v>57</v>
      </c>
      <c r="G1407">
        <v>42.936554000000001</v>
      </c>
      <c r="H1407">
        <v>-72.271019999999993</v>
      </c>
      <c r="I1407">
        <v>488</v>
      </c>
      <c r="J1407">
        <v>0</v>
      </c>
      <c r="K1407">
        <v>0</v>
      </c>
      <c r="L1407" s="1">
        <v>44784.466006944444</v>
      </c>
      <c r="M1407">
        <v>4.7</v>
      </c>
      <c r="N1407">
        <v>4.3</v>
      </c>
      <c r="O1407">
        <v>0.4</v>
      </c>
      <c r="P1407">
        <v>9</v>
      </c>
      <c r="Q1407">
        <v>0.3</v>
      </c>
      <c r="R1407">
        <v>0.3</v>
      </c>
      <c r="S1407">
        <v>0.3</v>
      </c>
      <c r="T1407" t="s">
        <v>33</v>
      </c>
      <c r="U1407">
        <v>4.5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 t="s">
        <v>38</v>
      </c>
    </row>
    <row r="1408" spans="1:30" x14ac:dyDescent="0.25">
      <c r="A1408" s="1">
        <v>44784.466099537036</v>
      </c>
      <c r="B1408" s="1">
        <v>44612.080023148148</v>
      </c>
      <c r="C1408">
        <v>25985</v>
      </c>
      <c r="D1408" t="s">
        <v>59</v>
      </c>
      <c r="E1408" t="s">
        <v>35</v>
      </c>
      <c r="F1408">
        <v>6.01</v>
      </c>
      <c r="G1408">
        <v>42.927326000000001</v>
      </c>
      <c r="H1408">
        <v>-72.279979999999995</v>
      </c>
      <c r="I1408">
        <v>477</v>
      </c>
      <c r="J1408">
        <v>78</v>
      </c>
      <c r="K1408">
        <v>0</v>
      </c>
      <c r="L1408" s="1">
        <v>44784.466006944444</v>
      </c>
      <c r="M1408">
        <v>1.1000000000000001</v>
      </c>
      <c r="N1408">
        <v>1</v>
      </c>
      <c r="O1408">
        <v>0.1</v>
      </c>
      <c r="P1408">
        <v>10</v>
      </c>
      <c r="Q1408">
        <v>0</v>
      </c>
      <c r="R1408">
        <v>0</v>
      </c>
      <c r="S1408">
        <v>0</v>
      </c>
      <c r="T1408" t="s">
        <v>32</v>
      </c>
      <c r="V1408">
        <v>22</v>
      </c>
      <c r="W1408">
        <v>0</v>
      </c>
      <c r="X1408">
        <v>22</v>
      </c>
      <c r="Y1408">
        <v>0</v>
      </c>
      <c r="Z1408">
        <v>0</v>
      </c>
      <c r="AA1408">
        <v>0</v>
      </c>
      <c r="AB1408" t="s">
        <v>36</v>
      </c>
      <c r="AC1408">
        <v>22</v>
      </c>
    </row>
    <row r="1409" spans="1:30" x14ac:dyDescent="0.25">
      <c r="A1409" s="1">
        <v>44784.472962962966</v>
      </c>
      <c r="B1409" s="1">
        <v>44775.701319444444</v>
      </c>
      <c r="C1409">
        <v>151708</v>
      </c>
      <c r="D1409" t="s">
        <v>30</v>
      </c>
      <c r="E1409" t="s">
        <v>31</v>
      </c>
      <c r="F1409">
        <v>7</v>
      </c>
      <c r="G1409">
        <v>43.192042999999998</v>
      </c>
      <c r="H1409">
        <v>-71.541579999999996</v>
      </c>
      <c r="I1409">
        <v>291</v>
      </c>
      <c r="J1409">
        <v>93</v>
      </c>
      <c r="K1409">
        <v>94</v>
      </c>
      <c r="L1409" s="1">
        <v>44784.472951388889</v>
      </c>
      <c r="M1409">
        <v>7.9</v>
      </c>
      <c r="N1409">
        <v>7.6</v>
      </c>
      <c r="O1409">
        <v>0.3</v>
      </c>
      <c r="P1409">
        <v>4</v>
      </c>
      <c r="Q1409">
        <v>0</v>
      </c>
      <c r="R1409">
        <v>0</v>
      </c>
      <c r="S1409">
        <v>0</v>
      </c>
      <c r="T1409" t="s">
        <v>32</v>
      </c>
      <c r="V1409">
        <v>42</v>
      </c>
      <c r="W1409">
        <v>41</v>
      </c>
      <c r="X1409">
        <v>1</v>
      </c>
      <c r="Y1409">
        <v>0</v>
      </c>
      <c r="Z1409">
        <v>0</v>
      </c>
      <c r="AA1409">
        <v>0</v>
      </c>
      <c r="AB1409" t="s">
        <v>33</v>
      </c>
      <c r="AC1409">
        <v>41.5</v>
      </c>
    </row>
    <row r="1410" spans="1:30" x14ac:dyDescent="0.25">
      <c r="A1410" s="1">
        <v>44784.472962962966</v>
      </c>
      <c r="B1410" s="1">
        <v>44784.471296296295</v>
      </c>
      <c r="C1410">
        <v>143456</v>
      </c>
      <c r="D1410" t="s">
        <v>34</v>
      </c>
      <c r="E1410" t="s">
        <v>35</v>
      </c>
      <c r="F1410">
        <v>7</v>
      </c>
      <c r="G1410">
        <v>43.08963</v>
      </c>
      <c r="H1410">
        <v>-71.502440000000007</v>
      </c>
      <c r="I1410">
        <v>619</v>
      </c>
      <c r="J1410">
        <v>80</v>
      </c>
      <c r="K1410">
        <v>0</v>
      </c>
      <c r="L1410" s="1">
        <v>44784.472951388889</v>
      </c>
      <c r="M1410">
        <v>6.6</v>
      </c>
      <c r="N1410">
        <v>6.6</v>
      </c>
      <c r="O1410">
        <v>0</v>
      </c>
      <c r="P1410">
        <v>0</v>
      </c>
      <c r="Q1410">
        <v>0.3</v>
      </c>
      <c r="R1410">
        <v>0.3</v>
      </c>
      <c r="S1410">
        <v>0.3</v>
      </c>
      <c r="T1410" t="s">
        <v>33</v>
      </c>
      <c r="U1410">
        <v>6.6</v>
      </c>
      <c r="V1410">
        <v>58</v>
      </c>
      <c r="W1410">
        <v>0</v>
      </c>
      <c r="X1410">
        <v>58</v>
      </c>
      <c r="Y1410">
        <v>2</v>
      </c>
      <c r="Z1410">
        <v>0</v>
      </c>
      <c r="AA1410">
        <v>2</v>
      </c>
      <c r="AB1410" t="s">
        <v>36</v>
      </c>
      <c r="AC1410">
        <v>58</v>
      </c>
      <c r="AD1410">
        <v>2.13</v>
      </c>
    </row>
    <row r="1411" spans="1:30" x14ac:dyDescent="0.25">
      <c r="A1411" s="1">
        <v>44784.472974537035</v>
      </c>
      <c r="B1411" s="1">
        <v>44784.47146990741</v>
      </c>
      <c r="C1411">
        <v>151702</v>
      </c>
      <c r="D1411" t="s">
        <v>37</v>
      </c>
      <c r="E1411" t="s">
        <v>31</v>
      </c>
      <c r="F1411">
        <v>7</v>
      </c>
      <c r="G1411">
        <v>43.118609999999997</v>
      </c>
      <c r="H1411">
        <v>-71.61618</v>
      </c>
      <c r="I1411">
        <v>885</v>
      </c>
      <c r="J1411">
        <v>0</v>
      </c>
      <c r="K1411">
        <v>0</v>
      </c>
      <c r="L1411" s="1">
        <v>44784.472951388889</v>
      </c>
      <c r="M1411">
        <v>4.9000000000000004</v>
      </c>
      <c r="N1411">
        <v>4.8</v>
      </c>
      <c r="O1411">
        <v>0.1</v>
      </c>
      <c r="P1411">
        <v>2</v>
      </c>
      <c r="Q1411">
        <v>0.4</v>
      </c>
      <c r="R1411">
        <v>0.3</v>
      </c>
      <c r="S1411">
        <v>0.35</v>
      </c>
      <c r="T1411" t="s">
        <v>33</v>
      </c>
      <c r="U1411">
        <v>4.8499999999999996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 t="s">
        <v>38</v>
      </c>
    </row>
    <row r="1412" spans="1:30" x14ac:dyDescent="0.25">
      <c r="A1412" s="1">
        <v>44784.472974537035</v>
      </c>
      <c r="B1412" s="1">
        <v>44784.471365740741</v>
      </c>
      <c r="C1412">
        <v>151700</v>
      </c>
      <c r="D1412" t="s">
        <v>30</v>
      </c>
      <c r="E1412" t="s">
        <v>31</v>
      </c>
      <c r="F1412">
        <v>7</v>
      </c>
      <c r="G1412">
        <v>43.19211</v>
      </c>
      <c r="H1412">
        <v>-71.541460000000001</v>
      </c>
      <c r="I1412">
        <v>286</v>
      </c>
      <c r="J1412">
        <v>79</v>
      </c>
      <c r="K1412">
        <v>0</v>
      </c>
      <c r="L1412" s="1">
        <v>44784.472951388889</v>
      </c>
      <c r="M1412">
        <v>5.7</v>
      </c>
      <c r="N1412">
        <v>6.5</v>
      </c>
      <c r="O1412">
        <v>0.8</v>
      </c>
      <c r="P1412">
        <v>13</v>
      </c>
      <c r="Q1412">
        <v>0.1</v>
      </c>
      <c r="R1412">
        <v>0.1</v>
      </c>
      <c r="S1412">
        <v>0.1</v>
      </c>
      <c r="T1412" t="s">
        <v>33</v>
      </c>
      <c r="U1412">
        <v>6.1</v>
      </c>
      <c r="V1412">
        <v>57</v>
      </c>
      <c r="W1412">
        <v>0</v>
      </c>
      <c r="X1412">
        <v>57</v>
      </c>
      <c r="Y1412">
        <v>1</v>
      </c>
      <c r="Z1412">
        <v>0</v>
      </c>
      <c r="AA1412">
        <v>1</v>
      </c>
      <c r="AB1412" t="s">
        <v>36</v>
      </c>
      <c r="AC1412">
        <v>57</v>
      </c>
      <c r="AD1412">
        <v>1.89</v>
      </c>
    </row>
    <row r="1413" spans="1:30" x14ac:dyDescent="0.25">
      <c r="A1413" s="1">
        <v>44784.472974537035</v>
      </c>
      <c r="B1413" s="1">
        <v>44784.471782407411</v>
      </c>
      <c r="C1413">
        <v>135984</v>
      </c>
      <c r="D1413" t="s">
        <v>39</v>
      </c>
      <c r="E1413" t="s">
        <v>31</v>
      </c>
      <c r="F1413">
        <v>7</v>
      </c>
      <c r="G1413">
        <v>43.565852999999997</v>
      </c>
      <c r="H1413">
        <v>-71.496129999999994</v>
      </c>
      <c r="I1413">
        <v>708</v>
      </c>
      <c r="J1413">
        <v>88</v>
      </c>
      <c r="K1413">
        <v>0</v>
      </c>
      <c r="L1413" s="1">
        <v>44784.472951388889</v>
      </c>
      <c r="M1413">
        <v>3.8</v>
      </c>
      <c r="N1413">
        <v>3</v>
      </c>
      <c r="O1413">
        <v>0.8</v>
      </c>
      <c r="P1413">
        <v>24</v>
      </c>
      <c r="Q1413">
        <v>0.3</v>
      </c>
      <c r="R1413">
        <v>0.3</v>
      </c>
      <c r="S1413">
        <v>0.3</v>
      </c>
      <c r="T1413" t="s">
        <v>33</v>
      </c>
      <c r="U1413">
        <v>3.4</v>
      </c>
      <c r="V1413">
        <v>50</v>
      </c>
      <c r="W1413">
        <v>0</v>
      </c>
      <c r="X1413">
        <v>50</v>
      </c>
      <c r="Y1413">
        <v>4</v>
      </c>
      <c r="Z1413">
        <v>0</v>
      </c>
      <c r="AA1413">
        <v>4</v>
      </c>
      <c r="AB1413" t="s">
        <v>36</v>
      </c>
      <c r="AC1413">
        <v>50</v>
      </c>
      <c r="AD1413">
        <v>0.73</v>
      </c>
    </row>
    <row r="1414" spans="1:30" x14ac:dyDescent="0.25">
      <c r="A1414" s="1">
        <v>44784.472986111112</v>
      </c>
      <c r="B1414" s="1">
        <v>44780.394780092596</v>
      </c>
      <c r="C1414">
        <v>151712</v>
      </c>
      <c r="D1414" t="s">
        <v>40</v>
      </c>
      <c r="E1414" t="s">
        <v>31</v>
      </c>
      <c r="F1414">
        <v>7</v>
      </c>
      <c r="G1414">
        <v>43.289763999999998</v>
      </c>
      <c r="H1414">
        <v>-71.564260000000004</v>
      </c>
      <c r="I1414">
        <v>370</v>
      </c>
      <c r="J1414">
        <v>86</v>
      </c>
      <c r="K1414">
        <v>0</v>
      </c>
      <c r="L1414" s="1">
        <v>44784.472951388889</v>
      </c>
      <c r="M1414">
        <v>14</v>
      </c>
      <c r="N1414">
        <v>13.2</v>
      </c>
      <c r="O1414">
        <v>0.8</v>
      </c>
      <c r="P1414">
        <v>6</v>
      </c>
      <c r="Q1414">
        <v>0</v>
      </c>
      <c r="R1414">
        <v>0</v>
      </c>
      <c r="S1414">
        <v>0</v>
      </c>
      <c r="T1414" t="s">
        <v>32</v>
      </c>
      <c r="V1414">
        <v>59</v>
      </c>
      <c r="W1414">
        <v>0</v>
      </c>
      <c r="X1414">
        <v>59</v>
      </c>
      <c r="Y1414">
        <v>0</v>
      </c>
      <c r="Z1414">
        <v>0</v>
      </c>
      <c r="AA1414">
        <v>0</v>
      </c>
      <c r="AB1414" t="s">
        <v>36</v>
      </c>
      <c r="AC1414">
        <v>59</v>
      </c>
    </row>
    <row r="1415" spans="1:30" x14ac:dyDescent="0.25">
      <c r="A1415" s="1">
        <v>44784.472986111112</v>
      </c>
      <c r="B1415" s="1">
        <v>44784.471087962964</v>
      </c>
      <c r="C1415">
        <v>151710</v>
      </c>
      <c r="D1415" t="s">
        <v>41</v>
      </c>
      <c r="E1415" t="s">
        <v>31</v>
      </c>
      <c r="F1415">
        <v>7</v>
      </c>
      <c r="G1415">
        <v>43.132477000000002</v>
      </c>
      <c r="H1415">
        <v>-71.458374000000006</v>
      </c>
      <c r="I1415">
        <v>230</v>
      </c>
      <c r="J1415">
        <v>86</v>
      </c>
      <c r="K1415">
        <v>0</v>
      </c>
      <c r="L1415" s="1">
        <v>44784.472951388889</v>
      </c>
      <c r="M1415">
        <v>7.6</v>
      </c>
      <c r="N1415">
        <v>6.3</v>
      </c>
      <c r="O1415">
        <v>1.3</v>
      </c>
      <c r="P1415">
        <v>19</v>
      </c>
      <c r="Q1415">
        <v>0.1</v>
      </c>
      <c r="R1415">
        <v>0.1</v>
      </c>
      <c r="S1415">
        <v>0.1</v>
      </c>
      <c r="T1415" t="s">
        <v>33</v>
      </c>
      <c r="U1415">
        <v>6.95</v>
      </c>
      <c r="V1415">
        <v>46</v>
      </c>
      <c r="W1415">
        <v>0</v>
      </c>
      <c r="X1415">
        <v>46</v>
      </c>
      <c r="Y1415">
        <v>0</v>
      </c>
      <c r="Z1415">
        <v>0</v>
      </c>
      <c r="AA1415">
        <v>0</v>
      </c>
      <c r="AB1415" t="s">
        <v>36</v>
      </c>
      <c r="AC1415">
        <v>46</v>
      </c>
      <c r="AD1415">
        <v>3.18</v>
      </c>
    </row>
    <row r="1416" spans="1:30" x14ac:dyDescent="0.25">
      <c r="A1416" s="1">
        <v>44784.472986111112</v>
      </c>
      <c r="B1416" s="1">
        <v>44784.472141203703</v>
      </c>
      <c r="C1416">
        <v>151706</v>
      </c>
      <c r="D1416" t="s">
        <v>42</v>
      </c>
      <c r="E1416" t="s">
        <v>31</v>
      </c>
      <c r="F1416">
        <v>7</v>
      </c>
      <c r="G1416">
        <v>43.004080000000002</v>
      </c>
      <c r="H1416">
        <v>-71.177040000000005</v>
      </c>
      <c r="I1416">
        <v>194</v>
      </c>
      <c r="J1416">
        <v>87</v>
      </c>
      <c r="K1416">
        <v>0</v>
      </c>
      <c r="L1416" s="1">
        <v>44784.472951388889</v>
      </c>
      <c r="M1416">
        <v>5.9</v>
      </c>
      <c r="N1416">
        <v>0</v>
      </c>
      <c r="O1416">
        <v>5.9</v>
      </c>
      <c r="P1416">
        <v>200</v>
      </c>
      <c r="Q1416">
        <v>0.2</v>
      </c>
      <c r="R1416">
        <v>0</v>
      </c>
      <c r="S1416">
        <v>0.1</v>
      </c>
      <c r="T1416" t="s">
        <v>43</v>
      </c>
      <c r="V1416">
        <v>45</v>
      </c>
      <c r="W1416">
        <v>0</v>
      </c>
      <c r="X1416">
        <v>45</v>
      </c>
      <c r="Y1416">
        <v>1</v>
      </c>
      <c r="Z1416">
        <v>0</v>
      </c>
      <c r="AA1416">
        <v>1</v>
      </c>
      <c r="AB1416" t="s">
        <v>36</v>
      </c>
      <c r="AC1416">
        <v>45</v>
      </c>
    </row>
    <row r="1417" spans="1:30" x14ac:dyDescent="0.25">
      <c r="A1417" s="1">
        <v>44784.472997685189</v>
      </c>
      <c r="B1417" s="1">
        <v>44784.471898148149</v>
      </c>
      <c r="C1417">
        <v>12212</v>
      </c>
      <c r="D1417" t="s">
        <v>44</v>
      </c>
      <c r="E1417" t="s">
        <v>35</v>
      </c>
      <c r="F1417">
        <v>7</v>
      </c>
      <c r="G1417">
        <v>42.930529999999997</v>
      </c>
      <c r="H1417">
        <v>-72.272350000000003</v>
      </c>
      <c r="I1417">
        <v>476</v>
      </c>
      <c r="J1417">
        <v>88</v>
      </c>
      <c r="K1417">
        <v>0</v>
      </c>
      <c r="L1417" s="1">
        <v>44784.472951388889</v>
      </c>
      <c r="M1417">
        <v>4</v>
      </c>
      <c r="N1417">
        <v>3.4</v>
      </c>
      <c r="O1417">
        <v>0.6</v>
      </c>
      <c r="P1417">
        <v>16</v>
      </c>
      <c r="Q1417">
        <v>0.2</v>
      </c>
      <c r="R1417">
        <v>0.2</v>
      </c>
      <c r="S1417">
        <v>0.2</v>
      </c>
      <c r="T1417" t="s">
        <v>33</v>
      </c>
      <c r="U1417">
        <v>3.7</v>
      </c>
      <c r="V1417">
        <v>35</v>
      </c>
      <c r="W1417">
        <v>0</v>
      </c>
      <c r="X1417">
        <v>35</v>
      </c>
      <c r="Y1417">
        <v>1</v>
      </c>
      <c r="Z1417">
        <v>0</v>
      </c>
      <c r="AA1417">
        <v>1</v>
      </c>
      <c r="AB1417" t="s">
        <v>36</v>
      </c>
      <c r="AC1417">
        <v>35</v>
      </c>
      <c r="AD1417">
        <v>1.97</v>
      </c>
    </row>
    <row r="1418" spans="1:30" x14ac:dyDescent="0.25">
      <c r="A1418" s="1">
        <v>44784.472997685189</v>
      </c>
      <c r="B1418" s="1">
        <v>44769.376736111109</v>
      </c>
      <c r="C1418">
        <v>12178</v>
      </c>
      <c r="D1418" t="s">
        <v>45</v>
      </c>
      <c r="E1418" t="s">
        <v>35</v>
      </c>
      <c r="F1418">
        <v>7</v>
      </c>
      <c r="G1418">
        <v>42.899563000000001</v>
      </c>
      <c r="H1418">
        <v>-71.464650000000006</v>
      </c>
      <c r="I1418">
        <v>301</v>
      </c>
      <c r="J1418">
        <v>85</v>
      </c>
      <c r="K1418">
        <v>0</v>
      </c>
      <c r="L1418" s="1">
        <v>44784.472951388889</v>
      </c>
      <c r="M1418">
        <v>3.8</v>
      </c>
      <c r="N1418">
        <v>3.1</v>
      </c>
      <c r="O1418">
        <v>0.7</v>
      </c>
      <c r="P1418">
        <v>20</v>
      </c>
      <c r="Q1418">
        <v>0</v>
      </c>
      <c r="R1418">
        <v>0</v>
      </c>
      <c r="S1418">
        <v>0</v>
      </c>
      <c r="T1418" t="s">
        <v>32</v>
      </c>
      <c r="V1418">
        <v>35</v>
      </c>
      <c r="W1418">
        <v>0</v>
      </c>
      <c r="X1418">
        <v>35</v>
      </c>
      <c r="Y1418">
        <v>0</v>
      </c>
      <c r="Z1418">
        <v>0</v>
      </c>
      <c r="AA1418">
        <v>0</v>
      </c>
      <c r="AB1418" t="s">
        <v>36</v>
      </c>
      <c r="AC1418">
        <v>35</v>
      </c>
    </row>
    <row r="1419" spans="1:30" x14ac:dyDescent="0.25">
      <c r="A1419" s="1">
        <v>44784.472997685189</v>
      </c>
      <c r="B1419" s="1">
        <v>44784.471203703702</v>
      </c>
      <c r="C1419">
        <v>75981</v>
      </c>
      <c r="D1419" t="s">
        <v>46</v>
      </c>
      <c r="E1419" t="s">
        <v>35</v>
      </c>
      <c r="F1419">
        <v>7</v>
      </c>
      <c r="G1419">
        <v>42.97</v>
      </c>
      <c r="H1419">
        <v>-71.06</v>
      </c>
      <c r="I1419">
        <v>136</v>
      </c>
      <c r="J1419">
        <v>84</v>
      </c>
      <c r="K1419">
        <v>0</v>
      </c>
      <c r="L1419" s="1">
        <v>44784.472951388889</v>
      </c>
      <c r="M1419">
        <v>9.8000000000000007</v>
      </c>
      <c r="N1419">
        <v>9.1</v>
      </c>
      <c r="O1419">
        <v>0.7</v>
      </c>
      <c r="P1419">
        <v>7</v>
      </c>
      <c r="Q1419">
        <v>0.1</v>
      </c>
      <c r="R1419">
        <v>0.1</v>
      </c>
      <c r="S1419">
        <v>0.1</v>
      </c>
      <c r="T1419" t="s">
        <v>33</v>
      </c>
      <c r="U1419">
        <v>9.4499999999999993</v>
      </c>
      <c r="V1419">
        <v>52</v>
      </c>
      <c r="W1419">
        <v>0</v>
      </c>
      <c r="X1419">
        <v>52</v>
      </c>
      <c r="Y1419">
        <v>0</v>
      </c>
      <c r="Z1419">
        <v>0</v>
      </c>
      <c r="AA1419">
        <v>0</v>
      </c>
      <c r="AB1419" t="s">
        <v>36</v>
      </c>
      <c r="AC1419">
        <v>52</v>
      </c>
      <c r="AD1419">
        <v>4.28</v>
      </c>
    </row>
    <row r="1420" spans="1:30" x14ac:dyDescent="0.25">
      <c r="A1420" s="1">
        <v>44784.473009259258</v>
      </c>
      <c r="B1420" s="1">
        <v>44784.471736111111</v>
      </c>
      <c r="C1420">
        <v>115703</v>
      </c>
      <c r="D1420" t="s">
        <v>47</v>
      </c>
      <c r="E1420" t="s">
        <v>35</v>
      </c>
      <c r="F1420">
        <v>7</v>
      </c>
      <c r="G1420">
        <v>43.953625000000002</v>
      </c>
      <c r="H1420">
        <v>-71.508859999999999</v>
      </c>
      <c r="I1420">
        <v>1493</v>
      </c>
      <c r="J1420">
        <v>78</v>
      </c>
      <c r="K1420">
        <v>0</v>
      </c>
      <c r="L1420" s="1">
        <v>44784.472951388889</v>
      </c>
      <c r="M1420">
        <v>0</v>
      </c>
      <c r="N1420">
        <v>300.89999999999998</v>
      </c>
      <c r="O1420">
        <v>300.89999999999998</v>
      </c>
      <c r="P1420">
        <v>200</v>
      </c>
      <c r="Q1420">
        <v>0</v>
      </c>
      <c r="R1420">
        <v>0</v>
      </c>
      <c r="S1420">
        <v>0</v>
      </c>
      <c r="T1420" t="s">
        <v>48</v>
      </c>
      <c r="V1420">
        <v>48</v>
      </c>
      <c r="W1420">
        <v>0</v>
      </c>
      <c r="X1420">
        <v>48</v>
      </c>
      <c r="Y1420">
        <v>1</v>
      </c>
      <c r="Z1420">
        <v>0</v>
      </c>
      <c r="AA1420">
        <v>1</v>
      </c>
      <c r="AB1420" t="s">
        <v>36</v>
      </c>
      <c r="AC1420">
        <v>48</v>
      </c>
    </row>
    <row r="1421" spans="1:30" x14ac:dyDescent="0.25">
      <c r="A1421" s="1">
        <v>44784.473009259258</v>
      </c>
      <c r="B1421" s="1">
        <v>44784.471145833333</v>
      </c>
      <c r="C1421">
        <v>12050</v>
      </c>
      <c r="D1421" t="s">
        <v>49</v>
      </c>
      <c r="E1421" t="s">
        <v>35</v>
      </c>
      <c r="F1421">
        <v>7</v>
      </c>
      <c r="G1421">
        <v>44.220573000000002</v>
      </c>
      <c r="H1421">
        <v>-71.732315</v>
      </c>
      <c r="I1421">
        <v>999</v>
      </c>
      <c r="J1421">
        <v>84</v>
      </c>
      <c r="K1421">
        <v>0</v>
      </c>
      <c r="L1421" s="1">
        <v>44784.472951388889</v>
      </c>
      <c r="M1421">
        <v>3.7</v>
      </c>
      <c r="N1421">
        <v>3.3</v>
      </c>
      <c r="O1421">
        <v>0.4</v>
      </c>
      <c r="P1421">
        <v>11</v>
      </c>
      <c r="Q1421">
        <v>0.1</v>
      </c>
      <c r="R1421">
        <v>0</v>
      </c>
      <c r="S1421">
        <v>0.05</v>
      </c>
      <c r="T1421" t="s">
        <v>33</v>
      </c>
      <c r="U1421">
        <v>3.5</v>
      </c>
      <c r="V1421">
        <v>42</v>
      </c>
      <c r="W1421">
        <v>0</v>
      </c>
      <c r="X1421">
        <v>42</v>
      </c>
      <c r="Y1421">
        <v>1</v>
      </c>
      <c r="Z1421">
        <v>0</v>
      </c>
      <c r="AA1421">
        <v>1</v>
      </c>
      <c r="AB1421" t="s">
        <v>36</v>
      </c>
      <c r="AC1421">
        <v>42</v>
      </c>
      <c r="AD1421">
        <v>1.35</v>
      </c>
    </row>
    <row r="1422" spans="1:30" x14ac:dyDescent="0.25">
      <c r="A1422" s="1">
        <v>44784.473009259258</v>
      </c>
      <c r="B1422" s="1">
        <v>44784.471261574072</v>
      </c>
      <c r="C1422">
        <v>23443</v>
      </c>
      <c r="D1422" t="s">
        <v>50</v>
      </c>
      <c r="E1422" t="s">
        <v>35</v>
      </c>
      <c r="F1422">
        <v>7</v>
      </c>
      <c r="G1422">
        <v>43.556139999999999</v>
      </c>
      <c r="H1422">
        <v>-72.370990000000006</v>
      </c>
      <c r="I1422">
        <v>523</v>
      </c>
      <c r="J1422">
        <v>92</v>
      </c>
      <c r="K1422">
        <v>0</v>
      </c>
      <c r="L1422" s="1">
        <v>44784.472951388889</v>
      </c>
      <c r="M1422">
        <v>4.0999999999999996</v>
      </c>
      <c r="N1422">
        <v>3.5</v>
      </c>
      <c r="O1422">
        <v>0.6</v>
      </c>
      <c r="P1422">
        <v>16</v>
      </c>
      <c r="Q1422">
        <v>0.3</v>
      </c>
      <c r="R1422">
        <v>0.3</v>
      </c>
      <c r="S1422">
        <v>0.3</v>
      </c>
      <c r="T1422" t="s">
        <v>33</v>
      </c>
      <c r="U1422">
        <v>3.8</v>
      </c>
      <c r="V1422">
        <v>32</v>
      </c>
      <c r="W1422">
        <v>0</v>
      </c>
      <c r="X1422">
        <v>32</v>
      </c>
      <c r="Y1422">
        <v>2</v>
      </c>
      <c r="Z1422">
        <v>0</v>
      </c>
      <c r="AA1422">
        <v>2</v>
      </c>
      <c r="AB1422" t="s">
        <v>36</v>
      </c>
      <c r="AC1422">
        <v>32</v>
      </c>
      <c r="AD1422">
        <v>2.2400000000000002</v>
      </c>
    </row>
    <row r="1423" spans="1:30" x14ac:dyDescent="0.25">
      <c r="A1423" s="1">
        <v>44784.473020833335</v>
      </c>
      <c r="B1423" s="1">
        <v>44784.471342592595</v>
      </c>
      <c r="C1423">
        <v>58135</v>
      </c>
      <c r="D1423" t="s">
        <v>51</v>
      </c>
      <c r="E1423" t="s">
        <v>35</v>
      </c>
      <c r="F1423">
        <v>7</v>
      </c>
      <c r="G1423">
        <v>42.883873000000001</v>
      </c>
      <c r="H1423">
        <v>-71.972915999999998</v>
      </c>
      <c r="I1423">
        <v>808</v>
      </c>
      <c r="J1423">
        <v>85</v>
      </c>
      <c r="K1423">
        <v>0</v>
      </c>
      <c r="L1423" s="1">
        <v>44784.472951388889</v>
      </c>
      <c r="M1423">
        <v>3</v>
      </c>
      <c r="N1423">
        <v>1.9</v>
      </c>
      <c r="O1423">
        <v>1.1000000000000001</v>
      </c>
      <c r="P1423">
        <v>45</v>
      </c>
      <c r="Q1423">
        <v>0.1</v>
      </c>
      <c r="R1423">
        <v>0.1</v>
      </c>
      <c r="S1423">
        <v>0.1</v>
      </c>
      <c r="T1423" t="s">
        <v>33</v>
      </c>
      <c r="U1423">
        <v>2.4500000000000002</v>
      </c>
      <c r="V1423">
        <v>43</v>
      </c>
      <c r="W1423">
        <v>0</v>
      </c>
      <c r="X1423">
        <v>43</v>
      </c>
      <c r="Y1423">
        <v>1</v>
      </c>
      <c r="Z1423">
        <v>0</v>
      </c>
      <c r="AA1423">
        <v>1</v>
      </c>
      <c r="AB1423" t="s">
        <v>36</v>
      </c>
      <c r="AC1423">
        <v>43</v>
      </c>
      <c r="AD1423">
        <v>0.64</v>
      </c>
    </row>
    <row r="1424" spans="1:30" x14ac:dyDescent="0.25">
      <c r="A1424" s="1">
        <v>44784.473020833335</v>
      </c>
      <c r="B1424" s="1">
        <v>44784.471388888887</v>
      </c>
      <c r="C1424">
        <v>148555</v>
      </c>
      <c r="D1424" t="s">
        <v>52</v>
      </c>
      <c r="E1424" t="s">
        <v>53</v>
      </c>
      <c r="F1424">
        <v>7</v>
      </c>
      <c r="G1424">
        <v>42.904949999999999</v>
      </c>
      <c r="H1424">
        <v>-71.386764999999997</v>
      </c>
      <c r="I1424">
        <v>363</v>
      </c>
      <c r="J1424">
        <v>0</v>
      </c>
      <c r="K1424">
        <v>0</v>
      </c>
      <c r="L1424" s="1">
        <v>44784.472951388889</v>
      </c>
      <c r="M1424">
        <v>4</v>
      </c>
      <c r="N1424">
        <v>4.5999999999999996</v>
      </c>
      <c r="O1424">
        <v>0.6</v>
      </c>
      <c r="P1424">
        <v>14</v>
      </c>
      <c r="Q1424">
        <v>0.2</v>
      </c>
      <c r="R1424">
        <v>0.2</v>
      </c>
      <c r="S1424">
        <v>0.2</v>
      </c>
      <c r="T1424" t="s">
        <v>33</v>
      </c>
      <c r="U1424">
        <v>4.3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 t="s">
        <v>38</v>
      </c>
    </row>
    <row r="1425" spans="1:30" x14ac:dyDescent="0.25">
      <c r="A1425" s="1">
        <v>44784.473020833335</v>
      </c>
      <c r="B1425" s="1">
        <v>44784.472268518519</v>
      </c>
      <c r="C1425">
        <v>146644</v>
      </c>
      <c r="D1425" t="s">
        <v>54</v>
      </c>
      <c r="E1425" t="s">
        <v>53</v>
      </c>
      <c r="F1425">
        <v>7</v>
      </c>
      <c r="G1425">
        <v>43.06015</v>
      </c>
      <c r="H1425">
        <v>-70.758930000000007</v>
      </c>
      <c r="I1425">
        <v>35</v>
      </c>
      <c r="J1425">
        <v>83</v>
      </c>
      <c r="K1425">
        <v>85</v>
      </c>
      <c r="L1425" s="1">
        <v>44784.472951388889</v>
      </c>
      <c r="M1425">
        <v>12.7</v>
      </c>
      <c r="N1425">
        <v>12.1</v>
      </c>
      <c r="O1425">
        <v>0.6</v>
      </c>
      <c r="P1425">
        <v>5</v>
      </c>
      <c r="Q1425">
        <v>0.6</v>
      </c>
      <c r="R1425">
        <v>0.3</v>
      </c>
      <c r="S1425">
        <v>0.44999999999999901</v>
      </c>
      <c r="T1425" t="s">
        <v>33</v>
      </c>
      <c r="U1425">
        <v>12.4</v>
      </c>
      <c r="V1425">
        <v>47</v>
      </c>
      <c r="W1425">
        <v>53</v>
      </c>
      <c r="X1425">
        <v>6</v>
      </c>
      <c r="Y1425">
        <v>4</v>
      </c>
      <c r="Z1425">
        <v>3</v>
      </c>
      <c r="AA1425">
        <v>1</v>
      </c>
      <c r="AB1425" t="s">
        <v>33</v>
      </c>
      <c r="AC1425">
        <v>50</v>
      </c>
      <c r="AD1425">
        <v>6.22</v>
      </c>
    </row>
    <row r="1426" spans="1:30" x14ac:dyDescent="0.25">
      <c r="A1426" s="1">
        <v>44784.473020833335</v>
      </c>
      <c r="B1426" s="1">
        <v>43755.283437500002</v>
      </c>
      <c r="C1426">
        <v>12188</v>
      </c>
      <c r="D1426" t="s">
        <v>55</v>
      </c>
      <c r="E1426" t="s">
        <v>35</v>
      </c>
      <c r="F1426">
        <v>4.1100000000000003</v>
      </c>
      <c r="G1426">
        <v>42.927050000000001</v>
      </c>
      <c r="H1426">
        <v>-72.279610000000005</v>
      </c>
      <c r="I1426">
        <v>475</v>
      </c>
      <c r="J1426">
        <v>95</v>
      </c>
      <c r="K1426">
        <v>0</v>
      </c>
      <c r="L1426" s="1">
        <v>44784.472951388889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 t="s">
        <v>32</v>
      </c>
      <c r="V1426">
        <v>77</v>
      </c>
      <c r="W1426">
        <v>0</v>
      </c>
      <c r="X1426">
        <v>77</v>
      </c>
      <c r="Y1426">
        <v>0</v>
      </c>
      <c r="Z1426">
        <v>0</v>
      </c>
      <c r="AA1426">
        <v>0</v>
      </c>
      <c r="AB1426" t="s">
        <v>36</v>
      </c>
      <c r="AC1426">
        <v>77</v>
      </c>
    </row>
    <row r="1427" spans="1:30" x14ac:dyDescent="0.25">
      <c r="A1427" s="1">
        <v>44784.473032407404</v>
      </c>
      <c r="B1427" s="1">
        <v>44784.471250000002</v>
      </c>
      <c r="C1427">
        <v>1224</v>
      </c>
      <c r="D1427" t="s">
        <v>56</v>
      </c>
      <c r="E1427" t="s">
        <v>35</v>
      </c>
      <c r="F1427" t="s">
        <v>57</v>
      </c>
      <c r="G1427">
        <v>42.938034000000002</v>
      </c>
      <c r="H1427">
        <v>-72.259299999999996</v>
      </c>
      <c r="I1427">
        <v>792</v>
      </c>
      <c r="J1427">
        <v>87</v>
      </c>
      <c r="K1427">
        <v>0</v>
      </c>
      <c r="L1427" s="1">
        <v>44784.472951388889</v>
      </c>
      <c r="M1427">
        <v>4.3</v>
      </c>
      <c r="N1427">
        <v>0</v>
      </c>
      <c r="O1427">
        <v>4.3</v>
      </c>
      <c r="P1427">
        <v>200</v>
      </c>
      <c r="Q1427">
        <v>0.3</v>
      </c>
      <c r="R1427">
        <v>0</v>
      </c>
      <c r="S1427">
        <v>0.15</v>
      </c>
      <c r="T1427" t="s">
        <v>43</v>
      </c>
      <c r="V1427">
        <v>46</v>
      </c>
      <c r="W1427">
        <v>0</v>
      </c>
      <c r="X1427">
        <v>46</v>
      </c>
      <c r="Y1427">
        <v>4</v>
      </c>
      <c r="Z1427">
        <v>0</v>
      </c>
      <c r="AA1427">
        <v>4</v>
      </c>
      <c r="AB1427" t="s">
        <v>36</v>
      </c>
      <c r="AC1427">
        <v>46</v>
      </c>
    </row>
    <row r="1428" spans="1:30" x14ac:dyDescent="0.25">
      <c r="A1428" s="1">
        <v>44784.473032407404</v>
      </c>
      <c r="B1428" s="1">
        <v>44784.472094907411</v>
      </c>
      <c r="C1428">
        <v>1202</v>
      </c>
      <c r="D1428" t="s">
        <v>58</v>
      </c>
      <c r="E1428" t="s">
        <v>35</v>
      </c>
      <c r="F1428" t="s">
        <v>57</v>
      </c>
      <c r="G1428">
        <v>42.936554000000001</v>
      </c>
      <c r="H1428">
        <v>-72.271019999999993</v>
      </c>
      <c r="I1428">
        <v>488</v>
      </c>
      <c r="J1428">
        <v>0</v>
      </c>
      <c r="K1428">
        <v>0</v>
      </c>
      <c r="L1428" s="1">
        <v>44784.472951388889</v>
      </c>
      <c r="M1428">
        <v>4.4000000000000004</v>
      </c>
      <c r="N1428">
        <v>3.8</v>
      </c>
      <c r="O1428">
        <v>0.6</v>
      </c>
      <c r="P1428">
        <v>15</v>
      </c>
      <c r="Q1428">
        <v>0.3</v>
      </c>
      <c r="R1428">
        <v>0.5</v>
      </c>
      <c r="S1428">
        <v>0.4</v>
      </c>
      <c r="T1428" t="s">
        <v>33</v>
      </c>
      <c r="U1428">
        <v>4.0999999999999996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 t="s">
        <v>38</v>
      </c>
    </row>
    <row r="1429" spans="1:30" x14ac:dyDescent="0.25">
      <c r="A1429" s="1">
        <v>44784.473032407404</v>
      </c>
      <c r="B1429" s="1">
        <v>44612.080023148148</v>
      </c>
      <c r="C1429">
        <v>25985</v>
      </c>
      <c r="D1429" t="s">
        <v>59</v>
      </c>
      <c r="E1429" t="s">
        <v>35</v>
      </c>
      <c r="F1429">
        <v>6.01</v>
      </c>
      <c r="G1429">
        <v>42.927326000000001</v>
      </c>
      <c r="H1429">
        <v>-72.279979999999995</v>
      </c>
      <c r="I1429">
        <v>477</v>
      </c>
      <c r="J1429">
        <v>78</v>
      </c>
      <c r="K1429">
        <v>0</v>
      </c>
      <c r="L1429" s="1">
        <v>44784.472951388889</v>
      </c>
      <c r="M1429">
        <v>1.1000000000000001</v>
      </c>
      <c r="N1429">
        <v>1</v>
      </c>
      <c r="O1429">
        <v>0.1</v>
      </c>
      <c r="P1429">
        <v>10</v>
      </c>
      <c r="Q1429">
        <v>0</v>
      </c>
      <c r="R1429">
        <v>0</v>
      </c>
      <c r="S1429">
        <v>0</v>
      </c>
      <c r="T1429" t="s">
        <v>32</v>
      </c>
      <c r="V1429">
        <v>22</v>
      </c>
      <c r="W1429">
        <v>0</v>
      </c>
      <c r="X1429">
        <v>22</v>
      </c>
      <c r="Y1429">
        <v>0</v>
      </c>
      <c r="Z1429">
        <v>0</v>
      </c>
      <c r="AA1429">
        <v>0</v>
      </c>
      <c r="AB1429" t="s">
        <v>36</v>
      </c>
      <c r="AC1429">
        <v>22</v>
      </c>
    </row>
    <row r="1430" spans="1:30" x14ac:dyDescent="0.25">
      <c r="A1430" s="1">
        <v>44784.479907407411</v>
      </c>
      <c r="B1430" s="1">
        <v>44775.701319444444</v>
      </c>
      <c r="C1430">
        <v>151708</v>
      </c>
      <c r="D1430" t="s">
        <v>30</v>
      </c>
      <c r="E1430" t="s">
        <v>31</v>
      </c>
      <c r="F1430">
        <v>7</v>
      </c>
      <c r="G1430">
        <v>43.192042999999998</v>
      </c>
      <c r="H1430">
        <v>-71.541579999999996</v>
      </c>
      <c r="I1430">
        <v>291</v>
      </c>
      <c r="J1430">
        <v>93</v>
      </c>
      <c r="K1430">
        <v>94</v>
      </c>
      <c r="L1430" s="1">
        <v>44784.479895833334</v>
      </c>
      <c r="M1430">
        <v>7.9</v>
      </c>
      <c r="N1430">
        <v>7.6</v>
      </c>
      <c r="O1430">
        <v>0.3</v>
      </c>
      <c r="P1430">
        <v>4</v>
      </c>
      <c r="Q1430">
        <v>0</v>
      </c>
      <c r="R1430">
        <v>0</v>
      </c>
      <c r="S1430">
        <v>0</v>
      </c>
      <c r="T1430" t="s">
        <v>32</v>
      </c>
      <c r="V1430">
        <v>42</v>
      </c>
      <c r="W1430">
        <v>41</v>
      </c>
      <c r="X1430">
        <v>1</v>
      </c>
      <c r="Y1430">
        <v>0</v>
      </c>
      <c r="Z1430">
        <v>0</v>
      </c>
      <c r="AA1430">
        <v>0</v>
      </c>
      <c r="AB1430" t="s">
        <v>33</v>
      </c>
      <c r="AC1430">
        <v>41.5</v>
      </c>
    </row>
    <row r="1431" spans="1:30" x14ac:dyDescent="0.25">
      <c r="A1431" s="1">
        <v>44784.47991898148</v>
      </c>
      <c r="B1431" s="1">
        <v>44784.478252314817</v>
      </c>
      <c r="C1431">
        <v>143456</v>
      </c>
      <c r="D1431" t="s">
        <v>34</v>
      </c>
      <c r="E1431" t="s">
        <v>35</v>
      </c>
      <c r="F1431">
        <v>7</v>
      </c>
      <c r="G1431">
        <v>43.08963</v>
      </c>
      <c r="H1431">
        <v>-71.502440000000007</v>
      </c>
      <c r="I1431">
        <v>619</v>
      </c>
      <c r="J1431">
        <v>81</v>
      </c>
      <c r="K1431">
        <v>0</v>
      </c>
      <c r="L1431" s="1">
        <v>44784.479895833334</v>
      </c>
      <c r="M1431">
        <v>6.4</v>
      </c>
      <c r="N1431">
        <v>6.5</v>
      </c>
      <c r="O1431">
        <v>0.1</v>
      </c>
      <c r="P1431">
        <v>2</v>
      </c>
      <c r="Q1431">
        <v>0.2</v>
      </c>
      <c r="R1431">
        <v>0.1</v>
      </c>
      <c r="S1431">
        <v>0.15</v>
      </c>
      <c r="T1431" t="s">
        <v>33</v>
      </c>
      <c r="U1431">
        <v>6.45</v>
      </c>
      <c r="V1431">
        <v>55</v>
      </c>
      <c r="W1431">
        <v>0</v>
      </c>
      <c r="X1431">
        <v>55</v>
      </c>
      <c r="Y1431">
        <v>3</v>
      </c>
      <c r="Z1431">
        <v>0</v>
      </c>
      <c r="AA1431">
        <v>3</v>
      </c>
      <c r="AB1431" t="s">
        <v>36</v>
      </c>
      <c r="AC1431">
        <v>55</v>
      </c>
      <c r="AD1431">
        <v>2.2400000000000002</v>
      </c>
    </row>
    <row r="1432" spans="1:30" x14ac:dyDescent="0.25">
      <c r="A1432" s="1">
        <v>44784.47991898148</v>
      </c>
      <c r="B1432" s="1">
        <v>44784.478414351855</v>
      </c>
      <c r="C1432">
        <v>151702</v>
      </c>
      <c r="D1432" t="s">
        <v>37</v>
      </c>
      <c r="E1432" t="s">
        <v>31</v>
      </c>
      <c r="F1432">
        <v>7</v>
      </c>
      <c r="G1432">
        <v>43.118609999999997</v>
      </c>
      <c r="H1432">
        <v>-71.61618</v>
      </c>
      <c r="I1432">
        <v>885</v>
      </c>
      <c r="J1432">
        <v>0</v>
      </c>
      <c r="K1432">
        <v>0</v>
      </c>
      <c r="L1432" s="1">
        <v>44784.479895833334</v>
      </c>
      <c r="M1432">
        <v>4.5999999999999996</v>
      </c>
      <c r="N1432">
        <v>4.5999999999999996</v>
      </c>
      <c r="O1432">
        <v>0</v>
      </c>
      <c r="P1432">
        <v>0</v>
      </c>
      <c r="Q1432">
        <v>0.3</v>
      </c>
      <c r="R1432">
        <v>0.2</v>
      </c>
      <c r="S1432">
        <v>0.25</v>
      </c>
      <c r="T1432" t="s">
        <v>33</v>
      </c>
      <c r="U1432">
        <v>4.5999999999999996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 t="s">
        <v>38</v>
      </c>
    </row>
    <row r="1433" spans="1:30" x14ac:dyDescent="0.25">
      <c r="A1433" s="1">
        <v>44784.47991898148</v>
      </c>
      <c r="B1433" s="1">
        <v>44784.478310185186</v>
      </c>
      <c r="C1433">
        <v>151700</v>
      </c>
      <c r="D1433" t="s">
        <v>30</v>
      </c>
      <c r="E1433" t="s">
        <v>31</v>
      </c>
      <c r="F1433">
        <v>7</v>
      </c>
      <c r="G1433">
        <v>43.19211</v>
      </c>
      <c r="H1433">
        <v>-71.541460000000001</v>
      </c>
      <c r="I1433">
        <v>286</v>
      </c>
      <c r="J1433">
        <v>80</v>
      </c>
      <c r="K1433">
        <v>0</v>
      </c>
      <c r="L1433" s="1">
        <v>44784.479895833334</v>
      </c>
      <c r="M1433">
        <v>5.8</v>
      </c>
      <c r="N1433">
        <v>6.5</v>
      </c>
      <c r="O1433">
        <v>0.7</v>
      </c>
      <c r="P1433">
        <v>11</v>
      </c>
      <c r="Q1433">
        <v>0.1</v>
      </c>
      <c r="R1433">
        <v>0</v>
      </c>
      <c r="S1433">
        <v>0.05</v>
      </c>
      <c r="T1433" t="s">
        <v>33</v>
      </c>
      <c r="U1433">
        <v>6.15</v>
      </c>
      <c r="V1433">
        <v>56</v>
      </c>
      <c r="W1433">
        <v>0</v>
      </c>
      <c r="X1433">
        <v>56</v>
      </c>
      <c r="Y1433">
        <v>1</v>
      </c>
      <c r="Z1433">
        <v>0</v>
      </c>
      <c r="AA1433">
        <v>1</v>
      </c>
      <c r="AB1433" t="s">
        <v>36</v>
      </c>
      <c r="AC1433">
        <v>56</v>
      </c>
      <c r="AD1433">
        <v>1.99</v>
      </c>
    </row>
    <row r="1434" spans="1:30" x14ac:dyDescent="0.25">
      <c r="A1434" s="1">
        <v>44784.47991898148</v>
      </c>
      <c r="B1434" s="1">
        <v>44784.478726851848</v>
      </c>
      <c r="C1434">
        <v>135984</v>
      </c>
      <c r="D1434" t="s">
        <v>39</v>
      </c>
      <c r="E1434" t="s">
        <v>31</v>
      </c>
      <c r="F1434">
        <v>7</v>
      </c>
      <c r="G1434">
        <v>43.565852999999997</v>
      </c>
      <c r="H1434">
        <v>-71.496129999999994</v>
      </c>
      <c r="I1434">
        <v>708</v>
      </c>
      <c r="J1434">
        <v>88</v>
      </c>
      <c r="K1434">
        <v>0</v>
      </c>
      <c r="L1434" s="1">
        <v>44784.479895833334</v>
      </c>
      <c r="M1434">
        <v>3.5</v>
      </c>
      <c r="N1434">
        <v>2.5</v>
      </c>
      <c r="O1434">
        <v>1</v>
      </c>
      <c r="P1434">
        <v>33</v>
      </c>
      <c r="Q1434">
        <v>0.3</v>
      </c>
      <c r="R1434">
        <v>0.5</v>
      </c>
      <c r="S1434">
        <v>0.4</v>
      </c>
      <c r="T1434" t="s">
        <v>33</v>
      </c>
      <c r="U1434">
        <v>3</v>
      </c>
      <c r="V1434">
        <v>51</v>
      </c>
      <c r="W1434">
        <v>0</v>
      </c>
      <c r="X1434">
        <v>51</v>
      </c>
      <c r="Y1434">
        <v>1</v>
      </c>
      <c r="Z1434">
        <v>0</v>
      </c>
      <c r="AA1434">
        <v>1</v>
      </c>
      <c r="AB1434" t="s">
        <v>36</v>
      </c>
      <c r="AC1434">
        <v>51</v>
      </c>
      <c r="AD1434">
        <v>0.42</v>
      </c>
    </row>
    <row r="1435" spans="1:30" x14ac:dyDescent="0.25">
      <c r="A1435" s="1">
        <v>44784.479930555557</v>
      </c>
      <c r="B1435" s="1">
        <v>44780.394780092596</v>
      </c>
      <c r="C1435">
        <v>151712</v>
      </c>
      <c r="D1435" t="s">
        <v>40</v>
      </c>
      <c r="E1435" t="s">
        <v>31</v>
      </c>
      <c r="F1435">
        <v>7</v>
      </c>
      <c r="G1435">
        <v>43.289763999999998</v>
      </c>
      <c r="H1435">
        <v>-71.564260000000004</v>
      </c>
      <c r="I1435">
        <v>370</v>
      </c>
      <c r="J1435">
        <v>86</v>
      </c>
      <c r="K1435">
        <v>0</v>
      </c>
      <c r="L1435" s="1">
        <v>44784.479895833334</v>
      </c>
      <c r="M1435">
        <v>14</v>
      </c>
      <c r="N1435">
        <v>13.2</v>
      </c>
      <c r="O1435">
        <v>0.8</v>
      </c>
      <c r="P1435">
        <v>6</v>
      </c>
      <c r="Q1435">
        <v>0</v>
      </c>
      <c r="R1435">
        <v>0</v>
      </c>
      <c r="S1435">
        <v>0</v>
      </c>
      <c r="T1435" t="s">
        <v>32</v>
      </c>
      <c r="V1435">
        <v>59</v>
      </c>
      <c r="W1435">
        <v>0</v>
      </c>
      <c r="X1435">
        <v>59</v>
      </c>
      <c r="Y1435">
        <v>0</v>
      </c>
      <c r="Z1435">
        <v>0</v>
      </c>
      <c r="AA1435">
        <v>0</v>
      </c>
      <c r="AB1435" t="s">
        <v>36</v>
      </c>
      <c r="AC1435">
        <v>59</v>
      </c>
    </row>
    <row r="1436" spans="1:30" x14ac:dyDescent="0.25">
      <c r="A1436" s="1">
        <v>44784.479930555557</v>
      </c>
      <c r="B1436" s="1">
        <v>44784.478032407409</v>
      </c>
      <c r="C1436">
        <v>151710</v>
      </c>
      <c r="D1436" t="s">
        <v>41</v>
      </c>
      <c r="E1436" t="s">
        <v>31</v>
      </c>
      <c r="F1436">
        <v>7</v>
      </c>
      <c r="G1436">
        <v>43.132477000000002</v>
      </c>
      <c r="H1436">
        <v>-71.458374000000006</v>
      </c>
      <c r="I1436">
        <v>230</v>
      </c>
      <c r="J1436">
        <v>85</v>
      </c>
      <c r="K1436">
        <v>0</v>
      </c>
      <c r="L1436" s="1">
        <v>44784.479895833334</v>
      </c>
      <c r="M1436">
        <v>7.5</v>
      </c>
      <c r="N1436">
        <v>6.4</v>
      </c>
      <c r="O1436">
        <v>1.1000000000000001</v>
      </c>
      <c r="P1436">
        <v>16</v>
      </c>
      <c r="Q1436">
        <v>0.1</v>
      </c>
      <c r="R1436">
        <v>0.1</v>
      </c>
      <c r="S1436">
        <v>0.1</v>
      </c>
      <c r="T1436" t="s">
        <v>33</v>
      </c>
      <c r="U1436">
        <v>6.95</v>
      </c>
      <c r="V1436">
        <v>46</v>
      </c>
      <c r="W1436">
        <v>0</v>
      </c>
      <c r="X1436">
        <v>46</v>
      </c>
      <c r="Y1436">
        <v>0</v>
      </c>
      <c r="Z1436">
        <v>0</v>
      </c>
      <c r="AA1436">
        <v>0</v>
      </c>
      <c r="AB1436" t="s">
        <v>36</v>
      </c>
      <c r="AC1436">
        <v>46</v>
      </c>
      <c r="AD1436">
        <v>3.18</v>
      </c>
    </row>
    <row r="1437" spans="1:30" x14ac:dyDescent="0.25">
      <c r="A1437" s="1">
        <v>44784.479930555557</v>
      </c>
      <c r="B1437" s="1">
        <v>44784.479085648149</v>
      </c>
      <c r="C1437">
        <v>151706</v>
      </c>
      <c r="D1437" t="s">
        <v>42</v>
      </c>
      <c r="E1437" t="s">
        <v>31</v>
      </c>
      <c r="F1437">
        <v>7</v>
      </c>
      <c r="G1437">
        <v>43.004080000000002</v>
      </c>
      <c r="H1437">
        <v>-71.177040000000005</v>
      </c>
      <c r="I1437">
        <v>194</v>
      </c>
      <c r="J1437">
        <v>87</v>
      </c>
      <c r="K1437">
        <v>0</v>
      </c>
      <c r="L1437" s="1">
        <v>44784.479895833334</v>
      </c>
      <c r="M1437">
        <v>5.9</v>
      </c>
      <c r="N1437">
        <v>0</v>
      </c>
      <c r="O1437">
        <v>5.9</v>
      </c>
      <c r="P1437">
        <v>200</v>
      </c>
      <c r="Q1437">
        <v>0</v>
      </c>
      <c r="R1437">
        <v>0</v>
      </c>
      <c r="S1437">
        <v>0</v>
      </c>
      <c r="T1437" t="s">
        <v>43</v>
      </c>
      <c r="V1437">
        <v>46</v>
      </c>
      <c r="W1437">
        <v>0</v>
      </c>
      <c r="X1437">
        <v>46</v>
      </c>
      <c r="Y1437">
        <v>1</v>
      </c>
      <c r="Z1437">
        <v>0</v>
      </c>
      <c r="AA1437">
        <v>1</v>
      </c>
      <c r="AB1437" t="s">
        <v>36</v>
      </c>
      <c r="AC1437">
        <v>46</v>
      </c>
    </row>
    <row r="1438" spans="1:30" x14ac:dyDescent="0.25">
      <c r="A1438" s="1">
        <v>44784.479942129627</v>
      </c>
      <c r="B1438" s="1">
        <v>44784.478842592594</v>
      </c>
      <c r="C1438">
        <v>12212</v>
      </c>
      <c r="D1438" t="s">
        <v>44</v>
      </c>
      <c r="E1438" t="s">
        <v>35</v>
      </c>
      <c r="F1438">
        <v>7</v>
      </c>
      <c r="G1438">
        <v>42.930529999999997</v>
      </c>
      <c r="H1438">
        <v>-72.272350000000003</v>
      </c>
      <c r="I1438">
        <v>476</v>
      </c>
      <c r="J1438">
        <v>88</v>
      </c>
      <c r="K1438">
        <v>0</v>
      </c>
      <c r="L1438" s="1">
        <v>44784.479895833334</v>
      </c>
      <c r="M1438">
        <v>3.8</v>
      </c>
      <c r="N1438">
        <v>3.3</v>
      </c>
      <c r="O1438">
        <v>0.5</v>
      </c>
      <c r="P1438">
        <v>14</v>
      </c>
      <c r="Q1438">
        <v>0.2</v>
      </c>
      <c r="R1438">
        <v>0.1</v>
      </c>
      <c r="S1438">
        <v>0.15</v>
      </c>
      <c r="T1438" t="s">
        <v>33</v>
      </c>
      <c r="U1438">
        <v>3.55</v>
      </c>
      <c r="V1438">
        <v>34</v>
      </c>
      <c r="W1438">
        <v>0</v>
      </c>
      <c r="X1438">
        <v>34</v>
      </c>
      <c r="Y1438">
        <v>1</v>
      </c>
      <c r="Z1438">
        <v>0</v>
      </c>
      <c r="AA1438">
        <v>1</v>
      </c>
      <c r="AB1438" t="s">
        <v>36</v>
      </c>
      <c r="AC1438">
        <v>34</v>
      </c>
      <c r="AD1438">
        <v>1.95</v>
      </c>
    </row>
    <row r="1439" spans="1:30" x14ac:dyDescent="0.25">
      <c r="A1439" s="1">
        <v>44784.479942129627</v>
      </c>
      <c r="B1439" s="1">
        <v>44769.376736111109</v>
      </c>
      <c r="C1439">
        <v>12178</v>
      </c>
      <c r="D1439" t="s">
        <v>45</v>
      </c>
      <c r="E1439" t="s">
        <v>35</v>
      </c>
      <c r="F1439">
        <v>7</v>
      </c>
      <c r="G1439">
        <v>42.899563000000001</v>
      </c>
      <c r="H1439">
        <v>-71.464650000000006</v>
      </c>
      <c r="I1439">
        <v>301</v>
      </c>
      <c r="J1439">
        <v>85</v>
      </c>
      <c r="K1439">
        <v>0</v>
      </c>
      <c r="L1439" s="1">
        <v>44784.479895833334</v>
      </c>
      <c r="M1439">
        <v>3.8</v>
      </c>
      <c r="N1439">
        <v>3.1</v>
      </c>
      <c r="O1439">
        <v>0.7</v>
      </c>
      <c r="P1439">
        <v>20</v>
      </c>
      <c r="Q1439">
        <v>0</v>
      </c>
      <c r="R1439">
        <v>0</v>
      </c>
      <c r="S1439">
        <v>0</v>
      </c>
      <c r="T1439" t="s">
        <v>32</v>
      </c>
      <c r="V1439">
        <v>35</v>
      </c>
      <c r="W1439">
        <v>0</v>
      </c>
      <c r="X1439">
        <v>35</v>
      </c>
      <c r="Y1439">
        <v>0</v>
      </c>
      <c r="Z1439">
        <v>0</v>
      </c>
      <c r="AA1439">
        <v>0</v>
      </c>
      <c r="AB1439" t="s">
        <v>36</v>
      </c>
      <c r="AC1439">
        <v>35</v>
      </c>
    </row>
    <row r="1440" spans="1:30" x14ac:dyDescent="0.25">
      <c r="A1440" s="1">
        <v>44784.479942129627</v>
      </c>
      <c r="B1440" s="1">
        <v>44784.478148148148</v>
      </c>
      <c r="C1440">
        <v>75981</v>
      </c>
      <c r="D1440" t="s">
        <v>46</v>
      </c>
      <c r="E1440" t="s">
        <v>35</v>
      </c>
      <c r="F1440">
        <v>7</v>
      </c>
      <c r="G1440">
        <v>42.97</v>
      </c>
      <c r="H1440">
        <v>-71.06</v>
      </c>
      <c r="I1440">
        <v>136</v>
      </c>
      <c r="J1440">
        <v>84</v>
      </c>
      <c r="K1440">
        <v>0</v>
      </c>
      <c r="L1440" s="1">
        <v>44784.479895833334</v>
      </c>
      <c r="M1440">
        <v>9.8000000000000007</v>
      </c>
      <c r="N1440">
        <v>9</v>
      </c>
      <c r="O1440">
        <v>0.8</v>
      </c>
      <c r="P1440">
        <v>9</v>
      </c>
      <c r="Q1440">
        <v>0</v>
      </c>
      <c r="R1440">
        <v>0.1</v>
      </c>
      <c r="S1440">
        <v>0.05</v>
      </c>
      <c r="T1440" t="s">
        <v>33</v>
      </c>
      <c r="U1440">
        <v>9.4</v>
      </c>
      <c r="V1440">
        <v>50</v>
      </c>
      <c r="W1440">
        <v>0</v>
      </c>
      <c r="X1440">
        <v>50</v>
      </c>
      <c r="Y1440">
        <v>2</v>
      </c>
      <c r="Z1440">
        <v>0</v>
      </c>
      <c r="AA1440">
        <v>2</v>
      </c>
      <c r="AB1440" t="s">
        <v>36</v>
      </c>
      <c r="AC1440">
        <v>50</v>
      </c>
      <c r="AD1440">
        <v>4.3899999999999997</v>
      </c>
    </row>
    <row r="1441" spans="1:30" x14ac:dyDescent="0.25">
      <c r="A1441" s="1">
        <v>44784.479953703703</v>
      </c>
      <c r="B1441" s="1">
        <v>44784.478680555556</v>
      </c>
      <c r="C1441">
        <v>115703</v>
      </c>
      <c r="D1441" t="s">
        <v>47</v>
      </c>
      <c r="E1441" t="s">
        <v>35</v>
      </c>
      <c r="F1441">
        <v>7</v>
      </c>
      <c r="G1441">
        <v>43.953625000000002</v>
      </c>
      <c r="H1441">
        <v>-71.508859999999999</v>
      </c>
      <c r="I1441">
        <v>1493</v>
      </c>
      <c r="J1441">
        <v>78</v>
      </c>
      <c r="K1441">
        <v>0</v>
      </c>
      <c r="L1441" s="1">
        <v>44784.479895833334</v>
      </c>
      <c r="M1441">
        <v>0</v>
      </c>
      <c r="N1441">
        <v>300.89999999999998</v>
      </c>
      <c r="O1441">
        <v>300.89999999999998</v>
      </c>
      <c r="P1441">
        <v>200</v>
      </c>
      <c r="Q1441">
        <v>0</v>
      </c>
      <c r="R1441">
        <v>0</v>
      </c>
      <c r="S1441">
        <v>0</v>
      </c>
      <c r="T1441" t="s">
        <v>48</v>
      </c>
      <c r="V1441">
        <v>48</v>
      </c>
      <c r="W1441">
        <v>0</v>
      </c>
      <c r="X1441">
        <v>48</v>
      </c>
      <c r="Y1441">
        <v>0</v>
      </c>
      <c r="Z1441">
        <v>0</v>
      </c>
      <c r="AA1441">
        <v>0</v>
      </c>
      <c r="AB1441" t="s">
        <v>36</v>
      </c>
      <c r="AC1441">
        <v>48</v>
      </c>
    </row>
    <row r="1442" spans="1:30" x14ac:dyDescent="0.25">
      <c r="A1442" s="1">
        <v>44784.479953703703</v>
      </c>
      <c r="B1442" s="1">
        <v>44784.478101851855</v>
      </c>
      <c r="C1442">
        <v>12050</v>
      </c>
      <c r="D1442" t="s">
        <v>49</v>
      </c>
      <c r="E1442" t="s">
        <v>35</v>
      </c>
      <c r="F1442">
        <v>7</v>
      </c>
      <c r="G1442">
        <v>44.220573000000002</v>
      </c>
      <c r="H1442">
        <v>-71.732315</v>
      </c>
      <c r="I1442">
        <v>999</v>
      </c>
      <c r="J1442">
        <v>85</v>
      </c>
      <c r="K1442">
        <v>0</v>
      </c>
      <c r="L1442" s="1">
        <v>44784.479895833334</v>
      </c>
      <c r="M1442">
        <v>3.6</v>
      </c>
      <c r="N1442">
        <v>3.2</v>
      </c>
      <c r="O1442">
        <v>0.4</v>
      </c>
      <c r="P1442">
        <v>12</v>
      </c>
      <c r="Q1442">
        <v>0.1</v>
      </c>
      <c r="R1442">
        <v>0.1</v>
      </c>
      <c r="S1442">
        <v>0.1</v>
      </c>
      <c r="T1442" t="s">
        <v>33</v>
      </c>
      <c r="U1442">
        <v>3.4</v>
      </c>
      <c r="V1442">
        <v>42</v>
      </c>
      <c r="W1442">
        <v>0</v>
      </c>
      <c r="X1442">
        <v>42</v>
      </c>
      <c r="Y1442">
        <v>0</v>
      </c>
      <c r="Z1442">
        <v>0</v>
      </c>
      <c r="AA1442">
        <v>0</v>
      </c>
      <c r="AB1442" t="s">
        <v>36</v>
      </c>
      <c r="AC1442">
        <v>42</v>
      </c>
      <c r="AD1442">
        <v>1.29</v>
      </c>
    </row>
    <row r="1443" spans="1:30" x14ac:dyDescent="0.25">
      <c r="A1443" s="1">
        <v>44784.479953703703</v>
      </c>
      <c r="B1443" s="1">
        <v>44784.478206018517</v>
      </c>
      <c r="C1443">
        <v>23443</v>
      </c>
      <c r="D1443" t="s">
        <v>50</v>
      </c>
      <c r="E1443" t="s">
        <v>35</v>
      </c>
      <c r="F1443">
        <v>7</v>
      </c>
      <c r="G1443">
        <v>43.556139999999999</v>
      </c>
      <c r="H1443">
        <v>-72.370990000000006</v>
      </c>
      <c r="I1443">
        <v>523</v>
      </c>
      <c r="J1443">
        <v>93</v>
      </c>
      <c r="K1443">
        <v>0</v>
      </c>
      <c r="L1443" s="1">
        <v>44784.479895833334</v>
      </c>
      <c r="M1443">
        <v>3.6</v>
      </c>
      <c r="N1443">
        <v>3.3</v>
      </c>
      <c r="O1443">
        <v>0.3</v>
      </c>
      <c r="P1443">
        <v>9</v>
      </c>
      <c r="Q1443">
        <v>0.5</v>
      </c>
      <c r="R1443">
        <v>0.2</v>
      </c>
      <c r="S1443">
        <v>0.35</v>
      </c>
      <c r="T1443" t="s">
        <v>33</v>
      </c>
      <c r="U1443">
        <v>3.45</v>
      </c>
      <c r="V1443">
        <v>32</v>
      </c>
      <c r="W1443">
        <v>0</v>
      </c>
      <c r="X1443">
        <v>32</v>
      </c>
      <c r="Y1443">
        <v>0</v>
      </c>
      <c r="Z1443">
        <v>0</v>
      </c>
      <c r="AA1443">
        <v>0</v>
      </c>
      <c r="AB1443" t="s">
        <v>36</v>
      </c>
      <c r="AC1443">
        <v>32</v>
      </c>
      <c r="AD1443">
        <v>2.02</v>
      </c>
    </row>
    <row r="1444" spans="1:30" x14ac:dyDescent="0.25">
      <c r="A1444" s="1">
        <v>44784.47996527778</v>
      </c>
      <c r="B1444" s="1">
        <v>44784.478321759256</v>
      </c>
      <c r="C1444">
        <v>58135</v>
      </c>
      <c r="D1444" t="s">
        <v>51</v>
      </c>
      <c r="E1444" t="s">
        <v>35</v>
      </c>
      <c r="F1444">
        <v>7</v>
      </c>
      <c r="G1444">
        <v>42.883873000000001</v>
      </c>
      <c r="H1444">
        <v>-71.972915999999998</v>
      </c>
      <c r="I1444">
        <v>808</v>
      </c>
      <c r="J1444">
        <v>86</v>
      </c>
      <c r="K1444">
        <v>0</v>
      </c>
      <c r="L1444" s="1">
        <v>44784.479895833334</v>
      </c>
      <c r="M1444">
        <v>2.9</v>
      </c>
      <c r="N1444">
        <v>1.8</v>
      </c>
      <c r="O1444">
        <v>1.1000000000000001</v>
      </c>
      <c r="P1444">
        <v>47</v>
      </c>
      <c r="Q1444">
        <v>0.1</v>
      </c>
      <c r="R1444">
        <v>0.1</v>
      </c>
      <c r="S1444">
        <v>0.1</v>
      </c>
      <c r="T1444" t="s">
        <v>33</v>
      </c>
      <c r="U1444">
        <v>2.35</v>
      </c>
      <c r="V1444">
        <v>43</v>
      </c>
      <c r="W1444">
        <v>0</v>
      </c>
      <c r="X1444">
        <v>43</v>
      </c>
      <c r="Y1444">
        <v>0</v>
      </c>
      <c r="Z1444">
        <v>0</v>
      </c>
      <c r="AA1444">
        <v>0</v>
      </c>
      <c r="AB1444" t="s">
        <v>36</v>
      </c>
      <c r="AC1444">
        <v>43</v>
      </c>
      <c r="AD1444">
        <v>0.57999999999999996</v>
      </c>
    </row>
    <row r="1445" spans="1:30" x14ac:dyDescent="0.25">
      <c r="A1445" s="1">
        <v>44784.47996527778</v>
      </c>
      <c r="B1445" s="1">
        <v>44784.478333333333</v>
      </c>
      <c r="C1445">
        <v>148555</v>
      </c>
      <c r="D1445" t="s">
        <v>52</v>
      </c>
      <c r="E1445" t="s">
        <v>53</v>
      </c>
      <c r="F1445">
        <v>7</v>
      </c>
      <c r="G1445">
        <v>42.904949999999999</v>
      </c>
      <c r="H1445">
        <v>-71.386764999999997</v>
      </c>
      <c r="I1445">
        <v>363</v>
      </c>
      <c r="J1445">
        <v>0</v>
      </c>
      <c r="K1445">
        <v>0</v>
      </c>
      <c r="L1445" s="1">
        <v>44784.479895833334</v>
      </c>
      <c r="M1445">
        <v>3.6</v>
      </c>
      <c r="N1445">
        <v>4.0999999999999996</v>
      </c>
      <c r="O1445">
        <v>0.5</v>
      </c>
      <c r="P1445">
        <v>13</v>
      </c>
      <c r="Q1445">
        <v>0.4</v>
      </c>
      <c r="R1445">
        <v>0.5</v>
      </c>
      <c r="S1445">
        <v>0.45</v>
      </c>
      <c r="T1445" t="s">
        <v>33</v>
      </c>
      <c r="U1445">
        <v>3.85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 t="s">
        <v>38</v>
      </c>
    </row>
    <row r="1446" spans="1:30" x14ac:dyDescent="0.25">
      <c r="A1446" s="1">
        <v>44784.47996527778</v>
      </c>
      <c r="B1446" s="1">
        <v>44784.479212962964</v>
      </c>
      <c r="C1446">
        <v>146644</v>
      </c>
      <c r="D1446" t="s">
        <v>54</v>
      </c>
      <c r="E1446" t="s">
        <v>53</v>
      </c>
      <c r="F1446">
        <v>7</v>
      </c>
      <c r="G1446">
        <v>43.06015</v>
      </c>
      <c r="H1446">
        <v>-70.758930000000007</v>
      </c>
      <c r="I1446">
        <v>35</v>
      </c>
      <c r="J1446">
        <v>81</v>
      </c>
      <c r="K1446">
        <v>83</v>
      </c>
      <c r="L1446" s="1">
        <v>44784.479895833334</v>
      </c>
      <c r="M1446">
        <v>12.8</v>
      </c>
      <c r="N1446">
        <v>12.4</v>
      </c>
      <c r="O1446">
        <v>0.4</v>
      </c>
      <c r="P1446">
        <v>3</v>
      </c>
      <c r="Q1446">
        <v>0.1</v>
      </c>
      <c r="R1446">
        <v>0.3</v>
      </c>
      <c r="S1446">
        <v>0.2</v>
      </c>
      <c r="T1446" t="s">
        <v>33</v>
      </c>
      <c r="U1446">
        <v>12.6</v>
      </c>
      <c r="V1446">
        <v>50</v>
      </c>
      <c r="W1446">
        <v>55</v>
      </c>
      <c r="X1446">
        <v>5</v>
      </c>
      <c r="Y1446">
        <v>3</v>
      </c>
      <c r="Z1446">
        <v>2</v>
      </c>
      <c r="AA1446">
        <v>1</v>
      </c>
      <c r="AB1446" t="s">
        <v>33</v>
      </c>
      <c r="AC1446">
        <v>52.5</v>
      </c>
      <c r="AD1446">
        <v>6.17</v>
      </c>
    </row>
    <row r="1447" spans="1:30" x14ac:dyDescent="0.25">
      <c r="A1447" s="1">
        <v>44784.47997685185</v>
      </c>
      <c r="B1447" s="1">
        <v>43755.283437500002</v>
      </c>
      <c r="C1447">
        <v>12188</v>
      </c>
      <c r="D1447" t="s">
        <v>55</v>
      </c>
      <c r="E1447" t="s">
        <v>35</v>
      </c>
      <c r="F1447">
        <v>4.1100000000000003</v>
      </c>
      <c r="G1447">
        <v>42.927050000000001</v>
      </c>
      <c r="H1447">
        <v>-72.279610000000005</v>
      </c>
      <c r="I1447">
        <v>475</v>
      </c>
      <c r="J1447">
        <v>95</v>
      </c>
      <c r="K1447">
        <v>0</v>
      </c>
      <c r="L1447" s="1">
        <v>44784.479895833334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 t="s">
        <v>32</v>
      </c>
      <c r="V1447">
        <v>77</v>
      </c>
      <c r="W1447">
        <v>0</v>
      </c>
      <c r="X1447">
        <v>77</v>
      </c>
      <c r="Y1447">
        <v>0</v>
      </c>
      <c r="Z1447">
        <v>0</v>
      </c>
      <c r="AA1447">
        <v>0</v>
      </c>
      <c r="AB1447" t="s">
        <v>36</v>
      </c>
      <c r="AC1447">
        <v>77</v>
      </c>
    </row>
    <row r="1448" spans="1:30" x14ac:dyDescent="0.25">
      <c r="A1448" s="1">
        <v>44784.47997685185</v>
      </c>
      <c r="B1448" s="1">
        <v>44784.478194444448</v>
      </c>
      <c r="C1448">
        <v>1224</v>
      </c>
      <c r="D1448" t="s">
        <v>56</v>
      </c>
      <c r="E1448" t="s">
        <v>35</v>
      </c>
      <c r="F1448" t="s">
        <v>57</v>
      </c>
      <c r="G1448">
        <v>42.938034000000002</v>
      </c>
      <c r="H1448">
        <v>-72.259299999999996</v>
      </c>
      <c r="I1448">
        <v>792</v>
      </c>
      <c r="J1448">
        <v>87</v>
      </c>
      <c r="K1448">
        <v>0</v>
      </c>
      <c r="L1448" s="1">
        <v>44784.479895833334</v>
      </c>
      <c r="M1448">
        <v>4</v>
      </c>
      <c r="N1448">
        <v>0</v>
      </c>
      <c r="O1448">
        <v>4</v>
      </c>
      <c r="P1448">
        <v>200</v>
      </c>
      <c r="Q1448">
        <v>0.3</v>
      </c>
      <c r="R1448">
        <v>0</v>
      </c>
      <c r="S1448">
        <v>0.15</v>
      </c>
      <c r="T1448" t="s">
        <v>43</v>
      </c>
      <c r="V1448">
        <v>45</v>
      </c>
      <c r="W1448">
        <v>0</v>
      </c>
      <c r="X1448">
        <v>45</v>
      </c>
      <c r="Y1448">
        <v>1</v>
      </c>
      <c r="Z1448">
        <v>0</v>
      </c>
      <c r="AA1448">
        <v>1</v>
      </c>
      <c r="AB1448" t="s">
        <v>36</v>
      </c>
      <c r="AC1448">
        <v>45</v>
      </c>
    </row>
    <row r="1449" spans="1:30" x14ac:dyDescent="0.25">
      <c r="A1449" s="1">
        <v>44784.47997685185</v>
      </c>
      <c r="B1449" s="1">
        <v>44784.479039351849</v>
      </c>
      <c r="C1449">
        <v>1202</v>
      </c>
      <c r="D1449" t="s">
        <v>58</v>
      </c>
      <c r="E1449" t="s">
        <v>35</v>
      </c>
      <c r="F1449" t="s">
        <v>57</v>
      </c>
      <c r="G1449">
        <v>42.936554000000001</v>
      </c>
      <c r="H1449">
        <v>-72.271019999999993</v>
      </c>
      <c r="I1449">
        <v>488</v>
      </c>
      <c r="J1449">
        <v>0</v>
      </c>
      <c r="K1449">
        <v>0</v>
      </c>
      <c r="L1449" s="1">
        <v>44784.479895833334</v>
      </c>
      <c r="M1449">
        <v>4.0999999999999996</v>
      </c>
      <c r="N1449">
        <v>3.6</v>
      </c>
      <c r="O1449">
        <v>0.5</v>
      </c>
      <c r="P1449">
        <v>13</v>
      </c>
      <c r="Q1449">
        <v>0.3</v>
      </c>
      <c r="R1449">
        <v>0.2</v>
      </c>
      <c r="S1449">
        <v>0.25</v>
      </c>
      <c r="T1449" t="s">
        <v>33</v>
      </c>
      <c r="U1449">
        <v>3.85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 t="s">
        <v>38</v>
      </c>
    </row>
    <row r="1450" spans="1:30" x14ac:dyDescent="0.25">
      <c r="A1450" s="1">
        <v>44784.47997685185</v>
      </c>
      <c r="B1450" s="1">
        <v>44612.080023148148</v>
      </c>
      <c r="C1450">
        <v>25985</v>
      </c>
      <c r="D1450" t="s">
        <v>59</v>
      </c>
      <c r="E1450" t="s">
        <v>35</v>
      </c>
      <c r="F1450">
        <v>6.01</v>
      </c>
      <c r="G1450">
        <v>42.927326000000001</v>
      </c>
      <c r="H1450">
        <v>-72.279979999999995</v>
      </c>
      <c r="I1450">
        <v>477</v>
      </c>
      <c r="J1450">
        <v>78</v>
      </c>
      <c r="K1450">
        <v>0</v>
      </c>
      <c r="L1450" s="1">
        <v>44784.479895833334</v>
      </c>
      <c r="M1450">
        <v>1.1000000000000001</v>
      </c>
      <c r="N1450">
        <v>1</v>
      </c>
      <c r="O1450">
        <v>0.1</v>
      </c>
      <c r="P1450">
        <v>10</v>
      </c>
      <c r="Q1450">
        <v>0</v>
      </c>
      <c r="R1450">
        <v>0</v>
      </c>
      <c r="S1450">
        <v>0</v>
      </c>
      <c r="T1450" t="s">
        <v>32</v>
      </c>
      <c r="V1450">
        <v>22</v>
      </c>
      <c r="W1450">
        <v>0</v>
      </c>
      <c r="X1450">
        <v>22</v>
      </c>
      <c r="Y1450">
        <v>0</v>
      </c>
      <c r="Z1450">
        <v>0</v>
      </c>
      <c r="AA1450">
        <v>0</v>
      </c>
      <c r="AB1450" t="s">
        <v>36</v>
      </c>
      <c r="AC1450">
        <v>22</v>
      </c>
    </row>
    <row r="1451" spans="1:30" x14ac:dyDescent="0.25">
      <c r="A1451" s="1">
        <v>44784.486851851849</v>
      </c>
      <c r="B1451" s="1">
        <v>44775.701319444444</v>
      </c>
      <c r="C1451">
        <v>151708</v>
      </c>
      <c r="D1451" t="s">
        <v>30</v>
      </c>
      <c r="E1451" t="s">
        <v>31</v>
      </c>
      <c r="F1451">
        <v>7</v>
      </c>
      <c r="G1451">
        <v>43.192042999999998</v>
      </c>
      <c r="H1451">
        <v>-71.541579999999996</v>
      </c>
      <c r="I1451">
        <v>291</v>
      </c>
      <c r="J1451">
        <v>93</v>
      </c>
      <c r="K1451">
        <v>94</v>
      </c>
      <c r="L1451" s="1">
        <v>44784.486840277779</v>
      </c>
      <c r="M1451">
        <v>7.9</v>
      </c>
      <c r="N1451">
        <v>7.6</v>
      </c>
      <c r="O1451">
        <v>0.3</v>
      </c>
      <c r="P1451">
        <v>4</v>
      </c>
      <c r="Q1451">
        <v>0</v>
      </c>
      <c r="R1451">
        <v>0</v>
      </c>
      <c r="S1451">
        <v>0</v>
      </c>
      <c r="T1451" t="s">
        <v>32</v>
      </c>
      <c r="V1451">
        <v>42</v>
      </c>
      <c r="W1451">
        <v>41</v>
      </c>
      <c r="X1451">
        <v>1</v>
      </c>
      <c r="Y1451">
        <v>0</v>
      </c>
      <c r="Z1451">
        <v>0</v>
      </c>
      <c r="AA1451">
        <v>0</v>
      </c>
      <c r="AB1451" t="s">
        <v>33</v>
      </c>
      <c r="AC1451">
        <v>41.5</v>
      </c>
    </row>
    <row r="1452" spans="1:30" x14ac:dyDescent="0.25">
      <c r="A1452" s="1">
        <v>44784.486863425926</v>
      </c>
      <c r="B1452" s="1">
        <v>44784.485196759262</v>
      </c>
      <c r="C1452">
        <v>143456</v>
      </c>
      <c r="D1452" t="s">
        <v>34</v>
      </c>
      <c r="E1452" t="s">
        <v>35</v>
      </c>
      <c r="F1452">
        <v>7</v>
      </c>
      <c r="G1452">
        <v>43.08963</v>
      </c>
      <c r="H1452">
        <v>-71.502440000000007</v>
      </c>
      <c r="I1452">
        <v>619</v>
      </c>
      <c r="J1452">
        <v>81</v>
      </c>
      <c r="K1452">
        <v>0</v>
      </c>
      <c r="L1452" s="1">
        <v>44784.486840277779</v>
      </c>
      <c r="M1452">
        <v>6.3</v>
      </c>
      <c r="N1452">
        <v>5.8</v>
      </c>
      <c r="O1452">
        <v>0.5</v>
      </c>
      <c r="P1452">
        <v>8</v>
      </c>
      <c r="Q1452">
        <v>0.1</v>
      </c>
      <c r="R1452">
        <v>0.7</v>
      </c>
      <c r="S1452">
        <v>0.39999999999999902</v>
      </c>
      <c r="T1452" t="s">
        <v>33</v>
      </c>
      <c r="U1452">
        <v>6.05</v>
      </c>
      <c r="V1452">
        <v>54</v>
      </c>
      <c r="W1452">
        <v>0</v>
      </c>
      <c r="X1452">
        <v>54</v>
      </c>
      <c r="Y1452">
        <v>1</v>
      </c>
      <c r="Z1452">
        <v>0</v>
      </c>
      <c r="AA1452">
        <v>1</v>
      </c>
      <c r="AB1452" t="s">
        <v>36</v>
      </c>
      <c r="AC1452">
        <v>54</v>
      </c>
      <c r="AD1452">
        <v>2.0699999999999998</v>
      </c>
    </row>
    <row r="1453" spans="1:30" x14ac:dyDescent="0.25">
      <c r="A1453" s="1">
        <v>44784.486863425926</v>
      </c>
      <c r="B1453" s="1">
        <v>44784.485358796293</v>
      </c>
      <c r="C1453">
        <v>151702</v>
      </c>
      <c r="D1453" t="s">
        <v>37</v>
      </c>
      <c r="E1453" t="s">
        <v>31</v>
      </c>
      <c r="F1453">
        <v>7</v>
      </c>
      <c r="G1453">
        <v>43.118609999999997</v>
      </c>
      <c r="H1453">
        <v>-71.61618</v>
      </c>
      <c r="I1453">
        <v>885</v>
      </c>
      <c r="J1453">
        <v>0</v>
      </c>
      <c r="K1453">
        <v>0</v>
      </c>
      <c r="L1453" s="1">
        <v>44784.486840277779</v>
      </c>
      <c r="M1453">
        <v>4.0999999999999996</v>
      </c>
      <c r="N1453">
        <v>4.0999999999999996</v>
      </c>
      <c r="O1453">
        <v>0</v>
      </c>
      <c r="P1453">
        <v>0</v>
      </c>
      <c r="Q1453">
        <v>0.5</v>
      </c>
      <c r="R1453">
        <v>0.5</v>
      </c>
      <c r="S1453">
        <v>0.5</v>
      </c>
      <c r="T1453" t="s">
        <v>33</v>
      </c>
      <c r="U1453">
        <v>4.0999999999999996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 t="s">
        <v>38</v>
      </c>
    </row>
    <row r="1454" spans="1:30" x14ac:dyDescent="0.25">
      <c r="A1454" s="1">
        <v>44784.486875000002</v>
      </c>
      <c r="B1454" s="1">
        <v>44784.485254629632</v>
      </c>
      <c r="C1454">
        <v>151700</v>
      </c>
      <c r="D1454" t="s">
        <v>30</v>
      </c>
      <c r="E1454" t="s">
        <v>31</v>
      </c>
      <c r="F1454">
        <v>7</v>
      </c>
      <c r="G1454">
        <v>43.19211</v>
      </c>
      <c r="H1454">
        <v>-71.541460000000001</v>
      </c>
      <c r="I1454">
        <v>286</v>
      </c>
      <c r="J1454">
        <v>80</v>
      </c>
      <c r="K1454">
        <v>0</v>
      </c>
      <c r="L1454" s="1">
        <v>44784.486840277779</v>
      </c>
      <c r="M1454">
        <v>5.6</v>
      </c>
      <c r="N1454">
        <v>6.3</v>
      </c>
      <c r="O1454">
        <v>0.7</v>
      </c>
      <c r="P1454">
        <v>12</v>
      </c>
      <c r="Q1454">
        <v>0.2</v>
      </c>
      <c r="R1454">
        <v>0.2</v>
      </c>
      <c r="S1454">
        <v>0.2</v>
      </c>
      <c r="T1454" t="s">
        <v>33</v>
      </c>
      <c r="U1454">
        <v>5.95</v>
      </c>
      <c r="V1454">
        <v>55</v>
      </c>
      <c r="W1454">
        <v>0</v>
      </c>
      <c r="X1454">
        <v>55</v>
      </c>
      <c r="Y1454">
        <v>1</v>
      </c>
      <c r="Z1454">
        <v>0</v>
      </c>
      <c r="AA1454">
        <v>1</v>
      </c>
      <c r="AB1454" t="s">
        <v>36</v>
      </c>
      <c r="AC1454">
        <v>55</v>
      </c>
      <c r="AD1454">
        <v>1.94</v>
      </c>
    </row>
    <row r="1455" spans="1:30" x14ac:dyDescent="0.25">
      <c r="A1455" s="1">
        <v>44784.486875000002</v>
      </c>
      <c r="B1455" s="1">
        <v>44784.485671296294</v>
      </c>
      <c r="C1455">
        <v>135984</v>
      </c>
      <c r="D1455" t="s">
        <v>39</v>
      </c>
      <c r="E1455" t="s">
        <v>31</v>
      </c>
      <c r="F1455">
        <v>7</v>
      </c>
      <c r="G1455">
        <v>43.565852999999997</v>
      </c>
      <c r="H1455">
        <v>-71.496129999999994</v>
      </c>
      <c r="I1455">
        <v>708</v>
      </c>
      <c r="J1455">
        <v>88</v>
      </c>
      <c r="K1455">
        <v>0</v>
      </c>
      <c r="L1455" s="1">
        <v>44784.486840277779</v>
      </c>
      <c r="M1455">
        <v>3.3</v>
      </c>
      <c r="N1455">
        <v>2.4</v>
      </c>
      <c r="O1455">
        <v>0.9</v>
      </c>
      <c r="P1455">
        <v>32</v>
      </c>
      <c r="Q1455">
        <v>0.2</v>
      </c>
      <c r="R1455">
        <v>0.1</v>
      </c>
      <c r="S1455">
        <v>0.15</v>
      </c>
      <c r="T1455" t="s">
        <v>33</v>
      </c>
      <c r="U1455">
        <v>2.85</v>
      </c>
      <c r="V1455">
        <v>50</v>
      </c>
      <c r="W1455">
        <v>0</v>
      </c>
      <c r="X1455">
        <v>50</v>
      </c>
      <c r="Y1455">
        <v>1</v>
      </c>
      <c r="Z1455">
        <v>0</v>
      </c>
      <c r="AA1455">
        <v>1</v>
      </c>
      <c r="AB1455" t="s">
        <v>36</v>
      </c>
      <c r="AC1455">
        <v>50</v>
      </c>
      <c r="AD1455">
        <v>0.4</v>
      </c>
    </row>
    <row r="1456" spans="1:30" x14ac:dyDescent="0.25">
      <c r="A1456" s="1">
        <v>44784.486886574072</v>
      </c>
      <c r="B1456" s="1">
        <v>44780.394780092596</v>
      </c>
      <c r="C1456">
        <v>151712</v>
      </c>
      <c r="D1456" t="s">
        <v>40</v>
      </c>
      <c r="E1456" t="s">
        <v>31</v>
      </c>
      <c r="F1456">
        <v>7</v>
      </c>
      <c r="G1456">
        <v>43.289763999999998</v>
      </c>
      <c r="H1456">
        <v>-71.564260000000004</v>
      </c>
      <c r="I1456">
        <v>370</v>
      </c>
      <c r="J1456">
        <v>86</v>
      </c>
      <c r="K1456">
        <v>0</v>
      </c>
      <c r="L1456" s="1">
        <v>44784.486840277779</v>
      </c>
      <c r="M1456">
        <v>14</v>
      </c>
      <c r="N1456">
        <v>13.2</v>
      </c>
      <c r="O1456">
        <v>0.8</v>
      </c>
      <c r="P1456">
        <v>6</v>
      </c>
      <c r="Q1456">
        <v>0</v>
      </c>
      <c r="R1456">
        <v>0</v>
      </c>
      <c r="S1456">
        <v>0</v>
      </c>
      <c r="T1456" t="s">
        <v>32</v>
      </c>
      <c r="V1456">
        <v>59</v>
      </c>
      <c r="W1456">
        <v>0</v>
      </c>
      <c r="X1456">
        <v>59</v>
      </c>
      <c r="Y1456">
        <v>0</v>
      </c>
      <c r="Z1456">
        <v>0</v>
      </c>
      <c r="AA1456">
        <v>0</v>
      </c>
      <c r="AB1456" t="s">
        <v>36</v>
      </c>
      <c r="AC1456">
        <v>59</v>
      </c>
    </row>
    <row r="1457" spans="1:30" x14ac:dyDescent="0.25">
      <c r="A1457" s="1">
        <v>44784.486886574072</v>
      </c>
      <c r="B1457" s="1">
        <v>44784.484976851854</v>
      </c>
      <c r="C1457">
        <v>151710</v>
      </c>
      <c r="D1457" t="s">
        <v>41</v>
      </c>
      <c r="E1457" t="s">
        <v>31</v>
      </c>
      <c r="F1457">
        <v>7</v>
      </c>
      <c r="G1457">
        <v>43.132477000000002</v>
      </c>
      <c r="H1457">
        <v>-71.458374000000006</v>
      </c>
      <c r="I1457">
        <v>230</v>
      </c>
      <c r="J1457">
        <v>85</v>
      </c>
      <c r="K1457">
        <v>0</v>
      </c>
      <c r="L1457" s="1">
        <v>44784.486840277779</v>
      </c>
      <c r="M1457">
        <v>7.6</v>
      </c>
      <c r="N1457">
        <v>6.4</v>
      </c>
      <c r="O1457">
        <v>1.2</v>
      </c>
      <c r="P1457">
        <v>17</v>
      </c>
      <c r="Q1457">
        <v>0.1</v>
      </c>
      <c r="R1457">
        <v>0</v>
      </c>
      <c r="S1457">
        <v>0.05</v>
      </c>
      <c r="T1457" t="s">
        <v>33</v>
      </c>
      <c r="U1457">
        <v>7</v>
      </c>
      <c r="V1457">
        <v>47</v>
      </c>
      <c r="W1457">
        <v>0</v>
      </c>
      <c r="X1457">
        <v>47</v>
      </c>
      <c r="Y1457">
        <v>1</v>
      </c>
      <c r="Z1457">
        <v>0</v>
      </c>
      <c r="AA1457">
        <v>1</v>
      </c>
      <c r="AB1457" t="s">
        <v>36</v>
      </c>
      <c r="AC1457">
        <v>47</v>
      </c>
      <c r="AD1457">
        <v>3.14</v>
      </c>
    </row>
    <row r="1458" spans="1:30" x14ac:dyDescent="0.25">
      <c r="A1458" s="1">
        <v>44784.486898148149</v>
      </c>
      <c r="B1458" s="1">
        <v>44784.486030092594</v>
      </c>
      <c r="C1458">
        <v>151706</v>
      </c>
      <c r="D1458" t="s">
        <v>42</v>
      </c>
      <c r="E1458" t="s">
        <v>31</v>
      </c>
      <c r="F1458">
        <v>7</v>
      </c>
      <c r="G1458">
        <v>43.004080000000002</v>
      </c>
      <c r="H1458">
        <v>-71.177040000000005</v>
      </c>
      <c r="I1458">
        <v>194</v>
      </c>
      <c r="J1458">
        <v>85</v>
      </c>
      <c r="K1458">
        <v>0</v>
      </c>
      <c r="L1458" s="1">
        <v>44784.486840277779</v>
      </c>
      <c r="M1458">
        <v>6.2</v>
      </c>
      <c r="N1458">
        <v>0</v>
      </c>
      <c r="O1458">
        <v>6.2</v>
      </c>
      <c r="P1458">
        <v>200</v>
      </c>
      <c r="Q1458">
        <v>0.3</v>
      </c>
      <c r="R1458">
        <v>0</v>
      </c>
      <c r="S1458">
        <v>0.15</v>
      </c>
      <c r="T1458" t="s">
        <v>43</v>
      </c>
      <c r="V1458">
        <v>46</v>
      </c>
      <c r="W1458">
        <v>0</v>
      </c>
      <c r="X1458">
        <v>46</v>
      </c>
      <c r="Y1458">
        <v>0</v>
      </c>
      <c r="Z1458">
        <v>0</v>
      </c>
      <c r="AA1458">
        <v>0</v>
      </c>
      <c r="AB1458" t="s">
        <v>36</v>
      </c>
      <c r="AC1458">
        <v>46</v>
      </c>
    </row>
    <row r="1459" spans="1:30" x14ac:dyDescent="0.25">
      <c r="A1459" s="1">
        <v>44784.486898148149</v>
      </c>
      <c r="B1459" s="1">
        <v>44784.485798611109</v>
      </c>
      <c r="C1459">
        <v>12212</v>
      </c>
      <c r="D1459" t="s">
        <v>44</v>
      </c>
      <c r="E1459" t="s">
        <v>35</v>
      </c>
      <c r="F1459">
        <v>7</v>
      </c>
      <c r="G1459">
        <v>42.930529999999997</v>
      </c>
      <c r="H1459">
        <v>-72.272350000000003</v>
      </c>
      <c r="I1459">
        <v>476</v>
      </c>
      <c r="J1459">
        <v>88</v>
      </c>
      <c r="K1459">
        <v>0</v>
      </c>
      <c r="L1459" s="1">
        <v>44784.486840277779</v>
      </c>
      <c r="M1459">
        <v>3.8</v>
      </c>
      <c r="N1459">
        <v>3.3</v>
      </c>
      <c r="O1459">
        <v>0.5</v>
      </c>
      <c r="P1459">
        <v>14</v>
      </c>
      <c r="Q1459">
        <v>0</v>
      </c>
      <c r="R1459">
        <v>0</v>
      </c>
      <c r="S1459">
        <v>0</v>
      </c>
      <c r="T1459" t="s">
        <v>33</v>
      </c>
      <c r="U1459">
        <v>3.55</v>
      </c>
      <c r="V1459">
        <v>36</v>
      </c>
      <c r="W1459">
        <v>0</v>
      </c>
      <c r="X1459">
        <v>36</v>
      </c>
      <c r="Y1459">
        <v>2</v>
      </c>
      <c r="Z1459">
        <v>0</v>
      </c>
      <c r="AA1459">
        <v>2</v>
      </c>
      <c r="AB1459" t="s">
        <v>36</v>
      </c>
      <c r="AC1459">
        <v>36</v>
      </c>
      <c r="AD1459">
        <v>1.81</v>
      </c>
    </row>
    <row r="1460" spans="1:30" x14ac:dyDescent="0.25">
      <c r="A1460" s="1">
        <v>44784.486909722225</v>
      </c>
      <c r="B1460" s="1">
        <v>44769.376736111109</v>
      </c>
      <c r="C1460">
        <v>12178</v>
      </c>
      <c r="D1460" t="s">
        <v>45</v>
      </c>
      <c r="E1460" t="s">
        <v>35</v>
      </c>
      <c r="F1460">
        <v>7</v>
      </c>
      <c r="G1460">
        <v>42.899563000000001</v>
      </c>
      <c r="H1460">
        <v>-71.464650000000006</v>
      </c>
      <c r="I1460">
        <v>301</v>
      </c>
      <c r="J1460">
        <v>85</v>
      </c>
      <c r="K1460">
        <v>0</v>
      </c>
      <c r="L1460" s="1">
        <v>44784.486840277779</v>
      </c>
      <c r="M1460">
        <v>3.8</v>
      </c>
      <c r="N1460">
        <v>3.1</v>
      </c>
      <c r="O1460">
        <v>0.7</v>
      </c>
      <c r="P1460">
        <v>20</v>
      </c>
      <c r="Q1460">
        <v>0</v>
      </c>
      <c r="R1460">
        <v>0</v>
      </c>
      <c r="S1460">
        <v>0</v>
      </c>
      <c r="T1460" t="s">
        <v>32</v>
      </c>
      <c r="V1460">
        <v>35</v>
      </c>
      <c r="W1460">
        <v>0</v>
      </c>
      <c r="X1460">
        <v>35</v>
      </c>
      <c r="Y1460">
        <v>0</v>
      </c>
      <c r="Z1460">
        <v>0</v>
      </c>
      <c r="AA1460">
        <v>0</v>
      </c>
      <c r="AB1460" t="s">
        <v>36</v>
      </c>
      <c r="AC1460">
        <v>35</v>
      </c>
    </row>
    <row r="1461" spans="1:30" x14ac:dyDescent="0.25">
      <c r="A1461" s="1">
        <v>44784.486909722225</v>
      </c>
      <c r="B1461" s="1">
        <v>44784.485092592593</v>
      </c>
      <c r="C1461">
        <v>75981</v>
      </c>
      <c r="D1461" t="s">
        <v>46</v>
      </c>
      <c r="E1461" t="s">
        <v>35</v>
      </c>
      <c r="F1461">
        <v>7</v>
      </c>
      <c r="G1461">
        <v>42.97</v>
      </c>
      <c r="H1461">
        <v>-71.06</v>
      </c>
      <c r="I1461">
        <v>136</v>
      </c>
      <c r="J1461">
        <v>84</v>
      </c>
      <c r="K1461">
        <v>0</v>
      </c>
      <c r="L1461" s="1">
        <v>44784.486840277779</v>
      </c>
      <c r="M1461">
        <v>9.8000000000000007</v>
      </c>
      <c r="N1461">
        <v>9</v>
      </c>
      <c r="O1461">
        <v>0.8</v>
      </c>
      <c r="P1461">
        <v>9</v>
      </c>
      <c r="Q1461">
        <v>0</v>
      </c>
      <c r="R1461">
        <v>0</v>
      </c>
      <c r="S1461">
        <v>0</v>
      </c>
      <c r="T1461" t="s">
        <v>33</v>
      </c>
      <c r="U1461">
        <v>9.4</v>
      </c>
      <c r="V1461">
        <v>49</v>
      </c>
      <c r="W1461">
        <v>0</v>
      </c>
      <c r="X1461">
        <v>49</v>
      </c>
      <c r="Y1461">
        <v>1</v>
      </c>
      <c r="Z1461">
        <v>0</v>
      </c>
      <c r="AA1461">
        <v>1</v>
      </c>
      <c r="AB1461" t="s">
        <v>36</v>
      </c>
      <c r="AC1461">
        <v>49</v>
      </c>
      <c r="AD1461">
        <v>4.46</v>
      </c>
    </row>
    <row r="1462" spans="1:30" x14ac:dyDescent="0.25">
      <c r="A1462" s="1">
        <v>44784.486921296295</v>
      </c>
      <c r="B1462" s="1">
        <v>44784.485625000001</v>
      </c>
      <c r="C1462">
        <v>115703</v>
      </c>
      <c r="D1462" t="s">
        <v>47</v>
      </c>
      <c r="E1462" t="s">
        <v>35</v>
      </c>
      <c r="F1462">
        <v>7</v>
      </c>
      <c r="G1462">
        <v>43.953625000000002</v>
      </c>
      <c r="H1462">
        <v>-71.508859999999999</v>
      </c>
      <c r="I1462">
        <v>1493</v>
      </c>
      <c r="J1462">
        <v>79</v>
      </c>
      <c r="K1462">
        <v>0</v>
      </c>
      <c r="L1462" s="1">
        <v>44784.486840277779</v>
      </c>
      <c r="M1462">
        <v>0</v>
      </c>
      <c r="N1462">
        <v>300.89999999999998</v>
      </c>
      <c r="O1462">
        <v>300.89999999999998</v>
      </c>
      <c r="P1462">
        <v>200</v>
      </c>
      <c r="Q1462">
        <v>0</v>
      </c>
      <c r="R1462">
        <v>0</v>
      </c>
      <c r="S1462">
        <v>0</v>
      </c>
      <c r="T1462" t="s">
        <v>48</v>
      </c>
      <c r="V1462">
        <v>45</v>
      </c>
      <c r="W1462">
        <v>0</v>
      </c>
      <c r="X1462">
        <v>45</v>
      </c>
      <c r="Y1462">
        <v>3</v>
      </c>
      <c r="Z1462">
        <v>0</v>
      </c>
      <c r="AA1462">
        <v>3</v>
      </c>
      <c r="AB1462" t="s">
        <v>36</v>
      </c>
      <c r="AC1462">
        <v>45</v>
      </c>
    </row>
    <row r="1463" spans="1:30" x14ac:dyDescent="0.25">
      <c r="A1463" s="1">
        <v>44784.486921296295</v>
      </c>
      <c r="B1463" s="1">
        <v>44784.485034722224</v>
      </c>
      <c r="C1463">
        <v>12050</v>
      </c>
      <c r="D1463" t="s">
        <v>49</v>
      </c>
      <c r="E1463" t="s">
        <v>35</v>
      </c>
      <c r="F1463">
        <v>7</v>
      </c>
      <c r="G1463">
        <v>44.220573000000002</v>
      </c>
      <c r="H1463">
        <v>-71.732315</v>
      </c>
      <c r="I1463">
        <v>999</v>
      </c>
      <c r="J1463">
        <v>85</v>
      </c>
      <c r="K1463">
        <v>0</v>
      </c>
      <c r="L1463" s="1">
        <v>44784.486840277779</v>
      </c>
      <c r="M1463">
        <v>3.4</v>
      </c>
      <c r="N1463">
        <v>3.2</v>
      </c>
      <c r="O1463">
        <v>0.2</v>
      </c>
      <c r="P1463">
        <v>6</v>
      </c>
      <c r="Q1463">
        <v>0.2</v>
      </c>
      <c r="R1463">
        <v>0</v>
      </c>
      <c r="S1463">
        <v>0.1</v>
      </c>
      <c r="T1463" t="s">
        <v>33</v>
      </c>
      <c r="U1463">
        <v>3.3</v>
      </c>
      <c r="V1463">
        <v>42</v>
      </c>
      <c r="W1463">
        <v>0</v>
      </c>
      <c r="X1463">
        <v>42</v>
      </c>
      <c r="Y1463">
        <v>0</v>
      </c>
      <c r="Z1463">
        <v>0</v>
      </c>
      <c r="AA1463">
        <v>0</v>
      </c>
      <c r="AB1463" t="s">
        <v>36</v>
      </c>
      <c r="AC1463">
        <v>42</v>
      </c>
      <c r="AD1463">
        <v>1.23</v>
      </c>
    </row>
    <row r="1464" spans="1:30" x14ac:dyDescent="0.25">
      <c r="A1464" s="1">
        <v>44784.486932870372</v>
      </c>
      <c r="B1464" s="1">
        <v>44784.485150462962</v>
      </c>
      <c r="C1464">
        <v>23443</v>
      </c>
      <c r="D1464" t="s">
        <v>50</v>
      </c>
      <c r="E1464" t="s">
        <v>35</v>
      </c>
      <c r="F1464">
        <v>7</v>
      </c>
      <c r="G1464">
        <v>43.556139999999999</v>
      </c>
      <c r="H1464">
        <v>-72.370990000000006</v>
      </c>
      <c r="I1464">
        <v>523</v>
      </c>
      <c r="J1464">
        <v>96</v>
      </c>
      <c r="K1464">
        <v>0</v>
      </c>
      <c r="L1464" s="1">
        <v>44784.486840277779</v>
      </c>
      <c r="M1464">
        <v>3.3</v>
      </c>
      <c r="N1464">
        <v>3</v>
      </c>
      <c r="O1464">
        <v>0.3</v>
      </c>
      <c r="P1464">
        <v>10</v>
      </c>
      <c r="Q1464">
        <v>0.3</v>
      </c>
      <c r="R1464">
        <v>0.3</v>
      </c>
      <c r="S1464">
        <v>0.3</v>
      </c>
      <c r="T1464" t="s">
        <v>33</v>
      </c>
      <c r="U1464">
        <v>3.15</v>
      </c>
      <c r="V1464">
        <v>29</v>
      </c>
      <c r="W1464">
        <v>0</v>
      </c>
      <c r="X1464">
        <v>29</v>
      </c>
      <c r="Y1464">
        <v>3</v>
      </c>
      <c r="Z1464">
        <v>0</v>
      </c>
      <c r="AA1464">
        <v>3</v>
      </c>
      <c r="AB1464" t="s">
        <v>36</v>
      </c>
      <c r="AC1464">
        <v>29</v>
      </c>
      <c r="AD1464">
        <v>2.0499999999999998</v>
      </c>
    </row>
    <row r="1465" spans="1:30" x14ac:dyDescent="0.25">
      <c r="A1465" s="1">
        <v>44784.486932870372</v>
      </c>
      <c r="B1465" s="1">
        <v>44784.485277777778</v>
      </c>
      <c r="C1465">
        <v>58135</v>
      </c>
      <c r="D1465" t="s">
        <v>51</v>
      </c>
      <c r="E1465" t="s">
        <v>35</v>
      </c>
      <c r="F1465">
        <v>7</v>
      </c>
      <c r="G1465">
        <v>42.883873000000001</v>
      </c>
      <c r="H1465">
        <v>-71.972915999999998</v>
      </c>
      <c r="I1465">
        <v>808</v>
      </c>
      <c r="J1465">
        <v>70</v>
      </c>
      <c r="K1465">
        <v>0</v>
      </c>
      <c r="L1465" s="1">
        <v>44784.486840277779</v>
      </c>
      <c r="M1465">
        <v>2.8</v>
      </c>
      <c r="N1465">
        <v>1.9</v>
      </c>
      <c r="O1465">
        <v>0.9</v>
      </c>
      <c r="P1465">
        <v>38</v>
      </c>
      <c r="Q1465">
        <v>0.1</v>
      </c>
      <c r="R1465">
        <v>0.1</v>
      </c>
      <c r="S1465">
        <v>0.1</v>
      </c>
      <c r="T1465" t="s">
        <v>33</v>
      </c>
      <c r="U1465">
        <v>2.35</v>
      </c>
      <c r="V1465">
        <v>40</v>
      </c>
      <c r="W1465">
        <v>0</v>
      </c>
      <c r="X1465">
        <v>40</v>
      </c>
      <c r="Y1465">
        <v>3</v>
      </c>
      <c r="Z1465">
        <v>0</v>
      </c>
      <c r="AA1465">
        <v>3</v>
      </c>
      <c r="AB1465" t="s">
        <v>36</v>
      </c>
      <c r="AC1465">
        <v>40</v>
      </c>
      <c r="AD1465">
        <v>0.79</v>
      </c>
    </row>
    <row r="1466" spans="1:30" x14ac:dyDescent="0.25">
      <c r="A1466" s="1">
        <v>44784.486932870372</v>
      </c>
      <c r="B1466" s="1">
        <v>44784.485277777778</v>
      </c>
      <c r="C1466">
        <v>148555</v>
      </c>
      <c r="D1466" t="s">
        <v>52</v>
      </c>
      <c r="E1466" t="s">
        <v>53</v>
      </c>
      <c r="F1466">
        <v>7</v>
      </c>
      <c r="G1466">
        <v>42.904949999999999</v>
      </c>
      <c r="H1466">
        <v>-71.386764999999997</v>
      </c>
      <c r="I1466">
        <v>363</v>
      </c>
      <c r="J1466">
        <v>0</v>
      </c>
      <c r="K1466">
        <v>0</v>
      </c>
      <c r="L1466" s="1">
        <v>44784.486840277779</v>
      </c>
      <c r="M1466">
        <v>3.3</v>
      </c>
      <c r="N1466">
        <v>3.7</v>
      </c>
      <c r="O1466">
        <v>0.4</v>
      </c>
      <c r="P1466">
        <v>11</v>
      </c>
      <c r="Q1466">
        <v>0.3</v>
      </c>
      <c r="R1466">
        <v>0.4</v>
      </c>
      <c r="S1466">
        <v>0.35</v>
      </c>
      <c r="T1466" t="s">
        <v>33</v>
      </c>
      <c r="U1466">
        <v>3.5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 t="s">
        <v>38</v>
      </c>
    </row>
    <row r="1467" spans="1:30" x14ac:dyDescent="0.25">
      <c r="A1467" s="1">
        <v>44784.486944444441</v>
      </c>
      <c r="B1467" s="1">
        <v>44784.486157407409</v>
      </c>
      <c r="C1467">
        <v>146644</v>
      </c>
      <c r="D1467" t="s">
        <v>54</v>
      </c>
      <c r="E1467" t="s">
        <v>53</v>
      </c>
      <c r="F1467">
        <v>7</v>
      </c>
      <c r="G1467">
        <v>43.06015</v>
      </c>
      <c r="H1467">
        <v>-70.758930000000007</v>
      </c>
      <c r="I1467">
        <v>35</v>
      </c>
      <c r="J1467">
        <v>82</v>
      </c>
      <c r="K1467">
        <v>83</v>
      </c>
      <c r="L1467" s="1">
        <v>44784.486840277779</v>
      </c>
      <c r="M1467">
        <v>13.4</v>
      </c>
      <c r="N1467">
        <v>13.1</v>
      </c>
      <c r="O1467">
        <v>0.3</v>
      </c>
      <c r="P1467">
        <v>2</v>
      </c>
      <c r="Q1467">
        <v>0.6</v>
      </c>
      <c r="R1467">
        <v>0.7</v>
      </c>
      <c r="S1467">
        <v>0.64999999999999902</v>
      </c>
      <c r="T1467" t="s">
        <v>33</v>
      </c>
      <c r="U1467">
        <v>13.25</v>
      </c>
      <c r="V1467">
        <v>49</v>
      </c>
      <c r="W1467">
        <v>55</v>
      </c>
      <c r="X1467">
        <v>6</v>
      </c>
      <c r="Y1467">
        <v>1</v>
      </c>
      <c r="Z1467">
        <v>0</v>
      </c>
      <c r="AA1467">
        <v>1</v>
      </c>
      <c r="AB1467" t="s">
        <v>33</v>
      </c>
      <c r="AC1467">
        <v>52</v>
      </c>
      <c r="AD1467">
        <v>6.6</v>
      </c>
    </row>
    <row r="1468" spans="1:30" x14ac:dyDescent="0.25">
      <c r="A1468" s="1">
        <v>44784.486944444441</v>
      </c>
      <c r="B1468" s="1">
        <v>43755.283437500002</v>
      </c>
      <c r="C1468">
        <v>12188</v>
      </c>
      <c r="D1468" t="s">
        <v>55</v>
      </c>
      <c r="E1468" t="s">
        <v>35</v>
      </c>
      <c r="F1468">
        <v>4.1100000000000003</v>
      </c>
      <c r="G1468">
        <v>42.927050000000001</v>
      </c>
      <c r="H1468">
        <v>-72.279610000000005</v>
      </c>
      <c r="I1468">
        <v>475</v>
      </c>
      <c r="J1468">
        <v>95</v>
      </c>
      <c r="K1468">
        <v>0</v>
      </c>
      <c r="L1468" s="1">
        <v>44784.486840277779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 t="s">
        <v>32</v>
      </c>
      <c r="V1468">
        <v>77</v>
      </c>
      <c r="W1468">
        <v>0</v>
      </c>
      <c r="X1468">
        <v>77</v>
      </c>
      <c r="Y1468">
        <v>0</v>
      </c>
      <c r="Z1468">
        <v>0</v>
      </c>
      <c r="AA1468">
        <v>0</v>
      </c>
      <c r="AB1468" t="s">
        <v>36</v>
      </c>
      <c r="AC1468">
        <v>77</v>
      </c>
    </row>
    <row r="1469" spans="1:30" x14ac:dyDescent="0.25">
      <c r="A1469" s="1">
        <v>44784.486956018518</v>
      </c>
      <c r="B1469" s="1">
        <v>44784.486527777779</v>
      </c>
      <c r="C1469">
        <v>1224</v>
      </c>
      <c r="D1469" t="s">
        <v>56</v>
      </c>
      <c r="E1469" t="s">
        <v>35</v>
      </c>
      <c r="F1469" t="s">
        <v>57</v>
      </c>
      <c r="G1469">
        <v>42.938034000000002</v>
      </c>
      <c r="H1469">
        <v>-72.259299999999996</v>
      </c>
      <c r="I1469">
        <v>792</v>
      </c>
      <c r="J1469">
        <v>87</v>
      </c>
      <c r="K1469">
        <v>0</v>
      </c>
      <c r="L1469" s="1">
        <v>44784.486840277779</v>
      </c>
      <c r="M1469">
        <v>3.7</v>
      </c>
      <c r="N1469">
        <v>0.1</v>
      </c>
      <c r="O1469">
        <v>3.6</v>
      </c>
      <c r="P1469">
        <v>189</v>
      </c>
      <c r="Q1469">
        <v>0.3</v>
      </c>
      <c r="R1469">
        <v>0.1</v>
      </c>
      <c r="S1469">
        <v>0.2</v>
      </c>
      <c r="T1469" t="s">
        <v>33</v>
      </c>
      <c r="U1469">
        <v>1.9</v>
      </c>
      <c r="V1469">
        <v>43</v>
      </c>
      <c r="W1469">
        <v>0</v>
      </c>
      <c r="X1469">
        <v>43</v>
      </c>
      <c r="Y1469">
        <v>2</v>
      </c>
      <c r="Z1469">
        <v>0</v>
      </c>
      <c r="AA1469">
        <v>2</v>
      </c>
      <c r="AB1469" t="s">
        <v>36</v>
      </c>
      <c r="AC1469">
        <v>43</v>
      </c>
      <c r="AD1469">
        <v>0.31</v>
      </c>
    </row>
    <row r="1470" spans="1:30" x14ac:dyDescent="0.25">
      <c r="A1470" s="1">
        <v>44784.486956018518</v>
      </c>
      <c r="B1470" s="1">
        <v>44784.485983796294</v>
      </c>
      <c r="C1470">
        <v>1202</v>
      </c>
      <c r="D1470" t="s">
        <v>58</v>
      </c>
      <c r="E1470" t="s">
        <v>35</v>
      </c>
      <c r="F1470" t="s">
        <v>57</v>
      </c>
      <c r="G1470">
        <v>42.936554000000001</v>
      </c>
      <c r="H1470">
        <v>-72.271019999999993</v>
      </c>
      <c r="I1470">
        <v>488</v>
      </c>
      <c r="J1470">
        <v>0</v>
      </c>
      <c r="K1470">
        <v>0</v>
      </c>
      <c r="L1470" s="1">
        <v>44784.486840277779</v>
      </c>
      <c r="M1470">
        <v>4.0999999999999996</v>
      </c>
      <c r="N1470">
        <v>3.6</v>
      </c>
      <c r="O1470">
        <v>0.5</v>
      </c>
      <c r="P1470">
        <v>13</v>
      </c>
      <c r="Q1470">
        <v>0</v>
      </c>
      <c r="R1470">
        <v>0</v>
      </c>
      <c r="S1470">
        <v>0</v>
      </c>
      <c r="T1470" t="s">
        <v>33</v>
      </c>
      <c r="U1470">
        <v>3.85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 t="s">
        <v>38</v>
      </c>
    </row>
    <row r="1471" spans="1:30" x14ac:dyDescent="0.25">
      <c r="A1471" s="1">
        <v>44784.486967592595</v>
      </c>
      <c r="B1471" s="1">
        <v>44612.080023148148</v>
      </c>
      <c r="C1471">
        <v>25985</v>
      </c>
      <c r="D1471" t="s">
        <v>59</v>
      </c>
      <c r="E1471" t="s">
        <v>35</v>
      </c>
      <c r="F1471">
        <v>6.01</v>
      </c>
      <c r="G1471">
        <v>42.927326000000001</v>
      </c>
      <c r="H1471">
        <v>-72.279979999999995</v>
      </c>
      <c r="I1471">
        <v>477</v>
      </c>
      <c r="J1471">
        <v>78</v>
      </c>
      <c r="K1471">
        <v>0</v>
      </c>
      <c r="L1471" s="1">
        <v>44784.486840277779</v>
      </c>
      <c r="M1471">
        <v>1.1000000000000001</v>
      </c>
      <c r="N1471">
        <v>1</v>
      </c>
      <c r="O1471">
        <v>0.1</v>
      </c>
      <c r="P1471">
        <v>10</v>
      </c>
      <c r="Q1471">
        <v>0</v>
      </c>
      <c r="R1471">
        <v>0</v>
      </c>
      <c r="S1471">
        <v>0</v>
      </c>
      <c r="T1471" t="s">
        <v>32</v>
      </c>
      <c r="V1471">
        <v>22</v>
      </c>
      <c r="W1471">
        <v>0</v>
      </c>
      <c r="X1471">
        <v>22</v>
      </c>
      <c r="Y1471">
        <v>0</v>
      </c>
      <c r="Z1471">
        <v>0</v>
      </c>
      <c r="AA1471">
        <v>0</v>
      </c>
      <c r="AB1471" t="s">
        <v>36</v>
      </c>
      <c r="AC1471">
        <v>22</v>
      </c>
    </row>
    <row r="1472" spans="1:30" x14ac:dyDescent="0.25">
      <c r="A1472" s="1">
        <v>44784.493796296294</v>
      </c>
      <c r="B1472" s="1">
        <v>44775.701319444444</v>
      </c>
      <c r="C1472">
        <v>151708</v>
      </c>
      <c r="D1472" t="s">
        <v>30</v>
      </c>
      <c r="E1472" t="s">
        <v>31</v>
      </c>
      <c r="F1472">
        <v>7</v>
      </c>
      <c r="G1472">
        <v>43.192042999999998</v>
      </c>
      <c r="H1472">
        <v>-71.541579999999996</v>
      </c>
      <c r="I1472">
        <v>291</v>
      </c>
      <c r="J1472">
        <v>93</v>
      </c>
      <c r="K1472">
        <v>94</v>
      </c>
      <c r="L1472" s="1">
        <v>44784.493784722225</v>
      </c>
      <c r="M1472">
        <v>7.9</v>
      </c>
      <c r="N1472">
        <v>7.6</v>
      </c>
      <c r="O1472">
        <v>0.3</v>
      </c>
      <c r="P1472">
        <v>4</v>
      </c>
      <c r="Q1472">
        <v>0</v>
      </c>
      <c r="R1472">
        <v>0</v>
      </c>
      <c r="S1472">
        <v>0</v>
      </c>
      <c r="T1472" t="s">
        <v>32</v>
      </c>
      <c r="V1472">
        <v>42</v>
      </c>
      <c r="W1472">
        <v>41</v>
      </c>
      <c r="X1472">
        <v>1</v>
      </c>
      <c r="Y1472">
        <v>0</v>
      </c>
      <c r="Z1472">
        <v>0</v>
      </c>
      <c r="AA1472">
        <v>0</v>
      </c>
      <c r="AB1472" t="s">
        <v>33</v>
      </c>
      <c r="AC1472">
        <v>41.5</v>
      </c>
    </row>
    <row r="1473" spans="1:30" x14ac:dyDescent="0.25">
      <c r="A1473" s="1">
        <v>44784.493807870371</v>
      </c>
      <c r="B1473" s="1">
        <v>44784.4921412037</v>
      </c>
      <c r="C1473">
        <v>143456</v>
      </c>
      <c r="D1473" t="s">
        <v>34</v>
      </c>
      <c r="E1473" t="s">
        <v>35</v>
      </c>
      <c r="F1473">
        <v>7</v>
      </c>
      <c r="G1473">
        <v>43.08963</v>
      </c>
      <c r="H1473">
        <v>-71.502440000000007</v>
      </c>
      <c r="I1473">
        <v>619</v>
      </c>
      <c r="J1473">
        <v>82</v>
      </c>
      <c r="K1473">
        <v>0</v>
      </c>
      <c r="L1473" s="1">
        <v>44784.493784722225</v>
      </c>
      <c r="M1473">
        <v>5.8</v>
      </c>
      <c r="N1473">
        <v>5.5</v>
      </c>
      <c r="O1473">
        <v>0.3</v>
      </c>
      <c r="P1473">
        <v>5</v>
      </c>
      <c r="Q1473">
        <v>0.5</v>
      </c>
      <c r="R1473">
        <v>0.3</v>
      </c>
      <c r="S1473">
        <v>0.4</v>
      </c>
      <c r="T1473" t="s">
        <v>33</v>
      </c>
      <c r="U1473">
        <v>5.65</v>
      </c>
      <c r="V1473">
        <v>51</v>
      </c>
      <c r="W1473">
        <v>0</v>
      </c>
      <c r="X1473">
        <v>51</v>
      </c>
      <c r="Y1473">
        <v>3</v>
      </c>
      <c r="Z1473">
        <v>0</v>
      </c>
      <c r="AA1473">
        <v>3</v>
      </c>
      <c r="AB1473" t="s">
        <v>36</v>
      </c>
      <c r="AC1473">
        <v>51</v>
      </c>
      <c r="AD1473">
        <v>2.04</v>
      </c>
    </row>
    <row r="1474" spans="1:30" x14ac:dyDescent="0.25">
      <c r="A1474" s="1">
        <v>44784.493807870371</v>
      </c>
      <c r="B1474" s="1">
        <v>44784.492303240739</v>
      </c>
      <c r="C1474">
        <v>151702</v>
      </c>
      <c r="D1474" t="s">
        <v>37</v>
      </c>
      <c r="E1474" t="s">
        <v>31</v>
      </c>
      <c r="F1474">
        <v>7</v>
      </c>
      <c r="G1474">
        <v>43.118609999999997</v>
      </c>
      <c r="H1474">
        <v>-71.61618</v>
      </c>
      <c r="I1474">
        <v>885</v>
      </c>
      <c r="J1474">
        <v>0</v>
      </c>
      <c r="K1474">
        <v>0</v>
      </c>
      <c r="L1474" s="1">
        <v>44784.493784722225</v>
      </c>
      <c r="M1474">
        <v>3.7</v>
      </c>
      <c r="N1474">
        <v>3.5</v>
      </c>
      <c r="O1474">
        <v>0.2</v>
      </c>
      <c r="P1474">
        <v>6</v>
      </c>
      <c r="Q1474">
        <v>0.4</v>
      </c>
      <c r="R1474">
        <v>0.6</v>
      </c>
      <c r="S1474">
        <v>0.5</v>
      </c>
      <c r="T1474" t="s">
        <v>33</v>
      </c>
      <c r="U1474">
        <v>3.6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 t="s">
        <v>38</v>
      </c>
    </row>
    <row r="1475" spans="1:30" x14ac:dyDescent="0.25">
      <c r="A1475" s="1">
        <v>44784.493807870371</v>
      </c>
      <c r="B1475" s="1">
        <v>44784.492199074077</v>
      </c>
      <c r="C1475">
        <v>151700</v>
      </c>
      <c r="D1475" t="s">
        <v>30</v>
      </c>
      <c r="E1475" t="s">
        <v>31</v>
      </c>
      <c r="F1475">
        <v>7</v>
      </c>
      <c r="G1475">
        <v>43.19211</v>
      </c>
      <c r="H1475">
        <v>-71.541460000000001</v>
      </c>
      <c r="I1475">
        <v>286</v>
      </c>
      <c r="J1475">
        <v>81</v>
      </c>
      <c r="K1475">
        <v>0</v>
      </c>
      <c r="L1475" s="1">
        <v>44784.493784722225</v>
      </c>
      <c r="M1475">
        <v>5.5</v>
      </c>
      <c r="N1475">
        <v>6.4</v>
      </c>
      <c r="O1475">
        <v>0.9</v>
      </c>
      <c r="P1475">
        <v>15</v>
      </c>
      <c r="Q1475">
        <v>0.1</v>
      </c>
      <c r="R1475">
        <v>0.1</v>
      </c>
      <c r="S1475">
        <v>0.1</v>
      </c>
      <c r="T1475" t="s">
        <v>33</v>
      </c>
      <c r="U1475">
        <v>5.95</v>
      </c>
      <c r="V1475">
        <v>53</v>
      </c>
      <c r="W1475">
        <v>0</v>
      </c>
      <c r="X1475">
        <v>53</v>
      </c>
      <c r="Y1475">
        <v>2</v>
      </c>
      <c r="Z1475">
        <v>0</v>
      </c>
      <c r="AA1475">
        <v>2</v>
      </c>
      <c r="AB1475" t="s">
        <v>36</v>
      </c>
      <c r="AC1475">
        <v>53</v>
      </c>
      <c r="AD1475">
        <v>2.08</v>
      </c>
    </row>
    <row r="1476" spans="1:30" x14ac:dyDescent="0.25">
      <c r="A1476" s="1">
        <v>44784.493819444448</v>
      </c>
      <c r="B1476" s="1">
        <v>44784.492615740739</v>
      </c>
      <c r="C1476">
        <v>135984</v>
      </c>
      <c r="D1476" t="s">
        <v>39</v>
      </c>
      <c r="E1476" t="s">
        <v>31</v>
      </c>
      <c r="F1476">
        <v>7</v>
      </c>
      <c r="G1476">
        <v>43.565852999999997</v>
      </c>
      <c r="H1476">
        <v>-71.496129999999994</v>
      </c>
      <c r="I1476">
        <v>708</v>
      </c>
      <c r="J1476">
        <v>87</v>
      </c>
      <c r="K1476">
        <v>0</v>
      </c>
      <c r="L1476" s="1">
        <v>44784.493784722225</v>
      </c>
      <c r="M1476">
        <v>3</v>
      </c>
      <c r="N1476">
        <v>2.2000000000000002</v>
      </c>
      <c r="O1476">
        <v>0.8</v>
      </c>
      <c r="P1476">
        <v>31</v>
      </c>
      <c r="Q1476">
        <v>0.3</v>
      </c>
      <c r="R1476">
        <v>0.2</v>
      </c>
      <c r="S1476">
        <v>0.25</v>
      </c>
      <c r="T1476" t="s">
        <v>33</v>
      </c>
      <c r="U1476">
        <v>2.6</v>
      </c>
      <c r="V1476">
        <v>50</v>
      </c>
      <c r="W1476">
        <v>0</v>
      </c>
      <c r="X1476">
        <v>50</v>
      </c>
      <c r="Y1476">
        <v>0</v>
      </c>
      <c r="Z1476">
        <v>0</v>
      </c>
      <c r="AA1476">
        <v>0</v>
      </c>
      <c r="AB1476" t="s">
        <v>36</v>
      </c>
      <c r="AC1476">
        <v>50</v>
      </c>
      <c r="AD1476">
        <v>0.25</v>
      </c>
    </row>
    <row r="1477" spans="1:30" x14ac:dyDescent="0.25">
      <c r="A1477" s="1">
        <v>44784.493819444448</v>
      </c>
      <c r="B1477" s="1">
        <v>44780.394780092596</v>
      </c>
      <c r="C1477">
        <v>151712</v>
      </c>
      <c r="D1477" t="s">
        <v>40</v>
      </c>
      <c r="E1477" t="s">
        <v>31</v>
      </c>
      <c r="F1477">
        <v>7</v>
      </c>
      <c r="G1477">
        <v>43.289763999999998</v>
      </c>
      <c r="H1477">
        <v>-71.564260000000004</v>
      </c>
      <c r="I1477">
        <v>370</v>
      </c>
      <c r="J1477">
        <v>86</v>
      </c>
      <c r="K1477">
        <v>0</v>
      </c>
      <c r="L1477" s="1">
        <v>44784.493784722225</v>
      </c>
      <c r="M1477">
        <v>14</v>
      </c>
      <c r="N1477">
        <v>13.2</v>
      </c>
      <c r="O1477">
        <v>0.8</v>
      </c>
      <c r="P1477">
        <v>6</v>
      </c>
      <c r="Q1477">
        <v>0</v>
      </c>
      <c r="R1477">
        <v>0</v>
      </c>
      <c r="S1477">
        <v>0</v>
      </c>
      <c r="T1477" t="s">
        <v>32</v>
      </c>
      <c r="V1477">
        <v>59</v>
      </c>
      <c r="W1477">
        <v>0</v>
      </c>
      <c r="X1477">
        <v>59</v>
      </c>
      <c r="Y1477">
        <v>0</v>
      </c>
      <c r="Z1477">
        <v>0</v>
      </c>
      <c r="AA1477">
        <v>0</v>
      </c>
      <c r="AB1477" t="s">
        <v>36</v>
      </c>
      <c r="AC1477">
        <v>59</v>
      </c>
    </row>
    <row r="1478" spans="1:30" x14ac:dyDescent="0.25">
      <c r="A1478" s="1">
        <v>44784.493819444448</v>
      </c>
      <c r="B1478" s="1">
        <v>44784.493321759262</v>
      </c>
      <c r="C1478">
        <v>151710</v>
      </c>
      <c r="D1478" t="s">
        <v>41</v>
      </c>
      <c r="E1478" t="s">
        <v>31</v>
      </c>
      <c r="F1478">
        <v>7</v>
      </c>
      <c r="G1478">
        <v>43.132477000000002</v>
      </c>
      <c r="H1478">
        <v>-71.458374000000006</v>
      </c>
      <c r="I1478">
        <v>230</v>
      </c>
      <c r="J1478">
        <v>87</v>
      </c>
      <c r="K1478">
        <v>0</v>
      </c>
      <c r="L1478" s="1">
        <v>44784.493784722225</v>
      </c>
      <c r="M1478">
        <v>7.6</v>
      </c>
      <c r="N1478">
        <v>6.6</v>
      </c>
      <c r="O1478">
        <v>1</v>
      </c>
      <c r="P1478">
        <v>14</v>
      </c>
      <c r="Q1478">
        <v>0</v>
      </c>
      <c r="R1478">
        <v>0.2</v>
      </c>
      <c r="S1478">
        <v>0.1</v>
      </c>
      <c r="T1478" t="s">
        <v>33</v>
      </c>
      <c r="U1478">
        <v>7.1</v>
      </c>
      <c r="V1478">
        <v>43</v>
      </c>
      <c r="W1478">
        <v>0</v>
      </c>
      <c r="X1478">
        <v>43</v>
      </c>
      <c r="Y1478">
        <v>4</v>
      </c>
      <c r="Z1478">
        <v>0</v>
      </c>
      <c r="AA1478">
        <v>4</v>
      </c>
      <c r="AB1478" t="s">
        <v>36</v>
      </c>
      <c r="AC1478">
        <v>43</v>
      </c>
      <c r="AD1478">
        <v>3.48</v>
      </c>
    </row>
    <row r="1479" spans="1:30" x14ac:dyDescent="0.25">
      <c r="A1479" s="1">
        <v>44784.493831018517</v>
      </c>
      <c r="B1479" s="1">
        <v>44784.492974537039</v>
      </c>
      <c r="C1479">
        <v>151706</v>
      </c>
      <c r="D1479" t="s">
        <v>42</v>
      </c>
      <c r="E1479" t="s">
        <v>31</v>
      </c>
      <c r="F1479">
        <v>7</v>
      </c>
      <c r="G1479">
        <v>43.004080000000002</v>
      </c>
      <c r="H1479">
        <v>-71.177040000000005</v>
      </c>
      <c r="I1479">
        <v>194</v>
      </c>
      <c r="J1479">
        <v>86</v>
      </c>
      <c r="K1479">
        <v>0</v>
      </c>
      <c r="L1479" s="1">
        <v>44784.493784722225</v>
      </c>
      <c r="M1479">
        <v>6.3</v>
      </c>
      <c r="N1479">
        <v>0</v>
      </c>
      <c r="O1479">
        <v>6.3</v>
      </c>
      <c r="P1479">
        <v>200</v>
      </c>
      <c r="Q1479">
        <v>0.1</v>
      </c>
      <c r="R1479">
        <v>0</v>
      </c>
      <c r="S1479">
        <v>0.05</v>
      </c>
      <c r="T1479" t="s">
        <v>43</v>
      </c>
      <c r="V1479">
        <v>46</v>
      </c>
      <c r="W1479">
        <v>0</v>
      </c>
      <c r="X1479">
        <v>46</v>
      </c>
      <c r="Y1479">
        <v>0</v>
      </c>
      <c r="Z1479">
        <v>0</v>
      </c>
      <c r="AA1479">
        <v>0</v>
      </c>
      <c r="AB1479" t="s">
        <v>36</v>
      </c>
      <c r="AC1479">
        <v>46</v>
      </c>
    </row>
    <row r="1480" spans="1:30" x14ac:dyDescent="0.25">
      <c r="A1480" s="1">
        <v>44784.493831018517</v>
      </c>
      <c r="B1480" s="1">
        <v>44784.492743055554</v>
      </c>
      <c r="C1480">
        <v>12212</v>
      </c>
      <c r="D1480" t="s">
        <v>44</v>
      </c>
      <c r="E1480" t="s">
        <v>35</v>
      </c>
      <c r="F1480">
        <v>7</v>
      </c>
      <c r="G1480">
        <v>42.930529999999997</v>
      </c>
      <c r="H1480">
        <v>-72.272350000000003</v>
      </c>
      <c r="I1480">
        <v>476</v>
      </c>
      <c r="J1480">
        <v>88</v>
      </c>
      <c r="K1480">
        <v>0</v>
      </c>
      <c r="L1480" s="1">
        <v>44784.493784722225</v>
      </c>
      <c r="M1480">
        <v>4</v>
      </c>
      <c r="N1480">
        <v>3.5</v>
      </c>
      <c r="O1480">
        <v>0.5</v>
      </c>
      <c r="P1480">
        <v>13</v>
      </c>
      <c r="Q1480">
        <v>0.2</v>
      </c>
      <c r="R1480">
        <v>0.2</v>
      </c>
      <c r="S1480">
        <v>0.2</v>
      </c>
      <c r="T1480" t="s">
        <v>33</v>
      </c>
      <c r="U1480">
        <v>3.75</v>
      </c>
      <c r="V1480">
        <v>36</v>
      </c>
      <c r="W1480">
        <v>0</v>
      </c>
      <c r="X1480">
        <v>36</v>
      </c>
      <c r="Y1480">
        <v>0</v>
      </c>
      <c r="Z1480">
        <v>0</v>
      </c>
      <c r="AA1480">
        <v>0</v>
      </c>
      <c r="AB1480" t="s">
        <v>36</v>
      </c>
      <c r="AC1480">
        <v>36</v>
      </c>
      <c r="AD1480">
        <v>1.93</v>
      </c>
    </row>
    <row r="1481" spans="1:30" x14ac:dyDescent="0.25">
      <c r="A1481" s="1">
        <v>44784.493831018517</v>
      </c>
      <c r="B1481" s="1">
        <v>44769.376736111109</v>
      </c>
      <c r="C1481">
        <v>12178</v>
      </c>
      <c r="D1481" t="s">
        <v>45</v>
      </c>
      <c r="E1481" t="s">
        <v>35</v>
      </c>
      <c r="F1481">
        <v>7</v>
      </c>
      <c r="G1481">
        <v>42.899563000000001</v>
      </c>
      <c r="H1481">
        <v>-71.464650000000006</v>
      </c>
      <c r="I1481">
        <v>301</v>
      </c>
      <c r="J1481">
        <v>85</v>
      </c>
      <c r="K1481">
        <v>0</v>
      </c>
      <c r="L1481" s="1">
        <v>44784.493784722225</v>
      </c>
      <c r="M1481">
        <v>3.8</v>
      </c>
      <c r="N1481">
        <v>3.1</v>
      </c>
      <c r="O1481">
        <v>0.7</v>
      </c>
      <c r="P1481">
        <v>20</v>
      </c>
      <c r="Q1481">
        <v>0</v>
      </c>
      <c r="R1481">
        <v>0</v>
      </c>
      <c r="S1481">
        <v>0</v>
      </c>
      <c r="T1481" t="s">
        <v>32</v>
      </c>
      <c r="V1481">
        <v>35</v>
      </c>
      <c r="W1481">
        <v>0</v>
      </c>
      <c r="X1481">
        <v>35</v>
      </c>
      <c r="Y1481">
        <v>0</v>
      </c>
      <c r="Z1481">
        <v>0</v>
      </c>
      <c r="AA1481">
        <v>0</v>
      </c>
      <c r="AB1481" t="s">
        <v>36</v>
      </c>
      <c r="AC1481">
        <v>35</v>
      </c>
    </row>
    <row r="1482" spans="1:30" x14ac:dyDescent="0.25">
      <c r="A1482" s="1">
        <v>44784.493842592594</v>
      </c>
      <c r="B1482" s="1">
        <v>44784.492037037038</v>
      </c>
      <c r="C1482">
        <v>75981</v>
      </c>
      <c r="D1482" t="s">
        <v>46</v>
      </c>
      <c r="E1482" t="s">
        <v>35</v>
      </c>
      <c r="F1482">
        <v>7</v>
      </c>
      <c r="G1482">
        <v>42.97</v>
      </c>
      <c r="H1482">
        <v>-71.06</v>
      </c>
      <c r="I1482">
        <v>136</v>
      </c>
      <c r="J1482">
        <v>85</v>
      </c>
      <c r="K1482">
        <v>0</v>
      </c>
      <c r="L1482" s="1">
        <v>44784.493784722225</v>
      </c>
      <c r="M1482">
        <v>9.5</v>
      </c>
      <c r="N1482">
        <v>9.1</v>
      </c>
      <c r="O1482">
        <v>0.4</v>
      </c>
      <c r="P1482">
        <v>4</v>
      </c>
      <c r="Q1482">
        <v>0.3</v>
      </c>
      <c r="R1482">
        <v>0.1</v>
      </c>
      <c r="S1482">
        <v>0.2</v>
      </c>
      <c r="T1482" t="s">
        <v>33</v>
      </c>
      <c r="U1482">
        <v>9.3000000000000007</v>
      </c>
      <c r="V1482">
        <v>49</v>
      </c>
      <c r="W1482">
        <v>0</v>
      </c>
      <c r="X1482">
        <v>49</v>
      </c>
      <c r="Y1482">
        <v>0</v>
      </c>
      <c r="Z1482">
        <v>0</v>
      </c>
      <c r="AA1482">
        <v>0</v>
      </c>
      <c r="AB1482" t="s">
        <v>36</v>
      </c>
      <c r="AC1482">
        <v>49</v>
      </c>
      <c r="AD1482">
        <v>4.4000000000000004</v>
      </c>
    </row>
    <row r="1483" spans="1:30" x14ac:dyDescent="0.25">
      <c r="A1483" s="1">
        <v>44784.493842592594</v>
      </c>
      <c r="B1483" s="1">
        <v>44784.492569444446</v>
      </c>
      <c r="C1483">
        <v>115703</v>
      </c>
      <c r="D1483" t="s">
        <v>47</v>
      </c>
      <c r="E1483" t="s">
        <v>35</v>
      </c>
      <c r="F1483">
        <v>7</v>
      </c>
      <c r="G1483">
        <v>43.953625000000002</v>
      </c>
      <c r="H1483">
        <v>-71.508859999999999</v>
      </c>
      <c r="I1483">
        <v>1493</v>
      </c>
      <c r="J1483">
        <v>79</v>
      </c>
      <c r="K1483">
        <v>0</v>
      </c>
      <c r="L1483" s="1">
        <v>44784.493784722225</v>
      </c>
      <c r="M1483">
        <v>0</v>
      </c>
      <c r="N1483">
        <v>300.89999999999998</v>
      </c>
      <c r="O1483">
        <v>300.89999999999998</v>
      </c>
      <c r="P1483">
        <v>200</v>
      </c>
      <c r="Q1483">
        <v>0</v>
      </c>
      <c r="R1483">
        <v>0</v>
      </c>
      <c r="S1483">
        <v>0</v>
      </c>
      <c r="T1483" t="s">
        <v>48</v>
      </c>
      <c r="V1483">
        <v>42</v>
      </c>
      <c r="W1483">
        <v>0</v>
      </c>
      <c r="X1483">
        <v>42</v>
      </c>
      <c r="Y1483">
        <v>3</v>
      </c>
      <c r="Z1483">
        <v>0</v>
      </c>
      <c r="AA1483">
        <v>3</v>
      </c>
      <c r="AB1483" t="s">
        <v>36</v>
      </c>
      <c r="AC1483">
        <v>42</v>
      </c>
    </row>
    <row r="1484" spans="1:30" x14ac:dyDescent="0.25">
      <c r="A1484" s="1">
        <v>44784.493842592594</v>
      </c>
      <c r="B1484" s="1">
        <v>44784.491979166669</v>
      </c>
      <c r="C1484">
        <v>12050</v>
      </c>
      <c r="D1484" t="s">
        <v>49</v>
      </c>
      <c r="E1484" t="s">
        <v>35</v>
      </c>
      <c r="F1484">
        <v>7</v>
      </c>
      <c r="G1484">
        <v>44.220573000000002</v>
      </c>
      <c r="H1484">
        <v>-71.732315</v>
      </c>
      <c r="I1484">
        <v>999</v>
      </c>
      <c r="J1484">
        <v>85</v>
      </c>
      <c r="K1484">
        <v>0</v>
      </c>
      <c r="L1484" s="1">
        <v>44784.493784722225</v>
      </c>
      <c r="M1484">
        <v>3.4</v>
      </c>
      <c r="N1484">
        <v>3.3</v>
      </c>
      <c r="O1484">
        <v>0.1</v>
      </c>
      <c r="P1484">
        <v>3</v>
      </c>
      <c r="Q1484">
        <v>0</v>
      </c>
      <c r="R1484">
        <v>0.1</v>
      </c>
      <c r="S1484">
        <v>0.05</v>
      </c>
      <c r="T1484" t="s">
        <v>33</v>
      </c>
      <c r="U1484">
        <v>3.35</v>
      </c>
      <c r="V1484">
        <v>41</v>
      </c>
      <c r="W1484">
        <v>0</v>
      </c>
      <c r="X1484">
        <v>41</v>
      </c>
      <c r="Y1484">
        <v>1</v>
      </c>
      <c r="Z1484">
        <v>0</v>
      </c>
      <c r="AA1484">
        <v>1</v>
      </c>
      <c r="AB1484" t="s">
        <v>36</v>
      </c>
      <c r="AC1484">
        <v>41</v>
      </c>
      <c r="AD1484">
        <v>1.33</v>
      </c>
    </row>
    <row r="1485" spans="1:30" x14ac:dyDescent="0.25">
      <c r="A1485" s="1">
        <v>44784.493900462963</v>
      </c>
      <c r="B1485" s="1">
        <v>44784.493495370371</v>
      </c>
      <c r="C1485">
        <v>23443</v>
      </c>
      <c r="D1485" t="s">
        <v>50</v>
      </c>
      <c r="E1485" t="s">
        <v>35</v>
      </c>
      <c r="F1485">
        <v>7</v>
      </c>
      <c r="G1485">
        <v>43.556139999999999</v>
      </c>
      <c r="H1485">
        <v>-72.370990000000006</v>
      </c>
      <c r="I1485">
        <v>523</v>
      </c>
      <c r="J1485">
        <v>98</v>
      </c>
      <c r="K1485">
        <v>0</v>
      </c>
      <c r="L1485" s="1">
        <v>44784.493784722225</v>
      </c>
      <c r="M1485">
        <v>3</v>
      </c>
      <c r="N1485">
        <v>2.5</v>
      </c>
      <c r="O1485">
        <v>0.5</v>
      </c>
      <c r="P1485">
        <v>18</v>
      </c>
      <c r="Q1485">
        <v>0.3</v>
      </c>
      <c r="R1485">
        <v>0.5</v>
      </c>
      <c r="S1485">
        <v>0.4</v>
      </c>
      <c r="T1485" t="s">
        <v>33</v>
      </c>
      <c r="U1485">
        <v>2.75</v>
      </c>
      <c r="V1485">
        <v>26</v>
      </c>
      <c r="W1485">
        <v>0</v>
      </c>
      <c r="X1485">
        <v>26</v>
      </c>
      <c r="Y1485">
        <v>3</v>
      </c>
      <c r="Z1485">
        <v>0</v>
      </c>
      <c r="AA1485">
        <v>3</v>
      </c>
      <c r="AB1485" t="s">
        <v>36</v>
      </c>
      <c r="AC1485">
        <v>26</v>
      </c>
      <c r="AD1485">
        <v>2.02</v>
      </c>
    </row>
    <row r="1486" spans="1:30" x14ac:dyDescent="0.25">
      <c r="A1486" s="1">
        <v>44784.493900462963</v>
      </c>
      <c r="B1486" s="1">
        <v>44784.492222222223</v>
      </c>
      <c r="C1486">
        <v>58135</v>
      </c>
      <c r="D1486" t="s">
        <v>51</v>
      </c>
      <c r="E1486" t="s">
        <v>35</v>
      </c>
      <c r="F1486">
        <v>7</v>
      </c>
      <c r="G1486">
        <v>42.883873000000001</v>
      </c>
      <c r="H1486">
        <v>-71.972915999999998</v>
      </c>
      <c r="I1486">
        <v>808</v>
      </c>
      <c r="J1486">
        <v>85</v>
      </c>
      <c r="K1486">
        <v>0</v>
      </c>
      <c r="L1486" s="1">
        <v>44784.493784722225</v>
      </c>
      <c r="M1486">
        <v>2.9</v>
      </c>
      <c r="N1486">
        <v>1.8</v>
      </c>
      <c r="O1486">
        <v>1.1000000000000001</v>
      </c>
      <c r="P1486">
        <v>47</v>
      </c>
      <c r="Q1486">
        <v>0.1</v>
      </c>
      <c r="R1486">
        <v>0.1</v>
      </c>
      <c r="S1486">
        <v>0.1</v>
      </c>
      <c r="T1486" t="s">
        <v>33</v>
      </c>
      <c r="U1486">
        <v>2.35</v>
      </c>
      <c r="V1486">
        <v>39</v>
      </c>
      <c r="W1486">
        <v>0</v>
      </c>
      <c r="X1486">
        <v>39</v>
      </c>
      <c r="Y1486">
        <v>1</v>
      </c>
      <c r="Z1486">
        <v>0</v>
      </c>
      <c r="AA1486">
        <v>1</v>
      </c>
      <c r="AB1486" t="s">
        <v>36</v>
      </c>
      <c r="AC1486">
        <v>39</v>
      </c>
      <c r="AD1486">
        <v>0.86</v>
      </c>
    </row>
    <row r="1487" spans="1:30" x14ac:dyDescent="0.25">
      <c r="A1487" s="1">
        <v>44784.49391203704</v>
      </c>
      <c r="B1487" s="1">
        <v>44784.492222222223</v>
      </c>
      <c r="C1487">
        <v>148555</v>
      </c>
      <c r="D1487" t="s">
        <v>52</v>
      </c>
      <c r="E1487" t="s">
        <v>53</v>
      </c>
      <c r="F1487">
        <v>7</v>
      </c>
      <c r="G1487">
        <v>42.904949999999999</v>
      </c>
      <c r="H1487">
        <v>-71.386764999999997</v>
      </c>
      <c r="I1487">
        <v>363</v>
      </c>
      <c r="J1487">
        <v>0</v>
      </c>
      <c r="K1487">
        <v>0</v>
      </c>
      <c r="L1487" s="1">
        <v>44784.493784722225</v>
      </c>
      <c r="M1487">
        <v>3.3</v>
      </c>
      <c r="N1487">
        <v>3.7</v>
      </c>
      <c r="O1487">
        <v>0.4</v>
      </c>
      <c r="P1487">
        <v>11</v>
      </c>
      <c r="Q1487">
        <v>0</v>
      </c>
      <c r="R1487">
        <v>0</v>
      </c>
      <c r="S1487">
        <v>0</v>
      </c>
      <c r="T1487" t="s">
        <v>33</v>
      </c>
      <c r="U1487">
        <v>3.5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 t="s">
        <v>38</v>
      </c>
    </row>
    <row r="1488" spans="1:30" x14ac:dyDescent="0.25">
      <c r="A1488" s="1">
        <v>44784.49391203704</v>
      </c>
      <c r="B1488" s="1">
        <v>44784.493101851855</v>
      </c>
      <c r="C1488">
        <v>146644</v>
      </c>
      <c r="D1488" t="s">
        <v>54</v>
      </c>
      <c r="E1488" t="s">
        <v>53</v>
      </c>
      <c r="F1488">
        <v>7</v>
      </c>
      <c r="G1488">
        <v>43.06015</v>
      </c>
      <c r="H1488">
        <v>-70.758930000000007</v>
      </c>
      <c r="I1488">
        <v>35</v>
      </c>
      <c r="J1488">
        <v>82</v>
      </c>
      <c r="K1488">
        <v>84</v>
      </c>
      <c r="L1488" s="1">
        <v>44784.493784722225</v>
      </c>
      <c r="M1488">
        <v>14.2</v>
      </c>
      <c r="N1488">
        <v>13.7</v>
      </c>
      <c r="O1488">
        <v>0.5</v>
      </c>
      <c r="P1488">
        <v>4</v>
      </c>
      <c r="Q1488">
        <v>0.8</v>
      </c>
      <c r="R1488">
        <v>0.6</v>
      </c>
      <c r="S1488">
        <v>0.7</v>
      </c>
      <c r="T1488" t="s">
        <v>33</v>
      </c>
      <c r="U1488">
        <v>13.95</v>
      </c>
      <c r="V1488">
        <v>50</v>
      </c>
      <c r="W1488">
        <v>56</v>
      </c>
      <c r="X1488">
        <v>6</v>
      </c>
      <c r="Y1488">
        <v>1</v>
      </c>
      <c r="Z1488">
        <v>1</v>
      </c>
      <c r="AA1488">
        <v>0</v>
      </c>
      <c r="AB1488" t="s">
        <v>33</v>
      </c>
      <c r="AC1488">
        <v>53</v>
      </c>
      <c r="AD1488">
        <v>6.96</v>
      </c>
    </row>
    <row r="1489" spans="1:30" x14ac:dyDescent="0.25">
      <c r="A1489" s="1">
        <v>44784.49391203704</v>
      </c>
      <c r="B1489" s="1">
        <v>43755.283437500002</v>
      </c>
      <c r="C1489">
        <v>12188</v>
      </c>
      <c r="D1489" t="s">
        <v>55</v>
      </c>
      <c r="E1489" t="s">
        <v>35</v>
      </c>
      <c r="F1489">
        <v>4.1100000000000003</v>
      </c>
      <c r="G1489">
        <v>42.927050000000001</v>
      </c>
      <c r="H1489">
        <v>-72.279610000000005</v>
      </c>
      <c r="I1489">
        <v>475</v>
      </c>
      <c r="J1489">
        <v>95</v>
      </c>
      <c r="K1489">
        <v>0</v>
      </c>
      <c r="L1489" s="1">
        <v>44784.493784722225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 t="s">
        <v>32</v>
      </c>
      <c r="V1489">
        <v>77</v>
      </c>
      <c r="W1489">
        <v>0</v>
      </c>
      <c r="X1489">
        <v>77</v>
      </c>
      <c r="Y1489">
        <v>0</v>
      </c>
      <c r="Z1489">
        <v>0</v>
      </c>
      <c r="AA1489">
        <v>0</v>
      </c>
      <c r="AB1489" t="s">
        <v>36</v>
      </c>
      <c r="AC1489">
        <v>77</v>
      </c>
    </row>
    <row r="1490" spans="1:30" x14ac:dyDescent="0.25">
      <c r="A1490" s="1">
        <v>44784.493923611109</v>
      </c>
      <c r="B1490" s="1">
        <v>44784.492094907408</v>
      </c>
      <c r="C1490">
        <v>1224</v>
      </c>
      <c r="D1490" t="s">
        <v>56</v>
      </c>
      <c r="E1490" t="s">
        <v>35</v>
      </c>
      <c r="F1490" t="s">
        <v>57</v>
      </c>
      <c r="G1490">
        <v>42.938034000000002</v>
      </c>
      <c r="H1490">
        <v>-72.259299999999996</v>
      </c>
      <c r="I1490">
        <v>792</v>
      </c>
      <c r="J1490">
        <v>89</v>
      </c>
      <c r="K1490">
        <v>0</v>
      </c>
      <c r="L1490" s="1">
        <v>44784.493784722225</v>
      </c>
      <c r="M1490">
        <v>3.8</v>
      </c>
      <c r="N1490">
        <v>0</v>
      </c>
      <c r="O1490">
        <v>3.8</v>
      </c>
      <c r="P1490">
        <v>200</v>
      </c>
      <c r="Q1490">
        <v>0.1</v>
      </c>
      <c r="R1490">
        <v>0.1</v>
      </c>
      <c r="S1490">
        <v>0.1</v>
      </c>
      <c r="T1490" t="s">
        <v>43</v>
      </c>
      <c r="V1490">
        <v>43</v>
      </c>
      <c r="W1490">
        <v>0</v>
      </c>
      <c r="X1490">
        <v>43</v>
      </c>
      <c r="Y1490">
        <v>0</v>
      </c>
      <c r="Z1490">
        <v>0</v>
      </c>
      <c r="AA1490">
        <v>0</v>
      </c>
      <c r="AB1490" t="s">
        <v>36</v>
      </c>
      <c r="AC1490">
        <v>43</v>
      </c>
    </row>
    <row r="1491" spans="1:30" x14ac:dyDescent="0.25">
      <c r="A1491" s="1">
        <v>44784.493923611109</v>
      </c>
      <c r="B1491" s="1">
        <v>44784.492928240739</v>
      </c>
      <c r="C1491">
        <v>1202</v>
      </c>
      <c r="D1491" t="s">
        <v>58</v>
      </c>
      <c r="E1491" t="s">
        <v>35</v>
      </c>
      <c r="F1491" t="s">
        <v>57</v>
      </c>
      <c r="G1491">
        <v>42.936554000000001</v>
      </c>
      <c r="H1491">
        <v>-72.271019999999993</v>
      </c>
      <c r="I1491">
        <v>488</v>
      </c>
      <c r="J1491">
        <v>0</v>
      </c>
      <c r="K1491">
        <v>0</v>
      </c>
      <c r="L1491" s="1">
        <v>44784.493784722225</v>
      </c>
      <c r="M1491">
        <v>4.4000000000000004</v>
      </c>
      <c r="N1491">
        <v>3.6</v>
      </c>
      <c r="O1491">
        <v>0.8</v>
      </c>
      <c r="P1491">
        <v>20</v>
      </c>
      <c r="Q1491">
        <v>0.3</v>
      </c>
      <c r="R1491">
        <v>0</v>
      </c>
      <c r="S1491">
        <v>0.15</v>
      </c>
      <c r="T1491" t="s">
        <v>33</v>
      </c>
      <c r="U1491">
        <v>4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 t="s">
        <v>38</v>
      </c>
    </row>
    <row r="1492" spans="1:30" x14ac:dyDescent="0.25">
      <c r="A1492" s="1">
        <v>44784.493923611109</v>
      </c>
      <c r="B1492" s="1">
        <v>44612.080023148148</v>
      </c>
      <c r="C1492">
        <v>25985</v>
      </c>
      <c r="D1492" t="s">
        <v>59</v>
      </c>
      <c r="E1492" t="s">
        <v>35</v>
      </c>
      <c r="F1492">
        <v>6.01</v>
      </c>
      <c r="G1492">
        <v>42.927326000000001</v>
      </c>
      <c r="H1492">
        <v>-72.279979999999995</v>
      </c>
      <c r="I1492">
        <v>477</v>
      </c>
      <c r="J1492">
        <v>78</v>
      </c>
      <c r="K1492">
        <v>0</v>
      </c>
      <c r="L1492" s="1">
        <v>44784.493784722225</v>
      </c>
      <c r="M1492">
        <v>1.1000000000000001</v>
      </c>
      <c r="N1492">
        <v>1</v>
      </c>
      <c r="O1492">
        <v>0.1</v>
      </c>
      <c r="P1492">
        <v>10</v>
      </c>
      <c r="Q1492">
        <v>0</v>
      </c>
      <c r="R1492">
        <v>0</v>
      </c>
      <c r="S1492">
        <v>0</v>
      </c>
      <c r="T1492" t="s">
        <v>32</v>
      </c>
      <c r="V1492">
        <v>22</v>
      </c>
      <c r="W1492">
        <v>0</v>
      </c>
      <c r="X1492">
        <v>22</v>
      </c>
      <c r="Y1492">
        <v>0</v>
      </c>
      <c r="Z1492">
        <v>0</v>
      </c>
      <c r="AA1492">
        <v>0</v>
      </c>
      <c r="AB1492" t="s">
        <v>36</v>
      </c>
      <c r="AC1492">
        <v>22</v>
      </c>
    </row>
    <row r="1493" spans="1:30" x14ac:dyDescent="0.25">
      <c r="A1493" s="1">
        <v>44784.500740740739</v>
      </c>
      <c r="B1493" s="1">
        <v>44775.701319444444</v>
      </c>
      <c r="C1493">
        <v>151708</v>
      </c>
      <c r="D1493" t="s">
        <v>30</v>
      </c>
      <c r="E1493" t="s">
        <v>31</v>
      </c>
      <c r="F1493">
        <v>7</v>
      </c>
      <c r="G1493">
        <v>43.192042999999998</v>
      </c>
      <c r="H1493">
        <v>-71.541579999999996</v>
      </c>
      <c r="I1493">
        <v>291</v>
      </c>
      <c r="J1493">
        <v>93</v>
      </c>
      <c r="K1493">
        <v>94</v>
      </c>
      <c r="L1493" s="1">
        <v>44784.50072916667</v>
      </c>
      <c r="M1493">
        <v>7.9</v>
      </c>
      <c r="N1493">
        <v>7.6</v>
      </c>
      <c r="O1493">
        <v>0.3</v>
      </c>
      <c r="P1493">
        <v>4</v>
      </c>
      <c r="Q1493">
        <v>0</v>
      </c>
      <c r="R1493">
        <v>0</v>
      </c>
      <c r="S1493">
        <v>0</v>
      </c>
      <c r="T1493" t="s">
        <v>32</v>
      </c>
      <c r="V1493">
        <v>42</v>
      </c>
      <c r="W1493">
        <v>41</v>
      </c>
      <c r="X1493">
        <v>1</v>
      </c>
      <c r="Y1493">
        <v>0</v>
      </c>
      <c r="Z1493">
        <v>0</v>
      </c>
      <c r="AA1493">
        <v>0</v>
      </c>
      <c r="AB1493" t="s">
        <v>33</v>
      </c>
      <c r="AC1493">
        <v>41.5</v>
      </c>
    </row>
    <row r="1494" spans="1:30" x14ac:dyDescent="0.25">
      <c r="A1494" s="1">
        <v>44784.500752314816</v>
      </c>
      <c r="B1494" s="1">
        <v>44784.499074074076</v>
      </c>
      <c r="C1494">
        <v>143456</v>
      </c>
      <c r="D1494" t="s">
        <v>34</v>
      </c>
      <c r="E1494" t="s">
        <v>35</v>
      </c>
      <c r="F1494">
        <v>7</v>
      </c>
      <c r="G1494">
        <v>43.08963</v>
      </c>
      <c r="H1494">
        <v>-71.502440000000007</v>
      </c>
      <c r="I1494">
        <v>619</v>
      </c>
      <c r="J1494">
        <v>83</v>
      </c>
      <c r="K1494">
        <v>0</v>
      </c>
      <c r="L1494" s="1">
        <v>44784.50072916667</v>
      </c>
      <c r="M1494">
        <v>5.0999999999999996</v>
      </c>
      <c r="N1494">
        <v>5</v>
      </c>
      <c r="O1494">
        <v>0.1</v>
      </c>
      <c r="P1494">
        <v>2</v>
      </c>
      <c r="Q1494">
        <v>0.7</v>
      </c>
      <c r="R1494">
        <v>0.5</v>
      </c>
      <c r="S1494">
        <v>0.6</v>
      </c>
      <c r="T1494" t="s">
        <v>33</v>
      </c>
      <c r="U1494">
        <v>5.05</v>
      </c>
      <c r="V1494">
        <v>50</v>
      </c>
      <c r="W1494">
        <v>0</v>
      </c>
      <c r="X1494">
        <v>50</v>
      </c>
      <c r="Y1494">
        <v>1</v>
      </c>
      <c r="Z1494">
        <v>0</v>
      </c>
      <c r="AA1494">
        <v>1</v>
      </c>
      <c r="AB1494" t="s">
        <v>36</v>
      </c>
      <c r="AC1494">
        <v>50</v>
      </c>
      <c r="AD1494">
        <v>1.74</v>
      </c>
    </row>
    <row r="1495" spans="1:30" x14ac:dyDescent="0.25">
      <c r="A1495" s="1">
        <v>44784.500752314816</v>
      </c>
      <c r="B1495" s="1">
        <v>44784.500636574077</v>
      </c>
      <c r="C1495">
        <v>151702</v>
      </c>
      <c r="D1495" t="s">
        <v>37</v>
      </c>
      <c r="E1495" t="s">
        <v>31</v>
      </c>
      <c r="F1495">
        <v>7</v>
      </c>
      <c r="G1495">
        <v>43.118609999999997</v>
      </c>
      <c r="H1495">
        <v>-71.61618</v>
      </c>
      <c r="I1495">
        <v>885</v>
      </c>
      <c r="J1495">
        <v>0</v>
      </c>
      <c r="K1495">
        <v>0</v>
      </c>
      <c r="L1495" s="1">
        <v>44784.50072916667</v>
      </c>
      <c r="M1495">
        <v>3.6</v>
      </c>
      <c r="N1495">
        <v>3.5</v>
      </c>
      <c r="O1495">
        <v>0.1</v>
      </c>
      <c r="P1495">
        <v>3</v>
      </c>
      <c r="Q1495">
        <v>0.1</v>
      </c>
      <c r="R1495">
        <v>0</v>
      </c>
      <c r="S1495">
        <v>0.05</v>
      </c>
      <c r="T1495" t="s">
        <v>33</v>
      </c>
      <c r="U1495">
        <v>3.55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 t="s">
        <v>38</v>
      </c>
    </row>
    <row r="1496" spans="1:30" x14ac:dyDescent="0.25">
      <c r="A1496" s="1">
        <v>44784.500752314816</v>
      </c>
      <c r="B1496" s="1">
        <v>44784.499143518522</v>
      </c>
      <c r="C1496">
        <v>151700</v>
      </c>
      <c r="D1496" t="s">
        <v>30</v>
      </c>
      <c r="E1496" t="s">
        <v>31</v>
      </c>
      <c r="F1496">
        <v>7</v>
      </c>
      <c r="G1496">
        <v>43.19211</v>
      </c>
      <c r="H1496">
        <v>-71.541460000000001</v>
      </c>
      <c r="I1496">
        <v>286</v>
      </c>
      <c r="J1496">
        <v>81</v>
      </c>
      <c r="K1496">
        <v>0</v>
      </c>
      <c r="L1496" s="1">
        <v>44784.50072916667</v>
      </c>
      <c r="M1496">
        <v>5.3</v>
      </c>
      <c r="N1496">
        <v>6.1</v>
      </c>
      <c r="O1496">
        <v>0.8</v>
      </c>
      <c r="P1496">
        <v>14</v>
      </c>
      <c r="Q1496">
        <v>0.2</v>
      </c>
      <c r="R1496">
        <v>0.3</v>
      </c>
      <c r="S1496">
        <v>0.25</v>
      </c>
      <c r="T1496" t="s">
        <v>33</v>
      </c>
      <c r="U1496">
        <v>5.7</v>
      </c>
      <c r="V1496">
        <v>53</v>
      </c>
      <c r="W1496">
        <v>0</v>
      </c>
      <c r="X1496">
        <v>53</v>
      </c>
      <c r="Y1496">
        <v>0</v>
      </c>
      <c r="Z1496">
        <v>0</v>
      </c>
      <c r="AA1496">
        <v>0</v>
      </c>
      <c r="AB1496" t="s">
        <v>36</v>
      </c>
      <c r="AC1496">
        <v>53</v>
      </c>
      <c r="AD1496">
        <v>1.93</v>
      </c>
    </row>
    <row r="1497" spans="1:30" x14ac:dyDescent="0.25">
      <c r="A1497" s="1">
        <v>44784.500763888886</v>
      </c>
      <c r="B1497" s="1">
        <v>44784.499560185184</v>
      </c>
      <c r="C1497">
        <v>135984</v>
      </c>
      <c r="D1497" t="s">
        <v>39</v>
      </c>
      <c r="E1497" t="s">
        <v>31</v>
      </c>
      <c r="F1497">
        <v>7</v>
      </c>
      <c r="G1497">
        <v>43.565852999999997</v>
      </c>
      <c r="H1497">
        <v>-71.496129999999994</v>
      </c>
      <c r="I1497">
        <v>708</v>
      </c>
      <c r="J1497">
        <v>88</v>
      </c>
      <c r="K1497">
        <v>0</v>
      </c>
      <c r="L1497" s="1">
        <v>44784.50072916667</v>
      </c>
      <c r="M1497">
        <v>2.7</v>
      </c>
      <c r="N1497">
        <v>2</v>
      </c>
      <c r="O1497">
        <v>0.7</v>
      </c>
      <c r="P1497">
        <v>30</v>
      </c>
      <c r="Q1497">
        <v>0.3</v>
      </c>
      <c r="R1497">
        <v>0.2</v>
      </c>
      <c r="S1497">
        <v>0.25</v>
      </c>
      <c r="T1497" t="s">
        <v>33</v>
      </c>
      <c r="U1497">
        <v>2.35</v>
      </c>
      <c r="V1497">
        <v>49</v>
      </c>
      <c r="W1497">
        <v>0</v>
      </c>
      <c r="X1497">
        <v>49</v>
      </c>
      <c r="Y1497">
        <v>1</v>
      </c>
      <c r="Z1497">
        <v>0</v>
      </c>
      <c r="AA1497">
        <v>1</v>
      </c>
      <c r="AB1497" t="s">
        <v>36</v>
      </c>
      <c r="AC1497">
        <v>49</v>
      </c>
      <c r="AD1497">
        <v>0.16</v>
      </c>
    </row>
    <row r="1498" spans="1:30" x14ac:dyDescent="0.25">
      <c r="A1498" s="1">
        <v>44784.500763888886</v>
      </c>
      <c r="B1498" s="1">
        <v>44780.394780092596</v>
      </c>
      <c r="C1498">
        <v>151712</v>
      </c>
      <c r="D1498" t="s">
        <v>40</v>
      </c>
      <c r="E1498" t="s">
        <v>31</v>
      </c>
      <c r="F1498">
        <v>7</v>
      </c>
      <c r="G1498">
        <v>43.289763999999998</v>
      </c>
      <c r="H1498">
        <v>-71.564260000000004</v>
      </c>
      <c r="I1498">
        <v>370</v>
      </c>
      <c r="J1498">
        <v>86</v>
      </c>
      <c r="K1498">
        <v>0</v>
      </c>
      <c r="L1498" s="1">
        <v>44784.50072916667</v>
      </c>
      <c r="M1498">
        <v>14</v>
      </c>
      <c r="N1498">
        <v>13.2</v>
      </c>
      <c r="O1498">
        <v>0.8</v>
      </c>
      <c r="P1498">
        <v>6</v>
      </c>
      <c r="Q1498">
        <v>0</v>
      </c>
      <c r="R1498">
        <v>0</v>
      </c>
      <c r="S1498">
        <v>0</v>
      </c>
      <c r="T1498" t="s">
        <v>32</v>
      </c>
      <c r="V1498">
        <v>59</v>
      </c>
      <c r="W1498">
        <v>0</v>
      </c>
      <c r="X1498">
        <v>59</v>
      </c>
      <c r="Y1498">
        <v>0</v>
      </c>
      <c r="Z1498">
        <v>0</v>
      </c>
      <c r="AA1498">
        <v>0</v>
      </c>
      <c r="AB1498" t="s">
        <v>36</v>
      </c>
      <c r="AC1498">
        <v>59</v>
      </c>
    </row>
    <row r="1499" spans="1:30" x14ac:dyDescent="0.25">
      <c r="A1499" s="1">
        <v>44784.500763888886</v>
      </c>
      <c r="B1499" s="1">
        <v>44784.498877314814</v>
      </c>
      <c r="C1499">
        <v>151710</v>
      </c>
      <c r="D1499" t="s">
        <v>41</v>
      </c>
      <c r="E1499" t="s">
        <v>31</v>
      </c>
      <c r="F1499">
        <v>7</v>
      </c>
      <c r="G1499">
        <v>43.132477000000002</v>
      </c>
      <c r="H1499">
        <v>-71.458374000000006</v>
      </c>
      <c r="I1499">
        <v>230</v>
      </c>
      <c r="J1499">
        <v>88</v>
      </c>
      <c r="K1499">
        <v>0</v>
      </c>
      <c r="L1499" s="1">
        <v>44784.50072916667</v>
      </c>
      <c r="M1499">
        <v>7.3</v>
      </c>
      <c r="N1499">
        <v>6.5</v>
      </c>
      <c r="O1499">
        <v>0.8</v>
      </c>
      <c r="P1499">
        <v>12</v>
      </c>
      <c r="Q1499">
        <v>0.3</v>
      </c>
      <c r="R1499">
        <v>0.1</v>
      </c>
      <c r="S1499">
        <v>0.2</v>
      </c>
      <c r="T1499" t="s">
        <v>33</v>
      </c>
      <c r="U1499">
        <v>6.9</v>
      </c>
      <c r="V1499">
        <v>41</v>
      </c>
      <c r="W1499">
        <v>0</v>
      </c>
      <c r="X1499">
        <v>41</v>
      </c>
      <c r="Y1499">
        <v>2</v>
      </c>
      <c r="Z1499">
        <v>0</v>
      </c>
      <c r="AA1499">
        <v>2</v>
      </c>
      <c r="AB1499" t="s">
        <v>36</v>
      </c>
      <c r="AC1499">
        <v>41</v>
      </c>
      <c r="AD1499">
        <v>3.5</v>
      </c>
    </row>
    <row r="1500" spans="1:30" x14ac:dyDescent="0.25">
      <c r="A1500" s="1">
        <v>44784.500775462962</v>
      </c>
      <c r="B1500" s="1">
        <v>44784.499918981484</v>
      </c>
      <c r="C1500">
        <v>151706</v>
      </c>
      <c r="D1500" t="s">
        <v>42</v>
      </c>
      <c r="E1500" t="s">
        <v>31</v>
      </c>
      <c r="F1500">
        <v>7</v>
      </c>
      <c r="G1500">
        <v>43.004080000000002</v>
      </c>
      <c r="H1500">
        <v>-71.177040000000005</v>
      </c>
      <c r="I1500">
        <v>194</v>
      </c>
      <c r="J1500">
        <v>87</v>
      </c>
      <c r="K1500">
        <v>0</v>
      </c>
      <c r="L1500" s="1">
        <v>44784.50072916667</v>
      </c>
      <c r="M1500">
        <v>6.3</v>
      </c>
      <c r="N1500">
        <v>0</v>
      </c>
      <c r="O1500">
        <v>6.3</v>
      </c>
      <c r="P1500">
        <v>200</v>
      </c>
      <c r="Q1500">
        <v>0</v>
      </c>
      <c r="R1500">
        <v>0</v>
      </c>
      <c r="S1500">
        <v>0</v>
      </c>
      <c r="T1500" t="s">
        <v>43</v>
      </c>
      <c r="V1500">
        <v>44</v>
      </c>
      <c r="W1500">
        <v>0</v>
      </c>
      <c r="X1500">
        <v>44</v>
      </c>
      <c r="Y1500">
        <v>2</v>
      </c>
      <c r="Z1500">
        <v>0</v>
      </c>
      <c r="AA1500">
        <v>2</v>
      </c>
      <c r="AB1500" t="s">
        <v>36</v>
      </c>
      <c r="AC1500">
        <v>44</v>
      </c>
    </row>
    <row r="1501" spans="1:30" x14ac:dyDescent="0.25">
      <c r="A1501" s="1">
        <v>44784.500775462962</v>
      </c>
      <c r="B1501" s="1">
        <v>44784.499675925923</v>
      </c>
      <c r="C1501">
        <v>12212</v>
      </c>
      <c r="D1501" t="s">
        <v>44</v>
      </c>
      <c r="E1501" t="s">
        <v>35</v>
      </c>
      <c r="F1501">
        <v>7</v>
      </c>
      <c r="G1501">
        <v>42.930529999999997</v>
      </c>
      <c r="H1501">
        <v>-72.272350000000003</v>
      </c>
      <c r="I1501">
        <v>476</v>
      </c>
      <c r="J1501">
        <v>87</v>
      </c>
      <c r="K1501">
        <v>0</v>
      </c>
      <c r="L1501" s="1">
        <v>44784.50072916667</v>
      </c>
      <c r="M1501">
        <v>4.2</v>
      </c>
      <c r="N1501">
        <v>3.8</v>
      </c>
      <c r="O1501">
        <v>0.4</v>
      </c>
      <c r="P1501">
        <v>10</v>
      </c>
      <c r="Q1501">
        <v>0.2</v>
      </c>
      <c r="R1501">
        <v>0.3</v>
      </c>
      <c r="S1501">
        <v>0.25</v>
      </c>
      <c r="T1501" t="s">
        <v>33</v>
      </c>
      <c r="U1501">
        <v>4</v>
      </c>
      <c r="V1501">
        <v>37</v>
      </c>
      <c r="W1501">
        <v>0</v>
      </c>
      <c r="X1501">
        <v>37</v>
      </c>
      <c r="Y1501">
        <v>1</v>
      </c>
      <c r="Z1501">
        <v>0</v>
      </c>
      <c r="AA1501">
        <v>1</v>
      </c>
      <c r="AB1501" t="s">
        <v>36</v>
      </c>
      <c r="AC1501">
        <v>37</v>
      </c>
      <c r="AD1501">
        <v>2.0099999999999998</v>
      </c>
    </row>
    <row r="1502" spans="1:30" x14ac:dyDescent="0.25">
      <c r="A1502" s="1">
        <v>44784.500775462962</v>
      </c>
      <c r="B1502" s="1">
        <v>44769.376736111109</v>
      </c>
      <c r="C1502">
        <v>12178</v>
      </c>
      <c r="D1502" t="s">
        <v>45</v>
      </c>
      <c r="E1502" t="s">
        <v>35</v>
      </c>
      <c r="F1502">
        <v>7</v>
      </c>
      <c r="G1502">
        <v>42.899563000000001</v>
      </c>
      <c r="H1502">
        <v>-71.464650000000006</v>
      </c>
      <c r="I1502">
        <v>301</v>
      </c>
      <c r="J1502">
        <v>85</v>
      </c>
      <c r="K1502">
        <v>0</v>
      </c>
      <c r="L1502" s="1">
        <v>44784.50072916667</v>
      </c>
      <c r="M1502">
        <v>3.8</v>
      </c>
      <c r="N1502">
        <v>3.1</v>
      </c>
      <c r="O1502">
        <v>0.7</v>
      </c>
      <c r="P1502">
        <v>20</v>
      </c>
      <c r="Q1502">
        <v>0</v>
      </c>
      <c r="R1502">
        <v>0</v>
      </c>
      <c r="S1502">
        <v>0</v>
      </c>
      <c r="T1502" t="s">
        <v>32</v>
      </c>
      <c r="V1502">
        <v>35</v>
      </c>
      <c r="W1502">
        <v>0</v>
      </c>
      <c r="X1502">
        <v>35</v>
      </c>
      <c r="Y1502">
        <v>0</v>
      </c>
      <c r="Z1502">
        <v>0</v>
      </c>
      <c r="AA1502">
        <v>0</v>
      </c>
      <c r="AB1502" t="s">
        <v>36</v>
      </c>
      <c r="AC1502">
        <v>35</v>
      </c>
    </row>
    <row r="1503" spans="1:30" x14ac:dyDescent="0.25">
      <c r="A1503" s="1">
        <v>44784.500787037039</v>
      </c>
      <c r="B1503" s="1">
        <v>44784.498981481483</v>
      </c>
      <c r="C1503">
        <v>75981</v>
      </c>
      <c r="D1503" t="s">
        <v>46</v>
      </c>
      <c r="E1503" t="s">
        <v>35</v>
      </c>
      <c r="F1503">
        <v>7</v>
      </c>
      <c r="G1503">
        <v>42.97</v>
      </c>
      <c r="H1503">
        <v>-71.06</v>
      </c>
      <c r="I1503">
        <v>136</v>
      </c>
      <c r="J1503">
        <v>85</v>
      </c>
      <c r="K1503">
        <v>0</v>
      </c>
      <c r="L1503" s="1">
        <v>44784.50072916667</v>
      </c>
      <c r="M1503">
        <v>9.5</v>
      </c>
      <c r="N1503">
        <v>9</v>
      </c>
      <c r="O1503">
        <v>0.5</v>
      </c>
      <c r="P1503">
        <v>5</v>
      </c>
      <c r="Q1503">
        <v>0</v>
      </c>
      <c r="R1503">
        <v>0.1</v>
      </c>
      <c r="S1503">
        <v>0.05</v>
      </c>
      <c r="T1503" t="s">
        <v>33</v>
      </c>
      <c r="U1503">
        <v>9.25</v>
      </c>
      <c r="V1503">
        <v>49</v>
      </c>
      <c r="W1503">
        <v>0</v>
      </c>
      <c r="X1503">
        <v>49</v>
      </c>
      <c r="Y1503">
        <v>0</v>
      </c>
      <c r="Z1503">
        <v>0</v>
      </c>
      <c r="AA1503">
        <v>0</v>
      </c>
      <c r="AB1503" t="s">
        <v>36</v>
      </c>
      <c r="AC1503">
        <v>49</v>
      </c>
      <c r="AD1503">
        <v>4.37</v>
      </c>
    </row>
    <row r="1504" spans="1:30" x14ac:dyDescent="0.25">
      <c r="A1504" s="1">
        <v>44784.500787037039</v>
      </c>
      <c r="B1504" s="1">
        <v>44784.499513888892</v>
      </c>
      <c r="C1504">
        <v>115703</v>
      </c>
      <c r="D1504" t="s">
        <v>47</v>
      </c>
      <c r="E1504" t="s">
        <v>35</v>
      </c>
      <c r="F1504">
        <v>7</v>
      </c>
      <c r="G1504">
        <v>43.953625000000002</v>
      </c>
      <c r="H1504">
        <v>-71.508859999999999</v>
      </c>
      <c r="I1504">
        <v>1493</v>
      </c>
      <c r="J1504">
        <v>80</v>
      </c>
      <c r="K1504">
        <v>0</v>
      </c>
      <c r="L1504" s="1">
        <v>44784.50072916667</v>
      </c>
      <c r="M1504">
        <v>0</v>
      </c>
      <c r="N1504">
        <v>300.89999999999998</v>
      </c>
      <c r="O1504">
        <v>300.89999999999998</v>
      </c>
      <c r="P1504">
        <v>200</v>
      </c>
      <c r="Q1504">
        <v>0</v>
      </c>
      <c r="R1504">
        <v>0</v>
      </c>
      <c r="S1504">
        <v>0</v>
      </c>
      <c r="T1504" t="s">
        <v>48</v>
      </c>
      <c r="V1504">
        <v>41</v>
      </c>
      <c r="W1504">
        <v>0</v>
      </c>
      <c r="X1504">
        <v>41</v>
      </c>
      <c r="Y1504">
        <v>1</v>
      </c>
      <c r="Z1504">
        <v>0</v>
      </c>
      <c r="AA1504">
        <v>1</v>
      </c>
      <c r="AB1504" t="s">
        <v>36</v>
      </c>
      <c r="AC1504">
        <v>41</v>
      </c>
    </row>
    <row r="1505" spans="1:30" x14ac:dyDescent="0.25">
      <c r="A1505" s="1">
        <v>44784.500787037039</v>
      </c>
      <c r="B1505" s="1">
        <v>44784.500324074077</v>
      </c>
      <c r="C1505">
        <v>12050</v>
      </c>
      <c r="D1505" t="s">
        <v>49</v>
      </c>
      <c r="E1505" t="s">
        <v>35</v>
      </c>
      <c r="F1505">
        <v>7</v>
      </c>
      <c r="G1505">
        <v>44.220573000000002</v>
      </c>
      <c r="H1505">
        <v>-71.732315</v>
      </c>
      <c r="I1505">
        <v>999</v>
      </c>
      <c r="J1505">
        <v>85</v>
      </c>
      <c r="K1505">
        <v>0</v>
      </c>
      <c r="L1505" s="1">
        <v>44784.50072916667</v>
      </c>
      <c r="M1505">
        <v>3.7</v>
      </c>
      <c r="N1505">
        <v>3.5</v>
      </c>
      <c r="O1505">
        <v>0.2</v>
      </c>
      <c r="P1505">
        <v>6</v>
      </c>
      <c r="Q1505">
        <v>0.3</v>
      </c>
      <c r="R1505">
        <v>0.2</v>
      </c>
      <c r="S1505">
        <v>0.25</v>
      </c>
      <c r="T1505" t="s">
        <v>33</v>
      </c>
      <c r="U1505">
        <v>3.6</v>
      </c>
      <c r="V1505">
        <v>41</v>
      </c>
      <c r="W1505">
        <v>0</v>
      </c>
      <c r="X1505">
        <v>41</v>
      </c>
      <c r="Y1505">
        <v>0</v>
      </c>
      <c r="Z1505">
        <v>0</v>
      </c>
      <c r="AA1505">
        <v>0</v>
      </c>
      <c r="AB1505" t="s">
        <v>36</v>
      </c>
      <c r="AC1505">
        <v>41</v>
      </c>
      <c r="AD1505">
        <v>1.49</v>
      </c>
    </row>
    <row r="1506" spans="1:30" x14ac:dyDescent="0.25">
      <c r="A1506" s="1">
        <v>44784.500798611109</v>
      </c>
      <c r="B1506" s="1">
        <v>44784.499050925922</v>
      </c>
      <c r="C1506">
        <v>23443</v>
      </c>
      <c r="D1506" t="s">
        <v>50</v>
      </c>
      <c r="E1506" t="s">
        <v>35</v>
      </c>
      <c r="F1506">
        <v>7</v>
      </c>
      <c r="G1506">
        <v>43.556139999999999</v>
      </c>
      <c r="H1506">
        <v>-72.370990000000006</v>
      </c>
      <c r="I1506">
        <v>523</v>
      </c>
      <c r="J1506">
        <v>99</v>
      </c>
      <c r="K1506">
        <v>0</v>
      </c>
      <c r="L1506" s="1">
        <v>44784.50072916667</v>
      </c>
      <c r="M1506">
        <v>2.9</v>
      </c>
      <c r="N1506">
        <v>2.4</v>
      </c>
      <c r="O1506">
        <v>0.5</v>
      </c>
      <c r="P1506">
        <v>19</v>
      </c>
      <c r="Q1506">
        <v>0.1</v>
      </c>
      <c r="R1506">
        <v>0.1</v>
      </c>
      <c r="S1506">
        <v>0.1</v>
      </c>
      <c r="T1506" t="s">
        <v>33</v>
      </c>
      <c r="U1506">
        <v>2.65</v>
      </c>
      <c r="V1506">
        <v>24</v>
      </c>
      <c r="W1506">
        <v>0</v>
      </c>
      <c r="X1506">
        <v>24</v>
      </c>
      <c r="Y1506">
        <v>2</v>
      </c>
      <c r="Z1506">
        <v>0</v>
      </c>
      <c r="AA1506">
        <v>2</v>
      </c>
      <c r="AB1506" t="s">
        <v>36</v>
      </c>
      <c r="AC1506">
        <v>24</v>
      </c>
      <c r="AD1506">
        <v>2.1</v>
      </c>
    </row>
    <row r="1507" spans="1:30" x14ac:dyDescent="0.25">
      <c r="A1507" s="1">
        <v>44784.500798611109</v>
      </c>
      <c r="B1507" s="1">
        <v>44784.500555555554</v>
      </c>
      <c r="C1507">
        <v>58135</v>
      </c>
      <c r="D1507" t="s">
        <v>51</v>
      </c>
      <c r="E1507" t="s">
        <v>35</v>
      </c>
      <c r="F1507">
        <v>7</v>
      </c>
      <c r="G1507">
        <v>42.883873000000001</v>
      </c>
      <c r="H1507">
        <v>-71.972915999999998</v>
      </c>
      <c r="I1507">
        <v>808</v>
      </c>
      <c r="J1507">
        <v>86</v>
      </c>
      <c r="K1507">
        <v>0</v>
      </c>
      <c r="L1507" s="1">
        <v>44784.50072916667</v>
      </c>
      <c r="M1507">
        <v>2.8</v>
      </c>
      <c r="N1507">
        <v>1.7</v>
      </c>
      <c r="O1507">
        <v>1.1000000000000001</v>
      </c>
      <c r="P1507">
        <v>49</v>
      </c>
      <c r="Q1507">
        <v>0.1</v>
      </c>
      <c r="R1507">
        <v>0.1</v>
      </c>
      <c r="S1507">
        <v>0.1</v>
      </c>
      <c r="T1507" t="s">
        <v>33</v>
      </c>
      <c r="U1507">
        <v>2.25</v>
      </c>
      <c r="V1507">
        <v>38</v>
      </c>
      <c r="W1507">
        <v>0</v>
      </c>
      <c r="X1507">
        <v>38</v>
      </c>
      <c r="Y1507">
        <v>1</v>
      </c>
      <c r="Z1507">
        <v>0</v>
      </c>
      <c r="AA1507">
        <v>1</v>
      </c>
      <c r="AB1507" t="s">
        <v>36</v>
      </c>
      <c r="AC1507">
        <v>38</v>
      </c>
      <c r="AD1507">
        <v>0.87</v>
      </c>
    </row>
    <row r="1508" spans="1:30" x14ac:dyDescent="0.25">
      <c r="A1508" s="1">
        <v>44784.500798611109</v>
      </c>
      <c r="B1508" s="1">
        <v>44784.500555555554</v>
      </c>
      <c r="C1508">
        <v>148555</v>
      </c>
      <c r="D1508" t="s">
        <v>52</v>
      </c>
      <c r="E1508" t="s">
        <v>53</v>
      </c>
      <c r="F1508">
        <v>7</v>
      </c>
      <c r="G1508">
        <v>42.904949999999999</v>
      </c>
      <c r="H1508">
        <v>-71.386764999999997</v>
      </c>
      <c r="I1508">
        <v>363</v>
      </c>
      <c r="J1508">
        <v>0</v>
      </c>
      <c r="K1508">
        <v>0</v>
      </c>
      <c r="L1508" s="1">
        <v>44784.50072916667</v>
      </c>
      <c r="M1508">
        <v>2.8</v>
      </c>
      <c r="N1508">
        <v>3.2</v>
      </c>
      <c r="O1508">
        <v>0.4</v>
      </c>
      <c r="P1508">
        <v>13</v>
      </c>
      <c r="Q1508">
        <v>0.5</v>
      </c>
      <c r="R1508">
        <v>0.5</v>
      </c>
      <c r="S1508">
        <v>0.5</v>
      </c>
      <c r="T1508" t="s">
        <v>33</v>
      </c>
      <c r="U1508">
        <v>3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 t="s">
        <v>38</v>
      </c>
    </row>
    <row r="1509" spans="1:30" x14ac:dyDescent="0.25">
      <c r="A1509" s="1">
        <v>44784.500810185185</v>
      </c>
      <c r="B1509" s="1">
        <v>44784.5000462963</v>
      </c>
      <c r="C1509">
        <v>146644</v>
      </c>
      <c r="D1509" t="s">
        <v>54</v>
      </c>
      <c r="E1509" t="s">
        <v>53</v>
      </c>
      <c r="F1509">
        <v>7</v>
      </c>
      <c r="G1509">
        <v>43.06015</v>
      </c>
      <c r="H1509">
        <v>-70.758930000000007</v>
      </c>
      <c r="I1509">
        <v>35</v>
      </c>
      <c r="J1509">
        <v>81</v>
      </c>
      <c r="K1509">
        <v>83</v>
      </c>
      <c r="L1509" s="1">
        <v>44784.50072916667</v>
      </c>
      <c r="M1509">
        <v>14.3</v>
      </c>
      <c r="N1509">
        <v>13.7</v>
      </c>
      <c r="O1509">
        <v>0.6</v>
      </c>
      <c r="P1509">
        <v>4</v>
      </c>
      <c r="Q1509">
        <v>0.1</v>
      </c>
      <c r="R1509">
        <v>0</v>
      </c>
      <c r="S1509">
        <v>0.05</v>
      </c>
      <c r="T1509" t="s">
        <v>33</v>
      </c>
      <c r="U1509">
        <v>14</v>
      </c>
      <c r="V1509">
        <v>50</v>
      </c>
      <c r="W1509">
        <v>55</v>
      </c>
      <c r="X1509">
        <v>5</v>
      </c>
      <c r="Y1509">
        <v>0</v>
      </c>
      <c r="Z1509">
        <v>1</v>
      </c>
      <c r="AA1509">
        <v>1</v>
      </c>
      <c r="AB1509" t="s">
        <v>33</v>
      </c>
      <c r="AC1509">
        <v>52.5</v>
      </c>
      <c r="AD1509">
        <v>7.02</v>
      </c>
    </row>
    <row r="1510" spans="1:30" x14ac:dyDescent="0.25">
      <c r="A1510" s="1">
        <v>44784.500810185185</v>
      </c>
      <c r="B1510" s="1">
        <v>43755.283437500002</v>
      </c>
      <c r="C1510">
        <v>12188</v>
      </c>
      <c r="D1510" t="s">
        <v>55</v>
      </c>
      <c r="E1510" t="s">
        <v>35</v>
      </c>
      <c r="F1510">
        <v>4.1100000000000003</v>
      </c>
      <c r="G1510">
        <v>42.927050000000001</v>
      </c>
      <c r="H1510">
        <v>-72.279610000000005</v>
      </c>
      <c r="I1510">
        <v>475</v>
      </c>
      <c r="J1510">
        <v>95</v>
      </c>
      <c r="K1510">
        <v>0</v>
      </c>
      <c r="L1510" s="1">
        <v>44784.50072916667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 t="s">
        <v>32</v>
      </c>
      <c r="V1510">
        <v>77</v>
      </c>
      <c r="W1510">
        <v>0</v>
      </c>
      <c r="X1510">
        <v>77</v>
      </c>
      <c r="Y1510">
        <v>0</v>
      </c>
      <c r="Z1510">
        <v>0</v>
      </c>
      <c r="AA1510">
        <v>0</v>
      </c>
      <c r="AB1510" t="s">
        <v>36</v>
      </c>
      <c r="AC1510">
        <v>77</v>
      </c>
    </row>
    <row r="1511" spans="1:30" x14ac:dyDescent="0.25">
      <c r="A1511" s="1">
        <v>44784.500810185185</v>
      </c>
      <c r="B1511" s="1">
        <v>44784.500428240739</v>
      </c>
      <c r="C1511">
        <v>1224</v>
      </c>
      <c r="D1511" t="s">
        <v>56</v>
      </c>
      <c r="E1511" t="s">
        <v>35</v>
      </c>
      <c r="F1511" t="s">
        <v>57</v>
      </c>
      <c r="G1511">
        <v>42.938034000000002</v>
      </c>
      <c r="H1511">
        <v>-72.259299999999996</v>
      </c>
      <c r="I1511">
        <v>792</v>
      </c>
      <c r="J1511">
        <v>92</v>
      </c>
      <c r="K1511">
        <v>0</v>
      </c>
      <c r="L1511" s="1">
        <v>44784.50072916667</v>
      </c>
      <c r="M1511">
        <v>3.9</v>
      </c>
      <c r="N1511">
        <v>0</v>
      </c>
      <c r="O1511">
        <v>3.9</v>
      </c>
      <c r="P1511">
        <v>200</v>
      </c>
      <c r="Q1511">
        <v>0.1</v>
      </c>
      <c r="R1511">
        <v>0</v>
      </c>
      <c r="S1511">
        <v>0.05</v>
      </c>
      <c r="T1511" t="s">
        <v>43</v>
      </c>
      <c r="V1511">
        <v>42</v>
      </c>
      <c r="W1511">
        <v>0</v>
      </c>
      <c r="X1511">
        <v>42</v>
      </c>
      <c r="Y1511">
        <v>1</v>
      </c>
      <c r="Z1511">
        <v>0</v>
      </c>
      <c r="AA1511">
        <v>1</v>
      </c>
      <c r="AB1511" t="s">
        <v>36</v>
      </c>
      <c r="AC1511">
        <v>42</v>
      </c>
    </row>
    <row r="1512" spans="1:30" x14ac:dyDescent="0.25">
      <c r="A1512" s="1">
        <v>44784.500821759262</v>
      </c>
      <c r="B1512" s="1">
        <v>44784.499872685185</v>
      </c>
      <c r="C1512">
        <v>1202</v>
      </c>
      <c r="D1512" t="s">
        <v>58</v>
      </c>
      <c r="E1512" t="s">
        <v>35</v>
      </c>
      <c r="F1512" t="s">
        <v>57</v>
      </c>
      <c r="G1512">
        <v>42.936554000000001</v>
      </c>
      <c r="H1512">
        <v>-72.271019999999993</v>
      </c>
      <c r="I1512">
        <v>488</v>
      </c>
      <c r="J1512">
        <v>0</v>
      </c>
      <c r="K1512">
        <v>0</v>
      </c>
      <c r="L1512" s="1">
        <v>44784.50072916667</v>
      </c>
      <c r="M1512">
        <v>4.5999999999999996</v>
      </c>
      <c r="N1512">
        <v>3.7</v>
      </c>
      <c r="O1512">
        <v>0.9</v>
      </c>
      <c r="P1512">
        <v>22</v>
      </c>
      <c r="Q1512">
        <v>0.2</v>
      </c>
      <c r="R1512">
        <v>0.1</v>
      </c>
      <c r="S1512">
        <v>0.15</v>
      </c>
      <c r="T1512" t="s">
        <v>33</v>
      </c>
      <c r="U1512">
        <v>4.1500000000000004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 t="s">
        <v>38</v>
      </c>
    </row>
    <row r="1513" spans="1:30" x14ac:dyDescent="0.25">
      <c r="A1513" s="1">
        <v>44784.500821759262</v>
      </c>
      <c r="B1513" s="1">
        <v>44612.080023148148</v>
      </c>
      <c r="C1513">
        <v>25985</v>
      </c>
      <c r="D1513" t="s">
        <v>59</v>
      </c>
      <c r="E1513" t="s">
        <v>35</v>
      </c>
      <c r="F1513">
        <v>6.01</v>
      </c>
      <c r="G1513">
        <v>42.927326000000001</v>
      </c>
      <c r="H1513">
        <v>-72.279979999999995</v>
      </c>
      <c r="I1513">
        <v>477</v>
      </c>
      <c r="J1513">
        <v>78</v>
      </c>
      <c r="K1513">
        <v>0</v>
      </c>
      <c r="L1513" s="1">
        <v>44784.50072916667</v>
      </c>
      <c r="M1513">
        <v>1.1000000000000001</v>
      </c>
      <c r="N1513">
        <v>1</v>
      </c>
      <c r="O1513">
        <v>0.1</v>
      </c>
      <c r="P1513">
        <v>10</v>
      </c>
      <c r="Q1513">
        <v>0</v>
      </c>
      <c r="R1513">
        <v>0</v>
      </c>
      <c r="S1513">
        <v>0</v>
      </c>
      <c r="T1513" t="s">
        <v>32</v>
      </c>
      <c r="V1513">
        <v>22</v>
      </c>
      <c r="W1513">
        <v>0</v>
      </c>
      <c r="X1513">
        <v>22</v>
      </c>
      <c r="Y1513">
        <v>0</v>
      </c>
      <c r="Z1513">
        <v>0</v>
      </c>
      <c r="AA1513">
        <v>0</v>
      </c>
      <c r="AB1513" t="s">
        <v>36</v>
      </c>
      <c r="AC1513">
        <v>22</v>
      </c>
    </row>
    <row r="1514" spans="1:30" x14ac:dyDescent="0.25">
      <c r="A1514" s="1">
        <v>44784.507685185185</v>
      </c>
      <c r="B1514" s="1">
        <v>44775.701319444444</v>
      </c>
      <c r="C1514">
        <v>151708</v>
      </c>
      <c r="D1514" t="s">
        <v>30</v>
      </c>
      <c r="E1514" t="s">
        <v>31</v>
      </c>
      <c r="F1514">
        <v>7</v>
      </c>
      <c r="G1514">
        <v>43.192042999999998</v>
      </c>
      <c r="H1514">
        <v>-71.541579999999996</v>
      </c>
      <c r="I1514">
        <v>291</v>
      </c>
      <c r="J1514">
        <v>93</v>
      </c>
      <c r="K1514">
        <v>94</v>
      </c>
      <c r="L1514" s="1">
        <v>44784.507673611108</v>
      </c>
      <c r="M1514">
        <v>7.9</v>
      </c>
      <c r="N1514">
        <v>7.6</v>
      </c>
      <c r="O1514">
        <v>0.3</v>
      </c>
      <c r="P1514">
        <v>4</v>
      </c>
      <c r="Q1514">
        <v>0</v>
      </c>
      <c r="R1514">
        <v>0</v>
      </c>
      <c r="S1514">
        <v>0</v>
      </c>
      <c r="T1514" t="s">
        <v>32</v>
      </c>
      <c r="V1514">
        <v>42</v>
      </c>
      <c r="W1514">
        <v>41</v>
      </c>
      <c r="X1514">
        <v>1</v>
      </c>
      <c r="Y1514">
        <v>0</v>
      </c>
      <c r="Z1514">
        <v>0</v>
      </c>
      <c r="AA1514">
        <v>0</v>
      </c>
      <c r="AB1514" t="s">
        <v>33</v>
      </c>
      <c r="AC1514">
        <v>41.5</v>
      </c>
    </row>
    <row r="1515" spans="1:30" x14ac:dyDescent="0.25">
      <c r="A1515" s="1">
        <v>44784.507696759261</v>
      </c>
      <c r="B1515" s="1">
        <v>44784.506018518521</v>
      </c>
      <c r="C1515">
        <v>143456</v>
      </c>
      <c r="D1515" t="s">
        <v>34</v>
      </c>
      <c r="E1515" t="s">
        <v>35</v>
      </c>
      <c r="F1515">
        <v>7</v>
      </c>
      <c r="G1515">
        <v>43.08963</v>
      </c>
      <c r="H1515">
        <v>-71.502440000000007</v>
      </c>
      <c r="I1515">
        <v>619</v>
      </c>
      <c r="J1515">
        <v>84</v>
      </c>
      <c r="K1515">
        <v>0</v>
      </c>
      <c r="L1515" s="1">
        <v>44784.507673611108</v>
      </c>
      <c r="M1515">
        <v>4.4000000000000004</v>
      </c>
      <c r="N1515">
        <v>4.5</v>
      </c>
      <c r="O1515">
        <v>0.1</v>
      </c>
      <c r="P1515">
        <v>2</v>
      </c>
      <c r="Q1515">
        <v>0.7</v>
      </c>
      <c r="R1515">
        <v>0.5</v>
      </c>
      <c r="S1515">
        <v>0.6</v>
      </c>
      <c r="T1515" t="s">
        <v>33</v>
      </c>
      <c r="U1515">
        <v>4.45</v>
      </c>
      <c r="V1515">
        <v>47</v>
      </c>
      <c r="W1515">
        <v>0</v>
      </c>
      <c r="X1515">
        <v>47</v>
      </c>
      <c r="Y1515">
        <v>3</v>
      </c>
      <c r="Z1515">
        <v>0</v>
      </c>
      <c r="AA1515">
        <v>3</v>
      </c>
      <c r="AB1515" t="s">
        <v>36</v>
      </c>
      <c r="AC1515">
        <v>47</v>
      </c>
      <c r="AD1515">
        <v>1.58</v>
      </c>
    </row>
    <row r="1516" spans="1:30" x14ac:dyDescent="0.25">
      <c r="A1516" s="1">
        <v>44784.507696759261</v>
      </c>
      <c r="B1516" s="1">
        <v>44784.506192129629</v>
      </c>
      <c r="C1516">
        <v>151702</v>
      </c>
      <c r="D1516" t="s">
        <v>37</v>
      </c>
      <c r="E1516" t="s">
        <v>31</v>
      </c>
      <c r="F1516">
        <v>7</v>
      </c>
      <c r="G1516">
        <v>43.118609999999997</v>
      </c>
      <c r="H1516">
        <v>-71.61618</v>
      </c>
      <c r="I1516">
        <v>885</v>
      </c>
      <c r="J1516">
        <v>0</v>
      </c>
      <c r="K1516">
        <v>0</v>
      </c>
      <c r="L1516" s="1">
        <v>44784.507673611108</v>
      </c>
      <c r="M1516">
        <v>3.4</v>
      </c>
      <c r="N1516">
        <v>3.3</v>
      </c>
      <c r="O1516">
        <v>0.1</v>
      </c>
      <c r="P1516">
        <v>3</v>
      </c>
      <c r="Q1516">
        <v>0.2</v>
      </c>
      <c r="R1516">
        <v>0.2</v>
      </c>
      <c r="S1516">
        <v>0.2</v>
      </c>
      <c r="T1516" t="s">
        <v>33</v>
      </c>
      <c r="U1516">
        <v>3.35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 t="s">
        <v>38</v>
      </c>
    </row>
    <row r="1517" spans="1:30" x14ac:dyDescent="0.25">
      <c r="A1517" s="1">
        <v>44784.507696759261</v>
      </c>
      <c r="B1517" s="1">
        <v>44784.50608796296</v>
      </c>
      <c r="C1517">
        <v>151700</v>
      </c>
      <c r="D1517" t="s">
        <v>30</v>
      </c>
      <c r="E1517" t="s">
        <v>31</v>
      </c>
      <c r="F1517">
        <v>7</v>
      </c>
      <c r="G1517">
        <v>43.19211</v>
      </c>
      <c r="H1517">
        <v>-71.541460000000001</v>
      </c>
      <c r="I1517">
        <v>286</v>
      </c>
      <c r="J1517">
        <v>81</v>
      </c>
      <c r="K1517">
        <v>0</v>
      </c>
      <c r="L1517" s="1">
        <v>44784.507673611108</v>
      </c>
      <c r="M1517">
        <v>5.2</v>
      </c>
      <c r="N1517">
        <v>5.9</v>
      </c>
      <c r="O1517">
        <v>0.7</v>
      </c>
      <c r="P1517">
        <v>13</v>
      </c>
      <c r="Q1517">
        <v>0.1</v>
      </c>
      <c r="R1517">
        <v>0.2</v>
      </c>
      <c r="S1517">
        <v>0.15</v>
      </c>
      <c r="T1517" t="s">
        <v>33</v>
      </c>
      <c r="U1517">
        <v>5.55</v>
      </c>
      <c r="V1517">
        <v>52</v>
      </c>
      <c r="W1517">
        <v>0</v>
      </c>
      <c r="X1517">
        <v>52</v>
      </c>
      <c r="Y1517">
        <v>1</v>
      </c>
      <c r="Z1517">
        <v>0</v>
      </c>
      <c r="AA1517">
        <v>1</v>
      </c>
      <c r="AB1517" t="s">
        <v>36</v>
      </c>
      <c r="AC1517">
        <v>52</v>
      </c>
      <c r="AD1517">
        <v>1.91</v>
      </c>
    </row>
    <row r="1518" spans="1:30" x14ac:dyDescent="0.25">
      <c r="A1518" s="1">
        <v>44784.507708333331</v>
      </c>
      <c r="B1518" s="1">
        <v>44784.506516203706</v>
      </c>
      <c r="C1518">
        <v>135984</v>
      </c>
      <c r="D1518" t="s">
        <v>39</v>
      </c>
      <c r="E1518" t="s">
        <v>31</v>
      </c>
      <c r="F1518">
        <v>7</v>
      </c>
      <c r="G1518">
        <v>43.565852999999997</v>
      </c>
      <c r="H1518">
        <v>-71.496129999999994</v>
      </c>
      <c r="I1518">
        <v>708</v>
      </c>
      <c r="J1518">
        <v>88</v>
      </c>
      <c r="K1518">
        <v>0</v>
      </c>
      <c r="L1518" s="1">
        <v>44784.507673611108</v>
      </c>
      <c r="M1518">
        <v>2.7</v>
      </c>
      <c r="N1518">
        <v>2</v>
      </c>
      <c r="O1518">
        <v>0.7</v>
      </c>
      <c r="P1518">
        <v>30</v>
      </c>
      <c r="Q1518">
        <v>0</v>
      </c>
      <c r="R1518">
        <v>0</v>
      </c>
      <c r="S1518">
        <v>0</v>
      </c>
      <c r="T1518" t="s">
        <v>33</v>
      </c>
      <c r="U1518">
        <v>2.35</v>
      </c>
      <c r="V1518">
        <v>49</v>
      </c>
      <c r="W1518">
        <v>0</v>
      </c>
      <c r="X1518">
        <v>49</v>
      </c>
      <c r="Y1518">
        <v>0</v>
      </c>
      <c r="Z1518">
        <v>0</v>
      </c>
      <c r="AA1518">
        <v>0</v>
      </c>
      <c r="AB1518" t="s">
        <v>36</v>
      </c>
      <c r="AC1518">
        <v>49</v>
      </c>
      <c r="AD1518">
        <v>0.16</v>
      </c>
    </row>
    <row r="1519" spans="1:30" x14ac:dyDescent="0.25">
      <c r="A1519" s="1">
        <v>44784.507708333331</v>
      </c>
      <c r="B1519" s="1">
        <v>44780.394780092596</v>
      </c>
      <c r="C1519">
        <v>151712</v>
      </c>
      <c r="D1519" t="s">
        <v>40</v>
      </c>
      <c r="E1519" t="s">
        <v>31</v>
      </c>
      <c r="F1519">
        <v>7</v>
      </c>
      <c r="G1519">
        <v>43.289763999999998</v>
      </c>
      <c r="H1519">
        <v>-71.564260000000004</v>
      </c>
      <c r="I1519">
        <v>370</v>
      </c>
      <c r="J1519">
        <v>86</v>
      </c>
      <c r="K1519">
        <v>0</v>
      </c>
      <c r="L1519" s="1">
        <v>44784.507673611108</v>
      </c>
      <c r="M1519">
        <v>14</v>
      </c>
      <c r="N1519">
        <v>13.2</v>
      </c>
      <c r="O1519">
        <v>0.8</v>
      </c>
      <c r="P1519">
        <v>6</v>
      </c>
      <c r="Q1519">
        <v>0</v>
      </c>
      <c r="R1519">
        <v>0</v>
      </c>
      <c r="S1519">
        <v>0</v>
      </c>
      <c r="T1519" t="s">
        <v>32</v>
      </c>
      <c r="V1519">
        <v>59</v>
      </c>
      <c r="W1519">
        <v>0</v>
      </c>
      <c r="X1519">
        <v>59</v>
      </c>
      <c r="Y1519">
        <v>0</v>
      </c>
      <c r="Z1519">
        <v>0</v>
      </c>
      <c r="AA1519">
        <v>0</v>
      </c>
      <c r="AB1519" t="s">
        <v>36</v>
      </c>
      <c r="AC1519">
        <v>59</v>
      </c>
    </row>
    <row r="1520" spans="1:30" x14ac:dyDescent="0.25">
      <c r="A1520" s="1">
        <v>44784.507708333331</v>
      </c>
      <c r="B1520" s="1">
        <v>44784.50582175926</v>
      </c>
      <c r="C1520">
        <v>151710</v>
      </c>
      <c r="D1520" t="s">
        <v>41</v>
      </c>
      <c r="E1520" t="s">
        <v>31</v>
      </c>
      <c r="F1520">
        <v>7</v>
      </c>
      <c r="G1520">
        <v>43.132477000000002</v>
      </c>
      <c r="H1520">
        <v>-71.458374000000006</v>
      </c>
      <c r="I1520">
        <v>230</v>
      </c>
      <c r="J1520">
        <v>89</v>
      </c>
      <c r="K1520">
        <v>0</v>
      </c>
      <c r="L1520" s="1">
        <v>44784.507673611108</v>
      </c>
      <c r="M1520">
        <v>7.5</v>
      </c>
      <c r="N1520">
        <v>6.3</v>
      </c>
      <c r="O1520">
        <v>1.2</v>
      </c>
      <c r="P1520">
        <v>17</v>
      </c>
      <c r="Q1520">
        <v>0.2</v>
      </c>
      <c r="R1520">
        <v>0.2</v>
      </c>
      <c r="S1520">
        <v>0.2</v>
      </c>
      <c r="T1520" t="s">
        <v>33</v>
      </c>
      <c r="U1520">
        <v>6.9</v>
      </c>
      <c r="V1520">
        <v>39</v>
      </c>
      <c r="W1520">
        <v>0</v>
      </c>
      <c r="X1520">
        <v>39</v>
      </c>
      <c r="Y1520">
        <v>2</v>
      </c>
      <c r="Z1520">
        <v>0</v>
      </c>
      <c r="AA1520">
        <v>2</v>
      </c>
      <c r="AB1520" t="s">
        <v>36</v>
      </c>
      <c r="AC1520">
        <v>39</v>
      </c>
      <c r="AD1520">
        <v>3.64</v>
      </c>
    </row>
    <row r="1521" spans="1:30" x14ac:dyDescent="0.25">
      <c r="A1521" s="1">
        <v>44784.507719907408</v>
      </c>
      <c r="B1521" s="1">
        <v>44784.506863425922</v>
      </c>
      <c r="C1521">
        <v>151706</v>
      </c>
      <c r="D1521" t="s">
        <v>42</v>
      </c>
      <c r="E1521" t="s">
        <v>31</v>
      </c>
      <c r="F1521">
        <v>7</v>
      </c>
      <c r="G1521">
        <v>43.004080000000002</v>
      </c>
      <c r="H1521">
        <v>-71.177040000000005</v>
      </c>
      <c r="I1521">
        <v>194</v>
      </c>
      <c r="J1521">
        <v>86</v>
      </c>
      <c r="K1521">
        <v>0</v>
      </c>
      <c r="L1521" s="1">
        <v>44784.507673611108</v>
      </c>
      <c r="M1521">
        <v>6.5</v>
      </c>
      <c r="N1521">
        <v>0</v>
      </c>
      <c r="O1521">
        <v>6.5</v>
      </c>
      <c r="P1521">
        <v>200</v>
      </c>
      <c r="Q1521">
        <v>0.2</v>
      </c>
      <c r="R1521">
        <v>0</v>
      </c>
      <c r="S1521">
        <v>0.1</v>
      </c>
      <c r="T1521" t="s">
        <v>43</v>
      </c>
      <c r="V1521">
        <v>46</v>
      </c>
      <c r="W1521">
        <v>0</v>
      </c>
      <c r="X1521">
        <v>46</v>
      </c>
      <c r="Y1521">
        <v>2</v>
      </c>
      <c r="Z1521">
        <v>0</v>
      </c>
      <c r="AA1521">
        <v>2</v>
      </c>
      <c r="AB1521" t="s">
        <v>36</v>
      </c>
      <c r="AC1521">
        <v>46</v>
      </c>
    </row>
    <row r="1522" spans="1:30" x14ac:dyDescent="0.25">
      <c r="A1522" s="1">
        <v>44784.507719907408</v>
      </c>
      <c r="B1522" s="1">
        <v>44784.506643518522</v>
      </c>
      <c r="C1522">
        <v>12212</v>
      </c>
      <c r="D1522" t="s">
        <v>44</v>
      </c>
      <c r="E1522" t="s">
        <v>35</v>
      </c>
      <c r="F1522">
        <v>7</v>
      </c>
      <c r="G1522">
        <v>42.930529999999997</v>
      </c>
      <c r="H1522">
        <v>-72.272350000000003</v>
      </c>
      <c r="I1522">
        <v>476</v>
      </c>
      <c r="J1522">
        <v>88</v>
      </c>
      <c r="K1522">
        <v>0</v>
      </c>
      <c r="L1522" s="1">
        <v>44784.507673611108</v>
      </c>
      <c r="M1522">
        <v>4.3</v>
      </c>
      <c r="N1522">
        <v>3.8</v>
      </c>
      <c r="O1522">
        <v>0.5</v>
      </c>
      <c r="P1522">
        <v>12</v>
      </c>
      <c r="Q1522">
        <v>0.1</v>
      </c>
      <c r="R1522">
        <v>0</v>
      </c>
      <c r="S1522">
        <v>0.05</v>
      </c>
      <c r="T1522" t="s">
        <v>33</v>
      </c>
      <c r="U1522">
        <v>4.05</v>
      </c>
      <c r="V1522">
        <v>37</v>
      </c>
      <c r="W1522">
        <v>0</v>
      </c>
      <c r="X1522">
        <v>37</v>
      </c>
      <c r="Y1522">
        <v>0</v>
      </c>
      <c r="Z1522">
        <v>0</v>
      </c>
      <c r="AA1522">
        <v>0</v>
      </c>
      <c r="AB1522" t="s">
        <v>36</v>
      </c>
      <c r="AC1522">
        <v>37</v>
      </c>
      <c r="AD1522">
        <v>2.04</v>
      </c>
    </row>
    <row r="1523" spans="1:30" x14ac:dyDescent="0.25">
      <c r="A1523" s="1">
        <v>44784.507719907408</v>
      </c>
      <c r="B1523" s="1">
        <v>44769.376736111109</v>
      </c>
      <c r="C1523">
        <v>12178</v>
      </c>
      <c r="D1523" t="s">
        <v>45</v>
      </c>
      <c r="E1523" t="s">
        <v>35</v>
      </c>
      <c r="F1523">
        <v>7</v>
      </c>
      <c r="G1523">
        <v>42.899563000000001</v>
      </c>
      <c r="H1523">
        <v>-71.464650000000006</v>
      </c>
      <c r="I1523">
        <v>301</v>
      </c>
      <c r="J1523">
        <v>85</v>
      </c>
      <c r="K1523">
        <v>0</v>
      </c>
      <c r="L1523" s="1">
        <v>44784.507673611108</v>
      </c>
      <c r="M1523">
        <v>3.8</v>
      </c>
      <c r="N1523">
        <v>3.1</v>
      </c>
      <c r="O1523">
        <v>0.7</v>
      </c>
      <c r="P1523">
        <v>20</v>
      </c>
      <c r="Q1523">
        <v>0</v>
      </c>
      <c r="R1523">
        <v>0</v>
      </c>
      <c r="S1523">
        <v>0</v>
      </c>
      <c r="T1523" t="s">
        <v>32</v>
      </c>
      <c r="V1523">
        <v>35</v>
      </c>
      <c r="W1523">
        <v>0</v>
      </c>
      <c r="X1523">
        <v>35</v>
      </c>
      <c r="Y1523">
        <v>0</v>
      </c>
      <c r="Z1523">
        <v>0</v>
      </c>
      <c r="AA1523">
        <v>0</v>
      </c>
      <c r="AB1523" t="s">
        <v>36</v>
      </c>
      <c r="AC1523">
        <v>35</v>
      </c>
    </row>
    <row r="1524" spans="1:30" x14ac:dyDescent="0.25">
      <c r="A1524" s="1">
        <v>44784.507731481484</v>
      </c>
      <c r="B1524" s="1">
        <v>44784.507314814815</v>
      </c>
      <c r="C1524">
        <v>75981</v>
      </c>
      <c r="D1524" t="s">
        <v>46</v>
      </c>
      <c r="E1524" t="s">
        <v>35</v>
      </c>
      <c r="F1524">
        <v>7</v>
      </c>
      <c r="G1524">
        <v>42.97</v>
      </c>
      <c r="H1524">
        <v>-71.06</v>
      </c>
      <c r="I1524">
        <v>136</v>
      </c>
      <c r="J1524">
        <v>85</v>
      </c>
      <c r="K1524">
        <v>0</v>
      </c>
      <c r="L1524" s="1">
        <v>44784.507673611108</v>
      </c>
      <c r="M1524">
        <v>9.3000000000000007</v>
      </c>
      <c r="N1524">
        <v>9</v>
      </c>
      <c r="O1524">
        <v>0.3</v>
      </c>
      <c r="P1524">
        <v>3</v>
      </c>
      <c r="Q1524">
        <v>0.2</v>
      </c>
      <c r="R1524">
        <v>0</v>
      </c>
      <c r="S1524">
        <v>0.1</v>
      </c>
      <c r="T1524" t="s">
        <v>33</v>
      </c>
      <c r="U1524">
        <v>9.15</v>
      </c>
      <c r="V1524">
        <v>48</v>
      </c>
      <c r="W1524">
        <v>0</v>
      </c>
      <c r="X1524">
        <v>48</v>
      </c>
      <c r="Y1524">
        <v>1</v>
      </c>
      <c r="Z1524">
        <v>0</v>
      </c>
      <c r="AA1524">
        <v>1</v>
      </c>
      <c r="AB1524" t="s">
        <v>36</v>
      </c>
      <c r="AC1524">
        <v>48</v>
      </c>
      <c r="AD1524">
        <v>4.38</v>
      </c>
    </row>
    <row r="1525" spans="1:30" x14ac:dyDescent="0.25">
      <c r="A1525" s="1">
        <v>44784.507731481484</v>
      </c>
      <c r="B1525" s="1">
        <v>44784.506458333337</v>
      </c>
      <c r="C1525">
        <v>115703</v>
      </c>
      <c r="D1525" t="s">
        <v>47</v>
      </c>
      <c r="E1525" t="s">
        <v>35</v>
      </c>
      <c r="F1525">
        <v>7</v>
      </c>
      <c r="G1525">
        <v>43.953625000000002</v>
      </c>
      <c r="H1525">
        <v>-71.508859999999999</v>
      </c>
      <c r="I1525">
        <v>1493</v>
      </c>
      <c r="J1525">
        <v>80</v>
      </c>
      <c r="K1525">
        <v>0</v>
      </c>
      <c r="L1525" s="1">
        <v>44784.507673611108</v>
      </c>
      <c r="M1525">
        <v>0</v>
      </c>
      <c r="N1525">
        <v>300.89999999999998</v>
      </c>
      <c r="O1525">
        <v>300.89999999999998</v>
      </c>
      <c r="P1525">
        <v>200</v>
      </c>
      <c r="Q1525">
        <v>0</v>
      </c>
      <c r="R1525">
        <v>0</v>
      </c>
      <c r="S1525">
        <v>0</v>
      </c>
      <c r="T1525" t="s">
        <v>48</v>
      </c>
      <c r="V1525">
        <v>41</v>
      </c>
      <c r="W1525">
        <v>0</v>
      </c>
      <c r="X1525">
        <v>41</v>
      </c>
      <c r="Y1525">
        <v>0</v>
      </c>
      <c r="Z1525">
        <v>0</v>
      </c>
      <c r="AA1525">
        <v>0</v>
      </c>
      <c r="AB1525" t="s">
        <v>36</v>
      </c>
      <c r="AC1525">
        <v>41</v>
      </c>
    </row>
    <row r="1526" spans="1:30" x14ac:dyDescent="0.25">
      <c r="A1526" s="1">
        <v>44784.507731481484</v>
      </c>
      <c r="B1526" s="1">
        <v>44784.507268518515</v>
      </c>
      <c r="C1526">
        <v>12050</v>
      </c>
      <c r="D1526" t="s">
        <v>49</v>
      </c>
      <c r="E1526" t="s">
        <v>35</v>
      </c>
      <c r="F1526">
        <v>7</v>
      </c>
      <c r="G1526">
        <v>44.220573000000002</v>
      </c>
      <c r="H1526">
        <v>-71.732315</v>
      </c>
      <c r="I1526">
        <v>999</v>
      </c>
      <c r="J1526">
        <v>87</v>
      </c>
      <c r="K1526">
        <v>0</v>
      </c>
      <c r="L1526" s="1">
        <v>44784.507673611108</v>
      </c>
      <c r="M1526">
        <v>3.7</v>
      </c>
      <c r="N1526">
        <v>3.4</v>
      </c>
      <c r="O1526">
        <v>0.3</v>
      </c>
      <c r="P1526">
        <v>8</v>
      </c>
      <c r="Q1526">
        <v>0</v>
      </c>
      <c r="R1526">
        <v>0.1</v>
      </c>
      <c r="S1526">
        <v>0.05</v>
      </c>
      <c r="T1526" t="s">
        <v>33</v>
      </c>
      <c r="U1526">
        <v>3.55</v>
      </c>
      <c r="V1526">
        <v>39</v>
      </c>
      <c r="W1526">
        <v>0</v>
      </c>
      <c r="X1526">
        <v>39</v>
      </c>
      <c r="Y1526">
        <v>2</v>
      </c>
      <c r="Z1526">
        <v>0</v>
      </c>
      <c r="AA1526">
        <v>2</v>
      </c>
      <c r="AB1526" t="s">
        <v>36</v>
      </c>
      <c r="AC1526">
        <v>39</v>
      </c>
      <c r="AD1526">
        <v>1.6</v>
      </c>
    </row>
    <row r="1527" spans="1:30" x14ac:dyDescent="0.25">
      <c r="A1527" s="1">
        <v>44784.507743055554</v>
      </c>
      <c r="B1527" s="1">
        <v>44784.505995370368</v>
      </c>
      <c r="C1527">
        <v>23443</v>
      </c>
      <c r="D1527" t="s">
        <v>50</v>
      </c>
      <c r="E1527" t="s">
        <v>35</v>
      </c>
      <c r="F1527">
        <v>7</v>
      </c>
      <c r="G1527">
        <v>43.556139999999999</v>
      </c>
      <c r="H1527">
        <v>-72.370990000000006</v>
      </c>
      <c r="I1527">
        <v>523</v>
      </c>
      <c r="J1527">
        <v>100</v>
      </c>
      <c r="K1527">
        <v>0</v>
      </c>
      <c r="L1527" s="1">
        <v>44784.507673611108</v>
      </c>
      <c r="M1527">
        <v>2.6</v>
      </c>
      <c r="N1527">
        <v>2.2000000000000002</v>
      </c>
      <c r="O1527">
        <v>0.4</v>
      </c>
      <c r="P1527">
        <v>17</v>
      </c>
      <c r="Q1527">
        <v>0.3</v>
      </c>
      <c r="R1527">
        <v>0.2</v>
      </c>
      <c r="S1527">
        <v>0.25</v>
      </c>
      <c r="T1527" t="s">
        <v>33</v>
      </c>
      <c r="U1527">
        <v>2.4</v>
      </c>
      <c r="V1527">
        <v>23</v>
      </c>
      <c r="W1527">
        <v>0</v>
      </c>
      <c r="X1527">
        <v>23</v>
      </c>
      <c r="Y1527">
        <v>1</v>
      </c>
      <c r="Z1527">
        <v>0</v>
      </c>
      <c r="AA1527">
        <v>1</v>
      </c>
      <c r="AB1527" t="s">
        <v>36</v>
      </c>
      <c r="AC1527">
        <v>23</v>
      </c>
      <c r="AD1527">
        <v>2.0099999999999998</v>
      </c>
    </row>
    <row r="1528" spans="1:30" x14ac:dyDescent="0.25">
      <c r="A1528" s="1">
        <v>44784.507743055554</v>
      </c>
      <c r="B1528" s="1">
        <v>44784.5075</v>
      </c>
      <c r="C1528">
        <v>58135</v>
      </c>
      <c r="D1528" t="s">
        <v>51</v>
      </c>
      <c r="E1528" t="s">
        <v>35</v>
      </c>
      <c r="F1528">
        <v>7</v>
      </c>
      <c r="G1528">
        <v>42.883873000000001</v>
      </c>
      <c r="H1528">
        <v>-71.972915999999998</v>
      </c>
      <c r="I1528">
        <v>808</v>
      </c>
      <c r="J1528">
        <v>88</v>
      </c>
      <c r="K1528">
        <v>0</v>
      </c>
      <c r="L1528" s="1">
        <v>44784.507673611108</v>
      </c>
      <c r="M1528">
        <v>2.7</v>
      </c>
      <c r="N1528">
        <v>1.8</v>
      </c>
      <c r="O1528">
        <v>0.9</v>
      </c>
      <c r="P1528">
        <v>40</v>
      </c>
      <c r="Q1528">
        <v>0.1</v>
      </c>
      <c r="R1528">
        <v>0.1</v>
      </c>
      <c r="S1528">
        <v>0.1</v>
      </c>
      <c r="T1528" t="s">
        <v>33</v>
      </c>
      <c r="U1528">
        <v>2.25</v>
      </c>
      <c r="V1528">
        <v>37</v>
      </c>
      <c r="W1528">
        <v>0</v>
      </c>
      <c r="X1528">
        <v>37</v>
      </c>
      <c r="Y1528">
        <v>1</v>
      </c>
      <c r="Z1528">
        <v>0</v>
      </c>
      <c r="AA1528">
        <v>1</v>
      </c>
      <c r="AB1528" t="s">
        <v>36</v>
      </c>
      <c r="AC1528">
        <v>37</v>
      </c>
      <c r="AD1528">
        <v>0.94</v>
      </c>
    </row>
    <row r="1529" spans="1:30" x14ac:dyDescent="0.25">
      <c r="A1529" s="1">
        <v>44784.507743055554</v>
      </c>
      <c r="B1529" s="1">
        <v>44784.506111111114</v>
      </c>
      <c r="C1529">
        <v>148555</v>
      </c>
      <c r="D1529" t="s">
        <v>52</v>
      </c>
      <c r="E1529" t="s">
        <v>53</v>
      </c>
      <c r="F1529">
        <v>7</v>
      </c>
      <c r="G1529">
        <v>42.904949999999999</v>
      </c>
      <c r="H1529">
        <v>-71.386764999999997</v>
      </c>
      <c r="I1529">
        <v>363</v>
      </c>
      <c r="J1529">
        <v>0</v>
      </c>
      <c r="K1529">
        <v>0</v>
      </c>
      <c r="L1529" s="1">
        <v>44784.507673611108</v>
      </c>
      <c r="M1529">
        <v>2.2999999999999998</v>
      </c>
      <c r="N1529">
        <v>2.8</v>
      </c>
      <c r="O1529">
        <v>0.5</v>
      </c>
      <c r="P1529">
        <v>20</v>
      </c>
      <c r="Q1529">
        <v>0.5</v>
      </c>
      <c r="R1529">
        <v>0.4</v>
      </c>
      <c r="S1529">
        <v>0.45</v>
      </c>
      <c r="T1529" t="s">
        <v>33</v>
      </c>
      <c r="U1529">
        <v>2.5499999999999998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 t="s">
        <v>38</v>
      </c>
    </row>
    <row r="1530" spans="1:30" x14ac:dyDescent="0.25">
      <c r="A1530" s="1">
        <v>44784.507754629631</v>
      </c>
      <c r="B1530" s="1">
        <v>44784.507002314815</v>
      </c>
      <c r="C1530">
        <v>146644</v>
      </c>
      <c r="D1530" t="s">
        <v>54</v>
      </c>
      <c r="E1530" t="s">
        <v>53</v>
      </c>
      <c r="F1530">
        <v>7</v>
      </c>
      <c r="G1530">
        <v>43.06015</v>
      </c>
      <c r="H1530">
        <v>-70.758930000000007</v>
      </c>
      <c r="I1530">
        <v>35</v>
      </c>
      <c r="J1530">
        <v>81</v>
      </c>
      <c r="K1530">
        <v>82</v>
      </c>
      <c r="L1530" s="1">
        <v>44784.507673611108</v>
      </c>
      <c r="M1530">
        <v>14.7</v>
      </c>
      <c r="N1530">
        <v>13.8</v>
      </c>
      <c r="O1530">
        <v>0.9</v>
      </c>
      <c r="P1530">
        <v>6</v>
      </c>
      <c r="Q1530">
        <v>0.4</v>
      </c>
      <c r="R1530">
        <v>0.1</v>
      </c>
      <c r="S1530">
        <v>0.25</v>
      </c>
      <c r="T1530" t="s">
        <v>33</v>
      </c>
      <c r="U1530">
        <v>14.25</v>
      </c>
      <c r="V1530">
        <v>51</v>
      </c>
      <c r="W1530">
        <v>57</v>
      </c>
      <c r="X1530">
        <v>6</v>
      </c>
      <c r="Y1530">
        <v>1</v>
      </c>
      <c r="Z1530">
        <v>2</v>
      </c>
      <c r="AA1530">
        <v>1</v>
      </c>
      <c r="AB1530" t="s">
        <v>33</v>
      </c>
      <c r="AC1530">
        <v>54</v>
      </c>
      <c r="AD1530">
        <v>7.07</v>
      </c>
    </row>
    <row r="1531" spans="1:30" x14ac:dyDescent="0.25">
      <c r="A1531" s="1">
        <v>44784.507754629631</v>
      </c>
      <c r="B1531" s="1">
        <v>43755.283437500002</v>
      </c>
      <c r="C1531">
        <v>12188</v>
      </c>
      <c r="D1531" t="s">
        <v>55</v>
      </c>
      <c r="E1531" t="s">
        <v>35</v>
      </c>
      <c r="F1531">
        <v>4.1100000000000003</v>
      </c>
      <c r="G1531">
        <v>42.927050000000001</v>
      </c>
      <c r="H1531">
        <v>-72.279610000000005</v>
      </c>
      <c r="I1531">
        <v>475</v>
      </c>
      <c r="J1531">
        <v>95</v>
      </c>
      <c r="K1531">
        <v>0</v>
      </c>
      <c r="L1531" s="1">
        <v>44784.507673611108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 t="s">
        <v>32</v>
      </c>
      <c r="V1531">
        <v>77</v>
      </c>
      <c r="W1531">
        <v>0</v>
      </c>
      <c r="X1531">
        <v>77</v>
      </c>
      <c r="Y1531">
        <v>0</v>
      </c>
      <c r="Z1531">
        <v>0</v>
      </c>
      <c r="AA1531">
        <v>0</v>
      </c>
      <c r="AB1531" t="s">
        <v>36</v>
      </c>
      <c r="AC1531">
        <v>77</v>
      </c>
    </row>
    <row r="1532" spans="1:30" x14ac:dyDescent="0.25">
      <c r="A1532" s="1">
        <v>44784.507754629631</v>
      </c>
      <c r="B1532" s="1">
        <v>44784.507372685184</v>
      </c>
      <c r="C1532">
        <v>1224</v>
      </c>
      <c r="D1532" t="s">
        <v>56</v>
      </c>
      <c r="E1532" t="s">
        <v>35</v>
      </c>
      <c r="F1532" t="s">
        <v>57</v>
      </c>
      <c r="G1532">
        <v>42.938034000000002</v>
      </c>
      <c r="H1532">
        <v>-72.259299999999996</v>
      </c>
      <c r="I1532">
        <v>792</v>
      </c>
      <c r="J1532">
        <v>91</v>
      </c>
      <c r="K1532">
        <v>0</v>
      </c>
      <c r="L1532" s="1">
        <v>44784.507673611108</v>
      </c>
      <c r="M1532">
        <v>4.0999999999999996</v>
      </c>
      <c r="N1532">
        <v>0.1</v>
      </c>
      <c r="O1532">
        <v>4</v>
      </c>
      <c r="P1532">
        <v>190</v>
      </c>
      <c r="Q1532">
        <v>0.2</v>
      </c>
      <c r="R1532">
        <v>0.1</v>
      </c>
      <c r="S1532">
        <v>0.15</v>
      </c>
      <c r="T1532" t="s">
        <v>33</v>
      </c>
      <c r="U1532">
        <v>2.1</v>
      </c>
      <c r="V1532">
        <v>42</v>
      </c>
      <c r="W1532">
        <v>0</v>
      </c>
      <c r="X1532">
        <v>42</v>
      </c>
      <c r="Y1532">
        <v>0</v>
      </c>
      <c r="Z1532">
        <v>0</v>
      </c>
      <c r="AA1532">
        <v>0</v>
      </c>
      <c r="AB1532" t="s">
        <v>36</v>
      </c>
      <c r="AC1532">
        <v>42</v>
      </c>
      <c r="AD1532">
        <v>0.5</v>
      </c>
    </row>
    <row r="1533" spans="1:30" x14ac:dyDescent="0.25">
      <c r="A1533" s="1">
        <v>44784.5077662037</v>
      </c>
      <c r="B1533" s="1">
        <v>44784.50681712963</v>
      </c>
      <c r="C1533">
        <v>1202</v>
      </c>
      <c r="D1533" t="s">
        <v>58</v>
      </c>
      <c r="E1533" t="s">
        <v>35</v>
      </c>
      <c r="F1533" t="s">
        <v>57</v>
      </c>
      <c r="G1533">
        <v>42.936554000000001</v>
      </c>
      <c r="H1533">
        <v>-72.271019999999993</v>
      </c>
      <c r="I1533">
        <v>488</v>
      </c>
      <c r="J1533">
        <v>0</v>
      </c>
      <c r="K1533">
        <v>0</v>
      </c>
      <c r="L1533" s="1">
        <v>44784.507673611108</v>
      </c>
      <c r="M1533">
        <v>4.7</v>
      </c>
      <c r="N1533">
        <v>3.9</v>
      </c>
      <c r="O1533">
        <v>0.8</v>
      </c>
      <c r="P1533">
        <v>19</v>
      </c>
      <c r="Q1533">
        <v>0.1</v>
      </c>
      <c r="R1533">
        <v>0.2</v>
      </c>
      <c r="S1533">
        <v>0.15</v>
      </c>
      <c r="T1533" t="s">
        <v>33</v>
      </c>
      <c r="U1533">
        <v>4.3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 t="s">
        <v>38</v>
      </c>
    </row>
    <row r="1534" spans="1:30" x14ac:dyDescent="0.25">
      <c r="A1534" s="1">
        <v>44784.5077662037</v>
      </c>
      <c r="B1534" s="1">
        <v>44612.080023148148</v>
      </c>
      <c r="C1534">
        <v>25985</v>
      </c>
      <c r="D1534" t="s">
        <v>59</v>
      </c>
      <c r="E1534" t="s">
        <v>35</v>
      </c>
      <c r="F1534">
        <v>6.01</v>
      </c>
      <c r="G1534">
        <v>42.927326000000001</v>
      </c>
      <c r="H1534">
        <v>-72.279979999999995</v>
      </c>
      <c r="I1534">
        <v>477</v>
      </c>
      <c r="J1534">
        <v>78</v>
      </c>
      <c r="K1534">
        <v>0</v>
      </c>
      <c r="L1534" s="1">
        <v>44784.507673611108</v>
      </c>
      <c r="M1534">
        <v>1.1000000000000001</v>
      </c>
      <c r="N1534">
        <v>1</v>
      </c>
      <c r="O1534">
        <v>0.1</v>
      </c>
      <c r="P1534">
        <v>10</v>
      </c>
      <c r="Q1534">
        <v>0</v>
      </c>
      <c r="R1534">
        <v>0</v>
      </c>
      <c r="S1534">
        <v>0</v>
      </c>
      <c r="T1534" t="s">
        <v>32</v>
      </c>
      <c r="V1534">
        <v>22</v>
      </c>
      <c r="W1534">
        <v>0</v>
      </c>
      <c r="X1534">
        <v>22</v>
      </c>
      <c r="Y1534">
        <v>0</v>
      </c>
      <c r="Z1534">
        <v>0</v>
      </c>
      <c r="AA1534">
        <v>0</v>
      </c>
      <c r="AB1534" t="s">
        <v>36</v>
      </c>
      <c r="AC1534">
        <v>22</v>
      </c>
    </row>
    <row r="1535" spans="1:30" x14ac:dyDescent="0.25">
      <c r="A1535" s="1">
        <v>44784.51462962963</v>
      </c>
      <c r="B1535" s="1">
        <v>44775.701319444444</v>
      </c>
      <c r="C1535">
        <v>151708</v>
      </c>
      <c r="D1535" t="s">
        <v>30</v>
      </c>
      <c r="E1535" t="s">
        <v>31</v>
      </c>
      <c r="F1535">
        <v>7</v>
      </c>
      <c r="G1535">
        <v>43.192042999999998</v>
      </c>
      <c r="H1535">
        <v>-71.541579999999996</v>
      </c>
      <c r="I1535">
        <v>291</v>
      </c>
      <c r="J1535">
        <v>93</v>
      </c>
      <c r="K1535">
        <v>94</v>
      </c>
      <c r="L1535" s="1">
        <v>44784.514618055553</v>
      </c>
      <c r="M1535">
        <v>7.9</v>
      </c>
      <c r="N1535">
        <v>7.6</v>
      </c>
      <c r="O1535">
        <v>0.3</v>
      </c>
      <c r="P1535">
        <v>4</v>
      </c>
      <c r="Q1535">
        <v>0</v>
      </c>
      <c r="R1535">
        <v>0</v>
      </c>
      <c r="S1535">
        <v>0</v>
      </c>
      <c r="T1535" t="s">
        <v>32</v>
      </c>
      <c r="V1535">
        <v>42</v>
      </c>
      <c r="W1535">
        <v>41</v>
      </c>
      <c r="X1535">
        <v>1</v>
      </c>
      <c r="Y1535">
        <v>0</v>
      </c>
      <c r="Z1535">
        <v>0</v>
      </c>
      <c r="AA1535">
        <v>0</v>
      </c>
      <c r="AB1535" t="s">
        <v>33</v>
      </c>
      <c r="AC1535">
        <v>41.5</v>
      </c>
    </row>
    <row r="1536" spans="1:30" x14ac:dyDescent="0.25">
      <c r="A1536" s="1">
        <v>44784.514641203707</v>
      </c>
      <c r="B1536" s="1">
        <v>44784.512974537036</v>
      </c>
      <c r="C1536">
        <v>143456</v>
      </c>
      <c r="D1536" t="s">
        <v>34</v>
      </c>
      <c r="E1536" t="s">
        <v>35</v>
      </c>
      <c r="F1536">
        <v>7</v>
      </c>
      <c r="G1536">
        <v>43.08963</v>
      </c>
      <c r="H1536">
        <v>-71.502440000000007</v>
      </c>
      <c r="I1536">
        <v>619</v>
      </c>
      <c r="J1536">
        <v>85</v>
      </c>
      <c r="K1536">
        <v>0</v>
      </c>
      <c r="L1536" s="1">
        <v>44784.514618055553</v>
      </c>
      <c r="M1536">
        <v>3.9</v>
      </c>
      <c r="N1536">
        <v>4.0999999999999996</v>
      </c>
      <c r="O1536">
        <v>0.2</v>
      </c>
      <c r="P1536">
        <v>5</v>
      </c>
      <c r="Q1536">
        <v>0.5</v>
      </c>
      <c r="R1536">
        <v>0.4</v>
      </c>
      <c r="S1536">
        <v>0.45</v>
      </c>
      <c r="T1536" t="s">
        <v>33</v>
      </c>
      <c r="U1536">
        <v>4</v>
      </c>
      <c r="V1536">
        <v>45</v>
      </c>
      <c r="W1536">
        <v>0</v>
      </c>
      <c r="X1536">
        <v>45</v>
      </c>
      <c r="Y1536">
        <v>2</v>
      </c>
      <c r="Z1536">
        <v>0</v>
      </c>
      <c r="AA1536">
        <v>2</v>
      </c>
      <c r="AB1536" t="s">
        <v>36</v>
      </c>
      <c r="AC1536">
        <v>45</v>
      </c>
      <c r="AD1536">
        <v>1.45</v>
      </c>
    </row>
    <row r="1537" spans="1:30" x14ac:dyDescent="0.25">
      <c r="A1537" s="1">
        <v>44784.514641203707</v>
      </c>
      <c r="B1537" s="1">
        <v>44784.513136574074</v>
      </c>
      <c r="C1537">
        <v>151702</v>
      </c>
      <c r="D1537" t="s">
        <v>37</v>
      </c>
      <c r="E1537" t="s">
        <v>31</v>
      </c>
      <c r="F1537">
        <v>7</v>
      </c>
      <c r="G1537">
        <v>43.118609999999997</v>
      </c>
      <c r="H1537">
        <v>-71.61618</v>
      </c>
      <c r="I1537">
        <v>885</v>
      </c>
      <c r="J1537">
        <v>0</v>
      </c>
      <c r="K1537">
        <v>0</v>
      </c>
      <c r="L1537" s="1">
        <v>44784.514618055553</v>
      </c>
      <c r="M1537">
        <v>3.2</v>
      </c>
      <c r="N1537">
        <v>3.2</v>
      </c>
      <c r="O1537">
        <v>0</v>
      </c>
      <c r="P1537">
        <v>0</v>
      </c>
      <c r="Q1537">
        <v>0.2</v>
      </c>
      <c r="R1537">
        <v>0.1</v>
      </c>
      <c r="S1537">
        <v>0.15</v>
      </c>
      <c r="T1537" t="s">
        <v>33</v>
      </c>
      <c r="U1537">
        <v>3.2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 t="s">
        <v>38</v>
      </c>
    </row>
    <row r="1538" spans="1:30" x14ac:dyDescent="0.25">
      <c r="A1538" s="1">
        <v>44784.514641203707</v>
      </c>
      <c r="B1538" s="1">
        <v>44784.513032407405</v>
      </c>
      <c r="C1538">
        <v>151700</v>
      </c>
      <c r="D1538" t="s">
        <v>30</v>
      </c>
      <c r="E1538" t="s">
        <v>31</v>
      </c>
      <c r="F1538">
        <v>7</v>
      </c>
      <c r="G1538">
        <v>43.19211</v>
      </c>
      <c r="H1538">
        <v>-71.541460000000001</v>
      </c>
      <c r="I1538">
        <v>286</v>
      </c>
      <c r="J1538">
        <v>81</v>
      </c>
      <c r="K1538">
        <v>0</v>
      </c>
      <c r="L1538" s="1">
        <v>44784.514618055553</v>
      </c>
      <c r="M1538">
        <v>5</v>
      </c>
      <c r="N1538">
        <v>5.5</v>
      </c>
      <c r="O1538">
        <v>0.5</v>
      </c>
      <c r="P1538">
        <v>10</v>
      </c>
      <c r="Q1538">
        <v>0.2</v>
      </c>
      <c r="R1538">
        <v>0.4</v>
      </c>
      <c r="S1538">
        <v>0.3</v>
      </c>
      <c r="T1538" t="s">
        <v>33</v>
      </c>
      <c r="U1538">
        <v>5.25</v>
      </c>
      <c r="V1538">
        <v>50</v>
      </c>
      <c r="W1538">
        <v>0</v>
      </c>
      <c r="X1538">
        <v>50</v>
      </c>
      <c r="Y1538">
        <v>2</v>
      </c>
      <c r="Z1538">
        <v>0</v>
      </c>
      <c r="AA1538">
        <v>2</v>
      </c>
      <c r="AB1538" t="s">
        <v>36</v>
      </c>
      <c r="AC1538">
        <v>50</v>
      </c>
      <c r="AD1538">
        <v>1.86</v>
      </c>
    </row>
    <row r="1539" spans="1:30" x14ac:dyDescent="0.25">
      <c r="A1539" s="1">
        <v>44784.514652777776</v>
      </c>
      <c r="B1539" s="1">
        <v>44784.513460648152</v>
      </c>
      <c r="C1539">
        <v>135984</v>
      </c>
      <c r="D1539" t="s">
        <v>39</v>
      </c>
      <c r="E1539" t="s">
        <v>31</v>
      </c>
      <c r="F1539">
        <v>7</v>
      </c>
      <c r="G1539">
        <v>43.565852999999997</v>
      </c>
      <c r="H1539">
        <v>-71.496129999999994</v>
      </c>
      <c r="I1539">
        <v>708</v>
      </c>
      <c r="J1539">
        <v>89</v>
      </c>
      <c r="K1539">
        <v>0</v>
      </c>
      <c r="L1539" s="1">
        <v>44784.514618055553</v>
      </c>
      <c r="M1539">
        <v>2.8</v>
      </c>
      <c r="N1539">
        <v>2.2000000000000002</v>
      </c>
      <c r="O1539">
        <v>0.6</v>
      </c>
      <c r="P1539">
        <v>24</v>
      </c>
      <c r="Q1539">
        <v>0.1</v>
      </c>
      <c r="R1539">
        <v>0.2</v>
      </c>
      <c r="S1539">
        <v>0.15</v>
      </c>
      <c r="T1539" t="s">
        <v>33</v>
      </c>
      <c r="U1539">
        <v>2.5</v>
      </c>
      <c r="V1539">
        <v>50</v>
      </c>
      <c r="W1539">
        <v>0</v>
      </c>
      <c r="X1539">
        <v>50</v>
      </c>
      <c r="Y1539">
        <v>1</v>
      </c>
      <c r="Z1539">
        <v>0</v>
      </c>
      <c r="AA1539">
        <v>1</v>
      </c>
      <c r="AB1539" t="s">
        <v>36</v>
      </c>
      <c r="AC1539">
        <v>50</v>
      </c>
      <c r="AD1539">
        <v>0.18</v>
      </c>
    </row>
    <row r="1540" spans="1:30" x14ac:dyDescent="0.25">
      <c r="A1540" s="1">
        <v>44784.514652777776</v>
      </c>
      <c r="B1540" s="1">
        <v>44780.394780092596</v>
      </c>
      <c r="C1540">
        <v>151712</v>
      </c>
      <c r="D1540" t="s">
        <v>40</v>
      </c>
      <c r="E1540" t="s">
        <v>31</v>
      </c>
      <c r="F1540">
        <v>7</v>
      </c>
      <c r="G1540">
        <v>43.289763999999998</v>
      </c>
      <c r="H1540">
        <v>-71.564260000000004</v>
      </c>
      <c r="I1540">
        <v>370</v>
      </c>
      <c r="J1540">
        <v>86</v>
      </c>
      <c r="K1540">
        <v>0</v>
      </c>
      <c r="L1540" s="1">
        <v>44784.514618055553</v>
      </c>
      <c r="M1540">
        <v>14</v>
      </c>
      <c r="N1540">
        <v>13.2</v>
      </c>
      <c r="O1540">
        <v>0.8</v>
      </c>
      <c r="P1540">
        <v>6</v>
      </c>
      <c r="Q1540">
        <v>0</v>
      </c>
      <c r="R1540">
        <v>0</v>
      </c>
      <c r="S1540">
        <v>0</v>
      </c>
      <c r="T1540" t="s">
        <v>32</v>
      </c>
      <c r="V1540">
        <v>59</v>
      </c>
      <c r="W1540">
        <v>0</v>
      </c>
      <c r="X1540">
        <v>59</v>
      </c>
      <c r="Y1540">
        <v>0</v>
      </c>
      <c r="Z1540">
        <v>0</v>
      </c>
      <c r="AA1540">
        <v>0</v>
      </c>
      <c r="AB1540" t="s">
        <v>36</v>
      </c>
      <c r="AC1540">
        <v>59</v>
      </c>
    </row>
    <row r="1541" spans="1:30" x14ac:dyDescent="0.25">
      <c r="A1541" s="1">
        <v>44784.514652777776</v>
      </c>
      <c r="B1541" s="1">
        <v>44784.512766203705</v>
      </c>
      <c r="C1541">
        <v>151710</v>
      </c>
      <c r="D1541" t="s">
        <v>41</v>
      </c>
      <c r="E1541" t="s">
        <v>31</v>
      </c>
      <c r="F1541">
        <v>7</v>
      </c>
      <c r="G1541">
        <v>43.132477000000002</v>
      </c>
      <c r="H1541">
        <v>-71.458374000000006</v>
      </c>
      <c r="I1541">
        <v>230</v>
      </c>
      <c r="J1541">
        <v>90</v>
      </c>
      <c r="K1541">
        <v>0</v>
      </c>
      <c r="L1541" s="1">
        <v>44784.514618055553</v>
      </c>
      <c r="M1541">
        <v>7.3</v>
      </c>
      <c r="N1541">
        <v>6.2</v>
      </c>
      <c r="O1541">
        <v>1.1000000000000001</v>
      </c>
      <c r="P1541">
        <v>16</v>
      </c>
      <c r="Q1541">
        <v>0.2</v>
      </c>
      <c r="R1541">
        <v>0.1</v>
      </c>
      <c r="S1541">
        <v>0.15</v>
      </c>
      <c r="T1541" t="s">
        <v>33</v>
      </c>
      <c r="U1541">
        <v>6.75</v>
      </c>
      <c r="V1541">
        <v>38</v>
      </c>
      <c r="W1541">
        <v>0</v>
      </c>
      <c r="X1541">
        <v>38</v>
      </c>
      <c r="Y1541">
        <v>1</v>
      </c>
      <c r="Z1541">
        <v>0</v>
      </c>
      <c r="AA1541">
        <v>1</v>
      </c>
      <c r="AB1541" t="s">
        <v>36</v>
      </c>
      <c r="AC1541">
        <v>38</v>
      </c>
      <c r="AD1541">
        <v>3.62</v>
      </c>
    </row>
    <row r="1542" spans="1:30" x14ac:dyDescent="0.25">
      <c r="A1542" s="1">
        <v>44784.514664351853</v>
      </c>
      <c r="B1542" s="1">
        <v>44784.513807870368</v>
      </c>
      <c r="C1542">
        <v>151706</v>
      </c>
      <c r="D1542" t="s">
        <v>42</v>
      </c>
      <c r="E1542" t="s">
        <v>31</v>
      </c>
      <c r="F1542">
        <v>7</v>
      </c>
      <c r="G1542">
        <v>43.004080000000002</v>
      </c>
      <c r="H1542">
        <v>-71.177040000000005</v>
      </c>
      <c r="I1542">
        <v>194</v>
      </c>
      <c r="J1542">
        <v>88</v>
      </c>
      <c r="K1542">
        <v>0</v>
      </c>
      <c r="L1542" s="1">
        <v>44784.514618055553</v>
      </c>
      <c r="M1542">
        <v>6.7</v>
      </c>
      <c r="N1542">
        <v>0</v>
      </c>
      <c r="O1542">
        <v>6.7</v>
      </c>
      <c r="P1542">
        <v>200</v>
      </c>
      <c r="Q1542">
        <v>0.2</v>
      </c>
      <c r="R1542">
        <v>0</v>
      </c>
      <c r="S1542">
        <v>0.1</v>
      </c>
      <c r="T1542" t="s">
        <v>43</v>
      </c>
      <c r="V1542">
        <v>45</v>
      </c>
      <c r="W1542">
        <v>0</v>
      </c>
      <c r="X1542">
        <v>45</v>
      </c>
      <c r="Y1542">
        <v>1</v>
      </c>
      <c r="Z1542">
        <v>0</v>
      </c>
      <c r="AA1542">
        <v>1</v>
      </c>
      <c r="AB1542" t="s">
        <v>36</v>
      </c>
      <c r="AC1542">
        <v>45</v>
      </c>
    </row>
    <row r="1543" spans="1:30" x14ac:dyDescent="0.25">
      <c r="A1543" s="1">
        <v>44784.514664351853</v>
      </c>
      <c r="B1543" s="1">
        <v>44784.51357638889</v>
      </c>
      <c r="C1543">
        <v>12212</v>
      </c>
      <c r="D1543" t="s">
        <v>44</v>
      </c>
      <c r="E1543" t="s">
        <v>35</v>
      </c>
      <c r="F1543">
        <v>7</v>
      </c>
      <c r="G1543">
        <v>42.930529999999997</v>
      </c>
      <c r="H1543">
        <v>-72.272350000000003</v>
      </c>
      <c r="I1543">
        <v>476</v>
      </c>
      <c r="J1543">
        <v>87</v>
      </c>
      <c r="K1543">
        <v>0</v>
      </c>
      <c r="L1543" s="1">
        <v>44784.514618055553</v>
      </c>
      <c r="M1543">
        <v>4.4000000000000004</v>
      </c>
      <c r="N1543">
        <v>3.9</v>
      </c>
      <c r="O1543">
        <v>0.5</v>
      </c>
      <c r="P1543">
        <v>12</v>
      </c>
      <c r="Q1543">
        <v>0.1</v>
      </c>
      <c r="R1543">
        <v>0.1</v>
      </c>
      <c r="S1543">
        <v>0.1</v>
      </c>
      <c r="T1543" t="s">
        <v>33</v>
      </c>
      <c r="U1543">
        <v>4.1500000000000004</v>
      </c>
      <c r="V1543">
        <v>37</v>
      </c>
      <c r="W1543">
        <v>0</v>
      </c>
      <c r="X1543">
        <v>37</v>
      </c>
      <c r="Y1543">
        <v>0</v>
      </c>
      <c r="Z1543">
        <v>0</v>
      </c>
      <c r="AA1543">
        <v>0</v>
      </c>
      <c r="AB1543" t="s">
        <v>36</v>
      </c>
      <c r="AC1543">
        <v>37</v>
      </c>
      <c r="AD1543">
        <v>2.1</v>
      </c>
    </row>
    <row r="1544" spans="1:30" x14ac:dyDescent="0.25">
      <c r="A1544" s="1">
        <v>44784.514664351853</v>
      </c>
      <c r="B1544" s="1">
        <v>44769.376736111109</v>
      </c>
      <c r="C1544">
        <v>12178</v>
      </c>
      <c r="D1544" t="s">
        <v>45</v>
      </c>
      <c r="E1544" t="s">
        <v>35</v>
      </c>
      <c r="F1544">
        <v>7</v>
      </c>
      <c r="G1544">
        <v>42.899563000000001</v>
      </c>
      <c r="H1544">
        <v>-71.464650000000006</v>
      </c>
      <c r="I1544">
        <v>301</v>
      </c>
      <c r="J1544">
        <v>85</v>
      </c>
      <c r="K1544">
        <v>0</v>
      </c>
      <c r="L1544" s="1">
        <v>44784.514618055553</v>
      </c>
      <c r="M1544">
        <v>3.8</v>
      </c>
      <c r="N1544">
        <v>3.1</v>
      </c>
      <c r="O1544">
        <v>0.7</v>
      </c>
      <c r="P1544">
        <v>20</v>
      </c>
      <c r="Q1544">
        <v>0</v>
      </c>
      <c r="R1544">
        <v>0</v>
      </c>
      <c r="S1544">
        <v>0</v>
      </c>
      <c r="T1544" t="s">
        <v>32</v>
      </c>
      <c r="V1544">
        <v>35</v>
      </c>
      <c r="W1544">
        <v>0</v>
      </c>
      <c r="X1544">
        <v>35</v>
      </c>
      <c r="Y1544">
        <v>0</v>
      </c>
      <c r="Z1544">
        <v>0</v>
      </c>
      <c r="AA1544">
        <v>0</v>
      </c>
      <c r="AB1544" t="s">
        <v>36</v>
      </c>
      <c r="AC1544">
        <v>35</v>
      </c>
    </row>
    <row r="1545" spans="1:30" x14ac:dyDescent="0.25">
      <c r="A1545" s="1">
        <v>44784.514675925922</v>
      </c>
      <c r="B1545" s="1">
        <v>44784.512870370374</v>
      </c>
      <c r="C1545">
        <v>75981</v>
      </c>
      <c r="D1545" t="s">
        <v>46</v>
      </c>
      <c r="E1545" t="s">
        <v>35</v>
      </c>
      <c r="F1545">
        <v>7</v>
      </c>
      <c r="G1545">
        <v>42.97</v>
      </c>
      <c r="H1545">
        <v>-71.06</v>
      </c>
      <c r="I1545">
        <v>136</v>
      </c>
      <c r="J1545">
        <v>86</v>
      </c>
      <c r="K1545">
        <v>0</v>
      </c>
      <c r="L1545" s="1">
        <v>44784.514618055553</v>
      </c>
      <c r="M1545">
        <v>9.1999999999999993</v>
      </c>
      <c r="N1545">
        <v>8.8000000000000007</v>
      </c>
      <c r="O1545">
        <v>0.4</v>
      </c>
      <c r="P1545">
        <v>4</v>
      </c>
      <c r="Q1545">
        <v>0.1</v>
      </c>
      <c r="R1545">
        <v>0.2</v>
      </c>
      <c r="S1545">
        <v>0.15</v>
      </c>
      <c r="T1545" t="s">
        <v>33</v>
      </c>
      <c r="U1545">
        <v>9</v>
      </c>
      <c r="V1545">
        <v>48</v>
      </c>
      <c r="W1545">
        <v>0</v>
      </c>
      <c r="X1545">
        <v>48</v>
      </c>
      <c r="Y1545">
        <v>0</v>
      </c>
      <c r="Z1545">
        <v>0</v>
      </c>
      <c r="AA1545">
        <v>0</v>
      </c>
      <c r="AB1545" t="s">
        <v>36</v>
      </c>
      <c r="AC1545">
        <v>48</v>
      </c>
      <c r="AD1545">
        <v>4.29</v>
      </c>
    </row>
    <row r="1546" spans="1:30" x14ac:dyDescent="0.25">
      <c r="A1546" s="1">
        <v>44784.514675925922</v>
      </c>
      <c r="B1546" s="1">
        <v>44784.513402777775</v>
      </c>
      <c r="C1546">
        <v>115703</v>
      </c>
      <c r="D1546" t="s">
        <v>47</v>
      </c>
      <c r="E1546" t="s">
        <v>35</v>
      </c>
      <c r="F1546">
        <v>7</v>
      </c>
      <c r="G1546">
        <v>43.953625000000002</v>
      </c>
      <c r="H1546">
        <v>-71.508859999999999</v>
      </c>
      <c r="I1546">
        <v>1493</v>
      </c>
      <c r="J1546">
        <v>80</v>
      </c>
      <c r="K1546">
        <v>0</v>
      </c>
      <c r="L1546" s="1">
        <v>44784.514618055553</v>
      </c>
      <c r="M1546">
        <v>0</v>
      </c>
      <c r="N1546">
        <v>300.89999999999998</v>
      </c>
      <c r="O1546">
        <v>300.89999999999998</v>
      </c>
      <c r="P1546">
        <v>200</v>
      </c>
      <c r="Q1546">
        <v>0</v>
      </c>
      <c r="R1546">
        <v>0</v>
      </c>
      <c r="S1546">
        <v>0</v>
      </c>
      <c r="T1546" t="s">
        <v>48</v>
      </c>
      <c r="V1546">
        <v>42</v>
      </c>
      <c r="W1546">
        <v>0</v>
      </c>
      <c r="X1546">
        <v>42</v>
      </c>
      <c r="Y1546">
        <v>1</v>
      </c>
      <c r="Z1546">
        <v>0</v>
      </c>
      <c r="AA1546">
        <v>1</v>
      </c>
      <c r="AB1546" t="s">
        <v>36</v>
      </c>
      <c r="AC1546">
        <v>42</v>
      </c>
    </row>
    <row r="1547" spans="1:30" x14ac:dyDescent="0.25">
      <c r="A1547" s="1">
        <v>44784.514675925922</v>
      </c>
      <c r="B1547" s="1">
        <v>44784.512824074074</v>
      </c>
      <c r="C1547">
        <v>12050</v>
      </c>
      <c r="D1547" t="s">
        <v>49</v>
      </c>
      <c r="E1547" t="s">
        <v>35</v>
      </c>
      <c r="F1547">
        <v>7</v>
      </c>
      <c r="G1547">
        <v>44.220573000000002</v>
      </c>
      <c r="H1547">
        <v>-71.732315</v>
      </c>
      <c r="I1547">
        <v>999</v>
      </c>
      <c r="J1547">
        <v>88</v>
      </c>
      <c r="K1547">
        <v>0</v>
      </c>
      <c r="L1547" s="1">
        <v>44784.514618055553</v>
      </c>
      <c r="M1547">
        <v>3.5</v>
      </c>
      <c r="N1547">
        <v>3.2</v>
      </c>
      <c r="O1547">
        <v>0.3</v>
      </c>
      <c r="P1547">
        <v>9</v>
      </c>
      <c r="Q1547">
        <v>0.2</v>
      </c>
      <c r="R1547">
        <v>0.2</v>
      </c>
      <c r="S1547">
        <v>0.2</v>
      </c>
      <c r="T1547" t="s">
        <v>33</v>
      </c>
      <c r="U1547">
        <v>3.35</v>
      </c>
      <c r="V1547">
        <v>36</v>
      </c>
      <c r="W1547">
        <v>0</v>
      </c>
      <c r="X1547">
        <v>36</v>
      </c>
      <c r="Y1547">
        <v>3</v>
      </c>
      <c r="Z1547">
        <v>0</v>
      </c>
      <c r="AA1547">
        <v>3</v>
      </c>
      <c r="AB1547" t="s">
        <v>36</v>
      </c>
      <c r="AC1547">
        <v>36</v>
      </c>
      <c r="AD1547">
        <v>1.68</v>
      </c>
    </row>
    <row r="1548" spans="1:30" x14ac:dyDescent="0.25">
      <c r="A1548" s="1">
        <v>44784.514687499999</v>
      </c>
      <c r="B1548" s="1">
        <v>44784.512939814813</v>
      </c>
      <c r="C1548">
        <v>23443</v>
      </c>
      <c r="D1548" t="s">
        <v>50</v>
      </c>
      <c r="E1548" t="s">
        <v>35</v>
      </c>
      <c r="F1548">
        <v>7</v>
      </c>
      <c r="G1548">
        <v>43.556139999999999</v>
      </c>
      <c r="H1548">
        <v>-72.370990000000006</v>
      </c>
      <c r="I1548">
        <v>523</v>
      </c>
      <c r="J1548">
        <v>101</v>
      </c>
      <c r="K1548">
        <v>0</v>
      </c>
      <c r="L1548" s="1">
        <v>44784.514618055553</v>
      </c>
      <c r="M1548">
        <v>2.5</v>
      </c>
      <c r="N1548">
        <v>2.2000000000000002</v>
      </c>
      <c r="O1548">
        <v>0.3</v>
      </c>
      <c r="P1548">
        <v>13</v>
      </c>
      <c r="Q1548">
        <v>0.1</v>
      </c>
      <c r="R1548">
        <v>0</v>
      </c>
      <c r="S1548">
        <v>0.05</v>
      </c>
      <c r="T1548" t="s">
        <v>33</v>
      </c>
      <c r="U1548">
        <v>2.35</v>
      </c>
      <c r="V1548">
        <v>22</v>
      </c>
      <c r="W1548">
        <v>0</v>
      </c>
      <c r="X1548">
        <v>22</v>
      </c>
      <c r="Y1548">
        <v>1</v>
      </c>
      <c r="Z1548">
        <v>0</v>
      </c>
      <c r="AA1548">
        <v>1</v>
      </c>
      <c r="AB1548" t="s">
        <v>36</v>
      </c>
      <c r="AC1548">
        <v>22</v>
      </c>
      <c r="AD1548">
        <v>2.0499999999999998</v>
      </c>
    </row>
    <row r="1549" spans="1:30" x14ac:dyDescent="0.25">
      <c r="A1549" s="1">
        <v>44784.514687499999</v>
      </c>
      <c r="B1549" s="1">
        <v>44784.513055555559</v>
      </c>
      <c r="C1549">
        <v>58135</v>
      </c>
      <c r="D1549" t="s">
        <v>51</v>
      </c>
      <c r="E1549" t="s">
        <v>35</v>
      </c>
      <c r="F1549">
        <v>7</v>
      </c>
      <c r="G1549">
        <v>42.883873000000001</v>
      </c>
      <c r="H1549">
        <v>-71.972915999999998</v>
      </c>
      <c r="I1549">
        <v>808</v>
      </c>
      <c r="J1549">
        <v>88</v>
      </c>
      <c r="K1549">
        <v>0</v>
      </c>
      <c r="L1549" s="1">
        <v>44784.514618055553</v>
      </c>
      <c r="M1549">
        <v>2.7</v>
      </c>
      <c r="N1549">
        <v>1.9</v>
      </c>
      <c r="O1549">
        <v>0.8</v>
      </c>
      <c r="P1549">
        <v>35</v>
      </c>
      <c r="Q1549">
        <v>0</v>
      </c>
      <c r="R1549">
        <v>0.1</v>
      </c>
      <c r="S1549">
        <v>0.05</v>
      </c>
      <c r="T1549" t="s">
        <v>33</v>
      </c>
      <c r="U1549">
        <v>2.2999999999999998</v>
      </c>
      <c r="V1549">
        <v>36</v>
      </c>
      <c r="W1549">
        <v>0</v>
      </c>
      <c r="X1549">
        <v>36</v>
      </c>
      <c r="Y1549">
        <v>1</v>
      </c>
      <c r="Z1549">
        <v>0</v>
      </c>
      <c r="AA1549">
        <v>1</v>
      </c>
      <c r="AB1549" t="s">
        <v>36</v>
      </c>
      <c r="AC1549">
        <v>36</v>
      </c>
      <c r="AD1549">
        <v>1.04</v>
      </c>
    </row>
    <row r="1550" spans="1:30" x14ac:dyDescent="0.25">
      <c r="A1550" s="1">
        <v>44784.514687499999</v>
      </c>
      <c r="B1550" s="1">
        <v>44784.513055555559</v>
      </c>
      <c r="C1550">
        <v>148555</v>
      </c>
      <c r="D1550" t="s">
        <v>52</v>
      </c>
      <c r="E1550" t="s">
        <v>53</v>
      </c>
      <c r="F1550">
        <v>7</v>
      </c>
      <c r="G1550">
        <v>42.904949999999999</v>
      </c>
      <c r="H1550">
        <v>-71.386764999999997</v>
      </c>
      <c r="I1550">
        <v>363</v>
      </c>
      <c r="J1550">
        <v>0</v>
      </c>
      <c r="K1550">
        <v>0</v>
      </c>
      <c r="L1550" s="1">
        <v>44784.514618055553</v>
      </c>
      <c r="M1550">
        <v>1.9</v>
      </c>
      <c r="N1550">
        <v>2.2999999999999998</v>
      </c>
      <c r="O1550">
        <v>0.4</v>
      </c>
      <c r="P1550">
        <v>19</v>
      </c>
      <c r="Q1550">
        <v>0.4</v>
      </c>
      <c r="R1550">
        <v>0.5</v>
      </c>
      <c r="S1550">
        <v>0.45</v>
      </c>
      <c r="T1550" t="s">
        <v>33</v>
      </c>
      <c r="U1550">
        <v>2.1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 t="s">
        <v>38</v>
      </c>
    </row>
    <row r="1551" spans="1:30" x14ac:dyDescent="0.25">
      <c r="A1551" s="1">
        <v>44784.514687499999</v>
      </c>
      <c r="B1551" s="1">
        <v>44784.51394675926</v>
      </c>
      <c r="C1551">
        <v>146644</v>
      </c>
      <c r="D1551" t="s">
        <v>54</v>
      </c>
      <c r="E1551" t="s">
        <v>53</v>
      </c>
      <c r="F1551">
        <v>7</v>
      </c>
      <c r="G1551">
        <v>43.06015</v>
      </c>
      <c r="H1551">
        <v>-70.758930000000007</v>
      </c>
      <c r="I1551">
        <v>35</v>
      </c>
      <c r="J1551">
        <v>83</v>
      </c>
      <c r="K1551">
        <v>84</v>
      </c>
      <c r="L1551" s="1">
        <v>44784.514618055553</v>
      </c>
      <c r="M1551">
        <v>14.9</v>
      </c>
      <c r="N1551">
        <v>14.2</v>
      </c>
      <c r="O1551">
        <v>0.7</v>
      </c>
      <c r="P1551">
        <v>5</v>
      </c>
      <c r="Q1551">
        <v>0.2</v>
      </c>
      <c r="R1551">
        <v>0.4</v>
      </c>
      <c r="S1551">
        <v>0.3</v>
      </c>
      <c r="T1551" t="s">
        <v>33</v>
      </c>
      <c r="U1551">
        <v>14.55</v>
      </c>
      <c r="V1551">
        <v>48</v>
      </c>
      <c r="W1551">
        <v>54</v>
      </c>
      <c r="X1551">
        <v>6</v>
      </c>
      <c r="Y1551">
        <v>3</v>
      </c>
      <c r="Z1551">
        <v>3</v>
      </c>
      <c r="AA1551">
        <v>0</v>
      </c>
      <c r="AB1551" t="s">
        <v>33</v>
      </c>
      <c r="AC1551">
        <v>51</v>
      </c>
      <c r="AD1551">
        <v>7.47</v>
      </c>
    </row>
    <row r="1552" spans="1:30" x14ac:dyDescent="0.25">
      <c r="A1552" s="1">
        <v>44784.514699074076</v>
      </c>
      <c r="B1552" s="1">
        <v>43755.283437500002</v>
      </c>
      <c r="C1552">
        <v>12188</v>
      </c>
      <c r="D1552" t="s">
        <v>55</v>
      </c>
      <c r="E1552" t="s">
        <v>35</v>
      </c>
      <c r="F1552">
        <v>4.1100000000000003</v>
      </c>
      <c r="G1552">
        <v>42.927050000000001</v>
      </c>
      <c r="H1552">
        <v>-72.279610000000005</v>
      </c>
      <c r="I1552">
        <v>475</v>
      </c>
      <c r="J1552">
        <v>95</v>
      </c>
      <c r="K1552">
        <v>0</v>
      </c>
      <c r="L1552" s="1">
        <v>44784.514618055553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 t="s">
        <v>32</v>
      </c>
      <c r="V1552">
        <v>77</v>
      </c>
      <c r="W1552">
        <v>0</v>
      </c>
      <c r="X1552">
        <v>77</v>
      </c>
      <c r="Y1552">
        <v>0</v>
      </c>
      <c r="Z1552">
        <v>0</v>
      </c>
      <c r="AA1552">
        <v>0</v>
      </c>
      <c r="AB1552" t="s">
        <v>36</v>
      </c>
      <c r="AC1552">
        <v>77</v>
      </c>
    </row>
    <row r="1553" spans="1:30" x14ac:dyDescent="0.25">
      <c r="A1553" s="1">
        <v>44784.514699074076</v>
      </c>
      <c r="B1553" s="1">
        <v>44784.512928240743</v>
      </c>
      <c r="C1553">
        <v>1224</v>
      </c>
      <c r="D1553" t="s">
        <v>56</v>
      </c>
      <c r="E1553" t="s">
        <v>35</v>
      </c>
      <c r="F1553" t="s">
        <v>57</v>
      </c>
      <c r="G1553">
        <v>42.938034000000002</v>
      </c>
      <c r="H1553">
        <v>-72.259299999999996</v>
      </c>
      <c r="I1553">
        <v>792</v>
      </c>
      <c r="J1553">
        <v>90</v>
      </c>
      <c r="K1553">
        <v>0</v>
      </c>
      <c r="L1553" s="1">
        <v>44784.514618055553</v>
      </c>
      <c r="M1553">
        <v>4.3</v>
      </c>
      <c r="N1553">
        <v>0.1</v>
      </c>
      <c r="O1553">
        <v>4.2</v>
      </c>
      <c r="P1553">
        <v>191</v>
      </c>
      <c r="Q1553">
        <v>0.2</v>
      </c>
      <c r="R1553">
        <v>0</v>
      </c>
      <c r="S1553">
        <v>0.1</v>
      </c>
      <c r="T1553" t="s">
        <v>33</v>
      </c>
      <c r="U1553">
        <v>2.2000000000000002</v>
      </c>
      <c r="V1553">
        <v>41</v>
      </c>
      <c r="W1553">
        <v>0</v>
      </c>
      <c r="X1553">
        <v>41</v>
      </c>
      <c r="Y1553">
        <v>1</v>
      </c>
      <c r="Z1553">
        <v>0</v>
      </c>
      <c r="AA1553">
        <v>1</v>
      </c>
      <c r="AB1553" t="s">
        <v>36</v>
      </c>
      <c r="AC1553">
        <v>41</v>
      </c>
      <c r="AD1553">
        <v>0.63</v>
      </c>
    </row>
    <row r="1554" spans="1:30" x14ac:dyDescent="0.25">
      <c r="A1554" s="1">
        <v>44784.514745370368</v>
      </c>
      <c r="B1554" s="1">
        <v>44784.513761574075</v>
      </c>
      <c r="C1554">
        <v>1202</v>
      </c>
      <c r="D1554" t="s">
        <v>58</v>
      </c>
      <c r="E1554" t="s">
        <v>35</v>
      </c>
      <c r="F1554" t="s">
        <v>57</v>
      </c>
      <c r="G1554">
        <v>42.936554000000001</v>
      </c>
      <c r="H1554">
        <v>-72.271019999999993</v>
      </c>
      <c r="I1554">
        <v>488</v>
      </c>
      <c r="J1554">
        <v>0</v>
      </c>
      <c r="K1554">
        <v>0</v>
      </c>
      <c r="L1554" s="1">
        <v>44784.514618055553</v>
      </c>
      <c r="M1554">
        <v>4.8</v>
      </c>
      <c r="N1554">
        <v>4.0999999999999996</v>
      </c>
      <c r="O1554">
        <v>0.7</v>
      </c>
      <c r="P1554">
        <v>16</v>
      </c>
      <c r="Q1554">
        <v>0.1</v>
      </c>
      <c r="R1554">
        <v>0.2</v>
      </c>
      <c r="S1554">
        <v>0.15</v>
      </c>
      <c r="T1554" t="s">
        <v>33</v>
      </c>
      <c r="U1554">
        <v>4.45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 t="s">
        <v>38</v>
      </c>
    </row>
    <row r="1555" spans="1:30" x14ac:dyDescent="0.25">
      <c r="A1555" s="1">
        <v>44784.514756944445</v>
      </c>
      <c r="B1555" s="1">
        <v>44612.080023148148</v>
      </c>
      <c r="C1555">
        <v>25985</v>
      </c>
      <c r="D1555" t="s">
        <v>59</v>
      </c>
      <c r="E1555" t="s">
        <v>35</v>
      </c>
      <c r="F1555">
        <v>6.01</v>
      </c>
      <c r="G1555">
        <v>42.927326000000001</v>
      </c>
      <c r="H1555">
        <v>-72.279979999999995</v>
      </c>
      <c r="I1555">
        <v>477</v>
      </c>
      <c r="J1555">
        <v>78</v>
      </c>
      <c r="K1555">
        <v>0</v>
      </c>
      <c r="L1555" s="1">
        <v>44784.514618055553</v>
      </c>
      <c r="M1555">
        <v>1.1000000000000001</v>
      </c>
      <c r="N1555">
        <v>1</v>
      </c>
      <c r="O1555">
        <v>0.1</v>
      </c>
      <c r="P1555">
        <v>10</v>
      </c>
      <c r="Q1555">
        <v>0</v>
      </c>
      <c r="R1555">
        <v>0</v>
      </c>
      <c r="S1555">
        <v>0</v>
      </c>
      <c r="T1555" t="s">
        <v>32</v>
      </c>
      <c r="V1555">
        <v>22</v>
      </c>
      <c r="W1555">
        <v>0</v>
      </c>
      <c r="X1555">
        <v>22</v>
      </c>
      <c r="Y1555">
        <v>0</v>
      </c>
      <c r="Z1555">
        <v>0</v>
      </c>
      <c r="AA1555">
        <v>0</v>
      </c>
      <c r="AB1555" t="s">
        <v>36</v>
      </c>
      <c r="AC1555">
        <v>22</v>
      </c>
    </row>
    <row r="1556" spans="1:30" x14ac:dyDescent="0.25">
      <c r="A1556" s="1">
        <v>44784.521574074075</v>
      </c>
      <c r="B1556" s="1">
        <v>44775.701319444444</v>
      </c>
      <c r="C1556">
        <v>151708</v>
      </c>
      <c r="D1556" t="s">
        <v>30</v>
      </c>
      <c r="E1556" t="s">
        <v>31</v>
      </c>
      <c r="F1556">
        <v>7</v>
      </c>
      <c r="G1556">
        <v>43.192042999999998</v>
      </c>
      <c r="H1556">
        <v>-71.541579999999996</v>
      </c>
      <c r="I1556">
        <v>291</v>
      </c>
      <c r="J1556">
        <v>93</v>
      </c>
      <c r="K1556">
        <v>94</v>
      </c>
      <c r="L1556" s="1">
        <v>44784.521562499998</v>
      </c>
      <c r="M1556">
        <v>7.9</v>
      </c>
      <c r="N1556">
        <v>7.6</v>
      </c>
      <c r="O1556">
        <v>0.3</v>
      </c>
      <c r="P1556">
        <v>4</v>
      </c>
      <c r="Q1556">
        <v>0</v>
      </c>
      <c r="R1556">
        <v>0</v>
      </c>
      <c r="S1556">
        <v>0</v>
      </c>
      <c r="T1556" t="s">
        <v>32</v>
      </c>
      <c r="V1556">
        <v>42</v>
      </c>
      <c r="W1556">
        <v>41</v>
      </c>
      <c r="X1556">
        <v>1</v>
      </c>
      <c r="Y1556">
        <v>0</v>
      </c>
      <c r="Z1556">
        <v>0</v>
      </c>
      <c r="AA1556">
        <v>0</v>
      </c>
      <c r="AB1556" t="s">
        <v>33</v>
      </c>
      <c r="AC1556">
        <v>41.5</v>
      </c>
    </row>
    <row r="1557" spans="1:30" x14ac:dyDescent="0.25">
      <c r="A1557" s="1">
        <v>44784.521585648145</v>
      </c>
      <c r="B1557" s="1">
        <v>44784.519918981481</v>
      </c>
      <c r="C1557">
        <v>143456</v>
      </c>
      <c r="D1557" t="s">
        <v>34</v>
      </c>
      <c r="E1557" t="s">
        <v>35</v>
      </c>
      <c r="F1557">
        <v>7</v>
      </c>
      <c r="G1557">
        <v>43.08963</v>
      </c>
      <c r="H1557">
        <v>-71.502440000000007</v>
      </c>
      <c r="I1557">
        <v>619</v>
      </c>
      <c r="J1557">
        <v>85</v>
      </c>
      <c r="K1557">
        <v>0</v>
      </c>
      <c r="L1557" s="1">
        <v>44784.521562499998</v>
      </c>
      <c r="M1557">
        <v>3.5</v>
      </c>
      <c r="N1557">
        <v>3.7</v>
      </c>
      <c r="O1557">
        <v>0.2</v>
      </c>
      <c r="P1557">
        <v>6</v>
      </c>
      <c r="Q1557">
        <v>0.4</v>
      </c>
      <c r="R1557">
        <v>0.4</v>
      </c>
      <c r="S1557">
        <v>0.4</v>
      </c>
      <c r="T1557" t="s">
        <v>33</v>
      </c>
      <c r="U1557">
        <v>3.6</v>
      </c>
      <c r="V1557">
        <v>43</v>
      </c>
      <c r="W1557">
        <v>0</v>
      </c>
      <c r="X1557">
        <v>43</v>
      </c>
      <c r="Y1557">
        <v>2</v>
      </c>
      <c r="Z1557">
        <v>0</v>
      </c>
      <c r="AA1557">
        <v>2</v>
      </c>
      <c r="AB1557" t="s">
        <v>36</v>
      </c>
      <c r="AC1557">
        <v>43</v>
      </c>
      <c r="AD1557">
        <v>1.35</v>
      </c>
    </row>
    <row r="1558" spans="1:30" x14ac:dyDescent="0.25">
      <c r="A1558" s="1">
        <v>44784.521585648145</v>
      </c>
      <c r="B1558" s="1">
        <v>44784.52008101852</v>
      </c>
      <c r="C1558">
        <v>151702</v>
      </c>
      <c r="D1558" t="s">
        <v>37</v>
      </c>
      <c r="E1558" t="s">
        <v>31</v>
      </c>
      <c r="F1558">
        <v>7</v>
      </c>
      <c r="G1558">
        <v>43.118609999999997</v>
      </c>
      <c r="H1558">
        <v>-71.61618</v>
      </c>
      <c r="I1558">
        <v>885</v>
      </c>
      <c r="J1558">
        <v>0</v>
      </c>
      <c r="K1558">
        <v>0</v>
      </c>
      <c r="L1558" s="1">
        <v>44784.521562499998</v>
      </c>
      <c r="M1558">
        <v>3.2</v>
      </c>
      <c r="N1558">
        <v>3.2</v>
      </c>
      <c r="O1558">
        <v>0</v>
      </c>
      <c r="P1558">
        <v>0</v>
      </c>
      <c r="Q1558">
        <v>0</v>
      </c>
      <c r="R1558">
        <v>0</v>
      </c>
      <c r="S1558">
        <v>0</v>
      </c>
      <c r="T1558" t="s">
        <v>33</v>
      </c>
      <c r="U1558">
        <v>3.2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 t="s">
        <v>38</v>
      </c>
    </row>
    <row r="1559" spans="1:30" x14ac:dyDescent="0.25">
      <c r="A1559" s="1">
        <v>44784.521585648145</v>
      </c>
      <c r="B1559" s="1">
        <v>44784.519976851851</v>
      </c>
      <c r="C1559">
        <v>151700</v>
      </c>
      <c r="D1559" t="s">
        <v>30</v>
      </c>
      <c r="E1559" t="s">
        <v>31</v>
      </c>
      <c r="F1559">
        <v>7</v>
      </c>
      <c r="G1559">
        <v>43.19211</v>
      </c>
      <c r="H1559">
        <v>-71.541460000000001</v>
      </c>
      <c r="I1559">
        <v>286</v>
      </c>
      <c r="J1559">
        <v>81</v>
      </c>
      <c r="K1559">
        <v>0</v>
      </c>
      <c r="L1559" s="1">
        <v>44784.521562499998</v>
      </c>
      <c r="M1559">
        <v>4.5999999999999996</v>
      </c>
      <c r="N1559">
        <v>5.0999999999999996</v>
      </c>
      <c r="O1559">
        <v>0.5</v>
      </c>
      <c r="P1559">
        <v>10</v>
      </c>
      <c r="Q1559">
        <v>0.4</v>
      </c>
      <c r="R1559">
        <v>0.4</v>
      </c>
      <c r="S1559">
        <v>0.4</v>
      </c>
      <c r="T1559" t="s">
        <v>33</v>
      </c>
      <c r="U1559">
        <v>4.8499999999999996</v>
      </c>
      <c r="V1559">
        <v>48</v>
      </c>
      <c r="W1559">
        <v>0</v>
      </c>
      <c r="X1559">
        <v>48</v>
      </c>
      <c r="Y1559">
        <v>2</v>
      </c>
      <c r="Z1559">
        <v>0</v>
      </c>
      <c r="AA1559">
        <v>2</v>
      </c>
      <c r="AB1559" t="s">
        <v>36</v>
      </c>
      <c r="AC1559">
        <v>48</v>
      </c>
      <c r="AD1559">
        <v>1.76</v>
      </c>
    </row>
    <row r="1560" spans="1:30" x14ac:dyDescent="0.25">
      <c r="A1560" s="1">
        <v>44784.521597222221</v>
      </c>
      <c r="B1560" s="1">
        <v>44784.520405092589</v>
      </c>
      <c r="C1560">
        <v>135984</v>
      </c>
      <c r="D1560" t="s">
        <v>39</v>
      </c>
      <c r="E1560" t="s">
        <v>31</v>
      </c>
      <c r="F1560">
        <v>7</v>
      </c>
      <c r="G1560">
        <v>43.565852999999997</v>
      </c>
      <c r="H1560">
        <v>-71.496129999999994</v>
      </c>
      <c r="I1560">
        <v>708</v>
      </c>
      <c r="J1560">
        <v>87</v>
      </c>
      <c r="K1560">
        <v>0</v>
      </c>
      <c r="L1560" s="1">
        <v>44784.521562499998</v>
      </c>
      <c r="M1560">
        <v>2.9</v>
      </c>
      <c r="N1560">
        <v>2.1</v>
      </c>
      <c r="O1560">
        <v>0.8</v>
      </c>
      <c r="P1560">
        <v>32</v>
      </c>
      <c r="Q1560">
        <v>0.1</v>
      </c>
      <c r="R1560">
        <v>0.1</v>
      </c>
      <c r="S1560">
        <v>0.1</v>
      </c>
      <c r="T1560" t="s">
        <v>33</v>
      </c>
      <c r="U1560">
        <v>2.5</v>
      </c>
      <c r="V1560">
        <v>49</v>
      </c>
      <c r="W1560">
        <v>0</v>
      </c>
      <c r="X1560">
        <v>49</v>
      </c>
      <c r="Y1560">
        <v>1</v>
      </c>
      <c r="Z1560">
        <v>0</v>
      </c>
      <c r="AA1560">
        <v>1</v>
      </c>
      <c r="AB1560" t="s">
        <v>36</v>
      </c>
      <c r="AC1560">
        <v>49</v>
      </c>
      <c r="AD1560">
        <v>0.25</v>
      </c>
    </row>
    <row r="1561" spans="1:30" x14ac:dyDescent="0.25">
      <c r="A1561" s="1">
        <v>44784.521597222221</v>
      </c>
      <c r="B1561" s="1">
        <v>44780.394780092596</v>
      </c>
      <c r="C1561">
        <v>151712</v>
      </c>
      <c r="D1561" t="s">
        <v>40</v>
      </c>
      <c r="E1561" t="s">
        <v>31</v>
      </c>
      <c r="F1561">
        <v>7</v>
      </c>
      <c r="G1561">
        <v>43.289763999999998</v>
      </c>
      <c r="H1561">
        <v>-71.564260000000004</v>
      </c>
      <c r="I1561">
        <v>370</v>
      </c>
      <c r="J1561">
        <v>86</v>
      </c>
      <c r="K1561">
        <v>0</v>
      </c>
      <c r="L1561" s="1">
        <v>44784.521562499998</v>
      </c>
      <c r="M1561">
        <v>14</v>
      </c>
      <c r="N1561">
        <v>13.2</v>
      </c>
      <c r="O1561">
        <v>0.8</v>
      </c>
      <c r="P1561">
        <v>6</v>
      </c>
      <c r="Q1561">
        <v>0</v>
      </c>
      <c r="R1561">
        <v>0</v>
      </c>
      <c r="S1561">
        <v>0</v>
      </c>
      <c r="T1561" t="s">
        <v>32</v>
      </c>
      <c r="V1561">
        <v>59</v>
      </c>
      <c r="W1561">
        <v>0</v>
      </c>
      <c r="X1561">
        <v>59</v>
      </c>
      <c r="Y1561">
        <v>0</v>
      </c>
      <c r="Z1561">
        <v>0</v>
      </c>
      <c r="AA1561">
        <v>0</v>
      </c>
      <c r="AB1561" t="s">
        <v>36</v>
      </c>
      <c r="AC1561">
        <v>59</v>
      </c>
    </row>
    <row r="1562" spans="1:30" x14ac:dyDescent="0.25">
      <c r="A1562" s="1">
        <v>44784.521608796298</v>
      </c>
      <c r="B1562" s="1">
        <v>44784.51971064815</v>
      </c>
      <c r="C1562">
        <v>151710</v>
      </c>
      <c r="D1562" t="s">
        <v>41</v>
      </c>
      <c r="E1562" t="s">
        <v>31</v>
      </c>
      <c r="F1562">
        <v>7</v>
      </c>
      <c r="G1562">
        <v>43.132477000000002</v>
      </c>
      <c r="H1562">
        <v>-71.458374000000006</v>
      </c>
      <c r="I1562">
        <v>230</v>
      </c>
      <c r="J1562">
        <v>91</v>
      </c>
      <c r="K1562">
        <v>0</v>
      </c>
      <c r="L1562" s="1">
        <v>44784.521562499998</v>
      </c>
      <c r="M1562">
        <v>7.1</v>
      </c>
      <c r="N1562">
        <v>6.1</v>
      </c>
      <c r="O1562">
        <v>1</v>
      </c>
      <c r="P1562">
        <v>15</v>
      </c>
      <c r="Q1562">
        <v>0.2</v>
      </c>
      <c r="R1562">
        <v>0.1</v>
      </c>
      <c r="S1562">
        <v>0.15</v>
      </c>
      <c r="T1562" t="s">
        <v>33</v>
      </c>
      <c r="U1562">
        <v>6.6</v>
      </c>
      <c r="V1562">
        <v>37</v>
      </c>
      <c r="W1562">
        <v>0</v>
      </c>
      <c r="X1562">
        <v>37</v>
      </c>
      <c r="Y1562">
        <v>1</v>
      </c>
      <c r="Z1562">
        <v>0</v>
      </c>
      <c r="AA1562">
        <v>1</v>
      </c>
      <c r="AB1562" t="s">
        <v>36</v>
      </c>
      <c r="AC1562">
        <v>37</v>
      </c>
      <c r="AD1562">
        <v>3.6</v>
      </c>
    </row>
    <row r="1563" spans="1:30" x14ac:dyDescent="0.25">
      <c r="A1563" s="1">
        <v>44784.521608796298</v>
      </c>
      <c r="B1563" s="1">
        <v>44784.52076388889</v>
      </c>
      <c r="C1563">
        <v>151706</v>
      </c>
      <c r="D1563" t="s">
        <v>42</v>
      </c>
      <c r="E1563" t="s">
        <v>31</v>
      </c>
      <c r="F1563">
        <v>7</v>
      </c>
      <c r="G1563">
        <v>43.004080000000002</v>
      </c>
      <c r="H1563">
        <v>-71.177040000000005</v>
      </c>
      <c r="I1563">
        <v>194</v>
      </c>
      <c r="J1563">
        <v>88</v>
      </c>
      <c r="K1563">
        <v>0</v>
      </c>
      <c r="L1563" s="1">
        <v>44784.521562499998</v>
      </c>
      <c r="M1563">
        <v>6.8</v>
      </c>
      <c r="N1563">
        <v>0</v>
      </c>
      <c r="O1563">
        <v>6.8</v>
      </c>
      <c r="P1563">
        <v>200</v>
      </c>
      <c r="Q1563">
        <v>0.1</v>
      </c>
      <c r="R1563">
        <v>0</v>
      </c>
      <c r="S1563">
        <v>0.05</v>
      </c>
      <c r="T1563" t="s">
        <v>43</v>
      </c>
      <c r="V1563">
        <v>44</v>
      </c>
      <c r="W1563">
        <v>0</v>
      </c>
      <c r="X1563">
        <v>44</v>
      </c>
      <c r="Y1563">
        <v>1</v>
      </c>
      <c r="Z1563">
        <v>0</v>
      </c>
      <c r="AA1563">
        <v>1</v>
      </c>
      <c r="AB1563" t="s">
        <v>36</v>
      </c>
      <c r="AC1563">
        <v>44</v>
      </c>
    </row>
    <row r="1564" spans="1:30" x14ac:dyDescent="0.25">
      <c r="A1564" s="1">
        <v>44784.521608796298</v>
      </c>
      <c r="B1564" s="1">
        <v>44784.520520833335</v>
      </c>
      <c r="C1564">
        <v>12212</v>
      </c>
      <c r="D1564" t="s">
        <v>44</v>
      </c>
      <c r="E1564" t="s">
        <v>35</v>
      </c>
      <c r="F1564">
        <v>7</v>
      </c>
      <c r="G1564">
        <v>42.930529999999997</v>
      </c>
      <c r="H1564">
        <v>-72.272350000000003</v>
      </c>
      <c r="I1564">
        <v>476</v>
      </c>
      <c r="J1564">
        <v>85</v>
      </c>
      <c r="K1564">
        <v>0</v>
      </c>
      <c r="L1564" s="1">
        <v>44784.521562499998</v>
      </c>
      <c r="M1564">
        <v>4.5</v>
      </c>
      <c r="N1564">
        <v>3.9</v>
      </c>
      <c r="O1564">
        <v>0.6</v>
      </c>
      <c r="P1564">
        <v>14</v>
      </c>
      <c r="Q1564">
        <v>0.1</v>
      </c>
      <c r="R1564">
        <v>0</v>
      </c>
      <c r="S1564">
        <v>0.05</v>
      </c>
      <c r="T1564" t="s">
        <v>33</v>
      </c>
      <c r="U1564">
        <v>4.2</v>
      </c>
      <c r="V1564">
        <v>37</v>
      </c>
      <c r="W1564">
        <v>0</v>
      </c>
      <c r="X1564">
        <v>37</v>
      </c>
      <c r="Y1564">
        <v>0</v>
      </c>
      <c r="Z1564">
        <v>0</v>
      </c>
      <c r="AA1564">
        <v>0</v>
      </c>
      <c r="AB1564" t="s">
        <v>36</v>
      </c>
      <c r="AC1564">
        <v>37</v>
      </c>
      <c r="AD1564">
        <v>2.13</v>
      </c>
    </row>
    <row r="1565" spans="1:30" x14ac:dyDescent="0.25">
      <c r="A1565" s="1">
        <v>44784.521620370368</v>
      </c>
      <c r="B1565" s="1">
        <v>44769.376736111109</v>
      </c>
      <c r="C1565">
        <v>12178</v>
      </c>
      <c r="D1565" t="s">
        <v>45</v>
      </c>
      <c r="E1565" t="s">
        <v>35</v>
      </c>
      <c r="F1565">
        <v>7</v>
      </c>
      <c r="G1565">
        <v>42.899563000000001</v>
      </c>
      <c r="H1565">
        <v>-71.464650000000006</v>
      </c>
      <c r="I1565">
        <v>301</v>
      </c>
      <c r="J1565">
        <v>85</v>
      </c>
      <c r="K1565">
        <v>0</v>
      </c>
      <c r="L1565" s="1">
        <v>44784.521562499998</v>
      </c>
      <c r="M1565">
        <v>3.8</v>
      </c>
      <c r="N1565">
        <v>3.1</v>
      </c>
      <c r="O1565">
        <v>0.7</v>
      </c>
      <c r="P1565">
        <v>20</v>
      </c>
      <c r="Q1565">
        <v>0</v>
      </c>
      <c r="R1565">
        <v>0</v>
      </c>
      <c r="S1565">
        <v>0</v>
      </c>
      <c r="T1565" t="s">
        <v>32</v>
      </c>
      <c r="V1565">
        <v>35</v>
      </c>
      <c r="W1565">
        <v>0</v>
      </c>
      <c r="X1565">
        <v>35</v>
      </c>
      <c r="Y1565">
        <v>0</v>
      </c>
      <c r="Z1565">
        <v>0</v>
      </c>
      <c r="AA1565">
        <v>0</v>
      </c>
      <c r="AB1565" t="s">
        <v>36</v>
      </c>
      <c r="AC1565">
        <v>35</v>
      </c>
    </row>
    <row r="1566" spans="1:30" x14ac:dyDescent="0.25">
      <c r="A1566" s="1">
        <v>44784.521620370368</v>
      </c>
      <c r="B1566" s="1">
        <v>44784.519814814812</v>
      </c>
      <c r="C1566">
        <v>75981</v>
      </c>
      <c r="D1566" t="s">
        <v>46</v>
      </c>
      <c r="E1566" t="s">
        <v>35</v>
      </c>
      <c r="F1566">
        <v>7</v>
      </c>
      <c r="G1566">
        <v>42.97</v>
      </c>
      <c r="H1566">
        <v>-71.06</v>
      </c>
      <c r="I1566">
        <v>136</v>
      </c>
      <c r="J1566">
        <v>85</v>
      </c>
      <c r="K1566">
        <v>0</v>
      </c>
      <c r="L1566" s="1">
        <v>44784.521562499998</v>
      </c>
      <c r="M1566">
        <v>9.5</v>
      </c>
      <c r="N1566">
        <v>9.1</v>
      </c>
      <c r="O1566">
        <v>0.4</v>
      </c>
      <c r="P1566">
        <v>4</v>
      </c>
      <c r="Q1566">
        <v>0.3</v>
      </c>
      <c r="R1566">
        <v>0.3</v>
      </c>
      <c r="S1566">
        <v>0.3</v>
      </c>
      <c r="T1566" t="s">
        <v>33</v>
      </c>
      <c r="U1566">
        <v>9.3000000000000007</v>
      </c>
      <c r="V1566">
        <v>47</v>
      </c>
      <c r="W1566">
        <v>0</v>
      </c>
      <c r="X1566">
        <v>47</v>
      </c>
      <c r="Y1566">
        <v>1</v>
      </c>
      <c r="Z1566">
        <v>0</v>
      </c>
      <c r="AA1566">
        <v>1</v>
      </c>
      <c r="AB1566" t="s">
        <v>36</v>
      </c>
      <c r="AC1566">
        <v>47</v>
      </c>
      <c r="AD1566">
        <v>4.54</v>
      </c>
    </row>
    <row r="1567" spans="1:30" x14ac:dyDescent="0.25">
      <c r="A1567" s="1">
        <v>44784.521620370368</v>
      </c>
      <c r="B1567" s="1">
        <v>44784.520358796297</v>
      </c>
      <c r="C1567">
        <v>115703</v>
      </c>
      <c r="D1567" t="s">
        <v>47</v>
      </c>
      <c r="E1567" t="s">
        <v>35</v>
      </c>
      <c r="F1567">
        <v>7</v>
      </c>
      <c r="G1567">
        <v>43.953625000000002</v>
      </c>
      <c r="H1567">
        <v>-71.508859999999999</v>
      </c>
      <c r="I1567">
        <v>1493</v>
      </c>
      <c r="J1567">
        <v>82</v>
      </c>
      <c r="K1567">
        <v>0</v>
      </c>
      <c r="L1567" s="1">
        <v>44784.521562499998</v>
      </c>
      <c r="M1567">
        <v>0.1</v>
      </c>
      <c r="N1567">
        <v>329.5</v>
      </c>
      <c r="O1567">
        <v>329.4</v>
      </c>
      <c r="P1567">
        <v>200</v>
      </c>
      <c r="Q1567">
        <v>0.1</v>
      </c>
      <c r="R1567">
        <v>28.6</v>
      </c>
      <c r="S1567">
        <v>14.35</v>
      </c>
      <c r="T1567" t="s">
        <v>60</v>
      </c>
      <c r="V1567">
        <v>40</v>
      </c>
      <c r="W1567">
        <v>0</v>
      </c>
      <c r="X1567">
        <v>40</v>
      </c>
      <c r="Y1567">
        <v>2</v>
      </c>
      <c r="Z1567">
        <v>0</v>
      </c>
      <c r="AA1567">
        <v>2</v>
      </c>
      <c r="AB1567" t="s">
        <v>36</v>
      </c>
      <c r="AC1567">
        <v>40</v>
      </c>
    </row>
    <row r="1568" spans="1:30" x14ac:dyDescent="0.25">
      <c r="A1568" s="1">
        <v>44784.521631944444</v>
      </c>
      <c r="B1568" s="1">
        <v>44784.519768518519</v>
      </c>
      <c r="C1568">
        <v>12050</v>
      </c>
      <c r="D1568" t="s">
        <v>49</v>
      </c>
      <c r="E1568" t="s">
        <v>35</v>
      </c>
      <c r="F1568">
        <v>7</v>
      </c>
      <c r="G1568">
        <v>44.220573000000002</v>
      </c>
      <c r="H1568">
        <v>-71.732315</v>
      </c>
      <c r="I1568">
        <v>999</v>
      </c>
      <c r="J1568">
        <v>90</v>
      </c>
      <c r="K1568">
        <v>0</v>
      </c>
      <c r="L1568" s="1">
        <v>44784.521562499998</v>
      </c>
      <c r="M1568">
        <v>3.2</v>
      </c>
      <c r="N1568">
        <v>2.9</v>
      </c>
      <c r="O1568">
        <v>0.3</v>
      </c>
      <c r="P1568">
        <v>10</v>
      </c>
      <c r="Q1568">
        <v>0.3</v>
      </c>
      <c r="R1568">
        <v>0.3</v>
      </c>
      <c r="S1568">
        <v>0.3</v>
      </c>
      <c r="T1568" t="s">
        <v>33</v>
      </c>
      <c r="U1568">
        <v>3.05</v>
      </c>
      <c r="V1568">
        <v>34</v>
      </c>
      <c r="W1568">
        <v>0</v>
      </c>
      <c r="X1568">
        <v>34</v>
      </c>
      <c r="Y1568">
        <v>2</v>
      </c>
      <c r="Z1568">
        <v>0</v>
      </c>
      <c r="AA1568">
        <v>2</v>
      </c>
      <c r="AB1568" t="s">
        <v>36</v>
      </c>
      <c r="AC1568">
        <v>34</v>
      </c>
      <c r="AD1568">
        <v>1.64</v>
      </c>
    </row>
    <row r="1569" spans="1:30" x14ac:dyDescent="0.25">
      <c r="A1569" s="1">
        <v>44784.521631944444</v>
      </c>
      <c r="B1569" s="1">
        <v>44784.519884259258</v>
      </c>
      <c r="C1569">
        <v>23443</v>
      </c>
      <c r="D1569" t="s">
        <v>50</v>
      </c>
      <c r="E1569" t="s">
        <v>35</v>
      </c>
      <c r="F1569">
        <v>7</v>
      </c>
      <c r="G1569">
        <v>43.556139999999999</v>
      </c>
      <c r="H1569">
        <v>-72.370990000000006</v>
      </c>
      <c r="I1569">
        <v>523</v>
      </c>
      <c r="J1569">
        <v>102</v>
      </c>
      <c r="K1569">
        <v>0</v>
      </c>
      <c r="L1569" s="1">
        <v>44784.521562499998</v>
      </c>
      <c r="M1569">
        <v>2.4</v>
      </c>
      <c r="N1569">
        <v>2.1</v>
      </c>
      <c r="O1569">
        <v>0.3</v>
      </c>
      <c r="P1569">
        <v>13</v>
      </c>
      <c r="Q1569">
        <v>0.1</v>
      </c>
      <c r="R1569">
        <v>0.1</v>
      </c>
      <c r="S1569">
        <v>0.1</v>
      </c>
      <c r="T1569" t="s">
        <v>33</v>
      </c>
      <c r="U1569">
        <v>2.25</v>
      </c>
      <c r="V1569">
        <v>23</v>
      </c>
      <c r="W1569">
        <v>0</v>
      </c>
      <c r="X1569">
        <v>23</v>
      </c>
      <c r="Y1569">
        <v>1</v>
      </c>
      <c r="Z1569">
        <v>0</v>
      </c>
      <c r="AA1569">
        <v>1</v>
      </c>
      <c r="AB1569" t="s">
        <v>36</v>
      </c>
      <c r="AC1569">
        <v>23</v>
      </c>
      <c r="AD1569">
        <v>1.92</v>
      </c>
    </row>
    <row r="1570" spans="1:30" x14ac:dyDescent="0.25">
      <c r="A1570" s="1">
        <v>44784.521631944444</v>
      </c>
      <c r="B1570" s="1">
        <v>44784.52</v>
      </c>
      <c r="C1570">
        <v>58135</v>
      </c>
      <c r="D1570" t="s">
        <v>51</v>
      </c>
      <c r="E1570" t="s">
        <v>35</v>
      </c>
      <c r="F1570">
        <v>7</v>
      </c>
      <c r="G1570">
        <v>42.883873000000001</v>
      </c>
      <c r="H1570">
        <v>-71.972915999999998</v>
      </c>
      <c r="I1570">
        <v>808</v>
      </c>
      <c r="J1570">
        <v>87</v>
      </c>
      <c r="K1570">
        <v>0</v>
      </c>
      <c r="L1570" s="1">
        <v>44784.521562499998</v>
      </c>
      <c r="M1570">
        <v>2.6</v>
      </c>
      <c r="N1570">
        <v>1.8</v>
      </c>
      <c r="O1570">
        <v>0.8</v>
      </c>
      <c r="P1570">
        <v>36</v>
      </c>
      <c r="Q1570">
        <v>0.1</v>
      </c>
      <c r="R1570">
        <v>0.1</v>
      </c>
      <c r="S1570">
        <v>0.1</v>
      </c>
      <c r="T1570" t="s">
        <v>33</v>
      </c>
      <c r="U1570">
        <v>2.2000000000000002</v>
      </c>
      <c r="V1570">
        <v>35</v>
      </c>
      <c r="W1570">
        <v>0</v>
      </c>
      <c r="X1570">
        <v>35</v>
      </c>
      <c r="Y1570">
        <v>1</v>
      </c>
      <c r="Z1570">
        <v>0</v>
      </c>
      <c r="AA1570">
        <v>1</v>
      </c>
      <c r="AB1570" t="s">
        <v>36</v>
      </c>
      <c r="AC1570">
        <v>35</v>
      </c>
      <c r="AD1570">
        <v>1.05</v>
      </c>
    </row>
    <row r="1571" spans="1:30" x14ac:dyDescent="0.25">
      <c r="A1571" s="1">
        <v>44784.521643518521</v>
      </c>
      <c r="B1571" s="1">
        <v>44784.52</v>
      </c>
      <c r="C1571">
        <v>148555</v>
      </c>
      <c r="D1571" t="s">
        <v>52</v>
      </c>
      <c r="E1571" t="s">
        <v>53</v>
      </c>
      <c r="F1571">
        <v>7</v>
      </c>
      <c r="G1571">
        <v>42.904949999999999</v>
      </c>
      <c r="H1571">
        <v>-71.386764999999997</v>
      </c>
      <c r="I1571">
        <v>363</v>
      </c>
      <c r="J1571">
        <v>0</v>
      </c>
      <c r="K1571">
        <v>0</v>
      </c>
      <c r="L1571" s="1">
        <v>44784.521562499998</v>
      </c>
      <c r="M1571">
        <v>1.4</v>
      </c>
      <c r="N1571">
        <v>1.8</v>
      </c>
      <c r="O1571">
        <v>0.4</v>
      </c>
      <c r="P1571">
        <v>25</v>
      </c>
      <c r="Q1571">
        <v>0.5</v>
      </c>
      <c r="R1571">
        <v>0.5</v>
      </c>
      <c r="S1571">
        <v>0.5</v>
      </c>
      <c r="T1571" t="s">
        <v>33</v>
      </c>
      <c r="U1571">
        <v>1.6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 t="s">
        <v>38</v>
      </c>
    </row>
    <row r="1572" spans="1:30" x14ac:dyDescent="0.25">
      <c r="A1572" s="1">
        <v>44784.521643518521</v>
      </c>
      <c r="B1572" s="1">
        <v>44784.520891203705</v>
      </c>
      <c r="C1572">
        <v>146644</v>
      </c>
      <c r="D1572" t="s">
        <v>54</v>
      </c>
      <c r="E1572" t="s">
        <v>53</v>
      </c>
      <c r="F1572">
        <v>7</v>
      </c>
      <c r="G1572">
        <v>43.06015</v>
      </c>
      <c r="H1572">
        <v>-70.758930000000007</v>
      </c>
      <c r="I1572">
        <v>35</v>
      </c>
      <c r="J1572">
        <v>83</v>
      </c>
      <c r="K1572">
        <v>84</v>
      </c>
      <c r="L1572" s="1">
        <v>44784.521562499998</v>
      </c>
      <c r="M1572">
        <v>15.1</v>
      </c>
      <c r="N1572">
        <v>14.4</v>
      </c>
      <c r="O1572">
        <v>0.7</v>
      </c>
      <c r="P1572">
        <v>5</v>
      </c>
      <c r="Q1572">
        <v>0.2</v>
      </c>
      <c r="R1572">
        <v>0.2</v>
      </c>
      <c r="S1572">
        <v>0.2</v>
      </c>
      <c r="T1572" t="s">
        <v>33</v>
      </c>
      <c r="U1572">
        <v>14.75</v>
      </c>
      <c r="V1572">
        <v>48</v>
      </c>
      <c r="W1572">
        <v>53</v>
      </c>
      <c r="X1572">
        <v>5</v>
      </c>
      <c r="Y1572">
        <v>0</v>
      </c>
      <c r="Z1572">
        <v>1</v>
      </c>
      <c r="AA1572">
        <v>1</v>
      </c>
      <c r="AB1572" t="s">
        <v>33</v>
      </c>
      <c r="AC1572">
        <v>50.5</v>
      </c>
      <c r="AD1572">
        <v>7.62</v>
      </c>
    </row>
    <row r="1573" spans="1:30" x14ac:dyDescent="0.25">
      <c r="A1573" s="1">
        <v>44784.521643518521</v>
      </c>
      <c r="B1573" s="1">
        <v>43755.283437500002</v>
      </c>
      <c r="C1573">
        <v>12188</v>
      </c>
      <c r="D1573" t="s">
        <v>55</v>
      </c>
      <c r="E1573" t="s">
        <v>35</v>
      </c>
      <c r="F1573">
        <v>4.1100000000000003</v>
      </c>
      <c r="G1573">
        <v>42.927050000000001</v>
      </c>
      <c r="H1573">
        <v>-72.279610000000005</v>
      </c>
      <c r="I1573">
        <v>475</v>
      </c>
      <c r="J1573">
        <v>95</v>
      </c>
      <c r="K1573">
        <v>0</v>
      </c>
      <c r="L1573" s="1">
        <v>44784.521562499998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 t="s">
        <v>32</v>
      </c>
      <c r="V1573">
        <v>77</v>
      </c>
      <c r="W1573">
        <v>0</v>
      </c>
      <c r="X1573">
        <v>77</v>
      </c>
      <c r="Y1573">
        <v>0</v>
      </c>
      <c r="Z1573">
        <v>0</v>
      </c>
      <c r="AA1573">
        <v>0</v>
      </c>
      <c r="AB1573" t="s">
        <v>36</v>
      </c>
      <c r="AC1573">
        <v>77</v>
      </c>
    </row>
    <row r="1574" spans="1:30" x14ac:dyDescent="0.25">
      <c r="A1574" s="1">
        <v>44784.521655092591</v>
      </c>
      <c r="B1574" s="1">
        <v>44784.521261574075</v>
      </c>
      <c r="C1574">
        <v>1224</v>
      </c>
      <c r="D1574" t="s">
        <v>56</v>
      </c>
      <c r="E1574" t="s">
        <v>35</v>
      </c>
      <c r="F1574" t="s">
        <v>57</v>
      </c>
      <c r="G1574">
        <v>42.938034000000002</v>
      </c>
      <c r="H1574">
        <v>-72.259299999999996</v>
      </c>
      <c r="I1574">
        <v>792</v>
      </c>
      <c r="J1574">
        <v>88</v>
      </c>
      <c r="K1574">
        <v>0</v>
      </c>
      <c r="L1574" s="1">
        <v>44784.521562499998</v>
      </c>
      <c r="M1574">
        <v>4.5</v>
      </c>
      <c r="N1574">
        <v>0</v>
      </c>
      <c r="O1574">
        <v>4.5</v>
      </c>
      <c r="P1574">
        <v>200</v>
      </c>
      <c r="Q1574">
        <v>0.2</v>
      </c>
      <c r="R1574">
        <v>0.1</v>
      </c>
      <c r="S1574">
        <v>0.15</v>
      </c>
      <c r="T1574" t="s">
        <v>43</v>
      </c>
      <c r="V1574">
        <v>44</v>
      </c>
      <c r="W1574">
        <v>0</v>
      </c>
      <c r="X1574">
        <v>44</v>
      </c>
      <c r="Y1574">
        <v>3</v>
      </c>
      <c r="Z1574">
        <v>0</v>
      </c>
      <c r="AA1574">
        <v>3</v>
      </c>
      <c r="AB1574" t="s">
        <v>36</v>
      </c>
      <c r="AC1574">
        <v>44</v>
      </c>
    </row>
    <row r="1575" spans="1:30" x14ac:dyDescent="0.25">
      <c r="A1575" s="1">
        <v>44784.521655092591</v>
      </c>
      <c r="B1575" s="1">
        <v>44784.52070601852</v>
      </c>
      <c r="C1575">
        <v>1202</v>
      </c>
      <c r="D1575" t="s">
        <v>58</v>
      </c>
      <c r="E1575" t="s">
        <v>35</v>
      </c>
      <c r="F1575" t="s">
        <v>57</v>
      </c>
      <c r="G1575">
        <v>42.936554000000001</v>
      </c>
      <c r="H1575">
        <v>-72.271019999999993</v>
      </c>
      <c r="I1575">
        <v>488</v>
      </c>
      <c r="J1575">
        <v>0</v>
      </c>
      <c r="K1575">
        <v>0</v>
      </c>
      <c r="L1575" s="1">
        <v>44784.521562499998</v>
      </c>
      <c r="M1575">
        <v>5</v>
      </c>
      <c r="N1575">
        <v>4.3</v>
      </c>
      <c r="O1575">
        <v>0.7</v>
      </c>
      <c r="P1575">
        <v>15</v>
      </c>
      <c r="Q1575">
        <v>0.2</v>
      </c>
      <c r="R1575">
        <v>0.2</v>
      </c>
      <c r="S1575">
        <v>0.2</v>
      </c>
      <c r="T1575" t="s">
        <v>33</v>
      </c>
      <c r="U1575">
        <v>4.6500000000000004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 t="s">
        <v>38</v>
      </c>
    </row>
    <row r="1576" spans="1:30" x14ac:dyDescent="0.25">
      <c r="A1576" s="1">
        <v>44784.521666666667</v>
      </c>
      <c r="B1576" s="1">
        <v>44612.080023148148</v>
      </c>
      <c r="C1576">
        <v>25985</v>
      </c>
      <c r="D1576" t="s">
        <v>59</v>
      </c>
      <c r="E1576" t="s">
        <v>35</v>
      </c>
      <c r="F1576">
        <v>6.01</v>
      </c>
      <c r="G1576">
        <v>42.927326000000001</v>
      </c>
      <c r="H1576">
        <v>-72.279979999999995</v>
      </c>
      <c r="I1576">
        <v>477</v>
      </c>
      <c r="J1576">
        <v>78</v>
      </c>
      <c r="K1576">
        <v>0</v>
      </c>
      <c r="L1576" s="1">
        <v>44784.521562499998</v>
      </c>
      <c r="M1576">
        <v>1.1000000000000001</v>
      </c>
      <c r="N1576">
        <v>1</v>
      </c>
      <c r="O1576">
        <v>0.1</v>
      </c>
      <c r="P1576">
        <v>10</v>
      </c>
      <c r="Q1576">
        <v>0</v>
      </c>
      <c r="R1576">
        <v>0</v>
      </c>
      <c r="S1576">
        <v>0</v>
      </c>
      <c r="T1576" t="s">
        <v>32</v>
      </c>
      <c r="V1576">
        <v>22</v>
      </c>
      <c r="W1576">
        <v>0</v>
      </c>
      <c r="X1576">
        <v>22</v>
      </c>
      <c r="Y1576">
        <v>0</v>
      </c>
      <c r="Z1576">
        <v>0</v>
      </c>
      <c r="AA1576">
        <v>0</v>
      </c>
      <c r="AB1576" t="s">
        <v>36</v>
      </c>
      <c r="AC1576">
        <v>22</v>
      </c>
    </row>
    <row r="1577" spans="1:30" x14ac:dyDescent="0.25">
      <c r="A1577" s="1">
        <v>44784.52851851852</v>
      </c>
      <c r="B1577" s="1">
        <v>44775.701319444444</v>
      </c>
      <c r="C1577">
        <v>151708</v>
      </c>
      <c r="D1577" t="s">
        <v>30</v>
      </c>
      <c r="E1577" t="s">
        <v>31</v>
      </c>
      <c r="F1577">
        <v>7</v>
      </c>
      <c r="G1577">
        <v>43.192042999999998</v>
      </c>
      <c r="H1577">
        <v>-71.541579999999996</v>
      </c>
      <c r="I1577">
        <v>291</v>
      </c>
      <c r="J1577">
        <v>93</v>
      </c>
      <c r="K1577">
        <v>94</v>
      </c>
      <c r="L1577" s="1">
        <v>44784.528506944444</v>
      </c>
      <c r="M1577">
        <v>7.9</v>
      </c>
      <c r="N1577">
        <v>7.6</v>
      </c>
      <c r="O1577">
        <v>0.3</v>
      </c>
      <c r="P1577">
        <v>4</v>
      </c>
      <c r="Q1577">
        <v>0</v>
      </c>
      <c r="R1577">
        <v>0</v>
      </c>
      <c r="S1577">
        <v>0</v>
      </c>
      <c r="T1577" t="s">
        <v>32</v>
      </c>
      <c r="V1577">
        <v>42</v>
      </c>
      <c r="W1577">
        <v>41</v>
      </c>
      <c r="X1577">
        <v>1</v>
      </c>
      <c r="Y1577">
        <v>0</v>
      </c>
      <c r="Z1577">
        <v>0</v>
      </c>
      <c r="AA1577">
        <v>0</v>
      </c>
      <c r="AB1577" t="s">
        <v>33</v>
      </c>
      <c r="AC1577">
        <v>41.5</v>
      </c>
    </row>
    <row r="1578" spans="1:30" x14ac:dyDescent="0.25">
      <c r="A1578" s="1">
        <v>44784.52853009259</v>
      </c>
      <c r="B1578" s="1">
        <v>44784.526863425926</v>
      </c>
      <c r="C1578">
        <v>143456</v>
      </c>
      <c r="D1578" t="s">
        <v>34</v>
      </c>
      <c r="E1578" t="s">
        <v>35</v>
      </c>
      <c r="F1578">
        <v>7</v>
      </c>
      <c r="G1578">
        <v>43.08963</v>
      </c>
      <c r="H1578">
        <v>-71.502440000000007</v>
      </c>
      <c r="I1578">
        <v>619</v>
      </c>
      <c r="J1578">
        <v>85</v>
      </c>
      <c r="K1578">
        <v>0</v>
      </c>
      <c r="L1578" s="1">
        <v>44784.528506944444</v>
      </c>
      <c r="M1578">
        <v>3</v>
      </c>
      <c r="N1578">
        <v>3.3</v>
      </c>
      <c r="O1578">
        <v>0.3</v>
      </c>
      <c r="P1578">
        <v>10</v>
      </c>
      <c r="Q1578">
        <v>0.5</v>
      </c>
      <c r="R1578">
        <v>0.4</v>
      </c>
      <c r="S1578">
        <v>0.45</v>
      </c>
      <c r="T1578" t="s">
        <v>33</v>
      </c>
      <c r="U1578">
        <v>3.15</v>
      </c>
      <c r="V1578">
        <v>44</v>
      </c>
      <c r="W1578">
        <v>0</v>
      </c>
      <c r="X1578">
        <v>44</v>
      </c>
      <c r="Y1578">
        <v>1</v>
      </c>
      <c r="Z1578">
        <v>0</v>
      </c>
      <c r="AA1578">
        <v>1</v>
      </c>
      <c r="AB1578" t="s">
        <v>36</v>
      </c>
      <c r="AC1578">
        <v>44</v>
      </c>
      <c r="AD1578">
        <v>1</v>
      </c>
    </row>
    <row r="1579" spans="1:30" x14ac:dyDescent="0.25">
      <c r="A1579" s="1">
        <v>44784.52853009259</v>
      </c>
      <c r="B1579" s="1">
        <v>44784.527025462965</v>
      </c>
      <c r="C1579">
        <v>151702</v>
      </c>
      <c r="D1579" t="s">
        <v>37</v>
      </c>
      <c r="E1579" t="s">
        <v>31</v>
      </c>
      <c r="F1579">
        <v>7</v>
      </c>
      <c r="G1579">
        <v>43.118609999999997</v>
      </c>
      <c r="H1579">
        <v>-71.61618</v>
      </c>
      <c r="I1579">
        <v>885</v>
      </c>
      <c r="J1579">
        <v>0</v>
      </c>
      <c r="K1579">
        <v>0</v>
      </c>
      <c r="L1579" s="1">
        <v>44784.528506944444</v>
      </c>
      <c r="M1579">
        <v>3.2</v>
      </c>
      <c r="N1579">
        <v>3.2</v>
      </c>
      <c r="O1579">
        <v>0</v>
      </c>
      <c r="P1579">
        <v>0</v>
      </c>
      <c r="Q1579">
        <v>0</v>
      </c>
      <c r="R1579">
        <v>0</v>
      </c>
      <c r="S1579">
        <v>0</v>
      </c>
      <c r="T1579" t="s">
        <v>33</v>
      </c>
      <c r="U1579">
        <v>3.2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 t="s">
        <v>38</v>
      </c>
    </row>
    <row r="1580" spans="1:30" x14ac:dyDescent="0.25">
      <c r="A1580" s="1">
        <v>44784.528541666667</v>
      </c>
      <c r="B1580" s="1">
        <v>44784.526921296296</v>
      </c>
      <c r="C1580">
        <v>151700</v>
      </c>
      <c r="D1580" t="s">
        <v>30</v>
      </c>
      <c r="E1580" t="s">
        <v>31</v>
      </c>
      <c r="F1580">
        <v>7</v>
      </c>
      <c r="G1580">
        <v>43.19211</v>
      </c>
      <c r="H1580">
        <v>-71.541460000000001</v>
      </c>
      <c r="I1580">
        <v>286</v>
      </c>
      <c r="J1580">
        <v>82</v>
      </c>
      <c r="K1580">
        <v>0</v>
      </c>
      <c r="L1580" s="1">
        <v>44784.528506944444</v>
      </c>
      <c r="M1580">
        <v>4.0999999999999996</v>
      </c>
      <c r="N1580">
        <v>4.5</v>
      </c>
      <c r="O1580">
        <v>0.4</v>
      </c>
      <c r="P1580">
        <v>9</v>
      </c>
      <c r="Q1580">
        <v>0.5</v>
      </c>
      <c r="R1580">
        <v>0.6</v>
      </c>
      <c r="S1580">
        <v>0.55000000000000004</v>
      </c>
      <c r="T1580" t="s">
        <v>33</v>
      </c>
      <c r="U1580">
        <v>4.3</v>
      </c>
      <c r="V1580">
        <v>47</v>
      </c>
      <c r="W1580">
        <v>0</v>
      </c>
      <c r="X1580">
        <v>47</v>
      </c>
      <c r="Y1580">
        <v>1</v>
      </c>
      <c r="Z1580">
        <v>0</v>
      </c>
      <c r="AA1580">
        <v>1</v>
      </c>
      <c r="AB1580" t="s">
        <v>36</v>
      </c>
      <c r="AC1580">
        <v>47</v>
      </c>
      <c r="AD1580">
        <v>1.49</v>
      </c>
    </row>
    <row r="1581" spans="1:30" x14ac:dyDescent="0.25">
      <c r="A1581" s="1">
        <v>44784.528541666667</v>
      </c>
      <c r="B1581" s="1">
        <v>44784.527349537035</v>
      </c>
      <c r="C1581">
        <v>135984</v>
      </c>
      <c r="D1581" t="s">
        <v>39</v>
      </c>
      <c r="E1581" t="s">
        <v>31</v>
      </c>
      <c r="F1581">
        <v>7</v>
      </c>
      <c r="G1581">
        <v>43.565852999999997</v>
      </c>
      <c r="H1581">
        <v>-71.496129999999994</v>
      </c>
      <c r="I1581">
        <v>708</v>
      </c>
      <c r="J1581">
        <v>88</v>
      </c>
      <c r="K1581">
        <v>0</v>
      </c>
      <c r="L1581" s="1">
        <v>44784.528506944444</v>
      </c>
      <c r="M1581">
        <v>2.6</v>
      </c>
      <c r="N1581">
        <v>2</v>
      </c>
      <c r="O1581">
        <v>0.6</v>
      </c>
      <c r="P1581">
        <v>26</v>
      </c>
      <c r="Q1581">
        <v>0.3</v>
      </c>
      <c r="R1581">
        <v>0.1</v>
      </c>
      <c r="S1581">
        <v>0.2</v>
      </c>
      <c r="T1581" t="s">
        <v>33</v>
      </c>
      <c r="U1581">
        <v>2.2999999999999998</v>
      </c>
      <c r="V1581">
        <v>49</v>
      </c>
      <c r="W1581">
        <v>0</v>
      </c>
      <c r="X1581">
        <v>49</v>
      </c>
      <c r="Y1581">
        <v>0</v>
      </c>
      <c r="Z1581">
        <v>0</v>
      </c>
      <c r="AA1581">
        <v>0</v>
      </c>
      <c r="AB1581" t="s">
        <v>36</v>
      </c>
      <c r="AC1581">
        <v>49</v>
      </c>
      <c r="AD1581">
        <v>0.13</v>
      </c>
    </row>
    <row r="1582" spans="1:30" x14ac:dyDescent="0.25">
      <c r="A1582" s="1">
        <v>44784.528553240743</v>
      </c>
      <c r="B1582" s="1">
        <v>44780.394780092596</v>
      </c>
      <c r="C1582">
        <v>151712</v>
      </c>
      <c r="D1582" t="s">
        <v>40</v>
      </c>
      <c r="E1582" t="s">
        <v>31</v>
      </c>
      <c r="F1582">
        <v>7</v>
      </c>
      <c r="G1582">
        <v>43.289763999999998</v>
      </c>
      <c r="H1582">
        <v>-71.564260000000004</v>
      </c>
      <c r="I1582">
        <v>370</v>
      </c>
      <c r="J1582">
        <v>86</v>
      </c>
      <c r="K1582">
        <v>0</v>
      </c>
      <c r="L1582" s="1">
        <v>44784.528506944444</v>
      </c>
      <c r="M1582">
        <v>14</v>
      </c>
      <c r="N1582">
        <v>13.2</v>
      </c>
      <c r="O1582">
        <v>0.8</v>
      </c>
      <c r="P1582">
        <v>6</v>
      </c>
      <c r="Q1582">
        <v>0</v>
      </c>
      <c r="R1582">
        <v>0</v>
      </c>
      <c r="S1582">
        <v>0</v>
      </c>
      <c r="T1582" t="s">
        <v>32</v>
      </c>
      <c r="V1582">
        <v>59</v>
      </c>
      <c r="W1582">
        <v>0</v>
      </c>
      <c r="X1582">
        <v>59</v>
      </c>
      <c r="Y1582">
        <v>0</v>
      </c>
      <c r="Z1582">
        <v>0</v>
      </c>
      <c r="AA1582">
        <v>0</v>
      </c>
      <c r="AB1582" t="s">
        <v>36</v>
      </c>
      <c r="AC1582">
        <v>59</v>
      </c>
    </row>
    <row r="1583" spans="1:30" x14ac:dyDescent="0.25">
      <c r="A1583" s="1">
        <v>44784.528553240743</v>
      </c>
      <c r="B1583" s="1">
        <v>44784.526655092595</v>
      </c>
      <c r="C1583">
        <v>151710</v>
      </c>
      <c r="D1583" t="s">
        <v>41</v>
      </c>
      <c r="E1583" t="s">
        <v>31</v>
      </c>
      <c r="F1583">
        <v>7</v>
      </c>
      <c r="G1583">
        <v>43.132477000000002</v>
      </c>
      <c r="H1583">
        <v>-71.458374000000006</v>
      </c>
      <c r="I1583">
        <v>230</v>
      </c>
      <c r="J1583">
        <v>92</v>
      </c>
      <c r="K1583">
        <v>0</v>
      </c>
      <c r="L1583" s="1">
        <v>44784.528506944444</v>
      </c>
      <c r="M1583">
        <v>6.7</v>
      </c>
      <c r="N1583">
        <v>5.6</v>
      </c>
      <c r="O1583">
        <v>1.1000000000000001</v>
      </c>
      <c r="P1583">
        <v>18</v>
      </c>
      <c r="Q1583">
        <v>0.4</v>
      </c>
      <c r="R1583">
        <v>0.5</v>
      </c>
      <c r="S1583">
        <v>0.45</v>
      </c>
      <c r="T1583" t="s">
        <v>33</v>
      </c>
      <c r="U1583">
        <v>6.15</v>
      </c>
      <c r="V1583">
        <v>34</v>
      </c>
      <c r="W1583">
        <v>0</v>
      </c>
      <c r="X1583">
        <v>34</v>
      </c>
      <c r="Y1583">
        <v>3</v>
      </c>
      <c r="Z1583">
        <v>0</v>
      </c>
      <c r="AA1583">
        <v>3</v>
      </c>
      <c r="AB1583" t="s">
        <v>36</v>
      </c>
      <c r="AC1583">
        <v>34</v>
      </c>
      <c r="AD1583">
        <v>3.53</v>
      </c>
    </row>
    <row r="1584" spans="1:30" x14ac:dyDescent="0.25">
      <c r="A1584" s="1">
        <v>44784.528564814813</v>
      </c>
      <c r="B1584" s="1">
        <v>44784.527708333335</v>
      </c>
      <c r="C1584">
        <v>151706</v>
      </c>
      <c r="D1584" t="s">
        <v>42</v>
      </c>
      <c r="E1584" t="s">
        <v>31</v>
      </c>
      <c r="F1584">
        <v>7</v>
      </c>
      <c r="G1584">
        <v>43.004080000000002</v>
      </c>
      <c r="H1584">
        <v>-71.177040000000005</v>
      </c>
      <c r="I1584">
        <v>194</v>
      </c>
      <c r="J1584">
        <v>88</v>
      </c>
      <c r="K1584">
        <v>0</v>
      </c>
      <c r="L1584" s="1">
        <v>44784.528506944444</v>
      </c>
      <c r="M1584">
        <v>6.5</v>
      </c>
      <c r="N1584">
        <v>0</v>
      </c>
      <c r="O1584">
        <v>6.5</v>
      </c>
      <c r="P1584">
        <v>200</v>
      </c>
      <c r="Q1584">
        <v>0.3</v>
      </c>
      <c r="R1584">
        <v>0</v>
      </c>
      <c r="S1584">
        <v>0.15</v>
      </c>
      <c r="T1584" t="s">
        <v>43</v>
      </c>
      <c r="V1584">
        <v>43</v>
      </c>
      <c r="W1584">
        <v>0</v>
      </c>
      <c r="X1584">
        <v>43</v>
      </c>
      <c r="Y1584">
        <v>1</v>
      </c>
      <c r="Z1584">
        <v>0</v>
      </c>
      <c r="AA1584">
        <v>1</v>
      </c>
      <c r="AB1584" t="s">
        <v>36</v>
      </c>
      <c r="AC1584">
        <v>43</v>
      </c>
    </row>
    <row r="1585" spans="1:30" x14ac:dyDescent="0.25">
      <c r="A1585" s="1">
        <v>44784.528564814813</v>
      </c>
      <c r="B1585" s="1">
        <v>44784.527465277781</v>
      </c>
      <c r="C1585">
        <v>12212</v>
      </c>
      <c r="D1585" t="s">
        <v>44</v>
      </c>
      <c r="E1585" t="s">
        <v>35</v>
      </c>
      <c r="F1585">
        <v>7</v>
      </c>
      <c r="G1585">
        <v>42.930529999999997</v>
      </c>
      <c r="H1585">
        <v>-72.272350000000003</v>
      </c>
      <c r="I1585">
        <v>476</v>
      </c>
      <c r="J1585">
        <v>86</v>
      </c>
      <c r="K1585">
        <v>0</v>
      </c>
      <c r="L1585" s="1">
        <v>44784.528506944444</v>
      </c>
      <c r="M1585">
        <v>4.5999999999999996</v>
      </c>
      <c r="N1585">
        <v>4</v>
      </c>
      <c r="O1585">
        <v>0.6</v>
      </c>
      <c r="P1585">
        <v>14</v>
      </c>
      <c r="Q1585">
        <v>0.1</v>
      </c>
      <c r="R1585">
        <v>0.1</v>
      </c>
      <c r="S1585">
        <v>0.1</v>
      </c>
      <c r="T1585" t="s">
        <v>33</v>
      </c>
      <c r="U1585">
        <v>4.3</v>
      </c>
      <c r="V1585">
        <v>36</v>
      </c>
      <c r="W1585">
        <v>0</v>
      </c>
      <c r="X1585">
        <v>36</v>
      </c>
      <c r="Y1585">
        <v>1</v>
      </c>
      <c r="Z1585">
        <v>0</v>
      </c>
      <c r="AA1585">
        <v>1</v>
      </c>
      <c r="AB1585" t="s">
        <v>36</v>
      </c>
      <c r="AC1585">
        <v>36</v>
      </c>
      <c r="AD1585">
        <v>2.2599999999999998</v>
      </c>
    </row>
    <row r="1586" spans="1:30" x14ac:dyDescent="0.25">
      <c r="A1586" s="1">
        <v>44784.52857638889</v>
      </c>
      <c r="B1586" s="1">
        <v>44769.376736111109</v>
      </c>
      <c r="C1586">
        <v>12178</v>
      </c>
      <c r="D1586" t="s">
        <v>45</v>
      </c>
      <c r="E1586" t="s">
        <v>35</v>
      </c>
      <c r="F1586">
        <v>7</v>
      </c>
      <c r="G1586">
        <v>42.899563000000001</v>
      </c>
      <c r="H1586">
        <v>-71.464650000000006</v>
      </c>
      <c r="I1586">
        <v>301</v>
      </c>
      <c r="J1586">
        <v>85</v>
      </c>
      <c r="K1586">
        <v>0</v>
      </c>
      <c r="L1586" s="1">
        <v>44784.528506944444</v>
      </c>
      <c r="M1586">
        <v>3.8</v>
      </c>
      <c r="N1586">
        <v>3.1</v>
      </c>
      <c r="O1586">
        <v>0.7</v>
      </c>
      <c r="P1586">
        <v>20</v>
      </c>
      <c r="Q1586">
        <v>0</v>
      </c>
      <c r="R1586">
        <v>0</v>
      </c>
      <c r="S1586">
        <v>0</v>
      </c>
      <c r="T1586" t="s">
        <v>32</v>
      </c>
      <c r="V1586">
        <v>35</v>
      </c>
      <c r="W1586">
        <v>0</v>
      </c>
      <c r="X1586">
        <v>35</v>
      </c>
      <c r="Y1586">
        <v>0</v>
      </c>
      <c r="Z1586">
        <v>0</v>
      </c>
      <c r="AA1586">
        <v>0</v>
      </c>
      <c r="AB1586" t="s">
        <v>36</v>
      </c>
      <c r="AC1586">
        <v>35</v>
      </c>
    </row>
    <row r="1587" spans="1:30" x14ac:dyDescent="0.25">
      <c r="A1587" s="1">
        <v>44784.52857638889</v>
      </c>
      <c r="B1587" s="1">
        <v>44784.526759259257</v>
      </c>
      <c r="C1587">
        <v>75981</v>
      </c>
      <c r="D1587" t="s">
        <v>46</v>
      </c>
      <c r="E1587" t="s">
        <v>35</v>
      </c>
      <c r="F1587">
        <v>7</v>
      </c>
      <c r="G1587">
        <v>42.97</v>
      </c>
      <c r="H1587">
        <v>-71.06</v>
      </c>
      <c r="I1587">
        <v>136</v>
      </c>
      <c r="J1587">
        <v>85</v>
      </c>
      <c r="K1587">
        <v>0</v>
      </c>
      <c r="L1587" s="1">
        <v>44784.528506944444</v>
      </c>
      <c r="M1587">
        <v>9.5</v>
      </c>
      <c r="N1587">
        <v>9</v>
      </c>
      <c r="O1587">
        <v>0.5</v>
      </c>
      <c r="P1587">
        <v>5</v>
      </c>
      <c r="Q1587">
        <v>0</v>
      </c>
      <c r="R1587">
        <v>0.1</v>
      </c>
      <c r="S1587">
        <v>0.05</v>
      </c>
      <c r="T1587" t="s">
        <v>33</v>
      </c>
      <c r="U1587">
        <v>9.25</v>
      </c>
      <c r="V1587">
        <v>46</v>
      </c>
      <c r="W1587">
        <v>0</v>
      </c>
      <c r="X1587">
        <v>46</v>
      </c>
      <c r="Y1587">
        <v>1</v>
      </c>
      <c r="Z1587">
        <v>0</v>
      </c>
      <c r="AA1587">
        <v>1</v>
      </c>
      <c r="AB1587" t="s">
        <v>36</v>
      </c>
      <c r="AC1587">
        <v>46</v>
      </c>
      <c r="AD1587">
        <v>4.58</v>
      </c>
    </row>
    <row r="1588" spans="1:30" x14ac:dyDescent="0.25">
      <c r="A1588" s="1">
        <v>44784.528587962966</v>
      </c>
      <c r="B1588" s="1">
        <v>44784.527303240742</v>
      </c>
      <c r="C1588">
        <v>115703</v>
      </c>
      <c r="D1588" t="s">
        <v>47</v>
      </c>
      <c r="E1588" t="s">
        <v>35</v>
      </c>
      <c r="F1588">
        <v>7</v>
      </c>
      <c r="G1588">
        <v>43.953625000000002</v>
      </c>
      <c r="H1588">
        <v>-71.508859999999999</v>
      </c>
      <c r="I1588">
        <v>1493</v>
      </c>
      <c r="J1588">
        <v>82</v>
      </c>
      <c r="K1588">
        <v>0</v>
      </c>
      <c r="L1588" s="1">
        <v>44784.528506944444</v>
      </c>
      <c r="M1588">
        <v>0</v>
      </c>
      <c r="N1588">
        <v>311.39999999999998</v>
      </c>
      <c r="O1588">
        <v>311.39999999999998</v>
      </c>
      <c r="P1588">
        <v>200</v>
      </c>
      <c r="Q1588">
        <v>0.1</v>
      </c>
      <c r="R1588">
        <v>18.100000000000001</v>
      </c>
      <c r="S1588">
        <v>9.1</v>
      </c>
      <c r="T1588" t="s">
        <v>48</v>
      </c>
      <c r="V1588">
        <v>38</v>
      </c>
      <c r="W1588">
        <v>0</v>
      </c>
      <c r="X1588">
        <v>38</v>
      </c>
      <c r="Y1588">
        <v>2</v>
      </c>
      <c r="Z1588">
        <v>0</v>
      </c>
      <c r="AA1588">
        <v>2</v>
      </c>
      <c r="AB1588" t="s">
        <v>36</v>
      </c>
      <c r="AC1588">
        <v>38</v>
      </c>
    </row>
    <row r="1589" spans="1:30" x14ac:dyDescent="0.25">
      <c r="A1589" s="1">
        <v>44784.528599537036</v>
      </c>
      <c r="B1589" s="1">
        <v>44784.526712962965</v>
      </c>
      <c r="C1589">
        <v>12050</v>
      </c>
      <c r="D1589" t="s">
        <v>49</v>
      </c>
      <c r="E1589" t="s">
        <v>35</v>
      </c>
      <c r="F1589">
        <v>7</v>
      </c>
      <c r="G1589">
        <v>44.220573000000002</v>
      </c>
      <c r="H1589">
        <v>-71.732315</v>
      </c>
      <c r="I1589">
        <v>999</v>
      </c>
      <c r="J1589">
        <v>92</v>
      </c>
      <c r="K1589">
        <v>0</v>
      </c>
      <c r="L1589" s="1">
        <v>44784.528506944444</v>
      </c>
      <c r="M1589">
        <v>3</v>
      </c>
      <c r="N1589">
        <v>2.7</v>
      </c>
      <c r="O1589">
        <v>0.3</v>
      </c>
      <c r="P1589">
        <v>11</v>
      </c>
      <c r="Q1589">
        <v>0.2</v>
      </c>
      <c r="R1589">
        <v>0.2</v>
      </c>
      <c r="S1589">
        <v>0.2</v>
      </c>
      <c r="T1589" t="s">
        <v>33</v>
      </c>
      <c r="U1589">
        <v>2.85</v>
      </c>
      <c r="V1589">
        <v>30</v>
      </c>
      <c r="W1589">
        <v>0</v>
      </c>
      <c r="X1589">
        <v>30</v>
      </c>
      <c r="Y1589">
        <v>4</v>
      </c>
      <c r="Z1589">
        <v>0</v>
      </c>
      <c r="AA1589">
        <v>4</v>
      </c>
      <c r="AB1589" t="s">
        <v>36</v>
      </c>
      <c r="AC1589">
        <v>30</v>
      </c>
      <c r="AD1589">
        <v>1.8</v>
      </c>
    </row>
    <row r="1590" spans="1:30" x14ac:dyDescent="0.25">
      <c r="A1590" s="1">
        <v>44784.528599537036</v>
      </c>
      <c r="B1590" s="1">
        <v>44784.526828703703</v>
      </c>
      <c r="C1590">
        <v>23443</v>
      </c>
      <c r="D1590" t="s">
        <v>50</v>
      </c>
      <c r="E1590" t="s">
        <v>35</v>
      </c>
      <c r="F1590">
        <v>7</v>
      </c>
      <c r="G1590">
        <v>43.556139999999999</v>
      </c>
      <c r="H1590">
        <v>-72.370990000000006</v>
      </c>
      <c r="I1590">
        <v>523</v>
      </c>
      <c r="J1590">
        <v>103</v>
      </c>
      <c r="K1590">
        <v>0</v>
      </c>
      <c r="L1590" s="1">
        <v>44784.528506944444</v>
      </c>
      <c r="M1590">
        <v>2.2999999999999998</v>
      </c>
      <c r="N1590">
        <v>2.1</v>
      </c>
      <c r="O1590">
        <v>0.2</v>
      </c>
      <c r="P1590">
        <v>9</v>
      </c>
      <c r="Q1590">
        <v>0.1</v>
      </c>
      <c r="R1590">
        <v>0</v>
      </c>
      <c r="S1590">
        <v>0.05</v>
      </c>
      <c r="T1590" t="s">
        <v>33</v>
      </c>
      <c r="U1590">
        <v>2.2000000000000002</v>
      </c>
      <c r="V1590">
        <v>22</v>
      </c>
      <c r="W1590">
        <v>0</v>
      </c>
      <c r="X1590">
        <v>22</v>
      </c>
      <c r="Y1590">
        <v>1</v>
      </c>
      <c r="Z1590">
        <v>0</v>
      </c>
      <c r="AA1590">
        <v>1</v>
      </c>
      <c r="AB1590" t="s">
        <v>36</v>
      </c>
      <c r="AC1590">
        <v>22</v>
      </c>
      <c r="AD1590">
        <v>1.96</v>
      </c>
    </row>
    <row r="1591" spans="1:30" x14ac:dyDescent="0.25">
      <c r="A1591" s="1">
        <v>44784.528611111113</v>
      </c>
      <c r="B1591" s="1">
        <v>44784.526944444442</v>
      </c>
      <c r="C1591">
        <v>58135</v>
      </c>
      <c r="D1591" t="s">
        <v>51</v>
      </c>
      <c r="E1591" t="s">
        <v>35</v>
      </c>
      <c r="F1591">
        <v>7</v>
      </c>
      <c r="G1591">
        <v>42.883873000000001</v>
      </c>
      <c r="H1591">
        <v>-71.972915999999998</v>
      </c>
      <c r="I1591">
        <v>808</v>
      </c>
      <c r="J1591">
        <v>88</v>
      </c>
      <c r="K1591">
        <v>0</v>
      </c>
      <c r="L1591" s="1">
        <v>44784.528506944444</v>
      </c>
      <c r="M1591">
        <v>2.7</v>
      </c>
      <c r="N1591">
        <v>1.8</v>
      </c>
      <c r="O1591">
        <v>0.9</v>
      </c>
      <c r="P1591">
        <v>40</v>
      </c>
      <c r="Q1591">
        <v>0.1</v>
      </c>
      <c r="R1591">
        <v>0</v>
      </c>
      <c r="S1591">
        <v>0.05</v>
      </c>
      <c r="T1591" t="s">
        <v>33</v>
      </c>
      <c r="U1591">
        <v>2.25</v>
      </c>
      <c r="V1591">
        <v>35</v>
      </c>
      <c r="W1591">
        <v>0</v>
      </c>
      <c r="X1591">
        <v>35</v>
      </c>
      <c r="Y1591">
        <v>0</v>
      </c>
      <c r="Z1591">
        <v>0</v>
      </c>
      <c r="AA1591">
        <v>0</v>
      </c>
      <c r="AB1591" t="s">
        <v>36</v>
      </c>
      <c r="AC1591">
        <v>35</v>
      </c>
      <c r="AD1591">
        <v>1.08</v>
      </c>
    </row>
    <row r="1592" spans="1:30" x14ac:dyDescent="0.25">
      <c r="A1592" s="1">
        <v>44784.528611111113</v>
      </c>
      <c r="B1592" s="1">
        <v>44784.526944444442</v>
      </c>
      <c r="C1592">
        <v>148555</v>
      </c>
      <c r="D1592" t="s">
        <v>52</v>
      </c>
      <c r="E1592" t="s">
        <v>53</v>
      </c>
      <c r="F1592">
        <v>7</v>
      </c>
      <c r="G1592">
        <v>42.904949999999999</v>
      </c>
      <c r="H1592">
        <v>-71.386764999999997</v>
      </c>
      <c r="I1592">
        <v>363</v>
      </c>
      <c r="J1592">
        <v>0</v>
      </c>
      <c r="K1592">
        <v>0</v>
      </c>
      <c r="L1592" s="1">
        <v>44784.528506944444</v>
      </c>
      <c r="M1592">
        <v>1.3</v>
      </c>
      <c r="N1592">
        <v>1.8</v>
      </c>
      <c r="O1592">
        <v>0.5</v>
      </c>
      <c r="P1592">
        <v>32</v>
      </c>
      <c r="Q1592">
        <v>0.1</v>
      </c>
      <c r="R1592">
        <v>0</v>
      </c>
      <c r="S1592">
        <v>0.05</v>
      </c>
      <c r="T1592" t="s">
        <v>33</v>
      </c>
      <c r="U1592">
        <v>1.55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 t="s">
        <v>38</v>
      </c>
    </row>
    <row r="1593" spans="1:30" x14ac:dyDescent="0.25">
      <c r="A1593" s="1">
        <v>44784.528622685182</v>
      </c>
      <c r="B1593" s="1">
        <v>44784.526446759257</v>
      </c>
      <c r="C1593">
        <v>146644</v>
      </c>
      <c r="D1593" t="s">
        <v>54</v>
      </c>
      <c r="E1593" t="s">
        <v>53</v>
      </c>
      <c r="F1593">
        <v>7</v>
      </c>
      <c r="G1593">
        <v>43.06015</v>
      </c>
      <c r="H1593">
        <v>-70.758930000000007</v>
      </c>
      <c r="I1593">
        <v>35</v>
      </c>
      <c r="J1593">
        <v>82</v>
      </c>
      <c r="K1593">
        <v>84</v>
      </c>
      <c r="L1593" s="1">
        <v>44784.528506944444</v>
      </c>
      <c r="M1593">
        <v>15.1</v>
      </c>
      <c r="N1593">
        <v>14.2</v>
      </c>
      <c r="O1593">
        <v>0.9</v>
      </c>
      <c r="P1593">
        <v>6</v>
      </c>
      <c r="Q1593">
        <v>0</v>
      </c>
      <c r="R1593">
        <v>0.2</v>
      </c>
      <c r="S1593">
        <v>0.1</v>
      </c>
      <c r="T1593" t="s">
        <v>33</v>
      </c>
      <c r="U1593">
        <v>14.65</v>
      </c>
      <c r="V1593">
        <v>48</v>
      </c>
      <c r="W1593">
        <v>53</v>
      </c>
      <c r="X1593">
        <v>5</v>
      </c>
      <c r="Y1593">
        <v>0</v>
      </c>
      <c r="Z1593">
        <v>0</v>
      </c>
      <c r="AA1593">
        <v>0</v>
      </c>
      <c r="AB1593" t="s">
        <v>33</v>
      </c>
      <c r="AC1593">
        <v>50.5</v>
      </c>
      <c r="AD1593">
        <v>7.56</v>
      </c>
    </row>
    <row r="1594" spans="1:30" x14ac:dyDescent="0.25">
      <c r="A1594" s="1">
        <v>44784.528622685182</v>
      </c>
      <c r="B1594" s="1">
        <v>43755.283437500002</v>
      </c>
      <c r="C1594">
        <v>12188</v>
      </c>
      <c r="D1594" t="s">
        <v>55</v>
      </c>
      <c r="E1594" t="s">
        <v>35</v>
      </c>
      <c r="F1594">
        <v>4.1100000000000003</v>
      </c>
      <c r="G1594">
        <v>42.927050000000001</v>
      </c>
      <c r="H1594">
        <v>-72.279610000000005</v>
      </c>
      <c r="I1594">
        <v>475</v>
      </c>
      <c r="J1594">
        <v>95</v>
      </c>
      <c r="K1594">
        <v>0</v>
      </c>
      <c r="L1594" s="1">
        <v>44784.528506944444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 t="s">
        <v>32</v>
      </c>
      <c r="V1594">
        <v>77</v>
      </c>
      <c r="W1594">
        <v>0</v>
      </c>
      <c r="X1594">
        <v>77</v>
      </c>
      <c r="Y1594">
        <v>0</v>
      </c>
      <c r="Z1594">
        <v>0</v>
      </c>
      <c r="AA1594">
        <v>0</v>
      </c>
      <c r="AB1594" t="s">
        <v>36</v>
      </c>
      <c r="AC1594">
        <v>77</v>
      </c>
    </row>
    <row r="1595" spans="1:30" x14ac:dyDescent="0.25">
      <c r="A1595" s="1">
        <v>44784.528634259259</v>
      </c>
      <c r="B1595" s="1">
        <v>44784.52820601852</v>
      </c>
      <c r="C1595">
        <v>1224</v>
      </c>
      <c r="D1595" t="s">
        <v>56</v>
      </c>
      <c r="E1595" t="s">
        <v>35</v>
      </c>
      <c r="F1595" t="s">
        <v>57</v>
      </c>
      <c r="G1595">
        <v>42.938034000000002</v>
      </c>
      <c r="H1595">
        <v>-72.259299999999996</v>
      </c>
      <c r="I1595">
        <v>792</v>
      </c>
      <c r="J1595">
        <v>89</v>
      </c>
      <c r="K1595">
        <v>0</v>
      </c>
      <c r="L1595" s="1">
        <v>44784.528506944444</v>
      </c>
      <c r="M1595">
        <v>4.5999999999999996</v>
      </c>
      <c r="N1595">
        <v>0</v>
      </c>
      <c r="O1595">
        <v>4.5999999999999996</v>
      </c>
      <c r="P1595">
        <v>200</v>
      </c>
      <c r="Q1595">
        <v>0.1</v>
      </c>
      <c r="R1595">
        <v>0</v>
      </c>
      <c r="S1595">
        <v>0.05</v>
      </c>
      <c r="T1595" t="s">
        <v>43</v>
      </c>
      <c r="V1595">
        <v>42</v>
      </c>
      <c r="W1595">
        <v>0</v>
      </c>
      <c r="X1595">
        <v>42</v>
      </c>
      <c r="Y1595">
        <v>2</v>
      </c>
      <c r="Z1595">
        <v>0</v>
      </c>
      <c r="AA1595">
        <v>2</v>
      </c>
      <c r="AB1595" t="s">
        <v>36</v>
      </c>
      <c r="AC1595">
        <v>42</v>
      </c>
    </row>
    <row r="1596" spans="1:30" x14ac:dyDescent="0.25">
      <c r="A1596" s="1">
        <v>44784.528634259259</v>
      </c>
      <c r="B1596" s="1">
        <v>44784.527650462966</v>
      </c>
      <c r="C1596">
        <v>1202</v>
      </c>
      <c r="D1596" t="s">
        <v>58</v>
      </c>
      <c r="E1596" t="s">
        <v>35</v>
      </c>
      <c r="F1596" t="s">
        <v>57</v>
      </c>
      <c r="G1596">
        <v>42.936554000000001</v>
      </c>
      <c r="H1596">
        <v>-72.271019999999993</v>
      </c>
      <c r="I1596">
        <v>488</v>
      </c>
      <c r="J1596">
        <v>0</v>
      </c>
      <c r="K1596">
        <v>0</v>
      </c>
      <c r="L1596" s="1">
        <v>44784.528506944444</v>
      </c>
      <c r="M1596">
        <v>4.9000000000000004</v>
      </c>
      <c r="N1596">
        <v>4.3</v>
      </c>
      <c r="O1596">
        <v>0.6</v>
      </c>
      <c r="P1596">
        <v>13</v>
      </c>
      <c r="Q1596">
        <v>0.1</v>
      </c>
      <c r="R1596">
        <v>0</v>
      </c>
      <c r="S1596">
        <v>0.05</v>
      </c>
      <c r="T1596" t="s">
        <v>33</v>
      </c>
      <c r="U1596">
        <v>4.5999999999999996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0</v>
      </c>
      <c r="AB1596" t="s">
        <v>38</v>
      </c>
    </row>
    <row r="1597" spans="1:30" x14ac:dyDescent="0.25">
      <c r="A1597" s="1">
        <v>44784.528645833336</v>
      </c>
      <c r="B1597" s="1">
        <v>44612.080023148148</v>
      </c>
      <c r="C1597">
        <v>25985</v>
      </c>
      <c r="D1597" t="s">
        <v>59</v>
      </c>
      <c r="E1597" t="s">
        <v>35</v>
      </c>
      <c r="F1597">
        <v>6.01</v>
      </c>
      <c r="G1597">
        <v>42.927326000000001</v>
      </c>
      <c r="H1597">
        <v>-72.279979999999995</v>
      </c>
      <c r="I1597">
        <v>477</v>
      </c>
      <c r="J1597">
        <v>78</v>
      </c>
      <c r="K1597">
        <v>0</v>
      </c>
      <c r="L1597" s="1">
        <v>44784.528506944444</v>
      </c>
      <c r="M1597">
        <v>1.1000000000000001</v>
      </c>
      <c r="N1597">
        <v>1</v>
      </c>
      <c r="O1597">
        <v>0.1</v>
      </c>
      <c r="P1597">
        <v>10</v>
      </c>
      <c r="Q1597">
        <v>0</v>
      </c>
      <c r="R1597">
        <v>0</v>
      </c>
      <c r="S1597">
        <v>0</v>
      </c>
      <c r="T1597" t="s">
        <v>32</v>
      </c>
      <c r="V1597">
        <v>22</v>
      </c>
      <c r="W1597">
        <v>0</v>
      </c>
      <c r="X1597">
        <v>22</v>
      </c>
      <c r="Y1597">
        <v>0</v>
      </c>
      <c r="Z1597">
        <v>0</v>
      </c>
      <c r="AA1597">
        <v>0</v>
      </c>
      <c r="AB1597" t="s">
        <v>36</v>
      </c>
      <c r="AC1597">
        <v>22</v>
      </c>
    </row>
    <row r="1598" spans="1:30" x14ac:dyDescent="0.25">
      <c r="A1598" s="1">
        <v>44784.535474537035</v>
      </c>
      <c r="B1598" s="1">
        <v>44775.701319444444</v>
      </c>
      <c r="C1598">
        <v>151708</v>
      </c>
      <c r="D1598" t="s">
        <v>30</v>
      </c>
      <c r="E1598" t="s">
        <v>31</v>
      </c>
      <c r="F1598">
        <v>7</v>
      </c>
      <c r="G1598">
        <v>43.192042999999998</v>
      </c>
      <c r="H1598">
        <v>-71.541579999999996</v>
      </c>
      <c r="I1598">
        <v>291</v>
      </c>
      <c r="J1598">
        <v>93</v>
      </c>
      <c r="K1598">
        <v>94</v>
      </c>
      <c r="L1598" s="1">
        <v>44784.535451388889</v>
      </c>
      <c r="M1598">
        <v>7.9</v>
      </c>
      <c r="N1598">
        <v>7.6</v>
      </c>
      <c r="O1598">
        <v>0.3</v>
      </c>
      <c r="P1598">
        <v>4</v>
      </c>
      <c r="Q1598">
        <v>0</v>
      </c>
      <c r="R1598">
        <v>0</v>
      </c>
      <c r="S1598">
        <v>0</v>
      </c>
      <c r="T1598" t="s">
        <v>32</v>
      </c>
      <c r="V1598">
        <v>42</v>
      </c>
      <c r="W1598">
        <v>41</v>
      </c>
      <c r="X1598">
        <v>1</v>
      </c>
      <c r="Y1598">
        <v>0</v>
      </c>
      <c r="Z1598">
        <v>0</v>
      </c>
      <c r="AA1598">
        <v>0</v>
      </c>
      <c r="AB1598" t="s">
        <v>33</v>
      </c>
      <c r="AC1598">
        <v>41.5</v>
      </c>
    </row>
    <row r="1599" spans="1:30" x14ac:dyDescent="0.25">
      <c r="A1599" s="1">
        <v>44784.535474537035</v>
      </c>
      <c r="B1599" s="1">
        <v>44784.533807870372</v>
      </c>
      <c r="C1599">
        <v>143456</v>
      </c>
      <c r="D1599" t="s">
        <v>34</v>
      </c>
      <c r="E1599" t="s">
        <v>35</v>
      </c>
      <c r="F1599">
        <v>7</v>
      </c>
      <c r="G1599">
        <v>43.08963</v>
      </c>
      <c r="H1599">
        <v>-71.502440000000007</v>
      </c>
      <c r="I1599">
        <v>619</v>
      </c>
      <c r="J1599">
        <v>85</v>
      </c>
      <c r="K1599">
        <v>0</v>
      </c>
      <c r="L1599" s="1">
        <v>44784.535451388889</v>
      </c>
      <c r="M1599">
        <v>2.6</v>
      </c>
      <c r="N1599">
        <v>3.1</v>
      </c>
      <c r="O1599">
        <v>0.5</v>
      </c>
      <c r="P1599">
        <v>18</v>
      </c>
      <c r="Q1599">
        <v>0.4</v>
      </c>
      <c r="R1599">
        <v>0.2</v>
      </c>
      <c r="S1599">
        <v>0.3</v>
      </c>
      <c r="T1599" t="s">
        <v>33</v>
      </c>
      <c r="U1599">
        <v>2.85</v>
      </c>
      <c r="V1599">
        <v>41</v>
      </c>
      <c r="W1599">
        <v>0</v>
      </c>
      <c r="X1599">
        <v>41</v>
      </c>
      <c r="Y1599">
        <v>3</v>
      </c>
      <c r="Z1599">
        <v>0</v>
      </c>
      <c r="AA1599">
        <v>3</v>
      </c>
      <c r="AB1599" t="s">
        <v>36</v>
      </c>
      <c r="AC1599">
        <v>41</v>
      </c>
      <c r="AD1599">
        <v>1.03</v>
      </c>
    </row>
    <row r="1600" spans="1:30" x14ac:dyDescent="0.25">
      <c r="A1600" s="1">
        <v>44784.535474537035</v>
      </c>
      <c r="B1600" s="1">
        <v>44784.53396990741</v>
      </c>
      <c r="C1600">
        <v>151702</v>
      </c>
      <c r="D1600" t="s">
        <v>37</v>
      </c>
      <c r="E1600" t="s">
        <v>31</v>
      </c>
      <c r="F1600">
        <v>7</v>
      </c>
      <c r="G1600">
        <v>43.118609999999997</v>
      </c>
      <c r="H1600">
        <v>-71.61618</v>
      </c>
      <c r="I1600">
        <v>885</v>
      </c>
      <c r="J1600">
        <v>0</v>
      </c>
      <c r="K1600">
        <v>0</v>
      </c>
      <c r="L1600" s="1">
        <v>44784.535451388889</v>
      </c>
      <c r="M1600">
        <v>3.3</v>
      </c>
      <c r="N1600">
        <v>3.1</v>
      </c>
      <c r="O1600">
        <v>0.2</v>
      </c>
      <c r="P1600">
        <v>6</v>
      </c>
      <c r="Q1600">
        <v>0.1</v>
      </c>
      <c r="R1600">
        <v>0.1</v>
      </c>
      <c r="S1600">
        <v>0.1</v>
      </c>
      <c r="T1600" t="s">
        <v>33</v>
      </c>
      <c r="U1600">
        <v>3.2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 t="s">
        <v>38</v>
      </c>
    </row>
    <row r="1601" spans="1:30" x14ac:dyDescent="0.25">
      <c r="A1601" s="1">
        <v>44784.535486111112</v>
      </c>
      <c r="B1601" s="1">
        <v>44784.533865740741</v>
      </c>
      <c r="C1601">
        <v>151700</v>
      </c>
      <c r="D1601" t="s">
        <v>30</v>
      </c>
      <c r="E1601" t="s">
        <v>31</v>
      </c>
      <c r="F1601">
        <v>7</v>
      </c>
      <c r="G1601">
        <v>43.19211</v>
      </c>
      <c r="H1601">
        <v>-71.541460000000001</v>
      </c>
      <c r="I1601">
        <v>286</v>
      </c>
      <c r="J1601">
        <v>82</v>
      </c>
      <c r="K1601">
        <v>0</v>
      </c>
      <c r="L1601" s="1">
        <v>44784.535451388889</v>
      </c>
      <c r="M1601">
        <v>3.7</v>
      </c>
      <c r="N1601">
        <v>4.3</v>
      </c>
      <c r="O1601">
        <v>0.6</v>
      </c>
      <c r="P1601">
        <v>15</v>
      </c>
      <c r="Q1601">
        <v>0.4</v>
      </c>
      <c r="R1601">
        <v>0.2</v>
      </c>
      <c r="S1601">
        <v>0.3</v>
      </c>
      <c r="T1601" t="s">
        <v>33</v>
      </c>
      <c r="U1601">
        <v>4</v>
      </c>
      <c r="V1601">
        <v>47</v>
      </c>
      <c r="W1601">
        <v>0</v>
      </c>
      <c r="X1601">
        <v>47</v>
      </c>
      <c r="Y1601">
        <v>0</v>
      </c>
      <c r="Z1601">
        <v>0</v>
      </c>
      <c r="AA1601">
        <v>0</v>
      </c>
      <c r="AB1601" t="s">
        <v>36</v>
      </c>
      <c r="AC1601">
        <v>47</v>
      </c>
      <c r="AD1601">
        <v>1.31</v>
      </c>
    </row>
    <row r="1602" spans="1:30" x14ac:dyDescent="0.25">
      <c r="A1602" s="1">
        <v>44784.535486111112</v>
      </c>
      <c r="B1602" s="1">
        <v>44784.53429398148</v>
      </c>
      <c r="C1602">
        <v>135984</v>
      </c>
      <c r="D1602" t="s">
        <v>39</v>
      </c>
      <c r="E1602" t="s">
        <v>31</v>
      </c>
      <c r="F1602">
        <v>7</v>
      </c>
      <c r="G1602">
        <v>43.565852999999997</v>
      </c>
      <c r="H1602">
        <v>-71.496129999999994</v>
      </c>
      <c r="I1602">
        <v>708</v>
      </c>
      <c r="J1602">
        <v>87</v>
      </c>
      <c r="K1602">
        <v>0</v>
      </c>
      <c r="L1602" s="1">
        <v>44784.535451388889</v>
      </c>
      <c r="M1602">
        <v>2.2999999999999998</v>
      </c>
      <c r="N1602">
        <v>1.7</v>
      </c>
      <c r="O1602">
        <v>0.6</v>
      </c>
      <c r="P1602">
        <v>30</v>
      </c>
      <c r="Q1602">
        <v>0.3</v>
      </c>
      <c r="R1602">
        <v>0.3</v>
      </c>
      <c r="S1602">
        <v>0.3</v>
      </c>
      <c r="T1602" t="s">
        <v>33</v>
      </c>
      <c r="U1602">
        <v>2</v>
      </c>
      <c r="V1602">
        <v>49</v>
      </c>
      <c r="W1602">
        <v>0</v>
      </c>
      <c r="X1602">
        <v>49</v>
      </c>
      <c r="Y1602">
        <v>0</v>
      </c>
      <c r="Z1602">
        <v>0</v>
      </c>
      <c r="AA1602">
        <v>0</v>
      </c>
      <c r="AB1602" t="s">
        <v>36</v>
      </c>
      <c r="AC1602">
        <v>49</v>
      </c>
      <c r="AD1602">
        <v>-0.05</v>
      </c>
    </row>
    <row r="1603" spans="1:30" x14ac:dyDescent="0.25">
      <c r="A1603" s="1">
        <v>44784.535486111112</v>
      </c>
      <c r="B1603" s="1">
        <v>44780.394780092596</v>
      </c>
      <c r="C1603">
        <v>151712</v>
      </c>
      <c r="D1603" t="s">
        <v>40</v>
      </c>
      <c r="E1603" t="s">
        <v>31</v>
      </c>
      <c r="F1603">
        <v>7</v>
      </c>
      <c r="G1603">
        <v>43.289763999999998</v>
      </c>
      <c r="H1603">
        <v>-71.564260000000004</v>
      </c>
      <c r="I1603">
        <v>370</v>
      </c>
      <c r="J1603">
        <v>86</v>
      </c>
      <c r="K1603">
        <v>0</v>
      </c>
      <c r="L1603" s="1">
        <v>44784.535451388889</v>
      </c>
      <c r="M1603">
        <v>14</v>
      </c>
      <c r="N1603">
        <v>13.2</v>
      </c>
      <c r="O1603">
        <v>0.8</v>
      </c>
      <c r="P1603">
        <v>6</v>
      </c>
      <c r="Q1603">
        <v>0</v>
      </c>
      <c r="R1603">
        <v>0</v>
      </c>
      <c r="S1603">
        <v>0</v>
      </c>
      <c r="T1603" t="s">
        <v>32</v>
      </c>
      <c r="V1603">
        <v>59</v>
      </c>
      <c r="W1603">
        <v>0</v>
      </c>
      <c r="X1603">
        <v>59</v>
      </c>
      <c r="Y1603">
        <v>0</v>
      </c>
      <c r="Z1603">
        <v>0</v>
      </c>
      <c r="AA1603">
        <v>0</v>
      </c>
      <c r="AB1603" t="s">
        <v>36</v>
      </c>
      <c r="AC1603">
        <v>59</v>
      </c>
    </row>
    <row r="1604" spans="1:30" x14ac:dyDescent="0.25">
      <c r="A1604" s="1">
        <v>44784.535497685189</v>
      </c>
      <c r="B1604" s="1">
        <v>44784.53361111111</v>
      </c>
      <c r="C1604">
        <v>151710</v>
      </c>
      <c r="D1604" t="s">
        <v>41</v>
      </c>
      <c r="E1604" t="s">
        <v>31</v>
      </c>
      <c r="F1604">
        <v>7</v>
      </c>
      <c r="G1604">
        <v>43.132477000000002</v>
      </c>
      <c r="H1604">
        <v>-71.458374000000006</v>
      </c>
      <c r="I1604">
        <v>230</v>
      </c>
      <c r="J1604">
        <v>93</v>
      </c>
      <c r="K1604">
        <v>0</v>
      </c>
      <c r="L1604" s="1">
        <v>44784.535451388889</v>
      </c>
      <c r="M1604">
        <v>5.9</v>
      </c>
      <c r="N1604">
        <v>4.9000000000000004</v>
      </c>
      <c r="O1604">
        <v>1</v>
      </c>
      <c r="P1604">
        <v>19</v>
      </c>
      <c r="Q1604">
        <v>0.8</v>
      </c>
      <c r="R1604">
        <v>0.7</v>
      </c>
      <c r="S1604">
        <v>0.75</v>
      </c>
      <c r="T1604" t="s">
        <v>33</v>
      </c>
      <c r="U1604">
        <v>5.4</v>
      </c>
      <c r="V1604">
        <v>33</v>
      </c>
      <c r="W1604">
        <v>0</v>
      </c>
      <c r="X1604">
        <v>33</v>
      </c>
      <c r="Y1604">
        <v>1</v>
      </c>
      <c r="Z1604">
        <v>0</v>
      </c>
      <c r="AA1604">
        <v>1</v>
      </c>
      <c r="AB1604" t="s">
        <v>36</v>
      </c>
      <c r="AC1604">
        <v>33</v>
      </c>
      <c r="AD1604">
        <v>3.14</v>
      </c>
    </row>
    <row r="1605" spans="1:30" x14ac:dyDescent="0.25">
      <c r="A1605" s="1">
        <v>44784.535497685189</v>
      </c>
      <c r="B1605" s="1">
        <v>44784.53465277778</v>
      </c>
      <c r="C1605">
        <v>151706</v>
      </c>
      <c r="D1605" t="s">
        <v>42</v>
      </c>
      <c r="E1605" t="s">
        <v>31</v>
      </c>
      <c r="F1605">
        <v>7</v>
      </c>
      <c r="G1605">
        <v>43.004080000000002</v>
      </c>
      <c r="H1605">
        <v>-71.177040000000005</v>
      </c>
      <c r="I1605">
        <v>194</v>
      </c>
      <c r="J1605">
        <v>90</v>
      </c>
      <c r="K1605">
        <v>0</v>
      </c>
      <c r="L1605" s="1">
        <v>44784.535451388889</v>
      </c>
      <c r="M1605">
        <v>6.3</v>
      </c>
      <c r="N1605">
        <v>0</v>
      </c>
      <c r="O1605">
        <v>6.3</v>
      </c>
      <c r="P1605">
        <v>200</v>
      </c>
      <c r="Q1605">
        <v>0.2</v>
      </c>
      <c r="R1605">
        <v>0</v>
      </c>
      <c r="S1605">
        <v>0.1</v>
      </c>
      <c r="T1605" t="s">
        <v>43</v>
      </c>
      <c r="V1605">
        <v>40</v>
      </c>
      <c r="W1605">
        <v>0</v>
      </c>
      <c r="X1605">
        <v>40</v>
      </c>
      <c r="Y1605">
        <v>3</v>
      </c>
      <c r="Z1605">
        <v>0</v>
      </c>
      <c r="AA1605">
        <v>3</v>
      </c>
      <c r="AB1605" t="s">
        <v>36</v>
      </c>
      <c r="AC1605">
        <v>40</v>
      </c>
    </row>
    <row r="1606" spans="1:30" x14ac:dyDescent="0.25">
      <c r="A1606" s="1">
        <v>44784.535497685189</v>
      </c>
      <c r="B1606" s="1">
        <v>44784.534409722219</v>
      </c>
      <c r="C1606">
        <v>12212</v>
      </c>
      <c r="D1606" t="s">
        <v>44</v>
      </c>
      <c r="E1606" t="s">
        <v>35</v>
      </c>
      <c r="F1606">
        <v>7</v>
      </c>
      <c r="G1606">
        <v>42.930529999999997</v>
      </c>
      <c r="H1606">
        <v>-72.272350000000003</v>
      </c>
      <c r="I1606">
        <v>476</v>
      </c>
      <c r="J1606">
        <v>89</v>
      </c>
      <c r="K1606">
        <v>0</v>
      </c>
      <c r="L1606" s="1">
        <v>44784.535451388889</v>
      </c>
      <c r="M1606">
        <v>4.5</v>
      </c>
      <c r="N1606">
        <v>3.8</v>
      </c>
      <c r="O1606">
        <v>0.7</v>
      </c>
      <c r="P1606">
        <v>17</v>
      </c>
      <c r="Q1606">
        <v>0.1</v>
      </c>
      <c r="R1606">
        <v>0.2</v>
      </c>
      <c r="S1606">
        <v>0.15</v>
      </c>
      <c r="T1606" t="s">
        <v>33</v>
      </c>
      <c r="U1606">
        <v>4.1500000000000004</v>
      </c>
      <c r="V1606">
        <v>33</v>
      </c>
      <c r="W1606">
        <v>0</v>
      </c>
      <c r="X1606">
        <v>33</v>
      </c>
      <c r="Y1606">
        <v>3</v>
      </c>
      <c r="Z1606">
        <v>0</v>
      </c>
      <c r="AA1606">
        <v>3</v>
      </c>
      <c r="AB1606" t="s">
        <v>36</v>
      </c>
      <c r="AC1606">
        <v>33</v>
      </c>
      <c r="AD1606">
        <v>2.38</v>
      </c>
    </row>
    <row r="1607" spans="1:30" x14ac:dyDescent="0.25">
      <c r="A1607" s="1">
        <v>44784.535509259258</v>
      </c>
      <c r="B1607" s="1">
        <v>44769.376736111109</v>
      </c>
      <c r="C1607">
        <v>12178</v>
      </c>
      <c r="D1607" t="s">
        <v>45</v>
      </c>
      <c r="E1607" t="s">
        <v>35</v>
      </c>
      <c r="F1607">
        <v>7</v>
      </c>
      <c r="G1607">
        <v>42.899563000000001</v>
      </c>
      <c r="H1607">
        <v>-71.464650000000006</v>
      </c>
      <c r="I1607">
        <v>301</v>
      </c>
      <c r="J1607">
        <v>85</v>
      </c>
      <c r="K1607">
        <v>0</v>
      </c>
      <c r="L1607" s="1">
        <v>44784.535451388889</v>
      </c>
      <c r="M1607">
        <v>3.8</v>
      </c>
      <c r="N1607">
        <v>3.1</v>
      </c>
      <c r="O1607">
        <v>0.7</v>
      </c>
      <c r="P1607">
        <v>20</v>
      </c>
      <c r="Q1607">
        <v>0</v>
      </c>
      <c r="R1607">
        <v>0</v>
      </c>
      <c r="S1607">
        <v>0</v>
      </c>
      <c r="T1607" t="s">
        <v>32</v>
      </c>
      <c r="V1607">
        <v>35</v>
      </c>
      <c r="W1607">
        <v>0</v>
      </c>
      <c r="X1607">
        <v>35</v>
      </c>
      <c r="Y1607">
        <v>0</v>
      </c>
      <c r="Z1607">
        <v>0</v>
      </c>
      <c r="AA1607">
        <v>0</v>
      </c>
      <c r="AB1607" t="s">
        <v>36</v>
      </c>
      <c r="AC1607">
        <v>35</v>
      </c>
    </row>
    <row r="1608" spans="1:30" x14ac:dyDescent="0.25">
      <c r="A1608" s="1">
        <v>44784.535509259258</v>
      </c>
      <c r="B1608" s="1">
        <v>44784.533703703702</v>
      </c>
      <c r="C1608">
        <v>75981</v>
      </c>
      <c r="D1608" t="s">
        <v>46</v>
      </c>
      <c r="E1608" t="s">
        <v>35</v>
      </c>
      <c r="F1608">
        <v>7</v>
      </c>
      <c r="G1608">
        <v>42.97</v>
      </c>
      <c r="H1608">
        <v>-71.06</v>
      </c>
      <c r="I1608">
        <v>136</v>
      </c>
      <c r="J1608">
        <v>85</v>
      </c>
      <c r="K1608">
        <v>0</v>
      </c>
      <c r="L1608" s="1">
        <v>44784.535451388889</v>
      </c>
      <c r="M1608">
        <v>9.4</v>
      </c>
      <c r="N1608">
        <v>9.1</v>
      </c>
      <c r="O1608">
        <v>0.3</v>
      </c>
      <c r="P1608">
        <v>3</v>
      </c>
      <c r="Q1608">
        <v>0.1</v>
      </c>
      <c r="R1608">
        <v>0.1</v>
      </c>
      <c r="S1608">
        <v>0.1</v>
      </c>
      <c r="T1608" t="s">
        <v>33</v>
      </c>
      <c r="U1608">
        <v>9.25</v>
      </c>
      <c r="V1608">
        <v>48</v>
      </c>
      <c r="W1608">
        <v>0</v>
      </c>
      <c r="X1608">
        <v>48</v>
      </c>
      <c r="Y1608">
        <v>2</v>
      </c>
      <c r="Z1608">
        <v>0</v>
      </c>
      <c r="AA1608">
        <v>2</v>
      </c>
      <c r="AB1608" t="s">
        <v>36</v>
      </c>
      <c r="AC1608">
        <v>48</v>
      </c>
      <c r="AD1608">
        <v>4.4400000000000004</v>
      </c>
    </row>
    <row r="1609" spans="1:30" x14ac:dyDescent="0.25">
      <c r="A1609" s="1">
        <v>44784.535509259258</v>
      </c>
      <c r="B1609" s="1">
        <v>44784.534247685187</v>
      </c>
      <c r="C1609">
        <v>115703</v>
      </c>
      <c r="D1609" t="s">
        <v>47</v>
      </c>
      <c r="E1609" t="s">
        <v>35</v>
      </c>
      <c r="F1609">
        <v>7</v>
      </c>
      <c r="G1609">
        <v>43.953625000000002</v>
      </c>
      <c r="H1609">
        <v>-71.508859999999999</v>
      </c>
      <c r="I1609">
        <v>1493</v>
      </c>
      <c r="J1609">
        <v>83</v>
      </c>
      <c r="K1609">
        <v>0</v>
      </c>
      <c r="L1609" s="1">
        <v>44784.535451388889</v>
      </c>
      <c r="M1609">
        <v>0</v>
      </c>
      <c r="N1609">
        <v>311.39999999999998</v>
      </c>
      <c r="O1609">
        <v>311.39999999999998</v>
      </c>
      <c r="P1609">
        <v>200</v>
      </c>
      <c r="Q1609">
        <v>0</v>
      </c>
      <c r="R1609">
        <v>0</v>
      </c>
      <c r="S1609">
        <v>0</v>
      </c>
      <c r="T1609" t="s">
        <v>48</v>
      </c>
      <c r="V1609">
        <v>36</v>
      </c>
      <c r="W1609">
        <v>0</v>
      </c>
      <c r="X1609">
        <v>36</v>
      </c>
      <c r="Y1609">
        <v>2</v>
      </c>
      <c r="Z1609">
        <v>0</v>
      </c>
      <c r="AA1609">
        <v>2</v>
      </c>
      <c r="AB1609" t="s">
        <v>36</v>
      </c>
      <c r="AC1609">
        <v>36</v>
      </c>
    </row>
    <row r="1610" spans="1:30" x14ac:dyDescent="0.25">
      <c r="A1610" s="1">
        <v>44784.535520833335</v>
      </c>
      <c r="B1610" s="1">
        <v>44784.53365740741</v>
      </c>
      <c r="C1610">
        <v>12050</v>
      </c>
      <c r="D1610" t="s">
        <v>49</v>
      </c>
      <c r="E1610" t="s">
        <v>35</v>
      </c>
      <c r="F1610">
        <v>7</v>
      </c>
      <c r="G1610">
        <v>44.220573000000002</v>
      </c>
      <c r="H1610">
        <v>-71.732315</v>
      </c>
      <c r="I1610">
        <v>999</v>
      </c>
      <c r="J1610">
        <v>92</v>
      </c>
      <c r="K1610">
        <v>0</v>
      </c>
      <c r="L1610" s="1">
        <v>44784.535451388889</v>
      </c>
      <c r="M1610">
        <v>3</v>
      </c>
      <c r="N1610">
        <v>2.6</v>
      </c>
      <c r="O1610">
        <v>0.4</v>
      </c>
      <c r="P1610">
        <v>14</v>
      </c>
      <c r="Q1610">
        <v>0</v>
      </c>
      <c r="R1610">
        <v>0.1</v>
      </c>
      <c r="S1610">
        <v>0.05</v>
      </c>
      <c r="T1610" t="s">
        <v>33</v>
      </c>
      <c r="U1610">
        <v>2.8</v>
      </c>
      <c r="V1610">
        <v>29</v>
      </c>
      <c r="W1610">
        <v>0</v>
      </c>
      <c r="X1610">
        <v>29</v>
      </c>
      <c r="Y1610">
        <v>1</v>
      </c>
      <c r="Z1610">
        <v>0</v>
      </c>
      <c r="AA1610">
        <v>1</v>
      </c>
      <c r="AB1610" t="s">
        <v>36</v>
      </c>
      <c r="AC1610">
        <v>29</v>
      </c>
      <c r="AD1610">
        <v>1.84</v>
      </c>
    </row>
    <row r="1611" spans="1:30" x14ac:dyDescent="0.25">
      <c r="A1611" s="1">
        <v>44784.535520833335</v>
      </c>
      <c r="B1611" s="1">
        <v>44784.533773148149</v>
      </c>
      <c r="C1611">
        <v>23443</v>
      </c>
      <c r="D1611" t="s">
        <v>50</v>
      </c>
      <c r="E1611" t="s">
        <v>35</v>
      </c>
      <c r="F1611">
        <v>7</v>
      </c>
      <c r="G1611">
        <v>43.556139999999999</v>
      </c>
      <c r="H1611">
        <v>-72.370990000000006</v>
      </c>
      <c r="I1611">
        <v>523</v>
      </c>
      <c r="J1611">
        <v>101</v>
      </c>
      <c r="K1611">
        <v>0</v>
      </c>
      <c r="L1611" s="1">
        <v>44784.535451388889</v>
      </c>
      <c r="M1611">
        <v>2.4</v>
      </c>
      <c r="N1611">
        <v>2.2000000000000002</v>
      </c>
      <c r="O1611">
        <v>0.2</v>
      </c>
      <c r="P1611">
        <v>9</v>
      </c>
      <c r="Q1611">
        <v>0.1</v>
      </c>
      <c r="R1611">
        <v>0.1</v>
      </c>
      <c r="S1611">
        <v>0.1</v>
      </c>
      <c r="T1611" t="s">
        <v>33</v>
      </c>
      <c r="U1611">
        <v>2.2999999999999998</v>
      </c>
      <c r="V1611">
        <v>23</v>
      </c>
      <c r="W1611">
        <v>0</v>
      </c>
      <c r="X1611">
        <v>23</v>
      </c>
      <c r="Y1611">
        <v>1</v>
      </c>
      <c r="Z1611">
        <v>0</v>
      </c>
      <c r="AA1611">
        <v>1</v>
      </c>
      <c r="AB1611" t="s">
        <v>36</v>
      </c>
      <c r="AC1611">
        <v>23</v>
      </c>
      <c r="AD1611">
        <v>1.95</v>
      </c>
    </row>
    <row r="1612" spans="1:30" x14ac:dyDescent="0.25">
      <c r="A1612" s="1">
        <v>44784.535520833335</v>
      </c>
      <c r="B1612" s="1">
        <v>44784.533888888887</v>
      </c>
      <c r="C1612">
        <v>58135</v>
      </c>
      <c r="D1612" t="s">
        <v>51</v>
      </c>
      <c r="E1612" t="s">
        <v>35</v>
      </c>
      <c r="F1612">
        <v>7</v>
      </c>
      <c r="G1612">
        <v>42.883873000000001</v>
      </c>
      <c r="H1612">
        <v>-71.972915999999998</v>
      </c>
      <c r="I1612">
        <v>808</v>
      </c>
      <c r="J1612">
        <v>87</v>
      </c>
      <c r="K1612">
        <v>0</v>
      </c>
      <c r="L1612" s="1">
        <v>44784.535451388889</v>
      </c>
      <c r="M1612">
        <v>2.8</v>
      </c>
      <c r="N1612">
        <v>1.8</v>
      </c>
      <c r="O1612">
        <v>1</v>
      </c>
      <c r="P1612">
        <v>43</v>
      </c>
      <c r="Q1612">
        <v>0.1</v>
      </c>
      <c r="R1612">
        <v>0</v>
      </c>
      <c r="S1612">
        <v>0.05</v>
      </c>
      <c r="T1612" t="s">
        <v>33</v>
      </c>
      <c r="U1612">
        <v>2.2999999999999998</v>
      </c>
      <c r="V1612">
        <v>38</v>
      </c>
      <c r="W1612">
        <v>0</v>
      </c>
      <c r="X1612">
        <v>38</v>
      </c>
      <c r="Y1612">
        <v>3</v>
      </c>
      <c r="Z1612">
        <v>0</v>
      </c>
      <c r="AA1612">
        <v>3</v>
      </c>
      <c r="AB1612" t="s">
        <v>36</v>
      </c>
      <c r="AC1612">
        <v>38</v>
      </c>
      <c r="AD1612">
        <v>0.9</v>
      </c>
    </row>
    <row r="1613" spans="1:30" x14ac:dyDescent="0.25">
      <c r="A1613" s="1">
        <v>44784.535520833335</v>
      </c>
      <c r="B1613" s="1">
        <v>44784.533900462964</v>
      </c>
      <c r="C1613">
        <v>148555</v>
      </c>
      <c r="D1613" t="s">
        <v>52</v>
      </c>
      <c r="E1613" t="s">
        <v>53</v>
      </c>
      <c r="F1613">
        <v>7</v>
      </c>
      <c r="G1613">
        <v>42.904949999999999</v>
      </c>
      <c r="H1613">
        <v>-71.386764999999997</v>
      </c>
      <c r="I1613">
        <v>363</v>
      </c>
      <c r="J1613">
        <v>0</v>
      </c>
      <c r="K1613">
        <v>0</v>
      </c>
      <c r="L1613" s="1">
        <v>44784.535451388889</v>
      </c>
      <c r="M1613">
        <v>1.4</v>
      </c>
      <c r="N1613">
        <v>1.9</v>
      </c>
      <c r="O1613">
        <v>0.5</v>
      </c>
      <c r="P1613">
        <v>30</v>
      </c>
      <c r="Q1613">
        <v>0.1</v>
      </c>
      <c r="R1613">
        <v>0.1</v>
      </c>
      <c r="S1613">
        <v>0.1</v>
      </c>
      <c r="T1613" t="s">
        <v>33</v>
      </c>
      <c r="U1613">
        <v>1.65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 t="s">
        <v>38</v>
      </c>
    </row>
    <row r="1614" spans="1:30" x14ac:dyDescent="0.25">
      <c r="A1614" s="1">
        <v>44784.535532407404</v>
      </c>
      <c r="B1614" s="1">
        <v>44784.534780092596</v>
      </c>
      <c r="C1614">
        <v>146644</v>
      </c>
      <c r="D1614" t="s">
        <v>54</v>
      </c>
      <c r="E1614" t="s">
        <v>53</v>
      </c>
      <c r="F1614">
        <v>7</v>
      </c>
      <c r="G1614">
        <v>43.06015</v>
      </c>
      <c r="H1614">
        <v>-70.758930000000007</v>
      </c>
      <c r="I1614">
        <v>35</v>
      </c>
      <c r="J1614">
        <v>81</v>
      </c>
      <c r="K1614">
        <v>83</v>
      </c>
      <c r="L1614" s="1">
        <v>44784.535451388889</v>
      </c>
      <c r="M1614">
        <v>14.6</v>
      </c>
      <c r="N1614">
        <v>14.3</v>
      </c>
      <c r="O1614">
        <v>0.3</v>
      </c>
      <c r="P1614">
        <v>2</v>
      </c>
      <c r="Q1614">
        <v>0.5</v>
      </c>
      <c r="R1614">
        <v>0.1</v>
      </c>
      <c r="S1614">
        <v>0.3</v>
      </c>
      <c r="T1614" t="s">
        <v>33</v>
      </c>
      <c r="U1614">
        <v>14.45</v>
      </c>
      <c r="V1614">
        <v>49</v>
      </c>
      <c r="W1614">
        <v>54</v>
      </c>
      <c r="X1614">
        <v>5</v>
      </c>
      <c r="Y1614">
        <v>1</v>
      </c>
      <c r="Z1614">
        <v>1</v>
      </c>
      <c r="AA1614">
        <v>0</v>
      </c>
      <c r="AB1614" t="s">
        <v>33</v>
      </c>
      <c r="AC1614">
        <v>51.5</v>
      </c>
      <c r="AD1614">
        <v>7.37</v>
      </c>
    </row>
    <row r="1615" spans="1:30" x14ac:dyDescent="0.25">
      <c r="A1615" s="1">
        <v>44784.535532407404</v>
      </c>
      <c r="B1615" s="1">
        <v>43755.283437500002</v>
      </c>
      <c r="C1615">
        <v>12188</v>
      </c>
      <c r="D1615" t="s">
        <v>55</v>
      </c>
      <c r="E1615" t="s">
        <v>35</v>
      </c>
      <c r="F1615">
        <v>4.1100000000000003</v>
      </c>
      <c r="G1615">
        <v>42.927050000000001</v>
      </c>
      <c r="H1615">
        <v>-72.279610000000005</v>
      </c>
      <c r="I1615">
        <v>475</v>
      </c>
      <c r="J1615">
        <v>95</v>
      </c>
      <c r="K1615">
        <v>0</v>
      </c>
      <c r="L1615" s="1">
        <v>44784.535451388889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 t="s">
        <v>32</v>
      </c>
      <c r="V1615">
        <v>77</v>
      </c>
      <c r="W1615">
        <v>0</v>
      </c>
      <c r="X1615">
        <v>77</v>
      </c>
      <c r="Y1615">
        <v>0</v>
      </c>
      <c r="Z1615">
        <v>0</v>
      </c>
      <c r="AA1615">
        <v>0</v>
      </c>
      <c r="AB1615" t="s">
        <v>36</v>
      </c>
      <c r="AC1615">
        <v>77</v>
      </c>
    </row>
    <row r="1616" spans="1:30" x14ac:dyDescent="0.25">
      <c r="A1616" s="1">
        <v>44784.535532407404</v>
      </c>
      <c r="B1616" s="1">
        <v>44784.533761574072</v>
      </c>
      <c r="C1616">
        <v>1224</v>
      </c>
      <c r="D1616" t="s">
        <v>56</v>
      </c>
      <c r="E1616" t="s">
        <v>35</v>
      </c>
      <c r="F1616" t="s">
        <v>57</v>
      </c>
      <c r="G1616">
        <v>42.938034000000002</v>
      </c>
      <c r="H1616">
        <v>-72.259299999999996</v>
      </c>
      <c r="I1616">
        <v>792</v>
      </c>
      <c r="J1616">
        <v>88</v>
      </c>
      <c r="K1616">
        <v>0</v>
      </c>
      <c r="L1616" s="1">
        <v>44784.535451388889</v>
      </c>
      <c r="M1616">
        <v>4.5</v>
      </c>
      <c r="N1616">
        <v>0</v>
      </c>
      <c r="O1616">
        <v>4.5</v>
      </c>
      <c r="P1616">
        <v>200</v>
      </c>
      <c r="Q1616">
        <v>0.1</v>
      </c>
      <c r="R1616">
        <v>0</v>
      </c>
      <c r="S1616">
        <v>0.05</v>
      </c>
      <c r="T1616" t="s">
        <v>43</v>
      </c>
      <c r="V1616">
        <v>40</v>
      </c>
      <c r="W1616">
        <v>0</v>
      </c>
      <c r="X1616">
        <v>40</v>
      </c>
      <c r="Y1616">
        <v>2</v>
      </c>
      <c r="Z1616">
        <v>0</v>
      </c>
      <c r="AA1616">
        <v>2</v>
      </c>
      <c r="AB1616" t="s">
        <v>36</v>
      </c>
      <c r="AC1616">
        <v>40</v>
      </c>
    </row>
    <row r="1617" spans="1:30" x14ac:dyDescent="0.25">
      <c r="A1617" s="1">
        <v>44784.535543981481</v>
      </c>
      <c r="B1617" s="1">
        <v>44784.534594907411</v>
      </c>
      <c r="C1617">
        <v>1202</v>
      </c>
      <c r="D1617" t="s">
        <v>58</v>
      </c>
      <c r="E1617" t="s">
        <v>35</v>
      </c>
      <c r="F1617" t="s">
        <v>57</v>
      </c>
      <c r="G1617">
        <v>42.936554000000001</v>
      </c>
      <c r="H1617">
        <v>-72.271019999999993</v>
      </c>
      <c r="I1617">
        <v>488</v>
      </c>
      <c r="J1617">
        <v>0</v>
      </c>
      <c r="K1617">
        <v>0</v>
      </c>
      <c r="L1617" s="1">
        <v>44784.535451388889</v>
      </c>
      <c r="M1617">
        <v>4.8</v>
      </c>
      <c r="N1617">
        <v>4.2</v>
      </c>
      <c r="O1617">
        <v>0.6</v>
      </c>
      <c r="P1617">
        <v>13</v>
      </c>
      <c r="Q1617">
        <v>0.1</v>
      </c>
      <c r="R1617">
        <v>0.1</v>
      </c>
      <c r="S1617">
        <v>0.1</v>
      </c>
      <c r="T1617" t="s">
        <v>33</v>
      </c>
      <c r="U1617">
        <v>4.5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 t="s">
        <v>38</v>
      </c>
    </row>
    <row r="1618" spans="1:30" x14ac:dyDescent="0.25">
      <c r="A1618" s="1">
        <v>44784.535543981481</v>
      </c>
      <c r="B1618" s="1">
        <v>44612.080023148148</v>
      </c>
      <c r="C1618">
        <v>25985</v>
      </c>
      <c r="D1618" t="s">
        <v>59</v>
      </c>
      <c r="E1618" t="s">
        <v>35</v>
      </c>
      <c r="F1618">
        <v>6.01</v>
      </c>
      <c r="G1618">
        <v>42.927326000000001</v>
      </c>
      <c r="H1618">
        <v>-72.279979999999995</v>
      </c>
      <c r="I1618">
        <v>477</v>
      </c>
      <c r="J1618">
        <v>78</v>
      </c>
      <c r="K1618">
        <v>0</v>
      </c>
      <c r="L1618" s="1">
        <v>44784.535451388889</v>
      </c>
      <c r="M1618">
        <v>1.1000000000000001</v>
      </c>
      <c r="N1618">
        <v>1</v>
      </c>
      <c r="O1618">
        <v>0.1</v>
      </c>
      <c r="P1618">
        <v>10</v>
      </c>
      <c r="Q1618">
        <v>0</v>
      </c>
      <c r="R1618">
        <v>0</v>
      </c>
      <c r="S1618">
        <v>0</v>
      </c>
      <c r="T1618" t="s">
        <v>32</v>
      </c>
      <c r="V1618">
        <v>22</v>
      </c>
      <c r="W1618">
        <v>0</v>
      </c>
      <c r="X1618">
        <v>22</v>
      </c>
      <c r="Y1618">
        <v>0</v>
      </c>
      <c r="Z1618">
        <v>0</v>
      </c>
      <c r="AA1618">
        <v>0</v>
      </c>
      <c r="AB1618" t="s">
        <v>36</v>
      </c>
      <c r="AC1618">
        <v>22</v>
      </c>
    </row>
    <row r="1619" spans="1:30" x14ac:dyDescent="0.25">
      <c r="A1619" s="1">
        <v>44784.542407407411</v>
      </c>
      <c r="B1619" s="1">
        <v>44775.701319444444</v>
      </c>
      <c r="C1619">
        <v>151708</v>
      </c>
      <c r="D1619" t="s">
        <v>30</v>
      </c>
      <c r="E1619" t="s">
        <v>31</v>
      </c>
      <c r="F1619">
        <v>7</v>
      </c>
      <c r="G1619">
        <v>43.192042999999998</v>
      </c>
      <c r="H1619">
        <v>-71.541579999999996</v>
      </c>
      <c r="I1619">
        <v>291</v>
      </c>
      <c r="J1619">
        <v>93</v>
      </c>
      <c r="K1619">
        <v>94</v>
      </c>
      <c r="L1619" s="1">
        <v>44784.542395833334</v>
      </c>
      <c r="M1619">
        <v>7.9</v>
      </c>
      <c r="N1619">
        <v>7.6</v>
      </c>
      <c r="O1619">
        <v>0.3</v>
      </c>
      <c r="P1619">
        <v>4</v>
      </c>
      <c r="Q1619">
        <v>0</v>
      </c>
      <c r="R1619">
        <v>0</v>
      </c>
      <c r="S1619">
        <v>0</v>
      </c>
      <c r="T1619" t="s">
        <v>32</v>
      </c>
      <c r="V1619">
        <v>42</v>
      </c>
      <c r="W1619">
        <v>41</v>
      </c>
      <c r="X1619">
        <v>1</v>
      </c>
      <c r="Y1619">
        <v>0</v>
      </c>
      <c r="Z1619">
        <v>0</v>
      </c>
      <c r="AA1619">
        <v>0</v>
      </c>
      <c r="AB1619" t="s">
        <v>33</v>
      </c>
      <c r="AC1619">
        <v>41.5</v>
      </c>
    </row>
    <row r="1620" spans="1:30" x14ac:dyDescent="0.25">
      <c r="A1620" s="1">
        <v>44784.54241898148</v>
      </c>
      <c r="B1620" s="1">
        <v>44784.540752314817</v>
      </c>
      <c r="C1620">
        <v>143456</v>
      </c>
      <c r="D1620" t="s">
        <v>34</v>
      </c>
      <c r="E1620" t="s">
        <v>35</v>
      </c>
      <c r="F1620">
        <v>7</v>
      </c>
      <c r="G1620">
        <v>43.08963</v>
      </c>
      <c r="H1620">
        <v>-71.502440000000007</v>
      </c>
      <c r="I1620">
        <v>619</v>
      </c>
      <c r="J1620">
        <v>84</v>
      </c>
      <c r="K1620">
        <v>0</v>
      </c>
      <c r="L1620" s="1">
        <v>44784.542395833334</v>
      </c>
      <c r="M1620">
        <v>2.4</v>
      </c>
      <c r="N1620">
        <v>3</v>
      </c>
      <c r="O1620">
        <v>0.6</v>
      </c>
      <c r="P1620">
        <v>22</v>
      </c>
      <c r="Q1620">
        <v>0.2</v>
      </c>
      <c r="R1620">
        <v>0.1</v>
      </c>
      <c r="S1620">
        <v>0.15</v>
      </c>
      <c r="T1620" t="s">
        <v>33</v>
      </c>
      <c r="U1620">
        <v>2.7</v>
      </c>
      <c r="V1620">
        <v>44</v>
      </c>
      <c r="W1620">
        <v>0</v>
      </c>
      <c r="X1620">
        <v>44</v>
      </c>
      <c r="Y1620">
        <v>3</v>
      </c>
      <c r="Z1620">
        <v>0</v>
      </c>
      <c r="AA1620">
        <v>3</v>
      </c>
      <c r="AB1620" t="s">
        <v>36</v>
      </c>
      <c r="AC1620">
        <v>44</v>
      </c>
      <c r="AD1620">
        <v>0.73</v>
      </c>
    </row>
    <row r="1621" spans="1:30" x14ac:dyDescent="0.25">
      <c r="A1621" s="1">
        <v>44784.54241898148</v>
      </c>
      <c r="B1621" s="1">
        <v>44784.540914351855</v>
      </c>
      <c r="C1621">
        <v>151702</v>
      </c>
      <c r="D1621" t="s">
        <v>37</v>
      </c>
      <c r="E1621" t="s">
        <v>31</v>
      </c>
      <c r="F1621">
        <v>7</v>
      </c>
      <c r="G1621">
        <v>43.118609999999997</v>
      </c>
      <c r="H1621">
        <v>-71.61618</v>
      </c>
      <c r="I1621">
        <v>885</v>
      </c>
      <c r="J1621">
        <v>0</v>
      </c>
      <c r="K1621">
        <v>0</v>
      </c>
      <c r="L1621" s="1">
        <v>44784.542395833334</v>
      </c>
      <c r="M1621">
        <v>3.2</v>
      </c>
      <c r="N1621">
        <v>2.9</v>
      </c>
      <c r="O1621">
        <v>0.3</v>
      </c>
      <c r="P1621">
        <v>10</v>
      </c>
      <c r="Q1621">
        <v>0.1</v>
      </c>
      <c r="R1621">
        <v>0.2</v>
      </c>
      <c r="S1621">
        <v>0.15</v>
      </c>
      <c r="T1621" t="s">
        <v>33</v>
      </c>
      <c r="U1621">
        <v>3.05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 t="s">
        <v>38</v>
      </c>
    </row>
    <row r="1622" spans="1:30" x14ac:dyDescent="0.25">
      <c r="A1622" s="1">
        <v>44784.54241898148</v>
      </c>
      <c r="B1622" s="1">
        <v>44784.540810185186</v>
      </c>
      <c r="C1622">
        <v>151700</v>
      </c>
      <c r="D1622" t="s">
        <v>30</v>
      </c>
      <c r="E1622" t="s">
        <v>31</v>
      </c>
      <c r="F1622">
        <v>7</v>
      </c>
      <c r="G1622">
        <v>43.19211</v>
      </c>
      <c r="H1622">
        <v>-71.541460000000001</v>
      </c>
      <c r="I1622">
        <v>286</v>
      </c>
      <c r="J1622">
        <v>83</v>
      </c>
      <c r="K1622">
        <v>0</v>
      </c>
      <c r="L1622" s="1">
        <v>44784.542395833334</v>
      </c>
      <c r="M1622">
        <v>3.7</v>
      </c>
      <c r="N1622">
        <v>4.2</v>
      </c>
      <c r="O1622">
        <v>0.5</v>
      </c>
      <c r="P1622">
        <v>13</v>
      </c>
      <c r="Q1622">
        <v>0</v>
      </c>
      <c r="R1622">
        <v>0.1</v>
      </c>
      <c r="S1622">
        <v>0.05</v>
      </c>
      <c r="T1622" t="s">
        <v>33</v>
      </c>
      <c r="U1622">
        <v>3.95</v>
      </c>
      <c r="V1622">
        <v>47</v>
      </c>
      <c r="W1622">
        <v>0</v>
      </c>
      <c r="X1622">
        <v>47</v>
      </c>
      <c r="Y1622">
        <v>0</v>
      </c>
      <c r="Z1622">
        <v>0</v>
      </c>
      <c r="AA1622">
        <v>0</v>
      </c>
      <c r="AB1622" t="s">
        <v>36</v>
      </c>
      <c r="AC1622">
        <v>47</v>
      </c>
      <c r="AD1622">
        <v>1.28</v>
      </c>
    </row>
    <row r="1623" spans="1:30" x14ac:dyDescent="0.25">
      <c r="A1623" s="1">
        <v>44784.542430555557</v>
      </c>
      <c r="B1623" s="1">
        <v>44784.541238425925</v>
      </c>
      <c r="C1623">
        <v>135984</v>
      </c>
      <c r="D1623" t="s">
        <v>39</v>
      </c>
      <c r="E1623" t="s">
        <v>31</v>
      </c>
      <c r="F1623">
        <v>7</v>
      </c>
      <c r="G1623">
        <v>43.565852999999997</v>
      </c>
      <c r="H1623">
        <v>-71.496129999999994</v>
      </c>
      <c r="I1623">
        <v>708</v>
      </c>
      <c r="J1623">
        <v>87</v>
      </c>
      <c r="K1623">
        <v>0</v>
      </c>
      <c r="L1623" s="1">
        <v>44784.542395833334</v>
      </c>
      <c r="M1623">
        <v>2.1</v>
      </c>
      <c r="N1623">
        <v>1.4</v>
      </c>
      <c r="O1623">
        <v>0.7</v>
      </c>
      <c r="P1623">
        <v>40</v>
      </c>
      <c r="Q1623">
        <v>0.2</v>
      </c>
      <c r="R1623">
        <v>0.3</v>
      </c>
      <c r="S1623">
        <v>0.25</v>
      </c>
      <c r="T1623" t="s">
        <v>33</v>
      </c>
      <c r="U1623">
        <v>1.75</v>
      </c>
      <c r="V1623">
        <v>48</v>
      </c>
      <c r="W1623">
        <v>0</v>
      </c>
      <c r="X1623">
        <v>48</v>
      </c>
      <c r="Y1623">
        <v>1</v>
      </c>
      <c r="Z1623">
        <v>0</v>
      </c>
      <c r="AA1623">
        <v>1</v>
      </c>
      <c r="AB1623" t="s">
        <v>36</v>
      </c>
      <c r="AC1623">
        <v>48</v>
      </c>
      <c r="AD1623">
        <v>-0.13</v>
      </c>
    </row>
    <row r="1624" spans="1:30" x14ac:dyDescent="0.25">
      <c r="A1624" s="1">
        <v>44784.542430555557</v>
      </c>
      <c r="B1624" s="1">
        <v>44780.394780092596</v>
      </c>
      <c r="C1624">
        <v>151712</v>
      </c>
      <c r="D1624" t="s">
        <v>40</v>
      </c>
      <c r="E1624" t="s">
        <v>31</v>
      </c>
      <c r="F1624">
        <v>7</v>
      </c>
      <c r="G1624">
        <v>43.289763999999998</v>
      </c>
      <c r="H1624">
        <v>-71.564260000000004</v>
      </c>
      <c r="I1624">
        <v>370</v>
      </c>
      <c r="J1624">
        <v>86</v>
      </c>
      <c r="K1624">
        <v>0</v>
      </c>
      <c r="L1624" s="1">
        <v>44784.542395833334</v>
      </c>
      <c r="M1624">
        <v>14</v>
      </c>
      <c r="N1624">
        <v>13.2</v>
      </c>
      <c r="O1624">
        <v>0.8</v>
      </c>
      <c r="P1624">
        <v>6</v>
      </c>
      <c r="Q1624">
        <v>0</v>
      </c>
      <c r="R1624">
        <v>0</v>
      </c>
      <c r="S1624">
        <v>0</v>
      </c>
      <c r="T1624" t="s">
        <v>32</v>
      </c>
      <c r="V1624">
        <v>59</v>
      </c>
      <c r="W1624">
        <v>0</v>
      </c>
      <c r="X1624">
        <v>59</v>
      </c>
      <c r="Y1624">
        <v>0</v>
      </c>
      <c r="Z1624">
        <v>0</v>
      </c>
      <c r="AA1624">
        <v>0</v>
      </c>
      <c r="AB1624" t="s">
        <v>36</v>
      </c>
      <c r="AC1624">
        <v>59</v>
      </c>
    </row>
    <row r="1625" spans="1:30" x14ac:dyDescent="0.25">
      <c r="A1625" s="1">
        <v>44784.542430555557</v>
      </c>
      <c r="B1625" s="1">
        <v>44784.540555555555</v>
      </c>
      <c r="C1625">
        <v>151710</v>
      </c>
      <c r="D1625" t="s">
        <v>41</v>
      </c>
      <c r="E1625" t="s">
        <v>31</v>
      </c>
      <c r="F1625">
        <v>7</v>
      </c>
      <c r="G1625">
        <v>43.132477000000002</v>
      </c>
      <c r="H1625">
        <v>-71.458374000000006</v>
      </c>
      <c r="I1625">
        <v>230</v>
      </c>
      <c r="J1625">
        <v>94</v>
      </c>
      <c r="K1625">
        <v>0</v>
      </c>
      <c r="L1625" s="1">
        <v>44784.542395833334</v>
      </c>
      <c r="M1625">
        <v>5.2</v>
      </c>
      <c r="N1625">
        <v>4.3</v>
      </c>
      <c r="O1625">
        <v>0.9</v>
      </c>
      <c r="P1625">
        <v>19</v>
      </c>
      <c r="Q1625">
        <v>0.7</v>
      </c>
      <c r="R1625">
        <v>0.6</v>
      </c>
      <c r="S1625">
        <v>0.64999999999999902</v>
      </c>
      <c r="T1625" t="s">
        <v>33</v>
      </c>
      <c r="U1625">
        <v>4.75</v>
      </c>
      <c r="V1625">
        <v>31</v>
      </c>
      <c r="W1625">
        <v>0</v>
      </c>
      <c r="X1625">
        <v>31</v>
      </c>
      <c r="Y1625">
        <v>2</v>
      </c>
      <c r="Z1625">
        <v>0</v>
      </c>
      <c r="AA1625">
        <v>2</v>
      </c>
      <c r="AB1625" t="s">
        <v>36</v>
      </c>
      <c r="AC1625">
        <v>31</v>
      </c>
      <c r="AD1625">
        <v>2.89</v>
      </c>
    </row>
    <row r="1626" spans="1:30" x14ac:dyDescent="0.25">
      <c r="A1626" s="1">
        <v>44784.542442129627</v>
      </c>
      <c r="B1626" s="1">
        <v>44784.541597222225</v>
      </c>
      <c r="C1626">
        <v>151706</v>
      </c>
      <c r="D1626" t="s">
        <v>42</v>
      </c>
      <c r="E1626" t="s">
        <v>31</v>
      </c>
      <c r="F1626">
        <v>7</v>
      </c>
      <c r="G1626">
        <v>43.004080000000002</v>
      </c>
      <c r="H1626">
        <v>-71.177040000000005</v>
      </c>
      <c r="I1626">
        <v>194</v>
      </c>
      <c r="J1626">
        <v>92</v>
      </c>
      <c r="K1626">
        <v>0</v>
      </c>
      <c r="L1626" s="1">
        <v>44784.542395833334</v>
      </c>
      <c r="M1626">
        <v>6</v>
      </c>
      <c r="N1626">
        <v>0</v>
      </c>
      <c r="O1626">
        <v>6</v>
      </c>
      <c r="P1626">
        <v>200</v>
      </c>
      <c r="Q1626">
        <v>0.3</v>
      </c>
      <c r="R1626">
        <v>0</v>
      </c>
      <c r="S1626">
        <v>0.15</v>
      </c>
      <c r="T1626" t="s">
        <v>43</v>
      </c>
      <c r="V1626">
        <v>38</v>
      </c>
      <c r="W1626">
        <v>0</v>
      </c>
      <c r="X1626">
        <v>38</v>
      </c>
      <c r="Y1626">
        <v>2</v>
      </c>
      <c r="Z1626">
        <v>0</v>
      </c>
      <c r="AA1626">
        <v>2</v>
      </c>
      <c r="AB1626" t="s">
        <v>36</v>
      </c>
      <c r="AC1626">
        <v>38</v>
      </c>
    </row>
    <row r="1627" spans="1:30" x14ac:dyDescent="0.25">
      <c r="A1627" s="1">
        <v>44784.542442129627</v>
      </c>
      <c r="B1627" s="1">
        <v>44784.541354166664</v>
      </c>
      <c r="C1627">
        <v>12212</v>
      </c>
      <c r="D1627" t="s">
        <v>44</v>
      </c>
      <c r="E1627" t="s">
        <v>35</v>
      </c>
      <c r="F1627">
        <v>7</v>
      </c>
      <c r="G1627">
        <v>42.930529999999997</v>
      </c>
      <c r="H1627">
        <v>-72.272350000000003</v>
      </c>
      <c r="I1627">
        <v>476</v>
      </c>
      <c r="J1627">
        <v>86</v>
      </c>
      <c r="K1627">
        <v>0</v>
      </c>
      <c r="L1627" s="1">
        <v>44784.542395833334</v>
      </c>
      <c r="M1627">
        <v>4.3</v>
      </c>
      <c r="N1627">
        <v>3.8</v>
      </c>
      <c r="O1627">
        <v>0.5</v>
      </c>
      <c r="P1627">
        <v>12</v>
      </c>
      <c r="Q1627">
        <v>0.2</v>
      </c>
      <c r="R1627">
        <v>0</v>
      </c>
      <c r="S1627">
        <v>0.1</v>
      </c>
      <c r="T1627" t="s">
        <v>33</v>
      </c>
      <c r="U1627">
        <v>4.05</v>
      </c>
      <c r="V1627">
        <v>33</v>
      </c>
      <c r="W1627">
        <v>0</v>
      </c>
      <c r="X1627">
        <v>33</v>
      </c>
      <c r="Y1627">
        <v>0</v>
      </c>
      <c r="Z1627">
        <v>0</v>
      </c>
      <c r="AA1627">
        <v>0</v>
      </c>
      <c r="AB1627" t="s">
        <v>36</v>
      </c>
      <c r="AC1627">
        <v>33</v>
      </c>
      <c r="AD1627">
        <v>2.3199999999999998</v>
      </c>
    </row>
    <row r="1628" spans="1:30" x14ac:dyDescent="0.25">
      <c r="A1628" s="1">
        <v>44784.542442129627</v>
      </c>
      <c r="B1628" s="1">
        <v>44769.376736111109</v>
      </c>
      <c r="C1628">
        <v>12178</v>
      </c>
      <c r="D1628" t="s">
        <v>45</v>
      </c>
      <c r="E1628" t="s">
        <v>35</v>
      </c>
      <c r="F1628">
        <v>7</v>
      </c>
      <c r="G1628">
        <v>42.899563000000001</v>
      </c>
      <c r="H1628">
        <v>-71.464650000000006</v>
      </c>
      <c r="I1628">
        <v>301</v>
      </c>
      <c r="J1628">
        <v>85</v>
      </c>
      <c r="K1628">
        <v>0</v>
      </c>
      <c r="L1628" s="1">
        <v>44784.542395833334</v>
      </c>
      <c r="M1628">
        <v>3.8</v>
      </c>
      <c r="N1628">
        <v>3.1</v>
      </c>
      <c r="O1628">
        <v>0.7</v>
      </c>
      <c r="P1628">
        <v>20</v>
      </c>
      <c r="Q1628">
        <v>0</v>
      </c>
      <c r="R1628">
        <v>0</v>
      </c>
      <c r="S1628">
        <v>0</v>
      </c>
      <c r="T1628" t="s">
        <v>32</v>
      </c>
      <c r="V1628">
        <v>35</v>
      </c>
      <c r="W1628">
        <v>0</v>
      </c>
      <c r="X1628">
        <v>35</v>
      </c>
      <c r="Y1628">
        <v>0</v>
      </c>
      <c r="Z1628">
        <v>0</v>
      </c>
      <c r="AA1628">
        <v>0</v>
      </c>
      <c r="AB1628" t="s">
        <v>36</v>
      </c>
      <c r="AC1628">
        <v>35</v>
      </c>
    </row>
    <row r="1629" spans="1:30" x14ac:dyDescent="0.25">
      <c r="A1629" s="1">
        <v>44784.542453703703</v>
      </c>
      <c r="B1629" s="1">
        <v>44784.540659722225</v>
      </c>
      <c r="C1629">
        <v>75981</v>
      </c>
      <c r="D1629" t="s">
        <v>46</v>
      </c>
      <c r="E1629" t="s">
        <v>35</v>
      </c>
      <c r="F1629">
        <v>7</v>
      </c>
      <c r="G1629">
        <v>42.97</v>
      </c>
      <c r="H1629">
        <v>-71.06</v>
      </c>
      <c r="I1629">
        <v>136</v>
      </c>
      <c r="J1629">
        <v>85</v>
      </c>
      <c r="K1629">
        <v>0</v>
      </c>
      <c r="L1629" s="1">
        <v>44784.542395833334</v>
      </c>
      <c r="M1629">
        <v>9.6</v>
      </c>
      <c r="N1629">
        <v>9.1</v>
      </c>
      <c r="O1629">
        <v>0.5</v>
      </c>
      <c r="P1629">
        <v>5</v>
      </c>
      <c r="Q1629">
        <v>0.2</v>
      </c>
      <c r="R1629">
        <v>0</v>
      </c>
      <c r="S1629">
        <v>0.1</v>
      </c>
      <c r="T1629" t="s">
        <v>33</v>
      </c>
      <c r="U1629">
        <v>9.35</v>
      </c>
      <c r="V1629">
        <v>48</v>
      </c>
      <c r="W1629">
        <v>0</v>
      </c>
      <c r="X1629">
        <v>48</v>
      </c>
      <c r="Y1629">
        <v>0</v>
      </c>
      <c r="Z1629">
        <v>0</v>
      </c>
      <c r="AA1629">
        <v>0</v>
      </c>
      <c r="AB1629" t="s">
        <v>36</v>
      </c>
      <c r="AC1629">
        <v>48</v>
      </c>
      <c r="AD1629">
        <v>4.5</v>
      </c>
    </row>
    <row r="1630" spans="1:30" x14ac:dyDescent="0.25">
      <c r="A1630" s="1">
        <v>44784.542453703703</v>
      </c>
      <c r="B1630" s="1">
        <v>44784.541192129633</v>
      </c>
      <c r="C1630">
        <v>115703</v>
      </c>
      <c r="D1630" t="s">
        <v>47</v>
      </c>
      <c r="E1630" t="s">
        <v>35</v>
      </c>
      <c r="F1630">
        <v>7</v>
      </c>
      <c r="G1630">
        <v>43.953625000000002</v>
      </c>
      <c r="H1630">
        <v>-71.508859999999999</v>
      </c>
      <c r="I1630">
        <v>1493</v>
      </c>
      <c r="J1630">
        <v>84</v>
      </c>
      <c r="K1630">
        <v>0</v>
      </c>
      <c r="L1630" s="1">
        <v>44784.542395833334</v>
      </c>
      <c r="M1630">
        <v>0</v>
      </c>
      <c r="N1630">
        <v>311.39999999999998</v>
      </c>
      <c r="O1630">
        <v>311.39999999999998</v>
      </c>
      <c r="P1630">
        <v>200</v>
      </c>
      <c r="Q1630">
        <v>0</v>
      </c>
      <c r="R1630">
        <v>0</v>
      </c>
      <c r="S1630">
        <v>0</v>
      </c>
      <c r="T1630" t="s">
        <v>48</v>
      </c>
      <c r="V1630">
        <v>35</v>
      </c>
      <c r="W1630">
        <v>0</v>
      </c>
      <c r="X1630">
        <v>35</v>
      </c>
      <c r="Y1630">
        <v>1</v>
      </c>
      <c r="Z1630">
        <v>0</v>
      </c>
      <c r="AA1630">
        <v>1</v>
      </c>
      <c r="AB1630" t="s">
        <v>36</v>
      </c>
      <c r="AC1630">
        <v>35</v>
      </c>
    </row>
    <row r="1631" spans="1:30" x14ac:dyDescent="0.25">
      <c r="A1631" s="1">
        <v>44784.542453703703</v>
      </c>
      <c r="B1631" s="1">
        <v>44784.540613425925</v>
      </c>
      <c r="C1631">
        <v>12050</v>
      </c>
      <c r="D1631" t="s">
        <v>49</v>
      </c>
      <c r="E1631" t="s">
        <v>35</v>
      </c>
      <c r="F1631">
        <v>7</v>
      </c>
      <c r="G1631">
        <v>44.220573000000002</v>
      </c>
      <c r="H1631">
        <v>-71.732315</v>
      </c>
      <c r="I1631">
        <v>999</v>
      </c>
      <c r="J1631">
        <v>90</v>
      </c>
      <c r="K1631">
        <v>0</v>
      </c>
      <c r="L1631" s="1">
        <v>44784.542395833334</v>
      </c>
      <c r="M1631">
        <v>2.8</v>
      </c>
      <c r="N1631">
        <v>2.5</v>
      </c>
      <c r="O1631">
        <v>0.3</v>
      </c>
      <c r="P1631">
        <v>11</v>
      </c>
      <c r="Q1631">
        <v>0.2</v>
      </c>
      <c r="R1631">
        <v>0.1</v>
      </c>
      <c r="S1631">
        <v>0.15</v>
      </c>
      <c r="T1631" t="s">
        <v>33</v>
      </c>
      <c r="U1631">
        <v>2.65</v>
      </c>
      <c r="V1631">
        <v>31</v>
      </c>
      <c r="W1631">
        <v>0</v>
      </c>
      <c r="X1631">
        <v>31</v>
      </c>
      <c r="Y1631">
        <v>2</v>
      </c>
      <c r="Z1631">
        <v>0</v>
      </c>
      <c r="AA1631">
        <v>2</v>
      </c>
      <c r="AB1631" t="s">
        <v>36</v>
      </c>
      <c r="AC1631">
        <v>31</v>
      </c>
      <c r="AD1631">
        <v>1.61</v>
      </c>
    </row>
    <row r="1632" spans="1:30" x14ac:dyDescent="0.25">
      <c r="A1632" s="1">
        <v>44784.54246527778</v>
      </c>
      <c r="B1632" s="1">
        <v>44784.540717592594</v>
      </c>
      <c r="C1632">
        <v>23443</v>
      </c>
      <c r="D1632" t="s">
        <v>50</v>
      </c>
      <c r="E1632" t="s">
        <v>35</v>
      </c>
      <c r="F1632">
        <v>7</v>
      </c>
      <c r="G1632">
        <v>43.556139999999999</v>
      </c>
      <c r="H1632">
        <v>-72.370990000000006</v>
      </c>
      <c r="I1632">
        <v>523</v>
      </c>
      <c r="J1632">
        <v>101</v>
      </c>
      <c r="K1632">
        <v>0</v>
      </c>
      <c r="L1632" s="1">
        <v>44784.542395833334</v>
      </c>
      <c r="M1632">
        <v>2.4</v>
      </c>
      <c r="N1632">
        <v>2.1</v>
      </c>
      <c r="O1632">
        <v>0.3</v>
      </c>
      <c r="P1632">
        <v>13</v>
      </c>
      <c r="Q1632">
        <v>0</v>
      </c>
      <c r="R1632">
        <v>0.1</v>
      </c>
      <c r="S1632">
        <v>0.05</v>
      </c>
      <c r="T1632" t="s">
        <v>33</v>
      </c>
      <c r="U1632">
        <v>2.25</v>
      </c>
      <c r="V1632">
        <v>24</v>
      </c>
      <c r="W1632">
        <v>0</v>
      </c>
      <c r="X1632">
        <v>24</v>
      </c>
      <c r="Y1632">
        <v>1</v>
      </c>
      <c r="Z1632">
        <v>0</v>
      </c>
      <c r="AA1632">
        <v>1</v>
      </c>
      <c r="AB1632" t="s">
        <v>36</v>
      </c>
      <c r="AC1632">
        <v>24</v>
      </c>
      <c r="AD1632">
        <v>1.85</v>
      </c>
    </row>
    <row r="1633" spans="1:30" x14ac:dyDescent="0.25">
      <c r="A1633" s="1">
        <v>44784.54246527778</v>
      </c>
      <c r="B1633" s="1">
        <v>44784.540833333333</v>
      </c>
      <c r="C1633">
        <v>58135</v>
      </c>
      <c r="D1633" t="s">
        <v>51</v>
      </c>
      <c r="E1633" t="s">
        <v>35</v>
      </c>
      <c r="F1633">
        <v>7</v>
      </c>
      <c r="G1633">
        <v>42.883873000000001</v>
      </c>
      <c r="H1633">
        <v>-71.972915999999998</v>
      </c>
      <c r="I1633">
        <v>808</v>
      </c>
      <c r="J1633">
        <v>88</v>
      </c>
      <c r="K1633">
        <v>0</v>
      </c>
      <c r="L1633" s="1">
        <v>44784.542395833334</v>
      </c>
      <c r="M1633">
        <v>2.9</v>
      </c>
      <c r="N1633">
        <v>1.9</v>
      </c>
      <c r="O1633">
        <v>1</v>
      </c>
      <c r="P1633">
        <v>42</v>
      </c>
      <c r="Q1633">
        <v>0.1</v>
      </c>
      <c r="R1633">
        <v>0.1</v>
      </c>
      <c r="S1633">
        <v>0.1</v>
      </c>
      <c r="T1633" t="s">
        <v>33</v>
      </c>
      <c r="U1633">
        <v>2.4</v>
      </c>
      <c r="V1633">
        <v>36</v>
      </c>
      <c r="W1633">
        <v>0</v>
      </c>
      <c r="X1633">
        <v>36</v>
      </c>
      <c r="Y1633">
        <v>2</v>
      </c>
      <c r="Z1633">
        <v>0</v>
      </c>
      <c r="AA1633">
        <v>2</v>
      </c>
      <c r="AB1633" t="s">
        <v>36</v>
      </c>
      <c r="AC1633">
        <v>36</v>
      </c>
      <c r="AD1633">
        <v>1.1000000000000001</v>
      </c>
    </row>
    <row r="1634" spans="1:30" x14ac:dyDescent="0.25">
      <c r="A1634" s="1">
        <v>44784.54246527778</v>
      </c>
      <c r="B1634" s="1">
        <v>44784.540833333333</v>
      </c>
      <c r="C1634">
        <v>148555</v>
      </c>
      <c r="D1634" t="s">
        <v>52</v>
      </c>
      <c r="E1634" t="s">
        <v>53</v>
      </c>
      <c r="F1634">
        <v>7</v>
      </c>
      <c r="G1634">
        <v>42.904949999999999</v>
      </c>
      <c r="H1634">
        <v>-71.386764999999997</v>
      </c>
      <c r="I1634">
        <v>363</v>
      </c>
      <c r="J1634">
        <v>0</v>
      </c>
      <c r="K1634">
        <v>0</v>
      </c>
      <c r="L1634" s="1">
        <v>44784.542395833334</v>
      </c>
      <c r="M1634">
        <v>1.3</v>
      </c>
      <c r="N1634">
        <v>1.6</v>
      </c>
      <c r="O1634">
        <v>0.3</v>
      </c>
      <c r="P1634">
        <v>21</v>
      </c>
      <c r="Q1634">
        <v>0.1</v>
      </c>
      <c r="R1634">
        <v>0.3</v>
      </c>
      <c r="S1634">
        <v>0.2</v>
      </c>
      <c r="T1634" t="s">
        <v>33</v>
      </c>
      <c r="U1634">
        <v>1.45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 t="s">
        <v>38</v>
      </c>
    </row>
    <row r="1635" spans="1:30" x14ac:dyDescent="0.25">
      <c r="A1635" s="1">
        <v>44784.54247685185</v>
      </c>
      <c r="B1635" s="1">
        <v>44784.541724537034</v>
      </c>
      <c r="C1635">
        <v>146644</v>
      </c>
      <c r="D1635" t="s">
        <v>54</v>
      </c>
      <c r="E1635" t="s">
        <v>53</v>
      </c>
      <c r="F1635">
        <v>7</v>
      </c>
      <c r="G1635">
        <v>43.06015</v>
      </c>
      <c r="H1635">
        <v>-70.758930000000007</v>
      </c>
      <c r="I1635">
        <v>35</v>
      </c>
      <c r="J1635">
        <v>81</v>
      </c>
      <c r="K1635">
        <v>82</v>
      </c>
      <c r="L1635" s="1">
        <v>44784.542395833334</v>
      </c>
      <c r="M1635">
        <v>14.3</v>
      </c>
      <c r="N1635">
        <v>13.8</v>
      </c>
      <c r="O1635">
        <v>0.5</v>
      </c>
      <c r="P1635">
        <v>4</v>
      </c>
      <c r="Q1635">
        <v>0.3</v>
      </c>
      <c r="R1635">
        <v>0.5</v>
      </c>
      <c r="S1635">
        <v>0.4</v>
      </c>
      <c r="T1635" t="s">
        <v>33</v>
      </c>
      <c r="U1635">
        <v>14.05</v>
      </c>
      <c r="V1635">
        <v>50</v>
      </c>
      <c r="W1635">
        <v>56</v>
      </c>
      <c r="X1635">
        <v>6</v>
      </c>
      <c r="Y1635">
        <v>1</v>
      </c>
      <c r="Z1635">
        <v>2</v>
      </c>
      <c r="AA1635">
        <v>1</v>
      </c>
      <c r="AB1635" t="s">
        <v>33</v>
      </c>
      <c r="AC1635">
        <v>53</v>
      </c>
      <c r="AD1635">
        <v>7.02</v>
      </c>
    </row>
    <row r="1636" spans="1:30" x14ac:dyDescent="0.25">
      <c r="A1636" s="1">
        <v>44784.54247685185</v>
      </c>
      <c r="B1636" s="1">
        <v>43755.283437500002</v>
      </c>
      <c r="C1636">
        <v>12188</v>
      </c>
      <c r="D1636" t="s">
        <v>55</v>
      </c>
      <c r="E1636" t="s">
        <v>35</v>
      </c>
      <c r="F1636">
        <v>4.1100000000000003</v>
      </c>
      <c r="G1636">
        <v>42.927050000000001</v>
      </c>
      <c r="H1636">
        <v>-72.279610000000005</v>
      </c>
      <c r="I1636">
        <v>475</v>
      </c>
      <c r="J1636">
        <v>95</v>
      </c>
      <c r="K1636">
        <v>0</v>
      </c>
      <c r="L1636" s="1">
        <v>44784.542395833334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 t="s">
        <v>32</v>
      </c>
      <c r="V1636">
        <v>77</v>
      </c>
      <c r="W1636">
        <v>0</v>
      </c>
      <c r="X1636">
        <v>77</v>
      </c>
      <c r="Y1636">
        <v>0</v>
      </c>
      <c r="Z1636">
        <v>0</v>
      </c>
      <c r="AA1636">
        <v>0</v>
      </c>
      <c r="AB1636" t="s">
        <v>36</v>
      </c>
      <c r="AC1636">
        <v>77</v>
      </c>
    </row>
    <row r="1637" spans="1:30" x14ac:dyDescent="0.25">
      <c r="A1637" s="1">
        <v>44784.54247685185</v>
      </c>
      <c r="B1637" s="1">
        <v>44784.5393287037</v>
      </c>
      <c r="C1637">
        <v>1224</v>
      </c>
      <c r="D1637" t="s">
        <v>56</v>
      </c>
      <c r="E1637" t="s">
        <v>35</v>
      </c>
      <c r="F1637" t="s">
        <v>57</v>
      </c>
      <c r="G1637">
        <v>42.938034000000002</v>
      </c>
      <c r="H1637">
        <v>-72.259299999999996</v>
      </c>
      <c r="I1637">
        <v>792</v>
      </c>
      <c r="J1637">
        <v>91</v>
      </c>
      <c r="K1637">
        <v>0</v>
      </c>
      <c r="L1637" s="1">
        <v>44784.542395833334</v>
      </c>
      <c r="M1637">
        <v>4.4000000000000004</v>
      </c>
      <c r="N1637">
        <v>0</v>
      </c>
      <c r="O1637">
        <v>4.4000000000000004</v>
      </c>
      <c r="P1637">
        <v>200</v>
      </c>
      <c r="Q1637">
        <v>0.1</v>
      </c>
      <c r="R1637">
        <v>0</v>
      </c>
      <c r="S1637">
        <v>0.05</v>
      </c>
      <c r="T1637" t="s">
        <v>32</v>
      </c>
      <c r="V1637">
        <v>38</v>
      </c>
      <c r="W1637">
        <v>0</v>
      </c>
      <c r="X1637">
        <v>38</v>
      </c>
      <c r="Y1637">
        <v>2</v>
      </c>
      <c r="Z1637">
        <v>0</v>
      </c>
      <c r="AA1637">
        <v>2</v>
      </c>
      <c r="AB1637" t="s">
        <v>36</v>
      </c>
      <c r="AC1637">
        <v>38</v>
      </c>
    </row>
    <row r="1638" spans="1:30" x14ac:dyDescent="0.25">
      <c r="A1638" s="1">
        <v>44784.54247685185</v>
      </c>
      <c r="B1638" s="1">
        <v>44784.541539351849</v>
      </c>
      <c r="C1638">
        <v>1202</v>
      </c>
      <c r="D1638" t="s">
        <v>58</v>
      </c>
      <c r="E1638" t="s">
        <v>35</v>
      </c>
      <c r="F1638" t="s">
        <v>57</v>
      </c>
      <c r="G1638">
        <v>42.936554000000001</v>
      </c>
      <c r="H1638">
        <v>-72.271019999999993</v>
      </c>
      <c r="I1638">
        <v>488</v>
      </c>
      <c r="J1638">
        <v>0</v>
      </c>
      <c r="K1638">
        <v>0</v>
      </c>
      <c r="L1638" s="1">
        <v>44784.542395833334</v>
      </c>
      <c r="M1638">
        <v>4.5999999999999996</v>
      </c>
      <c r="N1638">
        <v>4</v>
      </c>
      <c r="O1638">
        <v>0.6</v>
      </c>
      <c r="P1638">
        <v>14</v>
      </c>
      <c r="Q1638">
        <v>0.2</v>
      </c>
      <c r="R1638">
        <v>0.2</v>
      </c>
      <c r="S1638">
        <v>0.2</v>
      </c>
      <c r="T1638" t="s">
        <v>33</v>
      </c>
      <c r="U1638">
        <v>4.3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 t="s">
        <v>38</v>
      </c>
    </row>
    <row r="1639" spans="1:30" x14ac:dyDescent="0.25">
      <c r="A1639" s="1">
        <v>44784.542488425926</v>
      </c>
      <c r="B1639" s="1">
        <v>44612.080023148148</v>
      </c>
      <c r="C1639">
        <v>25985</v>
      </c>
      <c r="D1639" t="s">
        <v>59</v>
      </c>
      <c r="E1639" t="s">
        <v>35</v>
      </c>
      <c r="F1639">
        <v>6.01</v>
      </c>
      <c r="G1639">
        <v>42.927326000000001</v>
      </c>
      <c r="H1639">
        <v>-72.279979999999995</v>
      </c>
      <c r="I1639">
        <v>477</v>
      </c>
      <c r="J1639">
        <v>78</v>
      </c>
      <c r="K1639">
        <v>0</v>
      </c>
      <c r="L1639" s="1">
        <v>44784.542395833334</v>
      </c>
      <c r="M1639">
        <v>1.1000000000000001</v>
      </c>
      <c r="N1639">
        <v>1</v>
      </c>
      <c r="O1639">
        <v>0.1</v>
      </c>
      <c r="P1639">
        <v>10</v>
      </c>
      <c r="Q1639">
        <v>0</v>
      </c>
      <c r="R1639">
        <v>0</v>
      </c>
      <c r="S1639">
        <v>0</v>
      </c>
      <c r="T1639" t="s">
        <v>32</v>
      </c>
      <c r="V1639">
        <v>22</v>
      </c>
      <c r="W1639">
        <v>0</v>
      </c>
      <c r="X1639">
        <v>22</v>
      </c>
      <c r="Y1639">
        <v>0</v>
      </c>
      <c r="Z1639">
        <v>0</v>
      </c>
      <c r="AA1639">
        <v>0</v>
      </c>
      <c r="AB1639" t="s">
        <v>36</v>
      </c>
      <c r="AC1639">
        <v>22</v>
      </c>
    </row>
    <row r="1640" spans="1:30" x14ac:dyDescent="0.25">
      <c r="A1640" s="1">
        <v>44784.549351851849</v>
      </c>
      <c r="B1640" s="1">
        <v>44775.701319444444</v>
      </c>
      <c r="C1640">
        <v>151708</v>
      </c>
      <c r="D1640" t="s">
        <v>30</v>
      </c>
      <c r="E1640" t="s">
        <v>31</v>
      </c>
      <c r="F1640">
        <v>7</v>
      </c>
      <c r="G1640">
        <v>43.192042999999998</v>
      </c>
      <c r="H1640">
        <v>-71.541579999999996</v>
      </c>
      <c r="I1640">
        <v>291</v>
      </c>
      <c r="J1640">
        <v>93</v>
      </c>
      <c r="K1640">
        <v>94</v>
      </c>
      <c r="L1640" s="1">
        <v>44784.549340277779</v>
      </c>
      <c r="M1640">
        <v>7.9</v>
      </c>
      <c r="N1640">
        <v>7.6</v>
      </c>
      <c r="O1640">
        <v>0.3</v>
      </c>
      <c r="P1640">
        <v>4</v>
      </c>
      <c r="Q1640">
        <v>0</v>
      </c>
      <c r="R1640">
        <v>0</v>
      </c>
      <c r="S1640">
        <v>0</v>
      </c>
      <c r="T1640" t="s">
        <v>32</v>
      </c>
      <c r="V1640">
        <v>42</v>
      </c>
      <c r="W1640">
        <v>41</v>
      </c>
      <c r="X1640">
        <v>1</v>
      </c>
      <c r="Y1640">
        <v>0</v>
      </c>
      <c r="Z1640">
        <v>0</v>
      </c>
      <c r="AA1640">
        <v>0</v>
      </c>
      <c r="AB1640" t="s">
        <v>33</v>
      </c>
      <c r="AC1640">
        <v>41.5</v>
      </c>
    </row>
    <row r="1641" spans="1:30" x14ac:dyDescent="0.25">
      <c r="A1641" s="1">
        <v>44784.549363425926</v>
      </c>
      <c r="B1641" s="1">
        <v>44784.547696759262</v>
      </c>
      <c r="C1641">
        <v>143456</v>
      </c>
      <c r="D1641" t="s">
        <v>34</v>
      </c>
      <c r="E1641" t="s">
        <v>35</v>
      </c>
      <c r="F1641">
        <v>7</v>
      </c>
      <c r="G1641">
        <v>43.08963</v>
      </c>
      <c r="H1641">
        <v>-71.502440000000007</v>
      </c>
      <c r="I1641">
        <v>619</v>
      </c>
      <c r="J1641">
        <v>83</v>
      </c>
      <c r="K1641">
        <v>0</v>
      </c>
      <c r="L1641" s="1">
        <v>44784.549340277779</v>
      </c>
      <c r="M1641">
        <v>2.4</v>
      </c>
      <c r="N1641">
        <v>3</v>
      </c>
      <c r="O1641">
        <v>0.6</v>
      </c>
      <c r="P1641">
        <v>22</v>
      </c>
      <c r="Q1641">
        <v>0</v>
      </c>
      <c r="R1641">
        <v>0</v>
      </c>
      <c r="S1641">
        <v>0</v>
      </c>
      <c r="T1641" t="s">
        <v>33</v>
      </c>
      <c r="U1641">
        <v>2.7</v>
      </c>
      <c r="V1641">
        <v>48</v>
      </c>
      <c r="W1641">
        <v>0</v>
      </c>
      <c r="X1641">
        <v>48</v>
      </c>
      <c r="Y1641">
        <v>4</v>
      </c>
      <c r="Z1641">
        <v>0</v>
      </c>
      <c r="AA1641">
        <v>4</v>
      </c>
      <c r="AB1641" t="s">
        <v>36</v>
      </c>
      <c r="AC1641">
        <v>48</v>
      </c>
      <c r="AD1641">
        <v>0.45</v>
      </c>
    </row>
    <row r="1642" spans="1:30" x14ac:dyDescent="0.25">
      <c r="A1642" s="1">
        <v>44784.549363425926</v>
      </c>
      <c r="B1642" s="1">
        <v>44784.547858796293</v>
      </c>
      <c r="C1642">
        <v>151702</v>
      </c>
      <c r="D1642" t="s">
        <v>37</v>
      </c>
      <c r="E1642" t="s">
        <v>31</v>
      </c>
      <c r="F1642">
        <v>7</v>
      </c>
      <c r="G1642">
        <v>43.118609999999997</v>
      </c>
      <c r="H1642">
        <v>-71.61618</v>
      </c>
      <c r="I1642">
        <v>885</v>
      </c>
      <c r="J1642">
        <v>0</v>
      </c>
      <c r="K1642">
        <v>0</v>
      </c>
      <c r="L1642" s="1">
        <v>44784.549340277779</v>
      </c>
      <c r="M1642">
        <v>3</v>
      </c>
      <c r="N1642">
        <v>2.8</v>
      </c>
      <c r="O1642">
        <v>0.2</v>
      </c>
      <c r="P1642">
        <v>7</v>
      </c>
      <c r="Q1642">
        <v>0.2</v>
      </c>
      <c r="R1642">
        <v>0.1</v>
      </c>
      <c r="S1642">
        <v>0.15</v>
      </c>
      <c r="T1642" t="s">
        <v>33</v>
      </c>
      <c r="U1642">
        <v>2.9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 t="s">
        <v>38</v>
      </c>
    </row>
    <row r="1643" spans="1:30" x14ac:dyDescent="0.25">
      <c r="A1643" s="1">
        <v>44784.549375000002</v>
      </c>
      <c r="B1643" s="1">
        <v>44784.547754629632</v>
      </c>
      <c r="C1643">
        <v>151700</v>
      </c>
      <c r="D1643" t="s">
        <v>30</v>
      </c>
      <c r="E1643" t="s">
        <v>31</v>
      </c>
      <c r="F1643">
        <v>7</v>
      </c>
      <c r="G1643">
        <v>43.19211</v>
      </c>
      <c r="H1643">
        <v>-71.541460000000001</v>
      </c>
      <c r="I1643">
        <v>286</v>
      </c>
      <c r="J1643">
        <v>83</v>
      </c>
      <c r="K1643">
        <v>0</v>
      </c>
      <c r="L1643" s="1">
        <v>44784.549340277779</v>
      </c>
      <c r="M1643">
        <v>4.0999999999999996</v>
      </c>
      <c r="N1643">
        <v>4.4000000000000004</v>
      </c>
      <c r="O1643">
        <v>0.3</v>
      </c>
      <c r="P1643">
        <v>7</v>
      </c>
      <c r="Q1643">
        <v>0.4</v>
      </c>
      <c r="R1643">
        <v>0.2</v>
      </c>
      <c r="S1643">
        <v>0.3</v>
      </c>
      <c r="T1643" t="s">
        <v>33</v>
      </c>
      <c r="U1643">
        <v>4.25</v>
      </c>
      <c r="V1643">
        <v>48</v>
      </c>
      <c r="W1643">
        <v>0</v>
      </c>
      <c r="X1643">
        <v>48</v>
      </c>
      <c r="Y1643">
        <v>1</v>
      </c>
      <c r="Z1643">
        <v>0</v>
      </c>
      <c r="AA1643">
        <v>1</v>
      </c>
      <c r="AB1643" t="s">
        <v>36</v>
      </c>
      <c r="AC1643">
        <v>48</v>
      </c>
      <c r="AD1643">
        <v>1.39</v>
      </c>
    </row>
    <row r="1644" spans="1:30" x14ac:dyDescent="0.25">
      <c r="A1644" s="1">
        <v>44784.549375000002</v>
      </c>
      <c r="B1644" s="1">
        <v>44784.548182870371</v>
      </c>
      <c r="C1644">
        <v>135984</v>
      </c>
      <c r="D1644" t="s">
        <v>39</v>
      </c>
      <c r="E1644" t="s">
        <v>31</v>
      </c>
      <c r="F1644">
        <v>7</v>
      </c>
      <c r="G1644">
        <v>43.565852999999997</v>
      </c>
      <c r="H1644">
        <v>-71.496129999999994</v>
      </c>
      <c r="I1644">
        <v>708</v>
      </c>
      <c r="J1644">
        <v>87</v>
      </c>
      <c r="K1644">
        <v>0</v>
      </c>
      <c r="L1644" s="1">
        <v>44784.549340277779</v>
      </c>
      <c r="M1644">
        <v>2.5</v>
      </c>
      <c r="N1644">
        <v>1.8</v>
      </c>
      <c r="O1644">
        <v>0.7</v>
      </c>
      <c r="P1644">
        <v>33</v>
      </c>
      <c r="Q1644">
        <v>0.4</v>
      </c>
      <c r="R1644">
        <v>0.4</v>
      </c>
      <c r="S1644">
        <v>0.4</v>
      </c>
      <c r="T1644" t="s">
        <v>33</v>
      </c>
      <c r="U1644">
        <v>2.15</v>
      </c>
      <c r="V1644">
        <v>49</v>
      </c>
      <c r="W1644">
        <v>0</v>
      </c>
      <c r="X1644">
        <v>49</v>
      </c>
      <c r="Y1644">
        <v>1</v>
      </c>
      <c r="Z1644">
        <v>0</v>
      </c>
      <c r="AA1644">
        <v>1</v>
      </c>
      <c r="AB1644" t="s">
        <v>36</v>
      </c>
      <c r="AC1644">
        <v>49</v>
      </c>
      <c r="AD1644">
        <v>0.04</v>
      </c>
    </row>
    <row r="1645" spans="1:30" x14ac:dyDescent="0.25">
      <c r="A1645" s="1">
        <v>44784.549375000002</v>
      </c>
      <c r="B1645" s="1">
        <v>44780.394780092596</v>
      </c>
      <c r="C1645">
        <v>151712</v>
      </c>
      <c r="D1645" t="s">
        <v>40</v>
      </c>
      <c r="E1645" t="s">
        <v>31</v>
      </c>
      <c r="F1645">
        <v>7</v>
      </c>
      <c r="G1645">
        <v>43.289763999999998</v>
      </c>
      <c r="H1645">
        <v>-71.564260000000004</v>
      </c>
      <c r="I1645">
        <v>370</v>
      </c>
      <c r="J1645">
        <v>86</v>
      </c>
      <c r="K1645">
        <v>0</v>
      </c>
      <c r="L1645" s="1">
        <v>44784.549340277779</v>
      </c>
      <c r="M1645">
        <v>14</v>
      </c>
      <c r="N1645">
        <v>13.2</v>
      </c>
      <c r="O1645">
        <v>0.8</v>
      </c>
      <c r="P1645">
        <v>6</v>
      </c>
      <c r="Q1645">
        <v>0</v>
      </c>
      <c r="R1645">
        <v>0</v>
      </c>
      <c r="S1645">
        <v>0</v>
      </c>
      <c r="T1645" t="s">
        <v>32</v>
      </c>
      <c r="V1645">
        <v>59</v>
      </c>
      <c r="W1645">
        <v>0</v>
      </c>
      <c r="X1645">
        <v>59</v>
      </c>
      <c r="Y1645">
        <v>0</v>
      </c>
      <c r="Z1645">
        <v>0</v>
      </c>
      <c r="AA1645">
        <v>0</v>
      </c>
      <c r="AB1645" t="s">
        <v>36</v>
      </c>
      <c r="AC1645">
        <v>59</v>
      </c>
    </row>
    <row r="1646" spans="1:30" x14ac:dyDescent="0.25">
      <c r="A1646" s="1">
        <v>44784.549386574072</v>
      </c>
      <c r="B1646" s="1">
        <v>44784.547500000001</v>
      </c>
      <c r="C1646">
        <v>151710</v>
      </c>
      <c r="D1646" t="s">
        <v>41</v>
      </c>
      <c r="E1646" t="s">
        <v>31</v>
      </c>
      <c r="F1646">
        <v>7</v>
      </c>
      <c r="G1646">
        <v>43.132477000000002</v>
      </c>
      <c r="H1646">
        <v>-71.458374000000006</v>
      </c>
      <c r="I1646">
        <v>230</v>
      </c>
      <c r="J1646">
        <v>92</v>
      </c>
      <c r="K1646">
        <v>0</v>
      </c>
      <c r="L1646" s="1">
        <v>44784.549340277779</v>
      </c>
      <c r="M1646">
        <v>4.5999999999999996</v>
      </c>
      <c r="N1646">
        <v>3.7</v>
      </c>
      <c r="O1646">
        <v>0.9</v>
      </c>
      <c r="P1646">
        <v>22</v>
      </c>
      <c r="Q1646">
        <v>0.6</v>
      </c>
      <c r="R1646">
        <v>0.6</v>
      </c>
      <c r="S1646">
        <v>0.6</v>
      </c>
      <c r="T1646" t="s">
        <v>33</v>
      </c>
      <c r="U1646">
        <v>4.1500000000000004</v>
      </c>
      <c r="V1646">
        <v>31</v>
      </c>
      <c r="W1646">
        <v>0</v>
      </c>
      <c r="X1646">
        <v>31</v>
      </c>
      <c r="Y1646">
        <v>0</v>
      </c>
      <c r="Z1646">
        <v>0</v>
      </c>
      <c r="AA1646">
        <v>0</v>
      </c>
      <c r="AB1646" t="s">
        <v>36</v>
      </c>
      <c r="AC1646">
        <v>31</v>
      </c>
      <c r="AD1646">
        <v>2.52</v>
      </c>
    </row>
    <row r="1647" spans="1:30" x14ac:dyDescent="0.25">
      <c r="A1647" s="1">
        <v>44784.549386574072</v>
      </c>
      <c r="B1647" s="1">
        <v>44784.548541666663</v>
      </c>
      <c r="C1647">
        <v>151706</v>
      </c>
      <c r="D1647" t="s">
        <v>42</v>
      </c>
      <c r="E1647" t="s">
        <v>31</v>
      </c>
      <c r="F1647">
        <v>7</v>
      </c>
      <c r="G1647">
        <v>43.004080000000002</v>
      </c>
      <c r="H1647">
        <v>-71.177040000000005</v>
      </c>
      <c r="I1647">
        <v>194</v>
      </c>
      <c r="J1647">
        <v>94</v>
      </c>
      <c r="K1647">
        <v>0</v>
      </c>
      <c r="L1647" s="1">
        <v>44784.549340277779</v>
      </c>
      <c r="M1647">
        <v>5.9</v>
      </c>
      <c r="N1647">
        <v>0</v>
      </c>
      <c r="O1647">
        <v>5.9</v>
      </c>
      <c r="P1647">
        <v>200</v>
      </c>
      <c r="Q1647">
        <v>0.1</v>
      </c>
      <c r="R1647">
        <v>0</v>
      </c>
      <c r="S1647">
        <v>0.05</v>
      </c>
      <c r="T1647" t="s">
        <v>43</v>
      </c>
      <c r="V1647">
        <v>37</v>
      </c>
      <c r="W1647">
        <v>0</v>
      </c>
      <c r="X1647">
        <v>37</v>
      </c>
      <c r="Y1647">
        <v>1</v>
      </c>
      <c r="Z1647">
        <v>0</v>
      </c>
      <c r="AA1647">
        <v>1</v>
      </c>
      <c r="AB1647" t="s">
        <v>36</v>
      </c>
      <c r="AC1647">
        <v>37</v>
      </c>
    </row>
    <row r="1648" spans="1:30" x14ac:dyDescent="0.25">
      <c r="A1648" s="1">
        <v>44784.549386574072</v>
      </c>
      <c r="B1648" s="1">
        <v>44784.548310185186</v>
      </c>
      <c r="C1648">
        <v>12212</v>
      </c>
      <c r="D1648" t="s">
        <v>44</v>
      </c>
      <c r="E1648" t="s">
        <v>35</v>
      </c>
      <c r="F1648">
        <v>7</v>
      </c>
      <c r="G1648">
        <v>42.930529999999997</v>
      </c>
      <c r="H1648">
        <v>-72.272350000000003</v>
      </c>
      <c r="I1648">
        <v>476</v>
      </c>
      <c r="J1648">
        <v>91</v>
      </c>
      <c r="K1648">
        <v>0</v>
      </c>
      <c r="L1648" s="1">
        <v>44784.549340277779</v>
      </c>
      <c r="M1648">
        <v>4.2</v>
      </c>
      <c r="N1648">
        <v>3.7</v>
      </c>
      <c r="O1648">
        <v>0.5</v>
      </c>
      <c r="P1648">
        <v>13</v>
      </c>
      <c r="Q1648">
        <v>0.1</v>
      </c>
      <c r="R1648">
        <v>0.1</v>
      </c>
      <c r="S1648">
        <v>0.1</v>
      </c>
      <c r="T1648" t="s">
        <v>33</v>
      </c>
      <c r="U1648">
        <v>3.95</v>
      </c>
      <c r="V1648">
        <v>30</v>
      </c>
      <c r="W1648">
        <v>0</v>
      </c>
      <c r="X1648">
        <v>30</v>
      </c>
      <c r="Y1648">
        <v>3</v>
      </c>
      <c r="Z1648">
        <v>0</v>
      </c>
      <c r="AA1648">
        <v>3</v>
      </c>
      <c r="AB1648" t="s">
        <v>36</v>
      </c>
      <c r="AC1648">
        <v>30</v>
      </c>
      <c r="AD1648">
        <v>2.4700000000000002</v>
      </c>
    </row>
    <row r="1649" spans="1:30" x14ac:dyDescent="0.25">
      <c r="A1649" s="1">
        <v>44784.549398148149</v>
      </c>
      <c r="B1649" s="1">
        <v>44769.376736111109</v>
      </c>
      <c r="C1649">
        <v>12178</v>
      </c>
      <c r="D1649" t="s">
        <v>45</v>
      </c>
      <c r="E1649" t="s">
        <v>35</v>
      </c>
      <c r="F1649">
        <v>7</v>
      </c>
      <c r="G1649">
        <v>42.899563000000001</v>
      </c>
      <c r="H1649">
        <v>-71.464650000000006</v>
      </c>
      <c r="I1649">
        <v>301</v>
      </c>
      <c r="J1649">
        <v>85</v>
      </c>
      <c r="K1649">
        <v>0</v>
      </c>
      <c r="L1649" s="1">
        <v>44784.549340277779</v>
      </c>
      <c r="M1649">
        <v>3.8</v>
      </c>
      <c r="N1649">
        <v>3.1</v>
      </c>
      <c r="O1649">
        <v>0.7</v>
      </c>
      <c r="P1649">
        <v>20</v>
      </c>
      <c r="Q1649">
        <v>0</v>
      </c>
      <c r="R1649">
        <v>0</v>
      </c>
      <c r="S1649">
        <v>0</v>
      </c>
      <c r="T1649" t="s">
        <v>32</v>
      </c>
      <c r="V1649">
        <v>35</v>
      </c>
      <c r="W1649">
        <v>0</v>
      </c>
      <c r="X1649">
        <v>35</v>
      </c>
      <c r="Y1649">
        <v>0</v>
      </c>
      <c r="Z1649">
        <v>0</v>
      </c>
      <c r="AA1649">
        <v>0</v>
      </c>
      <c r="AB1649" t="s">
        <v>36</v>
      </c>
      <c r="AC1649">
        <v>35</v>
      </c>
    </row>
    <row r="1650" spans="1:30" x14ac:dyDescent="0.25">
      <c r="A1650" s="1">
        <v>44784.549398148149</v>
      </c>
      <c r="B1650" s="1">
        <v>44784.54760416667</v>
      </c>
      <c r="C1650">
        <v>75981</v>
      </c>
      <c r="D1650" t="s">
        <v>46</v>
      </c>
      <c r="E1650" t="s">
        <v>35</v>
      </c>
      <c r="F1650">
        <v>7</v>
      </c>
      <c r="G1650">
        <v>42.97</v>
      </c>
      <c r="H1650">
        <v>-71.06</v>
      </c>
      <c r="I1650">
        <v>136</v>
      </c>
      <c r="J1650">
        <v>85</v>
      </c>
      <c r="K1650">
        <v>0</v>
      </c>
      <c r="L1650" s="1">
        <v>44784.549340277779</v>
      </c>
      <c r="M1650">
        <v>9.5</v>
      </c>
      <c r="N1650">
        <v>9.1</v>
      </c>
      <c r="O1650">
        <v>0.4</v>
      </c>
      <c r="P1650">
        <v>4</v>
      </c>
      <c r="Q1650">
        <v>0.1</v>
      </c>
      <c r="R1650">
        <v>0</v>
      </c>
      <c r="S1650">
        <v>0.05</v>
      </c>
      <c r="T1650" t="s">
        <v>33</v>
      </c>
      <c r="U1650">
        <v>9.3000000000000007</v>
      </c>
      <c r="V1650">
        <v>48</v>
      </c>
      <c r="W1650">
        <v>0</v>
      </c>
      <c r="X1650">
        <v>48</v>
      </c>
      <c r="Y1650">
        <v>0</v>
      </c>
      <c r="Z1650">
        <v>0</v>
      </c>
      <c r="AA1650">
        <v>0</v>
      </c>
      <c r="AB1650" t="s">
        <v>36</v>
      </c>
      <c r="AC1650">
        <v>48</v>
      </c>
      <c r="AD1650">
        <v>4.47</v>
      </c>
    </row>
    <row r="1651" spans="1:30" x14ac:dyDescent="0.25">
      <c r="A1651" s="1">
        <v>44784.549398148149</v>
      </c>
      <c r="B1651" s="1">
        <v>44784.548136574071</v>
      </c>
      <c r="C1651">
        <v>115703</v>
      </c>
      <c r="D1651" t="s">
        <v>47</v>
      </c>
      <c r="E1651" t="s">
        <v>35</v>
      </c>
      <c r="F1651">
        <v>7</v>
      </c>
      <c r="G1651">
        <v>43.953625000000002</v>
      </c>
      <c r="H1651">
        <v>-71.508859999999999</v>
      </c>
      <c r="I1651">
        <v>1493</v>
      </c>
      <c r="J1651">
        <v>85</v>
      </c>
      <c r="K1651">
        <v>0</v>
      </c>
      <c r="L1651" s="1">
        <v>44784.549340277779</v>
      </c>
      <c r="M1651">
        <v>0</v>
      </c>
      <c r="N1651">
        <v>311.39999999999998</v>
      </c>
      <c r="O1651">
        <v>311.39999999999998</v>
      </c>
      <c r="P1651">
        <v>200</v>
      </c>
      <c r="Q1651">
        <v>0</v>
      </c>
      <c r="R1651">
        <v>0</v>
      </c>
      <c r="S1651">
        <v>0</v>
      </c>
      <c r="T1651" t="s">
        <v>48</v>
      </c>
      <c r="V1651">
        <v>32</v>
      </c>
      <c r="W1651">
        <v>0</v>
      </c>
      <c r="X1651">
        <v>32</v>
      </c>
      <c r="Y1651">
        <v>3</v>
      </c>
      <c r="Z1651">
        <v>0</v>
      </c>
      <c r="AA1651">
        <v>3</v>
      </c>
      <c r="AB1651" t="s">
        <v>36</v>
      </c>
      <c r="AC1651">
        <v>32</v>
      </c>
    </row>
    <row r="1652" spans="1:30" x14ac:dyDescent="0.25">
      <c r="A1652" s="1">
        <v>44784.549409722225</v>
      </c>
      <c r="B1652" s="1">
        <v>44784.54755787037</v>
      </c>
      <c r="C1652">
        <v>12050</v>
      </c>
      <c r="D1652" t="s">
        <v>49</v>
      </c>
      <c r="E1652" t="s">
        <v>35</v>
      </c>
      <c r="F1652">
        <v>7</v>
      </c>
      <c r="G1652">
        <v>44.220573000000002</v>
      </c>
      <c r="H1652">
        <v>-71.732315</v>
      </c>
      <c r="I1652">
        <v>999</v>
      </c>
      <c r="J1652">
        <v>92</v>
      </c>
      <c r="K1652">
        <v>0</v>
      </c>
      <c r="L1652" s="1">
        <v>44784.549340277779</v>
      </c>
      <c r="M1652">
        <v>2.8</v>
      </c>
      <c r="N1652">
        <v>2.6</v>
      </c>
      <c r="O1652">
        <v>0.2</v>
      </c>
      <c r="P1652">
        <v>7</v>
      </c>
      <c r="Q1652">
        <v>0</v>
      </c>
      <c r="R1652">
        <v>0.1</v>
      </c>
      <c r="S1652">
        <v>0.05</v>
      </c>
      <c r="T1652" t="s">
        <v>33</v>
      </c>
      <c r="U1652">
        <v>2.7</v>
      </c>
      <c r="V1652">
        <v>30</v>
      </c>
      <c r="W1652">
        <v>0</v>
      </c>
      <c r="X1652">
        <v>30</v>
      </c>
      <c r="Y1652">
        <v>1</v>
      </c>
      <c r="Z1652">
        <v>0</v>
      </c>
      <c r="AA1652">
        <v>1</v>
      </c>
      <c r="AB1652" t="s">
        <v>36</v>
      </c>
      <c r="AC1652">
        <v>30</v>
      </c>
      <c r="AD1652">
        <v>1.71</v>
      </c>
    </row>
    <row r="1653" spans="1:30" x14ac:dyDescent="0.25">
      <c r="A1653" s="1">
        <v>44784.549409722225</v>
      </c>
      <c r="B1653" s="1">
        <v>44784.547662037039</v>
      </c>
      <c r="C1653">
        <v>23443</v>
      </c>
      <c r="D1653" t="s">
        <v>50</v>
      </c>
      <c r="E1653" t="s">
        <v>35</v>
      </c>
      <c r="F1653">
        <v>7</v>
      </c>
      <c r="G1653">
        <v>43.556139999999999</v>
      </c>
      <c r="H1653">
        <v>-72.370990000000006</v>
      </c>
      <c r="I1653">
        <v>523</v>
      </c>
      <c r="J1653">
        <v>100</v>
      </c>
      <c r="K1653">
        <v>0</v>
      </c>
      <c r="L1653" s="1">
        <v>44784.549340277779</v>
      </c>
      <c r="M1653">
        <v>2.5</v>
      </c>
      <c r="N1653">
        <v>2.2000000000000002</v>
      </c>
      <c r="O1653">
        <v>0.3</v>
      </c>
      <c r="P1653">
        <v>13</v>
      </c>
      <c r="Q1653">
        <v>0.1</v>
      </c>
      <c r="R1653">
        <v>0.1</v>
      </c>
      <c r="S1653">
        <v>0.1</v>
      </c>
      <c r="T1653" t="s">
        <v>33</v>
      </c>
      <c r="U1653">
        <v>2.35</v>
      </c>
      <c r="V1653">
        <v>23</v>
      </c>
      <c r="W1653">
        <v>0</v>
      </c>
      <c r="X1653">
        <v>23</v>
      </c>
      <c r="Y1653">
        <v>1</v>
      </c>
      <c r="Z1653">
        <v>0</v>
      </c>
      <c r="AA1653">
        <v>1</v>
      </c>
      <c r="AB1653" t="s">
        <v>36</v>
      </c>
      <c r="AC1653">
        <v>23</v>
      </c>
      <c r="AD1653">
        <v>1.98</v>
      </c>
    </row>
    <row r="1654" spans="1:30" x14ac:dyDescent="0.25">
      <c r="A1654" s="1">
        <v>44784.549409722225</v>
      </c>
      <c r="B1654" s="1">
        <v>44784.547777777778</v>
      </c>
      <c r="C1654">
        <v>58135</v>
      </c>
      <c r="D1654" t="s">
        <v>51</v>
      </c>
      <c r="E1654" t="s">
        <v>35</v>
      </c>
      <c r="F1654">
        <v>7</v>
      </c>
      <c r="G1654">
        <v>42.883873000000001</v>
      </c>
      <c r="H1654">
        <v>-71.972915999999998</v>
      </c>
      <c r="I1654">
        <v>808</v>
      </c>
      <c r="J1654">
        <v>87</v>
      </c>
      <c r="K1654">
        <v>0</v>
      </c>
      <c r="L1654" s="1">
        <v>44784.549340277779</v>
      </c>
      <c r="M1654">
        <v>3.1</v>
      </c>
      <c r="N1654">
        <v>2.1</v>
      </c>
      <c r="O1654">
        <v>1</v>
      </c>
      <c r="P1654">
        <v>38</v>
      </c>
      <c r="Q1654">
        <v>0.2</v>
      </c>
      <c r="R1654">
        <v>0.2</v>
      </c>
      <c r="S1654">
        <v>0.2</v>
      </c>
      <c r="T1654" t="s">
        <v>33</v>
      </c>
      <c r="U1654">
        <v>2.6</v>
      </c>
      <c r="V1654">
        <v>36</v>
      </c>
      <c r="W1654">
        <v>0</v>
      </c>
      <c r="X1654">
        <v>36</v>
      </c>
      <c r="Y1654">
        <v>0</v>
      </c>
      <c r="Z1654">
        <v>0</v>
      </c>
      <c r="AA1654">
        <v>0</v>
      </c>
      <c r="AB1654" t="s">
        <v>36</v>
      </c>
      <c r="AC1654">
        <v>36</v>
      </c>
      <c r="AD1654">
        <v>1.23</v>
      </c>
    </row>
    <row r="1655" spans="1:30" x14ac:dyDescent="0.25">
      <c r="A1655" s="1">
        <v>44784.549421296295</v>
      </c>
      <c r="B1655" s="1">
        <v>44784.547777777778</v>
      </c>
      <c r="C1655">
        <v>148555</v>
      </c>
      <c r="D1655" t="s">
        <v>52</v>
      </c>
      <c r="E1655" t="s">
        <v>53</v>
      </c>
      <c r="F1655">
        <v>7</v>
      </c>
      <c r="G1655">
        <v>42.904949999999999</v>
      </c>
      <c r="H1655">
        <v>-71.386764999999997</v>
      </c>
      <c r="I1655">
        <v>363</v>
      </c>
      <c r="J1655">
        <v>0</v>
      </c>
      <c r="K1655">
        <v>0</v>
      </c>
      <c r="L1655" s="1">
        <v>44784.549340277779</v>
      </c>
      <c r="M1655">
        <v>1.3</v>
      </c>
      <c r="N1655">
        <v>1.5</v>
      </c>
      <c r="O1655">
        <v>0.2</v>
      </c>
      <c r="P1655">
        <v>14</v>
      </c>
      <c r="Q1655">
        <v>0</v>
      </c>
      <c r="R1655">
        <v>0.1</v>
      </c>
      <c r="S1655">
        <v>0.05</v>
      </c>
      <c r="T1655" t="s">
        <v>33</v>
      </c>
      <c r="U1655">
        <v>1.4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 t="s">
        <v>38</v>
      </c>
    </row>
    <row r="1656" spans="1:30" x14ac:dyDescent="0.25">
      <c r="A1656" s="1">
        <v>44784.549421296295</v>
      </c>
      <c r="B1656" s="1">
        <v>44784.548668981479</v>
      </c>
      <c r="C1656">
        <v>146644</v>
      </c>
      <c r="D1656" t="s">
        <v>54</v>
      </c>
      <c r="E1656" t="s">
        <v>53</v>
      </c>
      <c r="F1656">
        <v>7</v>
      </c>
      <c r="G1656">
        <v>43.06015</v>
      </c>
      <c r="H1656">
        <v>-70.758930000000007</v>
      </c>
      <c r="I1656">
        <v>35</v>
      </c>
      <c r="J1656">
        <v>83</v>
      </c>
      <c r="K1656">
        <v>85</v>
      </c>
      <c r="L1656" s="1">
        <v>44784.549340277779</v>
      </c>
      <c r="M1656">
        <v>14.2</v>
      </c>
      <c r="N1656">
        <v>13.8</v>
      </c>
      <c r="O1656">
        <v>0.4</v>
      </c>
      <c r="P1656">
        <v>3</v>
      </c>
      <c r="Q1656">
        <v>0.1</v>
      </c>
      <c r="R1656">
        <v>0</v>
      </c>
      <c r="S1656">
        <v>0.05</v>
      </c>
      <c r="T1656" t="s">
        <v>33</v>
      </c>
      <c r="U1656">
        <v>14</v>
      </c>
      <c r="V1656">
        <v>51</v>
      </c>
      <c r="W1656">
        <v>56</v>
      </c>
      <c r="X1656">
        <v>5</v>
      </c>
      <c r="Y1656">
        <v>1</v>
      </c>
      <c r="Z1656">
        <v>0</v>
      </c>
      <c r="AA1656">
        <v>1</v>
      </c>
      <c r="AB1656" t="s">
        <v>33</v>
      </c>
      <c r="AC1656">
        <v>53.5</v>
      </c>
      <c r="AD1656">
        <v>6.95</v>
      </c>
    </row>
    <row r="1657" spans="1:30" x14ac:dyDescent="0.25">
      <c r="A1657" s="1">
        <v>44784.549432870372</v>
      </c>
      <c r="B1657" s="1">
        <v>43755.283437500002</v>
      </c>
      <c r="C1657">
        <v>12188</v>
      </c>
      <c r="D1657" t="s">
        <v>55</v>
      </c>
      <c r="E1657" t="s">
        <v>35</v>
      </c>
      <c r="F1657">
        <v>4.1100000000000003</v>
      </c>
      <c r="G1657">
        <v>42.927050000000001</v>
      </c>
      <c r="H1657">
        <v>-72.279610000000005</v>
      </c>
      <c r="I1657">
        <v>475</v>
      </c>
      <c r="J1657">
        <v>95</v>
      </c>
      <c r="K1657">
        <v>0</v>
      </c>
      <c r="L1657" s="1">
        <v>44784.549340277779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 t="s">
        <v>32</v>
      </c>
      <c r="V1657">
        <v>77</v>
      </c>
      <c r="W1657">
        <v>0</v>
      </c>
      <c r="X1657">
        <v>77</v>
      </c>
      <c r="Y1657">
        <v>0</v>
      </c>
      <c r="Z1657">
        <v>0</v>
      </c>
      <c r="AA1657">
        <v>0</v>
      </c>
      <c r="AB1657" t="s">
        <v>36</v>
      </c>
      <c r="AC1657">
        <v>77</v>
      </c>
    </row>
    <row r="1658" spans="1:30" x14ac:dyDescent="0.25">
      <c r="A1658" s="1">
        <v>44784.549432870372</v>
      </c>
      <c r="B1658" s="1">
        <v>44784.547662037039</v>
      </c>
      <c r="C1658">
        <v>1224</v>
      </c>
      <c r="D1658" t="s">
        <v>56</v>
      </c>
      <c r="E1658" t="s">
        <v>35</v>
      </c>
      <c r="F1658" t="s">
        <v>57</v>
      </c>
      <c r="G1658">
        <v>42.938034000000002</v>
      </c>
      <c r="H1658">
        <v>-72.259299999999996</v>
      </c>
      <c r="I1658">
        <v>792</v>
      </c>
      <c r="J1658">
        <v>92</v>
      </c>
      <c r="K1658">
        <v>0</v>
      </c>
      <c r="L1658" s="1">
        <v>44784.549340277779</v>
      </c>
      <c r="M1658">
        <v>4.2</v>
      </c>
      <c r="N1658">
        <v>0</v>
      </c>
      <c r="O1658">
        <v>4.2</v>
      </c>
      <c r="P1658">
        <v>200</v>
      </c>
      <c r="Q1658">
        <v>0.2</v>
      </c>
      <c r="R1658">
        <v>0</v>
      </c>
      <c r="S1658">
        <v>0.1</v>
      </c>
      <c r="T1658" t="s">
        <v>43</v>
      </c>
      <c r="V1658">
        <v>37</v>
      </c>
      <c r="W1658">
        <v>0</v>
      </c>
      <c r="X1658">
        <v>37</v>
      </c>
      <c r="Y1658">
        <v>1</v>
      </c>
      <c r="Z1658">
        <v>0</v>
      </c>
      <c r="AA1658">
        <v>1</v>
      </c>
      <c r="AB1658" t="s">
        <v>36</v>
      </c>
      <c r="AC1658">
        <v>37</v>
      </c>
    </row>
    <row r="1659" spans="1:30" x14ac:dyDescent="0.25">
      <c r="A1659" s="1">
        <v>44784.549432870372</v>
      </c>
      <c r="B1659" s="1">
        <v>44784.548495370371</v>
      </c>
      <c r="C1659">
        <v>1202</v>
      </c>
      <c r="D1659" t="s">
        <v>58</v>
      </c>
      <c r="E1659" t="s">
        <v>35</v>
      </c>
      <c r="F1659" t="s">
        <v>57</v>
      </c>
      <c r="G1659">
        <v>42.936554000000001</v>
      </c>
      <c r="H1659">
        <v>-72.271019999999993</v>
      </c>
      <c r="I1659">
        <v>488</v>
      </c>
      <c r="J1659">
        <v>0</v>
      </c>
      <c r="K1659">
        <v>0</v>
      </c>
      <c r="L1659" s="1">
        <v>44784.549340277779</v>
      </c>
      <c r="M1659">
        <v>4.5</v>
      </c>
      <c r="N1659">
        <v>4</v>
      </c>
      <c r="O1659">
        <v>0.5</v>
      </c>
      <c r="P1659">
        <v>12</v>
      </c>
      <c r="Q1659">
        <v>0.1</v>
      </c>
      <c r="R1659">
        <v>0</v>
      </c>
      <c r="S1659">
        <v>0.05</v>
      </c>
      <c r="T1659" t="s">
        <v>33</v>
      </c>
      <c r="U1659">
        <v>4.25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 t="s">
        <v>38</v>
      </c>
    </row>
    <row r="1660" spans="1:30" x14ac:dyDescent="0.25">
      <c r="A1660" s="1">
        <v>44784.549432870372</v>
      </c>
      <c r="B1660" s="1">
        <v>44612.080023148148</v>
      </c>
      <c r="C1660">
        <v>25985</v>
      </c>
      <c r="D1660" t="s">
        <v>59</v>
      </c>
      <c r="E1660" t="s">
        <v>35</v>
      </c>
      <c r="F1660">
        <v>6.01</v>
      </c>
      <c r="G1660">
        <v>42.927326000000001</v>
      </c>
      <c r="H1660">
        <v>-72.279979999999995</v>
      </c>
      <c r="I1660">
        <v>477</v>
      </c>
      <c r="J1660">
        <v>78</v>
      </c>
      <c r="K1660">
        <v>0</v>
      </c>
      <c r="L1660" s="1">
        <v>44784.549340277779</v>
      </c>
      <c r="M1660">
        <v>1.1000000000000001</v>
      </c>
      <c r="N1660">
        <v>1</v>
      </c>
      <c r="O1660">
        <v>0.1</v>
      </c>
      <c r="P1660">
        <v>10</v>
      </c>
      <c r="Q1660">
        <v>0</v>
      </c>
      <c r="R1660">
        <v>0</v>
      </c>
      <c r="S1660">
        <v>0</v>
      </c>
      <c r="T1660" t="s">
        <v>32</v>
      </c>
      <c r="V1660">
        <v>22</v>
      </c>
      <c r="W1660">
        <v>0</v>
      </c>
      <c r="X1660">
        <v>22</v>
      </c>
      <c r="Y1660">
        <v>0</v>
      </c>
      <c r="Z1660">
        <v>0</v>
      </c>
      <c r="AA1660">
        <v>0</v>
      </c>
      <c r="AB1660" t="s">
        <v>36</v>
      </c>
      <c r="AC1660">
        <v>22</v>
      </c>
    </row>
    <row r="1661" spans="1:30" x14ac:dyDescent="0.25">
      <c r="A1661" s="1">
        <v>44784.556712962964</v>
      </c>
      <c r="B1661" s="1">
        <v>44775.701319444444</v>
      </c>
      <c r="C1661">
        <v>151708</v>
      </c>
      <c r="D1661" t="s">
        <v>30</v>
      </c>
      <c r="E1661" t="s">
        <v>31</v>
      </c>
      <c r="F1661">
        <v>7</v>
      </c>
      <c r="G1661">
        <v>43.192042999999998</v>
      </c>
      <c r="H1661">
        <v>-71.541579999999996</v>
      </c>
      <c r="I1661">
        <v>291</v>
      </c>
      <c r="J1661">
        <v>93</v>
      </c>
      <c r="K1661">
        <v>94</v>
      </c>
      <c r="L1661" s="1">
        <v>44784.556284722225</v>
      </c>
      <c r="M1661">
        <v>7.9</v>
      </c>
      <c r="N1661">
        <v>7.6</v>
      </c>
      <c r="O1661">
        <v>0.3</v>
      </c>
      <c r="P1661">
        <v>4</v>
      </c>
      <c r="Q1661">
        <v>0</v>
      </c>
      <c r="R1661">
        <v>0</v>
      </c>
      <c r="S1661">
        <v>0</v>
      </c>
      <c r="T1661" t="s">
        <v>32</v>
      </c>
      <c r="V1661">
        <v>42</v>
      </c>
      <c r="W1661">
        <v>41</v>
      </c>
      <c r="X1661">
        <v>1</v>
      </c>
      <c r="Y1661">
        <v>0</v>
      </c>
      <c r="Z1661">
        <v>0</v>
      </c>
      <c r="AA1661">
        <v>0</v>
      </c>
      <c r="AB1661" t="s">
        <v>33</v>
      </c>
      <c r="AC1661">
        <v>41.5</v>
      </c>
    </row>
    <row r="1662" spans="1:30" x14ac:dyDescent="0.25">
      <c r="A1662" s="1">
        <v>44784.55672453704</v>
      </c>
      <c r="B1662" s="1">
        <v>44784.556041666663</v>
      </c>
      <c r="C1662">
        <v>143456</v>
      </c>
      <c r="D1662" t="s">
        <v>34</v>
      </c>
      <c r="E1662" t="s">
        <v>35</v>
      </c>
      <c r="F1662">
        <v>7</v>
      </c>
      <c r="G1662">
        <v>43.08963</v>
      </c>
      <c r="H1662">
        <v>-71.502440000000007</v>
      </c>
      <c r="I1662">
        <v>619</v>
      </c>
      <c r="J1662">
        <v>83</v>
      </c>
      <c r="K1662">
        <v>0</v>
      </c>
      <c r="L1662" s="1">
        <v>44784.556284722225</v>
      </c>
      <c r="M1662">
        <v>2.4</v>
      </c>
      <c r="N1662">
        <v>2.9</v>
      </c>
      <c r="O1662">
        <v>0.5</v>
      </c>
      <c r="P1662">
        <v>19</v>
      </c>
      <c r="Q1662">
        <v>0</v>
      </c>
      <c r="R1662">
        <v>0.1</v>
      </c>
      <c r="S1662">
        <v>0.05</v>
      </c>
      <c r="T1662" t="s">
        <v>33</v>
      </c>
      <c r="U1662">
        <v>2.65</v>
      </c>
      <c r="V1662">
        <v>50</v>
      </c>
      <c r="W1662">
        <v>0</v>
      </c>
      <c r="X1662">
        <v>50</v>
      </c>
      <c r="Y1662">
        <v>2</v>
      </c>
      <c r="Z1662">
        <v>0</v>
      </c>
      <c r="AA1662">
        <v>2</v>
      </c>
      <c r="AB1662" t="s">
        <v>36</v>
      </c>
      <c r="AC1662">
        <v>50</v>
      </c>
      <c r="AD1662">
        <v>0.28000000000000003</v>
      </c>
    </row>
    <row r="1663" spans="1:30" x14ac:dyDescent="0.25">
      <c r="A1663" s="1">
        <v>44784.55672453704</v>
      </c>
      <c r="B1663" s="1">
        <v>44784.556192129632</v>
      </c>
      <c r="C1663">
        <v>151702</v>
      </c>
      <c r="D1663" t="s">
        <v>37</v>
      </c>
      <c r="E1663" t="s">
        <v>31</v>
      </c>
      <c r="F1663">
        <v>7</v>
      </c>
      <c r="G1663">
        <v>43.118609999999997</v>
      </c>
      <c r="H1663">
        <v>-71.61618</v>
      </c>
      <c r="I1663">
        <v>885</v>
      </c>
      <c r="J1663">
        <v>0</v>
      </c>
      <c r="K1663">
        <v>0</v>
      </c>
      <c r="L1663" s="1">
        <v>44784.556284722225</v>
      </c>
      <c r="M1663">
        <v>2.7</v>
      </c>
      <c r="N1663">
        <v>2.8</v>
      </c>
      <c r="O1663">
        <v>0.1</v>
      </c>
      <c r="P1663">
        <v>4</v>
      </c>
      <c r="Q1663">
        <v>0.3</v>
      </c>
      <c r="R1663">
        <v>0</v>
      </c>
      <c r="S1663">
        <v>0.15</v>
      </c>
      <c r="T1663" t="s">
        <v>33</v>
      </c>
      <c r="U1663">
        <v>2.75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 t="s">
        <v>38</v>
      </c>
    </row>
    <row r="1664" spans="1:30" x14ac:dyDescent="0.25">
      <c r="A1664" s="1">
        <v>44784.55673611111</v>
      </c>
      <c r="B1664" s="1">
        <v>44784.55609953704</v>
      </c>
      <c r="C1664">
        <v>151700</v>
      </c>
      <c r="D1664" t="s">
        <v>30</v>
      </c>
      <c r="E1664" t="s">
        <v>31</v>
      </c>
      <c r="F1664">
        <v>7</v>
      </c>
      <c r="G1664">
        <v>43.19211</v>
      </c>
      <c r="H1664">
        <v>-71.541460000000001</v>
      </c>
      <c r="I1664">
        <v>286</v>
      </c>
      <c r="J1664">
        <v>83</v>
      </c>
      <c r="K1664">
        <v>0</v>
      </c>
      <c r="L1664" s="1">
        <v>44784.556284722225</v>
      </c>
      <c r="M1664">
        <v>3.8</v>
      </c>
      <c r="N1664">
        <v>4.3</v>
      </c>
      <c r="O1664">
        <v>0.5</v>
      </c>
      <c r="P1664">
        <v>12</v>
      </c>
      <c r="Q1664">
        <v>0.3</v>
      </c>
      <c r="R1664">
        <v>0.1</v>
      </c>
      <c r="S1664">
        <v>0.2</v>
      </c>
      <c r="T1664" t="s">
        <v>33</v>
      </c>
      <c r="U1664">
        <v>4.05</v>
      </c>
      <c r="V1664">
        <v>46</v>
      </c>
      <c r="W1664">
        <v>0</v>
      </c>
      <c r="X1664">
        <v>46</v>
      </c>
      <c r="Y1664">
        <v>2</v>
      </c>
      <c r="Z1664">
        <v>0</v>
      </c>
      <c r="AA1664">
        <v>2</v>
      </c>
      <c r="AB1664" t="s">
        <v>36</v>
      </c>
      <c r="AC1664">
        <v>46</v>
      </c>
      <c r="AD1664">
        <v>1.41</v>
      </c>
    </row>
    <row r="1665" spans="1:30" x14ac:dyDescent="0.25">
      <c r="A1665" s="1">
        <v>44784.55673611111</v>
      </c>
      <c r="B1665" s="1">
        <v>44784.555127314816</v>
      </c>
      <c r="C1665">
        <v>135984</v>
      </c>
      <c r="D1665" t="s">
        <v>39</v>
      </c>
      <c r="E1665" t="s">
        <v>31</v>
      </c>
      <c r="F1665">
        <v>7</v>
      </c>
      <c r="G1665">
        <v>43.565852999999997</v>
      </c>
      <c r="H1665">
        <v>-71.496129999999994</v>
      </c>
      <c r="I1665">
        <v>708</v>
      </c>
      <c r="J1665">
        <v>87</v>
      </c>
      <c r="K1665">
        <v>0</v>
      </c>
      <c r="L1665" s="1">
        <v>44784.556284722225</v>
      </c>
      <c r="M1665">
        <v>2.6</v>
      </c>
      <c r="N1665">
        <v>1.9</v>
      </c>
      <c r="O1665">
        <v>0.7</v>
      </c>
      <c r="P1665">
        <v>31</v>
      </c>
      <c r="Q1665">
        <v>0.1</v>
      </c>
      <c r="R1665">
        <v>0.1</v>
      </c>
      <c r="S1665">
        <v>0.1</v>
      </c>
      <c r="T1665" t="s">
        <v>33</v>
      </c>
      <c r="U1665">
        <v>2.25</v>
      </c>
      <c r="V1665">
        <v>49</v>
      </c>
      <c r="W1665">
        <v>0</v>
      </c>
      <c r="X1665">
        <v>49</v>
      </c>
      <c r="Y1665">
        <v>0</v>
      </c>
      <c r="Z1665">
        <v>0</v>
      </c>
      <c r="AA1665">
        <v>0</v>
      </c>
      <c r="AB1665" t="s">
        <v>36</v>
      </c>
      <c r="AC1665">
        <v>49</v>
      </c>
      <c r="AD1665">
        <v>0.1</v>
      </c>
    </row>
    <row r="1666" spans="1:30" x14ac:dyDescent="0.25">
      <c r="A1666" s="1">
        <v>44784.556805555556</v>
      </c>
      <c r="B1666" s="1">
        <v>44780.394780092596</v>
      </c>
      <c r="C1666">
        <v>151712</v>
      </c>
      <c r="D1666" t="s">
        <v>40</v>
      </c>
      <c r="E1666" t="s">
        <v>31</v>
      </c>
      <c r="F1666">
        <v>7</v>
      </c>
      <c r="G1666">
        <v>43.289763999999998</v>
      </c>
      <c r="H1666">
        <v>-71.564260000000004</v>
      </c>
      <c r="I1666">
        <v>370</v>
      </c>
      <c r="J1666">
        <v>86</v>
      </c>
      <c r="K1666">
        <v>0</v>
      </c>
      <c r="L1666" s="1">
        <v>44784.556284722225</v>
      </c>
      <c r="M1666">
        <v>14</v>
      </c>
      <c r="N1666">
        <v>13.2</v>
      </c>
      <c r="O1666">
        <v>0.8</v>
      </c>
      <c r="P1666">
        <v>6</v>
      </c>
      <c r="Q1666">
        <v>0</v>
      </c>
      <c r="R1666">
        <v>0</v>
      </c>
      <c r="S1666">
        <v>0</v>
      </c>
      <c r="T1666" t="s">
        <v>32</v>
      </c>
      <c r="V1666">
        <v>59</v>
      </c>
      <c r="W1666">
        <v>0</v>
      </c>
      <c r="X1666">
        <v>59</v>
      </c>
      <c r="Y1666">
        <v>0</v>
      </c>
      <c r="Z1666">
        <v>0</v>
      </c>
      <c r="AA1666">
        <v>0</v>
      </c>
      <c r="AB1666" t="s">
        <v>36</v>
      </c>
      <c r="AC1666">
        <v>59</v>
      </c>
    </row>
    <row r="1667" spans="1:30" x14ac:dyDescent="0.25">
      <c r="A1667" s="1">
        <v>44784.556817129633</v>
      </c>
      <c r="B1667" s="1">
        <v>44784.555833333332</v>
      </c>
      <c r="C1667">
        <v>151710</v>
      </c>
      <c r="D1667" t="s">
        <v>41</v>
      </c>
      <c r="E1667" t="s">
        <v>31</v>
      </c>
      <c r="F1667">
        <v>7</v>
      </c>
      <c r="G1667">
        <v>43.132477000000002</v>
      </c>
      <c r="H1667">
        <v>-71.458374000000006</v>
      </c>
      <c r="I1667">
        <v>230</v>
      </c>
      <c r="J1667">
        <v>89</v>
      </c>
      <c r="K1667">
        <v>0</v>
      </c>
      <c r="L1667" s="1">
        <v>44784.556284722225</v>
      </c>
      <c r="M1667">
        <v>4.5</v>
      </c>
      <c r="N1667">
        <v>3.4</v>
      </c>
      <c r="O1667">
        <v>1.1000000000000001</v>
      </c>
      <c r="P1667">
        <v>28</v>
      </c>
      <c r="Q1667">
        <v>0.1</v>
      </c>
      <c r="R1667">
        <v>0.3</v>
      </c>
      <c r="S1667">
        <v>0.2</v>
      </c>
      <c r="T1667" t="s">
        <v>33</v>
      </c>
      <c r="U1667">
        <v>3.95</v>
      </c>
      <c r="V1667">
        <v>34</v>
      </c>
      <c r="W1667">
        <v>0</v>
      </c>
      <c r="X1667">
        <v>34</v>
      </c>
      <c r="Y1667">
        <v>3</v>
      </c>
      <c r="Z1667">
        <v>0</v>
      </c>
      <c r="AA1667">
        <v>3</v>
      </c>
      <c r="AB1667" t="s">
        <v>36</v>
      </c>
      <c r="AC1667">
        <v>34</v>
      </c>
      <c r="AD1667">
        <v>2.19</v>
      </c>
    </row>
    <row r="1668" spans="1:30" x14ac:dyDescent="0.25">
      <c r="A1668" s="1">
        <v>44784.556817129633</v>
      </c>
      <c r="B1668" s="1">
        <v>44784.555486111109</v>
      </c>
      <c r="C1668">
        <v>151706</v>
      </c>
      <c r="D1668" t="s">
        <v>42</v>
      </c>
      <c r="E1668" t="s">
        <v>31</v>
      </c>
      <c r="F1668">
        <v>7</v>
      </c>
      <c r="G1668">
        <v>43.004080000000002</v>
      </c>
      <c r="H1668">
        <v>-71.177040000000005</v>
      </c>
      <c r="I1668">
        <v>194</v>
      </c>
      <c r="J1668">
        <v>93</v>
      </c>
      <c r="K1668">
        <v>0</v>
      </c>
      <c r="L1668" s="1">
        <v>44784.556284722225</v>
      </c>
      <c r="M1668">
        <v>5.8</v>
      </c>
      <c r="N1668">
        <v>0</v>
      </c>
      <c r="O1668">
        <v>5.8</v>
      </c>
      <c r="P1668">
        <v>200</v>
      </c>
      <c r="Q1668">
        <v>0.1</v>
      </c>
      <c r="R1668">
        <v>0</v>
      </c>
      <c r="S1668">
        <v>0.05</v>
      </c>
      <c r="T1668" t="s">
        <v>43</v>
      </c>
      <c r="V1668">
        <v>36</v>
      </c>
      <c r="W1668">
        <v>0</v>
      </c>
      <c r="X1668">
        <v>36</v>
      </c>
      <c r="Y1668">
        <v>1</v>
      </c>
      <c r="Z1668">
        <v>0</v>
      </c>
      <c r="AA1668">
        <v>1</v>
      </c>
      <c r="AB1668" t="s">
        <v>36</v>
      </c>
      <c r="AC1668">
        <v>36</v>
      </c>
    </row>
    <row r="1669" spans="1:30" x14ac:dyDescent="0.25">
      <c r="A1669" s="1">
        <v>44784.556828703702</v>
      </c>
      <c r="B1669" s="1">
        <v>44784.555243055554</v>
      </c>
      <c r="C1669">
        <v>12212</v>
      </c>
      <c r="D1669" t="s">
        <v>44</v>
      </c>
      <c r="E1669" t="s">
        <v>35</v>
      </c>
      <c r="F1669">
        <v>7</v>
      </c>
      <c r="G1669">
        <v>42.930529999999997</v>
      </c>
      <c r="H1669">
        <v>-72.272350000000003</v>
      </c>
      <c r="I1669">
        <v>476</v>
      </c>
      <c r="J1669">
        <v>90</v>
      </c>
      <c r="K1669">
        <v>0</v>
      </c>
      <c r="L1669" s="1">
        <v>44784.556284722225</v>
      </c>
      <c r="M1669">
        <v>4</v>
      </c>
      <c r="N1669">
        <v>3.6</v>
      </c>
      <c r="O1669">
        <v>0.4</v>
      </c>
      <c r="P1669">
        <v>11</v>
      </c>
      <c r="Q1669">
        <v>0.2</v>
      </c>
      <c r="R1669">
        <v>0.1</v>
      </c>
      <c r="S1669">
        <v>0.15</v>
      </c>
      <c r="T1669" t="s">
        <v>33</v>
      </c>
      <c r="U1669">
        <v>3.8</v>
      </c>
      <c r="V1669">
        <v>30</v>
      </c>
      <c r="W1669">
        <v>0</v>
      </c>
      <c r="X1669">
        <v>30</v>
      </c>
      <c r="Y1669">
        <v>0</v>
      </c>
      <c r="Z1669">
        <v>0</v>
      </c>
      <c r="AA1669">
        <v>0</v>
      </c>
      <c r="AB1669" t="s">
        <v>36</v>
      </c>
      <c r="AC1669">
        <v>30</v>
      </c>
      <c r="AD1669">
        <v>2.38</v>
      </c>
    </row>
    <row r="1670" spans="1:30" x14ac:dyDescent="0.25">
      <c r="A1670" s="1">
        <v>44784.556828703702</v>
      </c>
      <c r="B1670" s="1">
        <v>44769.376736111109</v>
      </c>
      <c r="C1670">
        <v>12178</v>
      </c>
      <c r="D1670" t="s">
        <v>45</v>
      </c>
      <c r="E1670" t="s">
        <v>35</v>
      </c>
      <c r="F1670">
        <v>7</v>
      </c>
      <c r="G1670">
        <v>42.899563000000001</v>
      </c>
      <c r="H1670">
        <v>-71.464650000000006</v>
      </c>
      <c r="I1670">
        <v>301</v>
      </c>
      <c r="J1670">
        <v>85</v>
      </c>
      <c r="K1670">
        <v>0</v>
      </c>
      <c r="L1670" s="1">
        <v>44784.556284722225</v>
      </c>
      <c r="M1670">
        <v>3.8</v>
      </c>
      <c r="N1670">
        <v>3.1</v>
      </c>
      <c r="O1670">
        <v>0.7</v>
      </c>
      <c r="P1670">
        <v>20</v>
      </c>
      <c r="Q1670">
        <v>0</v>
      </c>
      <c r="R1670">
        <v>0</v>
      </c>
      <c r="S1670">
        <v>0</v>
      </c>
      <c r="T1670" t="s">
        <v>32</v>
      </c>
      <c r="V1670">
        <v>35</v>
      </c>
      <c r="W1670">
        <v>0</v>
      </c>
      <c r="X1670">
        <v>35</v>
      </c>
      <c r="Y1670">
        <v>0</v>
      </c>
      <c r="Z1670">
        <v>0</v>
      </c>
      <c r="AA1670">
        <v>0</v>
      </c>
      <c r="AB1670" t="s">
        <v>36</v>
      </c>
      <c r="AC1670">
        <v>35</v>
      </c>
    </row>
    <row r="1671" spans="1:30" x14ac:dyDescent="0.25">
      <c r="A1671" s="1">
        <v>44784.556840277779</v>
      </c>
      <c r="B1671" s="1">
        <v>44784.555937500001</v>
      </c>
      <c r="C1671">
        <v>75981</v>
      </c>
      <c r="D1671" t="s">
        <v>46</v>
      </c>
      <c r="E1671" t="s">
        <v>35</v>
      </c>
      <c r="F1671">
        <v>7</v>
      </c>
      <c r="G1671">
        <v>42.97</v>
      </c>
      <c r="H1671">
        <v>-71.06</v>
      </c>
      <c r="I1671">
        <v>136</v>
      </c>
      <c r="J1671">
        <v>86</v>
      </c>
      <c r="K1671">
        <v>0</v>
      </c>
      <c r="L1671" s="1">
        <v>44784.556284722225</v>
      </c>
      <c r="M1671">
        <v>9.5</v>
      </c>
      <c r="N1671">
        <v>9.1999999999999993</v>
      </c>
      <c r="O1671">
        <v>0.3</v>
      </c>
      <c r="P1671">
        <v>3</v>
      </c>
      <c r="Q1671">
        <v>0</v>
      </c>
      <c r="R1671">
        <v>0.1</v>
      </c>
      <c r="S1671">
        <v>0.05</v>
      </c>
      <c r="T1671" t="s">
        <v>33</v>
      </c>
      <c r="U1671">
        <v>9.35</v>
      </c>
      <c r="V1671">
        <v>50</v>
      </c>
      <c r="W1671">
        <v>0</v>
      </c>
      <c r="X1671">
        <v>50</v>
      </c>
      <c r="Y1671">
        <v>2</v>
      </c>
      <c r="Z1671">
        <v>0</v>
      </c>
      <c r="AA1671">
        <v>2</v>
      </c>
      <c r="AB1671" t="s">
        <v>36</v>
      </c>
      <c r="AC1671">
        <v>50</v>
      </c>
      <c r="AD1671">
        <v>4.3600000000000003</v>
      </c>
    </row>
    <row r="1672" spans="1:30" x14ac:dyDescent="0.25">
      <c r="A1672" s="1">
        <v>44784.556840277779</v>
      </c>
      <c r="B1672" s="1">
        <v>44784.555081018516</v>
      </c>
      <c r="C1672">
        <v>115703</v>
      </c>
      <c r="D1672" t="s">
        <v>47</v>
      </c>
      <c r="E1672" t="s">
        <v>35</v>
      </c>
      <c r="F1672">
        <v>7</v>
      </c>
      <c r="G1672">
        <v>43.953625000000002</v>
      </c>
      <c r="H1672">
        <v>-71.508859999999999</v>
      </c>
      <c r="I1672">
        <v>1493</v>
      </c>
      <c r="J1672">
        <v>89</v>
      </c>
      <c r="K1672">
        <v>0</v>
      </c>
      <c r="L1672" s="1">
        <v>44784.556284722225</v>
      </c>
      <c r="M1672">
        <v>0</v>
      </c>
      <c r="N1672">
        <v>311.39999999999998</v>
      </c>
      <c r="O1672">
        <v>311.39999999999998</v>
      </c>
      <c r="P1672">
        <v>200</v>
      </c>
      <c r="Q1672">
        <v>0</v>
      </c>
      <c r="R1672">
        <v>0</v>
      </c>
      <c r="S1672">
        <v>0</v>
      </c>
      <c r="T1672" t="s">
        <v>48</v>
      </c>
      <c r="V1672">
        <v>31</v>
      </c>
      <c r="W1672">
        <v>0</v>
      </c>
      <c r="X1672">
        <v>31</v>
      </c>
      <c r="Y1672">
        <v>1</v>
      </c>
      <c r="Z1672">
        <v>0</v>
      </c>
      <c r="AA1672">
        <v>1</v>
      </c>
      <c r="AB1672" t="s">
        <v>36</v>
      </c>
      <c r="AC1672">
        <v>31</v>
      </c>
    </row>
    <row r="1673" spans="1:30" x14ac:dyDescent="0.25">
      <c r="A1673" s="1">
        <v>44784.556840277779</v>
      </c>
      <c r="B1673" s="1">
        <v>44784.555891203701</v>
      </c>
      <c r="C1673">
        <v>12050</v>
      </c>
      <c r="D1673" t="s">
        <v>49</v>
      </c>
      <c r="E1673" t="s">
        <v>35</v>
      </c>
      <c r="F1673">
        <v>7</v>
      </c>
      <c r="G1673">
        <v>44.220573000000002</v>
      </c>
      <c r="H1673">
        <v>-71.732315</v>
      </c>
      <c r="I1673">
        <v>999</v>
      </c>
      <c r="J1673">
        <v>91</v>
      </c>
      <c r="K1673">
        <v>0</v>
      </c>
      <c r="L1673" s="1">
        <v>44784.556284722225</v>
      </c>
      <c r="M1673">
        <v>2.8</v>
      </c>
      <c r="N1673">
        <v>2.6</v>
      </c>
      <c r="O1673">
        <v>0.2</v>
      </c>
      <c r="P1673">
        <v>7</v>
      </c>
      <c r="Q1673">
        <v>0</v>
      </c>
      <c r="R1673">
        <v>0</v>
      </c>
      <c r="S1673">
        <v>0</v>
      </c>
      <c r="T1673" t="s">
        <v>33</v>
      </c>
      <c r="U1673">
        <v>2.7</v>
      </c>
      <c r="V1673">
        <v>30</v>
      </c>
      <c r="W1673">
        <v>0</v>
      </c>
      <c r="X1673">
        <v>30</v>
      </c>
      <c r="Y1673">
        <v>0</v>
      </c>
      <c r="Z1673">
        <v>0</v>
      </c>
      <c r="AA1673">
        <v>0</v>
      </c>
      <c r="AB1673" t="s">
        <v>36</v>
      </c>
      <c r="AC1673">
        <v>30</v>
      </c>
      <c r="AD1673">
        <v>1.71</v>
      </c>
    </row>
    <row r="1674" spans="1:30" x14ac:dyDescent="0.25">
      <c r="A1674" s="1">
        <v>44784.556851851848</v>
      </c>
      <c r="B1674" s="1">
        <v>44784.555995370371</v>
      </c>
      <c r="C1674">
        <v>23443</v>
      </c>
      <c r="D1674" t="s">
        <v>50</v>
      </c>
      <c r="E1674" t="s">
        <v>35</v>
      </c>
      <c r="F1674">
        <v>7</v>
      </c>
      <c r="G1674">
        <v>43.556139999999999</v>
      </c>
      <c r="H1674">
        <v>-72.370990000000006</v>
      </c>
      <c r="I1674">
        <v>523</v>
      </c>
      <c r="J1674">
        <v>98</v>
      </c>
      <c r="K1674">
        <v>0</v>
      </c>
      <c r="L1674" s="1">
        <v>44784.556284722225</v>
      </c>
      <c r="M1674">
        <v>2.5</v>
      </c>
      <c r="N1674">
        <v>2.2999999999999998</v>
      </c>
      <c r="O1674">
        <v>0.2</v>
      </c>
      <c r="P1674">
        <v>8</v>
      </c>
      <c r="Q1674">
        <v>0</v>
      </c>
      <c r="R1674">
        <v>0.1</v>
      </c>
      <c r="S1674">
        <v>0.05</v>
      </c>
      <c r="T1674" t="s">
        <v>33</v>
      </c>
      <c r="U1674">
        <v>2.4</v>
      </c>
      <c r="V1674">
        <v>26</v>
      </c>
      <c r="W1674">
        <v>0</v>
      </c>
      <c r="X1674">
        <v>26</v>
      </c>
      <c r="Y1674">
        <v>3</v>
      </c>
      <c r="Z1674">
        <v>0</v>
      </c>
      <c r="AA1674">
        <v>3</v>
      </c>
      <c r="AB1674" t="s">
        <v>36</v>
      </c>
      <c r="AC1674">
        <v>26</v>
      </c>
      <c r="AD1674">
        <v>1.8</v>
      </c>
    </row>
    <row r="1675" spans="1:30" x14ac:dyDescent="0.25">
      <c r="A1675" s="1">
        <v>44784.556851851848</v>
      </c>
      <c r="B1675" s="1">
        <v>44784.556111111109</v>
      </c>
      <c r="C1675">
        <v>58135</v>
      </c>
      <c r="D1675" t="s">
        <v>51</v>
      </c>
      <c r="E1675" t="s">
        <v>35</v>
      </c>
      <c r="F1675">
        <v>7</v>
      </c>
      <c r="G1675">
        <v>42.883873000000001</v>
      </c>
      <c r="H1675">
        <v>-71.972915999999998</v>
      </c>
      <c r="I1675">
        <v>808</v>
      </c>
      <c r="J1675">
        <v>88</v>
      </c>
      <c r="K1675">
        <v>0</v>
      </c>
      <c r="L1675" s="1">
        <v>44784.556284722225</v>
      </c>
      <c r="M1675">
        <v>3.1</v>
      </c>
      <c r="N1675">
        <v>2</v>
      </c>
      <c r="O1675">
        <v>1.1000000000000001</v>
      </c>
      <c r="P1675">
        <v>43</v>
      </c>
      <c r="Q1675">
        <v>0</v>
      </c>
      <c r="R1675">
        <v>0.1</v>
      </c>
      <c r="S1675">
        <v>0.05</v>
      </c>
      <c r="T1675" t="s">
        <v>33</v>
      </c>
      <c r="U1675">
        <v>2.5499999999999998</v>
      </c>
      <c r="V1675">
        <v>35</v>
      </c>
      <c r="W1675">
        <v>0</v>
      </c>
      <c r="X1675">
        <v>35</v>
      </c>
      <c r="Y1675">
        <v>1</v>
      </c>
      <c r="Z1675">
        <v>0</v>
      </c>
      <c r="AA1675">
        <v>1</v>
      </c>
      <c r="AB1675" t="s">
        <v>36</v>
      </c>
      <c r="AC1675">
        <v>35</v>
      </c>
      <c r="AD1675">
        <v>1.27</v>
      </c>
    </row>
    <row r="1676" spans="1:30" x14ac:dyDescent="0.25">
      <c r="A1676" s="1">
        <v>44784.556851851848</v>
      </c>
      <c r="B1676" s="1">
        <v>44784.556122685186</v>
      </c>
      <c r="C1676">
        <v>148555</v>
      </c>
      <c r="D1676" t="s">
        <v>52</v>
      </c>
      <c r="E1676" t="s">
        <v>53</v>
      </c>
      <c r="F1676">
        <v>7</v>
      </c>
      <c r="G1676">
        <v>42.904949999999999</v>
      </c>
      <c r="H1676">
        <v>-71.386764999999997</v>
      </c>
      <c r="I1676">
        <v>363</v>
      </c>
      <c r="J1676">
        <v>0</v>
      </c>
      <c r="K1676">
        <v>0</v>
      </c>
      <c r="L1676" s="1">
        <v>44784.556284722225</v>
      </c>
      <c r="M1676">
        <v>1.5</v>
      </c>
      <c r="N1676">
        <v>1.4</v>
      </c>
      <c r="O1676">
        <v>0.1</v>
      </c>
      <c r="P1676">
        <v>7</v>
      </c>
      <c r="Q1676">
        <v>0.2</v>
      </c>
      <c r="R1676">
        <v>0.1</v>
      </c>
      <c r="S1676">
        <v>0.15</v>
      </c>
      <c r="T1676" t="s">
        <v>33</v>
      </c>
      <c r="U1676">
        <v>1.45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0</v>
      </c>
      <c r="AB1676" t="s">
        <v>38</v>
      </c>
    </row>
    <row r="1677" spans="1:30" x14ac:dyDescent="0.25">
      <c r="A1677" s="1">
        <v>44784.556863425925</v>
      </c>
      <c r="B1677" s="1">
        <v>44784.555613425924</v>
      </c>
      <c r="C1677">
        <v>146644</v>
      </c>
      <c r="D1677" t="s">
        <v>54</v>
      </c>
      <c r="E1677" t="s">
        <v>53</v>
      </c>
      <c r="F1677">
        <v>7</v>
      </c>
      <c r="G1677">
        <v>43.06015</v>
      </c>
      <c r="H1677">
        <v>-70.758930000000007</v>
      </c>
      <c r="I1677">
        <v>35</v>
      </c>
      <c r="J1677">
        <v>84</v>
      </c>
      <c r="K1677">
        <v>86</v>
      </c>
      <c r="L1677" s="1">
        <v>44784.556284722225</v>
      </c>
      <c r="M1677">
        <v>14</v>
      </c>
      <c r="N1677">
        <v>13.5</v>
      </c>
      <c r="O1677">
        <v>0.5</v>
      </c>
      <c r="P1677">
        <v>4</v>
      </c>
      <c r="Q1677">
        <v>0.2</v>
      </c>
      <c r="R1677">
        <v>0.3</v>
      </c>
      <c r="S1677">
        <v>0.25</v>
      </c>
      <c r="T1677" t="s">
        <v>33</v>
      </c>
      <c r="U1677">
        <v>13.75</v>
      </c>
      <c r="V1677">
        <v>48</v>
      </c>
      <c r="W1677">
        <v>54</v>
      </c>
      <c r="X1677">
        <v>6</v>
      </c>
      <c r="Y1677">
        <v>3</v>
      </c>
      <c r="Z1677">
        <v>2</v>
      </c>
      <c r="AA1677">
        <v>1</v>
      </c>
      <c r="AB1677" t="s">
        <v>33</v>
      </c>
      <c r="AC1677">
        <v>51</v>
      </c>
      <c r="AD1677">
        <v>6.98</v>
      </c>
    </row>
    <row r="1678" spans="1:30" x14ac:dyDescent="0.25">
      <c r="A1678" s="1">
        <v>44784.556863425925</v>
      </c>
      <c r="B1678" s="1">
        <v>43755.283437500002</v>
      </c>
      <c r="C1678">
        <v>12188</v>
      </c>
      <c r="D1678" t="s">
        <v>55</v>
      </c>
      <c r="E1678" t="s">
        <v>35</v>
      </c>
      <c r="F1678">
        <v>4.1100000000000003</v>
      </c>
      <c r="G1678">
        <v>42.927050000000001</v>
      </c>
      <c r="H1678">
        <v>-72.279610000000005</v>
      </c>
      <c r="I1678">
        <v>475</v>
      </c>
      <c r="J1678">
        <v>95</v>
      </c>
      <c r="K1678">
        <v>0</v>
      </c>
      <c r="L1678" s="1">
        <v>44784.556284722225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 t="s">
        <v>32</v>
      </c>
      <c r="V1678">
        <v>77</v>
      </c>
      <c r="W1678">
        <v>0</v>
      </c>
      <c r="X1678">
        <v>77</v>
      </c>
      <c r="Y1678">
        <v>0</v>
      </c>
      <c r="Z1678">
        <v>0</v>
      </c>
      <c r="AA1678">
        <v>0</v>
      </c>
      <c r="AB1678" t="s">
        <v>36</v>
      </c>
      <c r="AC1678">
        <v>77</v>
      </c>
    </row>
    <row r="1679" spans="1:30" x14ac:dyDescent="0.25">
      <c r="A1679" s="1">
        <v>44784.556863425925</v>
      </c>
      <c r="B1679" s="1">
        <v>44784.555995370371</v>
      </c>
      <c r="C1679">
        <v>1224</v>
      </c>
      <c r="D1679" t="s">
        <v>56</v>
      </c>
      <c r="E1679" t="s">
        <v>35</v>
      </c>
      <c r="F1679" t="s">
        <v>57</v>
      </c>
      <c r="G1679">
        <v>42.938034000000002</v>
      </c>
      <c r="H1679">
        <v>-72.259299999999996</v>
      </c>
      <c r="I1679">
        <v>792</v>
      </c>
      <c r="J1679">
        <v>94</v>
      </c>
      <c r="K1679">
        <v>0</v>
      </c>
      <c r="L1679" s="1">
        <v>44784.556284722225</v>
      </c>
      <c r="M1679">
        <v>4</v>
      </c>
      <c r="N1679">
        <v>0</v>
      </c>
      <c r="O1679">
        <v>4</v>
      </c>
      <c r="P1679">
        <v>200</v>
      </c>
      <c r="Q1679">
        <v>0.2</v>
      </c>
      <c r="R1679">
        <v>0</v>
      </c>
      <c r="S1679">
        <v>0.1</v>
      </c>
      <c r="T1679" t="s">
        <v>43</v>
      </c>
      <c r="V1679">
        <v>35</v>
      </c>
      <c r="W1679">
        <v>0</v>
      </c>
      <c r="X1679">
        <v>35</v>
      </c>
      <c r="Y1679">
        <v>2</v>
      </c>
      <c r="Z1679">
        <v>0</v>
      </c>
      <c r="AA1679">
        <v>2</v>
      </c>
      <c r="AB1679" t="s">
        <v>36</v>
      </c>
      <c r="AC1679">
        <v>35</v>
      </c>
    </row>
    <row r="1680" spans="1:30" x14ac:dyDescent="0.25">
      <c r="A1680" s="1">
        <v>44784.556875000002</v>
      </c>
      <c r="B1680" s="1">
        <v>44784.555439814816</v>
      </c>
      <c r="C1680">
        <v>1202</v>
      </c>
      <c r="D1680" t="s">
        <v>58</v>
      </c>
      <c r="E1680" t="s">
        <v>35</v>
      </c>
      <c r="F1680" t="s">
        <v>57</v>
      </c>
      <c r="G1680">
        <v>42.936554000000001</v>
      </c>
      <c r="H1680">
        <v>-72.271019999999993</v>
      </c>
      <c r="I1680">
        <v>488</v>
      </c>
      <c r="J1680">
        <v>0</v>
      </c>
      <c r="K1680">
        <v>0</v>
      </c>
      <c r="L1680" s="1">
        <v>44784.556284722225</v>
      </c>
      <c r="M1680">
        <v>4.5</v>
      </c>
      <c r="N1680">
        <v>3.9</v>
      </c>
      <c r="O1680">
        <v>0.6</v>
      </c>
      <c r="P1680">
        <v>14</v>
      </c>
      <c r="Q1680">
        <v>0</v>
      </c>
      <c r="R1680">
        <v>0.1</v>
      </c>
      <c r="S1680">
        <v>0.05</v>
      </c>
      <c r="T1680" t="s">
        <v>33</v>
      </c>
      <c r="U1680">
        <v>4.2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 t="s">
        <v>38</v>
      </c>
    </row>
    <row r="1681" spans="1:30" x14ac:dyDescent="0.25">
      <c r="A1681" s="1">
        <v>44784.556875000002</v>
      </c>
      <c r="B1681" s="1">
        <v>44612.080023148148</v>
      </c>
      <c r="C1681">
        <v>25985</v>
      </c>
      <c r="D1681" t="s">
        <v>59</v>
      </c>
      <c r="E1681" t="s">
        <v>35</v>
      </c>
      <c r="F1681">
        <v>6.01</v>
      </c>
      <c r="G1681">
        <v>42.927326000000001</v>
      </c>
      <c r="H1681">
        <v>-72.279979999999995</v>
      </c>
      <c r="I1681">
        <v>477</v>
      </c>
      <c r="J1681">
        <v>78</v>
      </c>
      <c r="K1681">
        <v>0</v>
      </c>
      <c r="L1681" s="1">
        <v>44784.556284722225</v>
      </c>
      <c r="M1681">
        <v>1.1000000000000001</v>
      </c>
      <c r="N1681">
        <v>1</v>
      </c>
      <c r="O1681">
        <v>0.1</v>
      </c>
      <c r="P1681">
        <v>10</v>
      </c>
      <c r="Q1681">
        <v>0</v>
      </c>
      <c r="R1681">
        <v>0</v>
      </c>
      <c r="S1681">
        <v>0</v>
      </c>
      <c r="T1681" t="s">
        <v>32</v>
      </c>
      <c r="V1681">
        <v>22</v>
      </c>
      <c r="W1681">
        <v>0</v>
      </c>
      <c r="X1681">
        <v>22</v>
      </c>
      <c r="Y1681">
        <v>0</v>
      </c>
      <c r="Z1681">
        <v>0</v>
      </c>
      <c r="AA1681">
        <v>0</v>
      </c>
      <c r="AB1681" t="s">
        <v>36</v>
      </c>
      <c r="AC1681">
        <v>22</v>
      </c>
    </row>
    <row r="1682" spans="1:30" x14ac:dyDescent="0.25">
      <c r="A1682" s="1">
        <v>44784.563240740739</v>
      </c>
      <c r="B1682" s="1">
        <v>44775.701319444444</v>
      </c>
      <c r="C1682">
        <v>151708</v>
      </c>
      <c r="D1682" t="s">
        <v>30</v>
      </c>
      <c r="E1682" t="s">
        <v>31</v>
      </c>
      <c r="F1682">
        <v>7</v>
      </c>
      <c r="G1682">
        <v>43.192042999999998</v>
      </c>
      <c r="H1682">
        <v>-71.541579999999996</v>
      </c>
      <c r="I1682">
        <v>291</v>
      </c>
      <c r="J1682">
        <v>93</v>
      </c>
      <c r="K1682">
        <v>94</v>
      </c>
      <c r="L1682" s="1">
        <v>44784.56322916667</v>
      </c>
      <c r="M1682">
        <v>7.9</v>
      </c>
      <c r="N1682">
        <v>7.6</v>
      </c>
      <c r="O1682">
        <v>0.3</v>
      </c>
      <c r="P1682">
        <v>4</v>
      </c>
      <c r="Q1682">
        <v>0</v>
      </c>
      <c r="R1682">
        <v>0</v>
      </c>
      <c r="S1682">
        <v>0</v>
      </c>
      <c r="T1682" t="s">
        <v>32</v>
      </c>
      <c r="V1682">
        <v>42</v>
      </c>
      <c r="W1682">
        <v>41</v>
      </c>
      <c r="X1682">
        <v>1</v>
      </c>
      <c r="Y1682">
        <v>0</v>
      </c>
      <c r="Z1682">
        <v>0</v>
      </c>
      <c r="AA1682">
        <v>0</v>
      </c>
      <c r="AB1682" t="s">
        <v>33</v>
      </c>
      <c r="AC1682">
        <v>41.5</v>
      </c>
    </row>
    <row r="1683" spans="1:30" x14ac:dyDescent="0.25">
      <c r="A1683" s="1">
        <v>44784.563252314816</v>
      </c>
      <c r="B1683" s="1">
        <v>44784.561597222222</v>
      </c>
      <c r="C1683">
        <v>143456</v>
      </c>
      <c r="D1683" t="s">
        <v>34</v>
      </c>
      <c r="E1683" t="s">
        <v>35</v>
      </c>
      <c r="F1683">
        <v>7</v>
      </c>
      <c r="G1683">
        <v>43.08963</v>
      </c>
      <c r="H1683">
        <v>-71.502440000000007</v>
      </c>
      <c r="I1683">
        <v>619</v>
      </c>
      <c r="J1683">
        <v>83</v>
      </c>
      <c r="K1683">
        <v>0</v>
      </c>
      <c r="L1683" s="1">
        <v>44784.56322916667</v>
      </c>
      <c r="M1683">
        <v>2.4</v>
      </c>
      <c r="N1683">
        <v>3</v>
      </c>
      <c r="O1683">
        <v>0.6</v>
      </c>
      <c r="P1683">
        <v>22</v>
      </c>
      <c r="Q1683">
        <v>0</v>
      </c>
      <c r="R1683">
        <v>0.1</v>
      </c>
      <c r="S1683">
        <v>0.05</v>
      </c>
      <c r="T1683" t="s">
        <v>33</v>
      </c>
      <c r="U1683">
        <v>2.7</v>
      </c>
      <c r="V1683">
        <v>47</v>
      </c>
      <c r="W1683">
        <v>0</v>
      </c>
      <c r="X1683">
        <v>47</v>
      </c>
      <c r="Y1683">
        <v>3</v>
      </c>
      <c r="Z1683">
        <v>0</v>
      </c>
      <c r="AA1683">
        <v>3</v>
      </c>
      <c r="AB1683" t="s">
        <v>36</v>
      </c>
      <c r="AC1683">
        <v>47</v>
      </c>
      <c r="AD1683">
        <v>0.52</v>
      </c>
    </row>
    <row r="1684" spans="1:30" x14ac:dyDescent="0.25">
      <c r="A1684" s="1">
        <v>44784.563252314816</v>
      </c>
      <c r="B1684" s="1">
        <v>44784.561747685184</v>
      </c>
      <c r="C1684">
        <v>151702</v>
      </c>
      <c r="D1684" t="s">
        <v>37</v>
      </c>
      <c r="E1684" t="s">
        <v>31</v>
      </c>
      <c r="F1684">
        <v>7</v>
      </c>
      <c r="G1684">
        <v>43.118609999999997</v>
      </c>
      <c r="H1684">
        <v>-71.61618</v>
      </c>
      <c r="I1684">
        <v>885</v>
      </c>
      <c r="J1684">
        <v>0</v>
      </c>
      <c r="K1684">
        <v>0</v>
      </c>
      <c r="L1684" s="1">
        <v>44784.56322916667</v>
      </c>
      <c r="M1684">
        <v>2.6</v>
      </c>
      <c r="N1684">
        <v>2.6</v>
      </c>
      <c r="O1684">
        <v>0</v>
      </c>
      <c r="P1684">
        <v>0</v>
      </c>
      <c r="Q1684">
        <v>0.1</v>
      </c>
      <c r="R1684">
        <v>0.2</v>
      </c>
      <c r="S1684">
        <v>0.15</v>
      </c>
      <c r="T1684" t="s">
        <v>33</v>
      </c>
      <c r="U1684">
        <v>2.6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 t="s">
        <v>38</v>
      </c>
    </row>
    <row r="1685" spans="1:30" x14ac:dyDescent="0.25">
      <c r="A1685" s="1">
        <v>44784.563263888886</v>
      </c>
      <c r="B1685" s="1">
        <v>44784.561643518522</v>
      </c>
      <c r="C1685">
        <v>151700</v>
      </c>
      <c r="D1685" t="s">
        <v>30</v>
      </c>
      <c r="E1685" t="s">
        <v>31</v>
      </c>
      <c r="F1685">
        <v>7</v>
      </c>
      <c r="G1685">
        <v>43.19211</v>
      </c>
      <c r="H1685">
        <v>-71.541460000000001</v>
      </c>
      <c r="I1685">
        <v>286</v>
      </c>
      <c r="J1685">
        <v>84</v>
      </c>
      <c r="K1685">
        <v>0</v>
      </c>
      <c r="L1685" s="1">
        <v>44784.56322916667</v>
      </c>
      <c r="M1685">
        <v>3.4</v>
      </c>
      <c r="N1685">
        <v>3.9</v>
      </c>
      <c r="O1685">
        <v>0.5</v>
      </c>
      <c r="P1685">
        <v>14</v>
      </c>
      <c r="Q1685">
        <v>0.4</v>
      </c>
      <c r="R1685">
        <v>0.4</v>
      </c>
      <c r="S1685">
        <v>0.4</v>
      </c>
      <c r="T1685" t="s">
        <v>33</v>
      </c>
      <c r="U1685">
        <v>3.65</v>
      </c>
      <c r="V1685">
        <v>44</v>
      </c>
      <c r="W1685">
        <v>0</v>
      </c>
      <c r="X1685">
        <v>44</v>
      </c>
      <c r="Y1685">
        <v>2</v>
      </c>
      <c r="Z1685">
        <v>0</v>
      </c>
      <c r="AA1685">
        <v>2</v>
      </c>
      <c r="AB1685" t="s">
        <v>36</v>
      </c>
      <c r="AC1685">
        <v>44</v>
      </c>
      <c r="AD1685">
        <v>1.31</v>
      </c>
    </row>
    <row r="1686" spans="1:30" x14ac:dyDescent="0.25">
      <c r="A1686" s="1">
        <v>44784.563263888886</v>
      </c>
      <c r="B1686" s="1">
        <v>44784.562071759261</v>
      </c>
      <c r="C1686">
        <v>135984</v>
      </c>
      <c r="D1686" t="s">
        <v>39</v>
      </c>
      <c r="E1686" t="s">
        <v>31</v>
      </c>
      <c r="F1686">
        <v>7</v>
      </c>
      <c r="G1686">
        <v>43.565852999999997</v>
      </c>
      <c r="H1686">
        <v>-71.496129999999994</v>
      </c>
      <c r="I1686">
        <v>708</v>
      </c>
      <c r="J1686">
        <v>87</v>
      </c>
      <c r="K1686">
        <v>0</v>
      </c>
      <c r="L1686" s="1">
        <v>44784.56322916667</v>
      </c>
      <c r="M1686">
        <v>2.5</v>
      </c>
      <c r="N1686">
        <v>1.9</v>
      </c>
      <c r="O1686">
        <v>0.6</v>
      </c>
      <c r="P1686">
        <v>27</v>
      </c>
      <c r="Q1686">
        <v>0.1</v>
      </c>
      <c r="R1686">
        <v>0</v>
      </c>
      <c r="S1686">
        <v>0.05</v>
      </c>
      <c r="T1686" t="s">
        <v>33</v>
      </c>
      <c r="U1686">
        <v>2.2000000000000002</v>
      </c>
      <c r="V1686">
        <v>47</v>
      </c>
      <c r="W1686">
        <v>0</v>
      </c>
      <c r="X1686">
        <v>47</v>
      </c>
      <c r="Y1686">
        <v>2</v>
      </c>
      <c r="Z1686">
        <v>0</v>
      </c>
      <c r="AA1686">
        <v>2</v>
      </c>
      <c r="AB1686" t="s">
        <v>36</v>
      </c>
      <c r="AC1686">
        <v>47</v>
      </c>
      <c r="AD1686">
        <v>0.21</v>
      </c>
    </row>
    <row r="1687" spans="1:30" x14ac:dyDescent="0.25">
      <c r="A1687" s="1">
        <v>44784.563263888886</v>
      </c>
      <c r="B1687" s="1">
        <v>44780.394780092596</v>
      </c>
      <c r="C1687">
        <v>151712</v>
      </c>
      <c r="D1687" t="s">
        <v>40</v>
      </c>
      <c r="E1687" t="s">
        <v>31</v>
      </c>
      <c r="F1687">
        <v>7</v>
      </c>
      <c r="G1687">
        <v>43.289763999999998</v>
      </c>
      <c r="H1687">
        <v>-71.564260000000004</v>
      </c>
      <c r="I1687">
        <v>370</v>
      </c>
      <c r="J1687">
        <v>86</v>
      </c>
      <c r="K1687">
        <v>0</v>
      </c>
      <c r="L1687" s="1">
        <v>44784.56322916667</v>
      </c>
      <c r="M1687">
        <v>14</v>
      </c>
      <c r="N1687">
        <v>13.2</v>
      </c>
      <c r="O1687">
        <v>0.8</v>
      </c>
      <c r="P1687">
        <v>6</v>
      </c>
      <c r="Q1687">
        <v>0</v>
      </c>
      <c r="R1687">
        <v>0</v>
      </c>
      <c r="S1687">
        <v>0</v>
      </c>
      <c r="T1687" t="s">
        <v>32</v>
      </c>
      <c r="V1687">
        <v>59</v>
      </c>
      <c r="W1687">
        <v>0</v>
      </c>
      <c r="X1687">
        <v>59</v>
      </c>
      <c r="Y1687">
        <v>0</v>
      </c>
      <c r="Z1687">
        <v>0</v>
      </c>
      <c r="AA1687">
        <v>0</v>
      </c>
      <c r="AB1687" t="s">
        <v>36</v>
      </c>
      <c r="AC1687">
        <v>59</v>
      </c>
    </row>
    <row r="1688" spans="1:30" x14ac:dyDescent="0.25">
      <c r="A1688" s="1">
        <v>44784.563275462962</v>
      </c>
      <c r="B1688" s="1">
        <v>44784.562777777777</v>
      </c>
      <c r="C1688">
        <v>151710</v>
      </c>
      <c r="D1688" t="s">
        <v>41</v>
      </c>
      <c r="E1688" t="s">
        <v>31</v>
      </c>
      <c r="F1688">
        <v>7</v>
      </c>
      <c r="G1688">
        <v>43.132477000000002</v>
      </c>
      <c r="H1688">
        <v>-71.458374000000006</v>
      </c>
      <c r="I1688">
        <v>230</v>
      </c>
      <c r="J1688">
        <v>88</v>
      </c>
      <c r="K1688">
        <v>0</v>
      </c>
      <c r="L1688" s="1">
        <v>44784.56322916667</v>
      </c>
      <c r="M1688">
        <v>4.5999999999999996</v>
      </c>
      <c r="N1688">
        <v>3.5</v>
      </c>
      <c r="O1688">
        <v>1.1000000000000001</v>
      </c>
      <c r="P1688">
        <v>27</v>
      </c>
      <c r="Q1688">
        <v>0.1</v>
      </c>
      <c r="R1688">
        <v>0.1</v>
      </c>
      <c r="S1688">
        <v>0.1</v>
      </c>
      <c r="T1688" t="s">
        <v>33</v>
      </c>
      <c r="U1688">
        <v>4.05</v>
      </c>
      <c r="V1688">
        <v>34</v>
      </c>
      <c r="W1688">
        <v>0</v>
      </c>
      <c r="X1688">
        <v>34</v>
      </c>
      <c r="Y1688">
        <v>0</v>
      </c>
      <c r="Z1688">
        <v>0</v>
      </c>
      <c r="AA1688">
        <v>0</v>
      </c>
      <c r="AB1688" t="s">
        <v>36</v>
      </c>
      <c r="AC1688">
        <v>34</v>
      </c>
      <c r="AD1688">
        <v>2.25</v>
      </c>
    </row>
    <row r="1689" spans="1:30" x14ac:dyDescent="0.25">
      <c r="A1689" s="1">
        <v>44784.563275462962</v>
      </c>
      <c r="B1689" s="1">
        <v>44784.562430555554</v>
      </c>
      <c r="C1689">
        <v>151706</v>
      </c>
      <c r="D1689" t="s">
        <v>42</v>
      </c>
      <c r="E1689" t="s">
        <v>31</v>
      </c>
      <c r="F1689">
        <v>7</v>
      </c>
      <c r="G1689">
        <v>43.004080000000002</v>
      </c>
      <c r="H1689">
        <v>-71.177040000000005</v>
      </c>
      <c r="I1689">
        <v>194</v>
      </c>
      <c r="J1689">
        <v>90</v>
      </c>
      <c r="K1689">
        <v>0</v>
      </c>
      <c r="L1689" s="1">
        <v>44784.56322916667</v>
      </c>
      <c r="M1689">
        <v>5.7</v>
      </c>
      <c r="N1689">
        <v>0</v>
      </c>
      <c r="O1689">
        <v>5.7</v>
      </c>
      <c r="P1689">
        <v>200</v>
      </c>
      <c r="Q1689">
        <v>0.1</v>
      </c>
      <c r="R1689">
        <v>0</v>
      </c>
      <c r="S1689">
        <v>0.05</v>
      </c>
      <c r="T1689" t="s">
        <v>43</v>
      </c>
      <c r="V1689">
        <v>39</v>
      </c>
      <c r="W1689">
        <v>0</v>
      </c>
      <c r="X1689">
        <v>39</v>
      </c>
      <c r="Y1689">
        <v>3</v>
      </c>
      <c r="Z1689">
        <v>0</v>
      </c>
      <c r="AA1689">
        <v>3</v>
      </c>
      <c r="AB1689" t="s">
        <v>36</v>
      </c>
      <c r="AC1689">
        <v>39</v>
      </c>
    </row>
    <row r="1690" spans="1:30" x14ac:dyDescent="0.25">
      <c r="A1690" s="1">
        <v>44784.563275462962</v>
      </c>
      <c r="B1690" s="1">
        <v>44784.5621875</v>
      </c>
      <c r="C1690">
        <v>12212</v>
      </c>
      <c r="D1690" t="s">
        <v>44</v>
      </c>
      <c r="E1690" t="s">
        <v>35</v>
      </c>
      <c r="F1690">
        <v>7</v>
      </c>
      <c r="G1690">
        <v>42.930529999999997</v>
      </c>
      <c r="H1690">
        <v>-72.272350000000003</v>
      </c>
      <c r="I1690">
        <v>476</v>
      </c>
      <c r="J1690">
        <v>90</v>
      </c>
      <c r="K1690">
        <v>0</v>
      </c>
      <c r="L1690" s="1">
        <v>44784.56322916667</v>
      </c>
      <c r="M1690">
        <v>3.8</v>
      </c>
      <c r="N1690">
        <v>3.5</v>
      </c>
      <c r="O1690">
        <v>0.3</v>
      </c>
      <c r="P1690">
        <v>8</v>
      </c>
      <c r="Q1690">
        <v>0.2</v>
      </c>
      <c r="R1690">
        <v>0.1</v>
      </c>
      <c r="S1690">
        <v>0.15</v>
      </c>
      <c r="T1690" t="s">
        <v>33</v>
      </c>
      <c r="U1690">
        <v>3.65</v>
      </c>
      <c r="V1690">
        <v>29</v>
      </c>
      <c r="W1690">
        <v>0</v>
      </c>
      <c r="X1690">
        <v>29</v>
      </c>
      <c r="Y1690">
        <v>1</v>
      </c>
      <c r="Z1690">
        <v>0</v>
      </c>
      <c r="AA1690">
        <v>1</v>
      </c>
      <c r="AB1690" t="s">
        <v>36</v>
      </c>
      <c r="AC1690">
        <v>29</v>
      </c>
      <c r="AD1690">
        <v>2.36</v>
      </c>
    </row>
    <row r="1691" spans="1:30" x14ac:dyDescent="0.25">
      <c r="A1691" s="1">
        <v>44784.563287037039</v>
      </c>
      <c r="B1691" s="1">
        <v>44769.376736111109</v>
      </c>
      <c r="C1691">
        <v>12178</v>
      </c>
      <c r="D1691" t="s">
        <v>45</v>
      </c>
      <c r="E1691" t="s">
        <v>35</v>
      </c>
      <c r="F1691">
        <v>7</v>
      </c>
      <c r="G1691">
        <v>42.899563000000001</v>
      </c>
      <c r="H1691">
        <v>-71.464650000000006</v>
      </c>
      <c r="I1691">
        <v>301</v>
      </c>
      <c r="J1691">
        <v>85</v>
      </c>
      <c r="K1691">
        <v>0</v>
      </c>
      <c r="L1691" s="1">
        <v>44784.56322916667</v>
      </c>
      <c r="M1691">
        <v>3.8</v>
      </c>
      <c r="N1691">
        <v>3.1</v>
      </c>
      <c r="O1691">
        <v>0.7</v>
      </c>
      <c r="P1691">
        <v>20</v>
      </c>
      <c r="Q1691">
        <v>0</v>
      </c>
      <c r="R1691">
        <v>0</v>
      </c>
      <c r="S1691">
        <v>0</v>
      </c>
      <c r="T1691" t="s">
        <v>32</v>
      </c>
      <c r="V1691">
        <v>35</v>
      </c>
      <c r="W1691">
        <v>0</v>
      </c>
      <c r="X1691">
        <v>35</v>
      </c>
      <c r="Y1691">
        <v>0</v>
      </c>
      <c r="Z1691">
        <v>0</v>
      </c>
      <c r="AA1691">
        <v>0</v>
      </c>
      <c r="AB1691" t="s">
        <v>36</v>
      </c>
      <c r="AC1691">
        <v>35</v>
      </c>
    </row>
    <row r="1692" spans="1:30" x14ac:dyDescent="0.25">
      <c r="A1692" s="1">
        <v>44784.563287037039</v>
      </c>
      <c r="B1692" s="1">
        <v>44784.561493055553</v>
      </c>
      <c r="C1692">
        <v>75981</v>
      </c>
      <c r="D1692" t="s">
        <v>46</v>
      </c>
      <c r="E1692" t="s">
        <v>35</v>
      </c>
      <c r="F1692">
        <v>7</v>
      </c>
      <c r="G1692">
        <v>42.97</v>
      </c>
      <c r="H1692">
        <v>-71.06</v>
      </c>
      <c r="I1692">
        <v>136</v>
      </c>
      <c r="J1692">
        <v>87</v>
      </c>
      <c r="K1692">
        <v>0</v>
      </c>
      <c r="L1692" s="1">
        <v>44784.56322916667</v>
      </c>
      <c r="M1692">
        <v>9.6999999999999993</v>
      </c>
      <c r="N1692">
        <v>9</v>
      </c>
      <c r="O1692">
        <v>0.7</v>
      </c>
      <c r="P1692">
        <v>7</v>
      </c>
      <c r="Q1692">
        <v>0.2</v>
      </c>
      <c r="R1692">
        <v>0.2</v>
      </c>
      <c r="S1692">
        <v>0.2</v>
      </c>
      <c r="T1692" t="s">
        <v>33</v>
      </c>
      <c r="U1692">
        <v>9.35</v>
      </c>
      <c r="V1692">
        <v>47</v>
      </c>
      <c r="W1692">
        <v>0</v>
      </c>
      <c r="X1692">
        <v>47</v>
      </c>
      <c r="Y1692">
        <v>3</v>
      </c>
      <c r="Z1692">
        <v>0</v>
      </c>
      <c r="AA1692">
        <v>3</v>
      </c>
      <c r="AB1692" t="s">
        <v>36</v>
      </c>
      <c r="AC1692">
        <v>47</v>
      </c>
      <c r="AD1692">
        <v>4.57</v>
      </c>
    </row>
    <row r="1693" spans="1:30" x14ac:dyDescent="0.25">
      <c r="A1693" s="1">
        <v>44784.563287037039</v>
      </c>
      <c r="B1693" s="1">
        <v>44784.562025462961</v>
      </c>
      <c r="C1693">
        <v>115703</v>
      </c>
      <c r="D1693" t="s">
        <v>47</v>
      </c>
      <c r="E1693" t="s">
        <v>35</v>
      </c>
      <c r="F1693">
        <v>7</v>
      </c>
      <c r="G1693">
        <v>43.953625000000002</v>
      </c>
      <c r="H1693">
        <v>-71.508859999999999</v>
      </c>
      <c r="I1693">
        <v>1493</v>
      </c>
      <c r="J1693">
        <v>89</v>
      </c>
      <c r="K1693">
        <v>0</v>
      </c>
      <c r="L1693" s="1">
        <v>44784.56322916667</v>
      </c>
      <c r="M1693">
        <v>0</v>
      </c>
      <c r="N1693">
        <v>311.39999999999998</v>
      </c>
      <c r="O1693">
        <v>311.39999999999998</v>
      </c>
      <c r="P1693">
        <v>200</v>
      </c>
      <c r="Q1693">
        <v>0</v>
      </c>
      <c r="R1693">
        <v>0</v>
      </c>
      <c r="S1693">
        <v>0</v>
      </c>
      <c r="T1693" t="s">
        <v>48</v>
      </c>
      <c r="V1693">
        <v>31</v>
      </c>
      <c r="W1693">
        <v>0</v>
      </c>
      <c r="X1693">
        <v>31</v>
      </c>
      <c r="Y1693">
        <v>0</v>
      </c>
      <c r="Z1693">
        <v>0</v>
      </c>
      <c r="AA1693">
        <v>0</v>
      </c>
      <c r="AB1693" t="s">
        <v>36</v>
      </c>
      <c r="AC1693">
        <v>31</v>
      </c>
    </row>
    <row r="1694" spans="1:30" x14ac:dyDescent="0.25">
      <c r="A1694" s="1">
        <v>44784.563298611109</v>
      </c>
      <c r="B1694" s="1">
        <v>44784.56144675926</v>
      </c>
      <c r="C1694">
        <v>12050</v>
      </c>
      <c r="D1694" t="s">
        <v>49</v>
      </c>
      <c r="E1694" t="s">
        <v>35</v>
      </c>
      <c r="F1694">
        <v>7</v>
      </c>
      <c r="G1694">
        <v>44.220573000000002</v>
      </c>
      <c r="H1694">
        <v>-71.732315</v>
      </c>
      <c r="I1694">
        <v>999</v>
      </c>
      <c r="J1694">
        <v>91</v>
      </c>
      <c r="K1694">
        <v>0</v>
      </c>
      <c r="L1694" s="1">
        <v>44784.56322916667</v>
      </c>
      <c r="M1694">
        <v>2.9</v>
      </c>
      <c r="N1694">
        <v>2.6</v>
      </c>
      <c r="O1694">
        <v>0.3</v>
      </c>
      <c r="P1694">
        <v>11</v>
      </c>
      <c r="Q1694">
        <v>0.1</v>
      </c>
      <c r="R1694">
        <v>0</v>
      </c>
      <c r="S1694">
        <v>0.05</v>
      </c>
      <c r="T1694" t="s">
        <v>33</v>
      </c>
      <c r="U1694">
        <v>2.75</v>
      </c>
      <c r="V1694">
        <v>30</v>
      </c>
      <c r="W1694">
        <v>0</v>
      </c>
      <c r="X1694">
        <v>30</v>
      </c>
      <c r="Y1694">
        <v>0</v>
      </c>
      <c r="Z1694">
        <v>0</v>
      </c>
      <c r="AA1694">
        <v>0</v>
      </c>
      <c r="AB1694" t="s">
        <v>36</v>
      </c>
      <c r="AC1694">
        <v>30</v>
      </c>
      <c r="AD1694">
        <v>1.74</v>
      </c>
    </row>
    <row r="1695" spans="1:30" x14ac:dyDescent="0.25">
      <c r="A1695" s="1">
        <v>44784.563298611109</v>
      </c>
      <c r="B1695" s="1">
        <v>44784.561562499999</v>
      </c>
      <c r="C1695">
        <v>23443</v>
      </c>
      <c r="D1695" t="s">
        <v>50</v>
      </c>
      <c r="E1695" t="s">
        <v>35</v>
      </c>
      <c r="F1695">
        <v>7</v>
      </c>
      <c r="G1695">
        <v>43.556139999999999</v>
      </c>
      <c r="H1695">
        <v>-72.370990000000006</v>
      </c>
      <c r="I1695">
        <v>523</v>
      </c>
      <c r="J1695">
        <v>99</v>
      </c>
      <c r="K1695">
        <v>0</v>
      </c>
      <c r="L1695" s="1">
        <v>44784.56322916667</v>
      </c>
      <c r="M1695">
        <v>2.5</v>
      </c>
      <c r="N1695">
        <v>2.2999999999999998</v>
      </c>
      <c r="O1695">
        <v>0.2</v>
      </c>
      <c r="P1695">
        <v>8</v>
      </c>
      <c r="Q1695">
        <v>0</v>
      </c>
      <c r="R1695">
        <v>0</v>
      </c>
      <c r="S1695">
        <v>0</v>
      </c>
      <c r="T1695" t="s">
        <v>33</v>
      </c>
      <c r="U1695">
        <v>2.4</v>
      </c>
      <c r="V1695">
        <v>26</v>
      </c>
      <c r="W1695">
        <v>0</v>
      </c>
      <c r="X1695">
        <v>26</v>
      </c>
      <c r="Y1695">
        <v>0</v>
      </c>
      <c r="Z1695">
        <v>0</v>
      </c>
      <c r="AA1695">
        <v>0</v>
      </c>
      <c r="AB1695" t="s">
        <v>36</v>
      </c>
      <c r="AC1695">
        <v>26</v>
      </c>
      <c r="AD1695">
        <v>1.8</v>
      </c>
    </row>
    <row r="1696" spans="1:30" x14ac:dyDescent="0.25">
      <c r="A1696" s="1">
        <v>44784.563298611109</v>
      </c>
      <c r="B1696" s="1">
        <v>44784.561666666668</v>
      </c>
      <c r="C1696">
        <v>58135</v>
      </c>
      <c r="D1696" t="s">
        <v>51</v>
      </c>
      <c r="E1696" t="s">
        <v>35</v>
      </c>
      <c r="F1696">
        <v>7</v>
      </c>
      <c r="G1696">
        <v>42.883873000000001</v>
      </c>
      <c r="H1696">
        <v>-71.972915999999998</v>
      </c>
      <c r="I1696">
        <v>808</v>
      </c>
      <c r="J1696">
        <v>87</v>
      </c>
      <c r="K1696">
        <v>0</v>
      </c>
      <c r="L1696" s="1">
        <v>44784.56322916667</v>
      </c>
      <c r="M1696">
        <v>3.1</v>
      </c>
      <c r="N1696">
        <v>2</v>
      </c>
      <c r="O1696">
        <v>1.1000000000000001</v>
      </c>
      <c r="P1696">
        <v>43</v>
      </c>
      <c r="Q1696">
        <v>0</v>
      </c>
      <c r="R1696">
        <v>0</v>
      </c>
      <c r="S1696">
        <v>0</v>
      </c>
      <c r="T1696" t="s">
        <v>33</v>
      </c>
      <c r="U1696">
        <v>2.5499999999999998</v>
      </c>
      <c r="V1696">
        <v>36</v>
      </c>
      <c r="W1696">
        <v>0</v>
      </c>
      <c r="X1696">
        <v>36</v>
      </c>
      <c r="Y1696">
        <v>1</v>
      </c>
      <c r="Z1696">
        <v>0</v>
      </c>
      <c r="AA1696">
        <v>1</v>
      </c>
      <c r="AB1696" t="s">
        <v>36</v>
      </c>
      <c r="AC1696">
        <v>36</v>
      </c>
      <c r="AD1696">
        <v>1.2</v>
      </c>
    </row>
    <row r="1697" spans="1:30" x14ac:dyDescent="0.25">
      <c r="A1697" s="1">
        <v>44784.563310185185</v>
      </c>
      <c r="B1697" s="1">
        <v>44784.561678240738</v>
      </c>
      <c r="C1697">
        <v>148555</v>
      </c>
      <c r="D1697" t="s">
        <v>52</v>
      </c>
      <c r="E1697" t="s">
        <v>53</v>
      </c>
      <c r="F1697">
        <v>7</v>
      </c>
      <c r="G1697">
        <v>42.904949999999999</v>
      </c>
      <c r="H1697">
        <v>-71.386764999999997</v>
      </c>
      <c r="I1697">
        <v>363</v>
      </c>
      <c r="J1697">
        <v>0</v>
      </c>
      <c r="K1697">
        <v>0</v>
      </c>
      <c r="L1697" s="1">
        <v>44784.56322916667</v>
      </c>
      <c r="M1697">
        <v>1.5</v>
      </c>
      <c r="N1697">
        <v>1.4</v>
      </c>
      <c r="O1697">
        <v>0.1</v>
      </c>
      <c r="P1697">
        <v>7</v>
      </c>
      <c r="Q1697">
        <v>0</v>
      </c>
      <c r="R1697">
        <v>0</v>
      </c>
      <c r="S1697">
        <v>0</v>
      </c>
      <c r="T1697" t="s">
        <v>33</v>
      </c>
      <c r="U1697">
        <v>1.45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 t="s">
        <v>38</v>
      </c>
    </row>
    <row r="1698" spans="1:30" x14ac:dyDescent="0.25">
      <c r="A1698" s="1">
        <v>44784.563310185185</v>
      </c>
      <c r="B1698" s="1">
        <v>44784.562557870369</v>
      </c>
      <c r="C1698">
        <v>146644</v>
      </c>
      <c r="D1698" t="s">
        <v>54</v>
      </c>
      <c r="E1698" t="s">
        <v>53</v>
      </c>
      <c r="F1698">
        <v>7</v>
      </c>
      <c r="G1698">
        <v>43.06015</v>
      </c>
      <c r="H1698">
        <v>-70.758930000000007</v>
      </c>
      <c r="I1698">
        <v>35</v>
      </c>
      <c r="J1698">
        <v>84</v>
      </c>
      <c r="K1698">
        <v>85</v>
      </c>
      <c r="L1698" s="1">
        <v>44784.56322916667</v>
      </c>
      <c r="M1698">
        <v>13.6</v>
      </c>
      <c r="N1698">
        <v>13.1</v>
      </c>
      <c r="O1698">
        <v>0.5</v>
      </c>
      <c r="P1698">
        <v>4</v>
      </c>
      <c r="Q1698">
        <v>0.4</v>
      </c>
      <c r="R1698">
        <v>0.4</v>
      </c>
      <c r="S1698">
        <v>0.4</v>
      </c>
      <c r="T1698" t="s">
        <v>33</v>
      </c>
      <c r="U1698">
        <v>13.35</v>
      </c>
      <c r="V1698">
        <v>46</v>
      </c>
      <c r="W1698">
        <v>53</v>
      </c>
      <c r="X1698">
        <v>7</v>
      </c>
      <c r="Y1698">
        <v>2</v>
      </c>
      <c r="Z1698">
        <v>1</v>
      </c>
      <c r="AA1698">
        <v>1</v>
      </c>
      <c r="AB1698" t="s">
        <v>33</v>
      </c>
      <c r="AC1698">
        <v>49.5</v>
      </c>
      <c r="AD1698">
        <v>6.84</v>
      </c>
    </row>
    <row r="1699" spans="1:30" x14ac:dyDescent="0.25">
      <c r="A1699" s="1">
        <v>44784.563321759262</v>
      </c>
      <c r="B1699" s="1">
        <v>43755.283437500002</v>
      </c>
      <c r="C1699">
        <v>12188</v>
      </c>
      <c r="D1699" t="s">
        <v>55</v>
      </c>
      <c r="E1699" t="s">
        <v>35</v>
      </c>
      <c r="F1699">
        <v>4.1100000000000003</v>
      </c>
      <c r="G1699">
        <v>42.927050000000001</v>
      </c>
      <c r="H1699">
        <v>-72.279610000000005</v>
      </c>
      <c r="I1699">
        <v>475</v>
      </c>
      <c r="J1699">
        <v>95</v>
      </c>
      <c r="K1699">
        <v>0</v>
      </c>
      <c r="L1699" s="1">
        <v>44784.56322916667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 t="s">
        <v>32</v>
      </c>
      <c r="V1699">
        <v>77</v>
      </c>
      <c r="W1699">
        <v>0</v>
      </c>
      <c r="X1699">
        <v>77</v>
      </c>
      <c r="Y1699">
        <v>0</v>
      </c>
      <c r="Z1699">
        <v>0</v>
      </c>
      <c r="AA1699">
        <v>0</v>
      </c>
      <c r="AB1699" t="s">
        <v>36</v>
      </c>
      <c r="AC1699">
        <v>77</v>
      </c>
    </row>
    <row r="1700" spans="1:30" x14ac:dyDescent="0.25">
      <c r="A1700" s="1">
        <v>44784.563321759262</v>
      </c>
      <c r="B1700" s="1">
        <v>44784.561585648145</v>
      </c>
      <c r="C1700">
        <v>1224</v>
      </c>
      <c r="D1700" t="s">
        <v>56</v>
      </c>
      <c r="E1700" t="s">
        <v>35</v>
      </c>
      <c r="F1700" t="s">
        <v>57</v>
      </c>
      <c r="G1700">
        <v>42.938034000000002</v>
      </c>
      <c r="H1700">
        <v>-72.259299999999996</v>
      </c>
      <c r="I1700">
        <v>792</v>
      </c>
      <c r="J1700">
        <v>92</v>
      </c>
      <c r="K1700">
        <v>0</v>
      </c>
      <c r="L1700" s="1">
        <v>44784.56322916667</v>
      </c>
      <c r="M1700">
        <v>3.9</v>
      </c>
      <c r="N1700">
        <v>0.1</v>
      </c>
      <c r="O1700">
        <v>3.8</v>
      </c>
      <c r="P1700">
        <v>190</v>
      </c>
      <c r="Q1700">
        <v>0.1</v>
      </c>
      <c r="R1700">
        <v>0.1</v>
      </c>
      <c r="S1700">
        <v>0.1</v>
      </c>
      <c r="T1700" t="s">
        <v>33</v>
      </c>
      <c r="U1700">
        <v>2</v>
      </c>
      <c r="V1700">
        <v>35</v>
      </c>
      <c r="W1700">
        <v>0</v>
      </c>
      <c r="X1700">
        <v>35</v>
      </c>
      <c r="Y1700">
        <v>0</v>
      </c>
      <c r="Z1700">
        <v>0</v>
      </c>
      <c r="AA1700">
        <v>0</v>
      </c>
      <c r="AB1700" t="s">
        <v>36</v>
      </c>
      <c r="AC1700">
        <v>35</v>
      </c>
      <c r="AD1700">
        <v>0.93</v>
      </c>
    </row>
    <row r="1701" spans="1:30" x14ac:dyDescent="0.25">
      <c r="A1701" s="1">
        <v>44784.563321759262</v>
      </c>
      <c r="B1701" s="1">
        <v>44784.562384259261</v>
      </c>
      <c r="C1701">
        <v>1202</v>
      </c>
      <c r="D1701" t="s">
        <v>58</v>
      </c>
      <c r="E1701" t="s">
        <v>35</v>
      </c>
      <c r="F1701" t="s">
        <v>57</v>
      </c>
      <c r="G1701">
        <v>42.936554000000001</v>
      </c>
      <c r="H1701">
        <v>-72.271019999999993</v>
      </c>
      <c r="I1701">
        <v>488</v>
      </c>
      <c r="J1701">
        <v>0</v>
      </c>
      <c r="K1701">
        <v>0</v>
      </c>
      <c r="L1701" s="1">
        <v>44784.56322916667</v>
      </c>
      <c r="M1701">
        <v>4.2</v>
      </c>
      <c r="N1701">
        <v>3.7</v>
      </c>
      <c r="O1701">
        <v>0.5</v>
      </c>
      <c r="P1701">
        <v>13</v>
      </c>
      <c r="Q1701">
        <v>0.3</v>
      </c>
      <c r="R1701">
        <v>0.2</v>
      </c>
      <c r="S1701">
        <v>0.25</v>
      </c>
      <c r="T1701" t="s">
        <v>33</v>
      </c>
      <c r="U1701">
        <v>3.95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 t="s">
        <v>38</v>
      </c>
    </row>
    <row r="1702" spans="1:30" x14ac:dyDescent="0.25">
      <c r="A1702" s="1">
        <v>44784.563333333332</v>
      </c>
      <c r="B1702" s="1">
        <v>44612.080023148148</v>
      </c>
      <c r="C1702">
        <v>25985</v>
      </c>
      <c r="D1702" t="s">
        <v>59</v>
      </c>
      <c r="E1702" t="s">
        <v>35</v>
      </c>
      <c r="F1702">
        <v>6.01</v>
      </c>
      <c r="G1702">
        <v>42.927326000000001</v>
      </c>
      <c r="H1702">
        <v>-72.279979999999995</v>
      </c>
      <c r="I1702">
        <v>477</v>
      </c>
      <c r="J1702">
        <v>78</v>
      </c>
      <c r="K1702">
        <v>0</v>
      </c>
      <c r="L1702" s="1">
        <v>44784.56322916667</v>
      </c>
      <c r="M1702">
        <v>1.1000000000000001</v>
      </c>
      <c r="N1702">
        <v>1</v>
      </c>
      <c r="O1702">
        <v>0.1</v>
      </c>
      <c r="P1702">
        <v>10</v>
      </c>
      <c r="Q1702">
        <v>0</v>
      </c>
      <c r="R1702">
        <v>0</v>
      </c>
      <c r="S1702">
        <v>0</v>
      </c>
      <c r="T1702" t="s">
        <v>32</v>
      </c>
      <c r="V1702">
        <v>22</v>
      </c>
      <c r="W1702">
        <v>0</v>
      </c>
      <c r="X1702">
        <v>22</v>
      </c>
      <c r="Y1702">
        <v>0</v>
      </c>
      <c r="Z1702">
        <v>0</v>
      </c>
      <c r="AA1702">
        <v>0</v>
      </c>
      <c r="AB1702" t="s">
        <v>36</v>
      </c>
      <c r="AC1702">
        <v>22</v>
      </c>
    </row>
    <row r="1703" spans="1:30" x14ac:dyDescent="0.25">
      <c r="A1703" s="1">
        <v>44784.570185185185</v>
      </c>
      <c r="B1703" s="1">
        <v>44775.701319444444</v>
      </c>
      <c r="C1703">
        <v>151708</v>
      </c>
      <c r="D1703" t="s">
        <v>30</v>
      </c>
      <c r="E1703" t="s">
        <v>31</v>
      </c>
      <c r="F1703">
        <v>7</v>
      </c>
      <c r="G1703">
        <v>43.192042999999998</v>
      </c>
      <c r="H1703">
        <v>-71.541579999999996</v>
      </c>
      <c r="I1703">
        <v>291</v>
      </c>
      <c r="J1703">
        <v>93</v>
      </c>
      <c r="K1703">
        <v>94</v>
      </c>
      <c r="L1703" s="1">
        <v>44784.570173611108</v>
      </c>
      <c r="M1703">
        <v>7.9</v>
      </c>
      <c r="N1703">
        <v>7.6</v>
      </c>
      <c r="O1703">
        <v>0.3</v>
      </c>
      <c r="P1703">
        <v>4</v>
      </c>
      <c r="Q1703">
        <v>0</v>
      </c>
      <c r="R1703">
        <v>0</v>
      </c>
      <c r="S1703">
        <v>0</v>
      </c>
      <c r="T1703" t="s">
        <v>32</v>
      </c>
      <c r="V1703">
        <v>42</v>
      </c>
      <c r="W1703">
        <v>41</v>
      </c>
      <c r="X1703">
        <v>1</v>
      </c>
      <c r="Y1703">
        <v>0</v>
      </c>
      <c r="Z1703">
        <v>0</v>
      </c>
      <c r="AA1703">
        <v>0</v>
      </c>
      <c r="AB1703" t="s">
        <v>33</v>
      </c>
      <c r="AC1703">
        <v>41.5</v>
      </c>
    </row>
    <row r="1704" spans="1:30" x14ac:dyDescent="0.25">
      <c r="A1704" s="1">
        <v>44784.570196759261</v>
      </c>
      <c r="B1704" s="1">
        <v>44784.568541666667</v>
      </c>
      <c r="C1704">
        <v>143456</v>
      </c>
      <c r="D1704" t="s">
        <v>34</v>
      </c>
      <c r="E1704" t="s">
        <v>35</v>
      </c>
      <c r="F1704">
        <v>7</v>
      </c>
      <c r="G1704">
        <v>43.08963</v>
      </c>
      <c r="H1704">
        <v>-71.502440000000007</v>
      </c>
      <c r="I1704">
        <v>619</v>
      </c>
      <c r="J1704">
        <v>83</v>
      </c>
      <c r="K1704">
        <v>0</v>
      </c>
      <c r="L1704" s="1">
        <v>44784.570173611108</v>
      </c>
      <c r="M1704">
        <v>2.5</v>
      </c>
      <c r="N1704">
        <v>3</v>
      </c>
      <c r="O1704">
        <v>0.5</v>
      </c>
      <c r="P1704">
        <v>18</v>
      </c>
      <c r="Q1704">
        <v>0.1</v>
      </c>
      <c r="R1704">
        <v>0</v>
      </c>
      <c r="S1704">
        <v>0.05</v>
      </c>
      <c r="T1704" t="s">
        <v>33</v>
      </c>
      <c r="U1704">
        <v>2.75</v>
      </c>
      <c r="V1704">
        <v>49</v>
      </c>
      <c r="W1704">
        <v>0</v>
      </c>
      <c r="X1704">
        <v>49</v>
      </c>
      <c r="Y1704">
        <v>2</v>
      </c>
      <c r="Z1704">
        <v>0</v>
      </c>
      <c r="AA1704">
        <v>2</v>
      </c>
      <c r="AB1704" t="s">
        <v>36</v>
      </c>
      <c r="AC1704">
        <v>49</v>
      </c>
      <c r="AD1704">
        <v>0.41</v>
      </c>
    </row>
    <row r="1705" spans="1:30" x14ac:dyDescent="0.25">
      <c r="A1705" s="1">
        <v>44784.570196759261</v>
      </c>
      <c r="B1705" s="1">
        <v>44784.568703703706</v>
      </c>
      <c r="C1705">
        <v>151702</v>
      </c>
      <c r="D1705" t="s">
        <v>37</v>
      </c>
      <c r="E1705" t="s">
        <v>31</v>
      </c>
      <c r="F1705">
        <v>7</v>
      </c>
      <c r="G1705">
        <v>43.118609999999997</v>
      </c>
      <c r="H1705">
        <v>-71.61618</v>
      </c>
      <c r="I1705">
        <v>885</v>
      </c>
      <c r="J1705">
        <v>0</v>
      </c>
      <c r="K1705">
        <v>0</v>
      </c>
      <c r="L1705" s="1">
        <v>44784.570173611108</v>
      </c>
      <c r="M1705">
        <v>2.5</v>
      </c>
      <c r="N1705">
        <v>2.5</v>
      </c>
      <c r="O1705">
        <v>0</v>
      </c>
      <c r="P1705">
        <v>0</v>
      </c>
      <c r="Q1705">
        <v>0.1</v>
      </c>
      <c r="R1705">
        <v>0.1</v>
      </c>
      <c r="S1705">
        <v>0.1</v>
      </c>
      <c r="T1705" t="s">
        <v>33</v>
      </c>
      <c r="U1705">
        <v>2.5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 t="s">
        <v>38</v>
      </c>
    </row>
    <row r="1706" spans="1:30" x14ac:dyDescent="0.25">
      <c r="A1706" s="1">
        <v>44784.570196759261</v>
      </c>
      <c r="B1706" s="1">
        <v>44784.56858796296</v>
      </c>
      <c r="C1706">
        <v>151700</v>
      </c>
      <c r="D1706" t="s">
        <v>30</v>
      </c>
      <c r="E1706" t="s">
        <v>31</v>
      </c>
      <c r="F1706">
        <v>7</v>
      </c>
      <c r="G1706">
        <v>43.19211</v>
      </c>
      <c r="H1706">
        <v>-71.541460000000001</v>
      </c>
      <c r="I1706">
        <v>286</v>
      </c>
      <c r="J1706">
        <v>84</v>
      </c>
      <c r="K1706">
        <v>0</v>
      </c>
      <c r="L1706" s="1">
        <v>44784.570173611108</v>
      </c>
      <c r="M1706">
        <v>2.8</v>
      </c>
      <c r="N1706">
        <v>3.2</v>
      </c>
      <c r="O1706">
        <v>0.4</v>
      </c>
      <c r="P1706">
        <v>13</v>
      </c>
      <c r="Q1706">
        <v>0.6</v>
      </c>
      <c r="R1706">
        <v>0.7</v>
      </c>
      <c r="S1706">
        <v>0.64999999999999902</v>
      </c>
      <c r="T1706" t="s">
        <v>33</v>
      </c>
      <c r="U1706">
        <v>3</v>
      </c>
      <c r="V1706">
        <v>43</v>
      </c>
      <c r="W1706">
        <v>0</v>
      </c>
      <c r="X1706">
        <v>43</v>
      </c>
      <c r="Y1706">
        <v>1</v>
      </c>
      <c r="Z1706">
        <v>0</v>
      </c>
      <c r="AA1706">
        <v>1</v>
      </c>
      <c r="AB1706" t="s">
        <v>36</v>
      </c>
      <c r="AC1706">
        <v>43</v>
      </c>
      <c r="AD1706">
        <v>0.98</v>
      </c>
    </row>
    <row r="1707" spans="1:30" x14ac:dyDescent="0.25">
      <c r="A1707" s="1">
        <v>44784.570208333331</v>
      </c>
      <c r="B1707" s="1">
        <v>44784.569016203706</v>
      </c>
      <c r="C1707">
        <v>135984</v>
      </c>
      <c r="D1707" t="s">
        <v>39</v>
      </c>
      <c r="E1707" t="s">
        <v>31</v>
      </c>
      <c r="F1707">
        <v>7</v>
      </c>
      <c r="G1707">
        <v>43.565852999999997</v>
      </c>
      <c r="H1707">
        <v>-71.496129999999994</v>
      </c>
      <c r="I1707">
        <v>708</v>
      </c>
      <c r="J1707">
        <v>88</v>
      </c>
      <c r="K1707">
        <v>0</v>
      </c>
      <c r="L1707" s="1">
        <v>44784.570173611108</v>
      </c>
      <c r="M1707">
        <v>2.7</v>
      </c>
      <c r="N1707">
        <v>2</v>
      </c>
      <c r="O1707">
        <v>0.7</v>
      </c>
      <c r="P1707">
        <v>30</v>
      </c>
      <c r="Q1707">
        <v>0.2</v>
      </c>
      <c r="R1707">
        <v>0.1</v>
      </c>
      <c r="S1707">
        <v>0.15</v>
      </c>
      <c r="T1707" t="s">
        <v>33</v>
      </c>
      <c r="U1707">
        <v>2.35</v>
      </c>
      <c r="V1707">
        <v>48</v>
      </c>
      <c r="W1707">
        <v>0</v>
      </c>
      <c r="X1707">
        <v>48</v>
      </c>
      <c r="Y1707">
        <v>1</v>
      </c>
      <c r="Z1707">
        <v>0</v>
      </c>
      <c r="AA1707">
        <v>1</v>
      </c>
      <c r="AB1707" t="s">
        <v>36</v>
      </c>
      <c r="AC1707">
        <v>48</v>
      </c>
      <c r="AD1707">
        <v>0.23</v>
      </c>
    </row>
    <row r="1708" spans="1:30" x14ac:dyDescent="0.25">
      <c r="A1708" s="1">
        <v>44784.570208333331</v>
      </c>
      <c r="B1708" s="1">
        <v>44780.394780092596</v>
      </c>
      <c r="C1708">
        <v>151712</v>
      </c>
      <c r="D1708" t="s">
        <v>40</v>
      </c>
      <c r="E1708" t="s">
        <v>31</v>
      </c>
      <c r="F1708">
        <v>7</v>
      </c>
      <c r="G1708">
        <v>43.289763999999998</v>
      </c>
      <c r="H1708">
        <v>-71.564260000000004</v>
      </c>
      <c r="I1708">
        <v>370</v>
      </c>
      <c r="J1708">
        <v>86</v>
      </c>
      <c r="K1708">
        <v>0</v>
      </c>
      <c r="L1708" s="1">
        <v>44784.570173611108</v>
      </c>
      <c r="M1708">
        <v>14</v>
      </c>
      <c r="N1708">
        <v>13.2</v>
      </c>
      <c r="O1708">
        <v>0.8</v>
      </c>
      <c r="P1708">
        <v>6</v>
      </c>
      <c r="Q1708">
        <v>0</v>
      </c>
      <c r="R1708">
        <v>0</v>
      </c>
      <c r="S1708">
        <v>0</v>
      </c>
      <c r="T1708" t="s">
        <v>32</v>
      </c>
      <c r="V1708">
        <v>59</v>
      </c>
      <c r="W1708">
        <v>0</v>
      </c>
      <c r="X1708">
        <v>59</v>
      </c>
      <c r="Y1708">
        <v>0</v>
      </c>
      <c r="Z1708">
        <v>0</v>
      </c>
      <c r="AA1708">
        <v>0</v>
      </c>
      <c r="AB1708" t="s">
        <v>36</v>
      </c>
      <c r="AC1708">
        <v>59</v>
      </c>
    </row>
    <row r="1709" spans="1:30" x14ac:dyDescent="0.25">
      <c r="A1709" s="1">
        <v>44784.570219907408</v>
      </c>
      <c r="B1709" s="1">
        <v>44784.569722222222</v>
      </c>
      <c r="C1709">
        <v>151710</v>
      </c>
      <c r="D1709" t="s">
        <v>41</v>
      </c>
      <c r="E1709" t="s">
        <v>31</v>
      </c>
      <c r="F1709">
        <v>7</v>
      </c>
      <c r="G1709">
        <v>43.132477000000002</v>
      </c>
      <c r="H1709">
        <v>-71.458374000000006</v>
      </c>
      <c r="I1709">
        <v>230</v>
      </c>
      <c r="J1709">
        <v>89</v>
      </c>
      <c r="K1709">
        <v>0</v>
      </c>
      <c r="L1709" s="1">
        <v>44784.570173611108</v>
      </c>
      <c r="M1709">
        <v>4.5</v>
      </c>
      <c r="N1709">
        <v>3.4</v>
      </c>
      <c r="O1709">
        <v>1.1000000000000001</v>
      </c>
      <c r="P1709">
        <v>28</v>
      </c>
      <c r="Q1709">
        <v>0.1</v>
      </c>
      <c r="R1709">
        <v>0.1</v>
      </c>
      <c r="S1709">
        <v>0.1</v>
      </c>
      <c r="T1709" t="s">
        <v>33</v>
      </c>
      <c r="U1709">
        <v>3.95</v>
      </c>
      <c r="V1709">
        <v>34</v>
      </c>
      <c r="W1709">
        <v>0</v>
      </c>
      <c r="X1709">
        <v>34</v>
      </c>
      <c r="Y1709">
        <v>0</v>
      </c>
      <c r="Z1709">
        <v>0</v>
      </c>
      <c r="AA1709">
        <v>0</v>
      </c>
      <c r="AB1709" t="s">
        <v>36</v>
      </c>
      <c r="AC1709">
        <v>34</v>
      </c>
      <c r="AD1709">
        <v>2.19</v>
      </c>
    </row>
    <row r="1710" spans="1:30" x14ac:dyDescent="0.25">
      <c r="A1710" s="1">
        <v>44784.570219907408</v>
      </c>
      <c r="B1710" s="1">
        <v>44784.569374999999</v>
      </c>
      <c r="C1710">
        <v>151706</v>
      </c>
      <c r="D1710" t="s">
        <v>42</v>
      </c>
      <c r="E1710" t="s">
        <v>31</v>
      </c>
      <c r="F1710">
        <v>7</v>
      </c>
      <c r="G1710">
        <v>43.004080000000002</v>
      </c>
      <c r="H1710">
        <v>-71.177040000000005</v>
      </c>
      <c r="I1710">
        <v>194</v>
      </c>
      <c r="J1710">
        <v>89</v>
      </c>
      <c r="K1710">
        <v>0</v>
      </c>
      <c r="L1710" s="1">
        <v>44784.570173611108</v>
      </c>
      <c r="M1710">
        <v>5.9</v>
      </c>
      <c r="N1710">
        <v>0</v>
      </c>
      <c r="O1710">
        <v>5.9</v>
      </c>
      <c r="P1710">
        <v>200</v>
      </c>
      <c r="Q1710">
        <v>0.2</v>
      </c>
      <c r="R1710">
        <v>0</v>
      </c>
      <c r="S1710">
        <v>0.1</v>
      </c>
      <c r="T1710" t="s">
        <v>43</v>
      </c>
      <c r="V1710">
        <v>42</v>
      </c>
      <c r="W1710">
        <v>0</v>
      </c>
      <c r="X1710">
        <v>42</v>
      </c>
      <c r="Y1710">
        <v>3</v>
      </c>
      <c r="Z1710">
        <v>0</v>
      </c>
      <c r="AA1710">
        <v>3</v>
      </c>
      <c r="AB1710" t="s">
        <v>36</v>
      </c>
      <c r="AC1710">
        <v>42</v>
      </c>
    </row>
    <row r="1711" spans="1:30" x14ac:dyDescent="0.25">
      <c r="A1711" s="1">
        <v>44784.570219907408</v>
      </c>
      <c r="B1711" s="1">
        <v>44784.569155092591</v>
      </c>
      <c r="C1711">
        <v>12212</v>
      </c>
      <c r="D1711" t="s">
        <v>44</v>
      </c>
      <c r="E1711" t="s">
        <v>35</v>
      </c>
      <c r="F1711">
        <v>7</v>
      </c>
      <c r="G1711">
        <v>42.930529999999997</v>
      </c>
      <c r="H1711">
        <v>-72.272350000000003</v>
      </c>
      <c r="I1711">
        <v>476</v>
      </c>
      <c r="J1711">
        <v>89</v>
      </c>
      <c r="K1711">
        <v>0</v>
      </c>
      <c r="L1711" s="1">
        <v>44784.570173611108</v>
      </c>
      <c r="M1711">
        <v>3.9</v>
      </c>
      <c r="N1711">
        <v>3.6</v>
      </c>
      <c r="O1711">
        <v>0.3</v>
      </c>
      <c r="P1711">
        <v>8</v>
      </c>
      <c r="Q1711">
        <v>0.1</v>
      </c>
      <c r="R1711">
        <v>0.1</v>
      </c>
      <c r="S1711">
        <v>0.1</v>
      </c>
      <c r="T1711" t="s">
        <v>33</v>
      </c>
      <c r="U1711">
        <v>3.75</v>
      </c>
      <c r="V1711">
        <v>30</v>
      </c>
      <c r="W1711">
        <v>0</v>
      </c>
      <c r="X1711">
        <v>30</v>
      </c>
      <c r="Y1711">
        <v>1</v>
      </c>
      <c r="Z1711">
        <v>0</v>
      </c>
      <c r="AA1711">
        <v>1</v>
      </c>
      <c r="AB1711" t="s">
        <v>36</v>
      </c>
      <c r="AC1711">
        <v>30</v>
      </c>
      <c r="AD1711">
        <v>2.35</v>
      </c>
    </row>
    <row r="1712" spans="1:30" x14ac:dyDescent="0.25">
      <c r="A1712" s="1">
        <v>44784.570231481484</v>
      </c>
      <c r="B1712" s="1">
        <v>44769.376736111109</v>
      </c>
      <c r="C1712">
        <v>12178</v>
      </c>
      <c r="D1712" t="s">
        <v>45</v>
      </c>
      <c r="E1712" t="s">
        <v>35</v>
      </c>
      <c r="F1712">
        <v>7</v>
      </c>
      <c r="G1712">
        <v>42.899563000000001</v>
      </c>
      <c r="H1712">
        <v>-71.464650000000006</v>
      </c>
      <c r="I1712">
        <v>301</v>
      </c>
      <c r="J1712">
        <v>85</v>
      </c>
      <c r="K1712">
        <v>0</v>
      </c>
      <c r="L1712" s="1">
        <v>44784.570173611108</v>
      </c>
      <c r="M1712">
        <v>3.8</v>
      </c>
      <c r="N1712">
        <v>3.1</v>
      </c>
      <c r="O1712">
        <v>0.7</v>
      </c>
      <c r="P1712">
        <v>20</v>
      </c>
      <c r="Q1712">
        <v>0</v>
      </c>
      <c r="R1712">
        <v>0</v>
      </c>
      <c r="S1712">
        <v>0</v>
      </c>
      <c r="T1712" t="s">
        <v>32</v>
      </c>
      <c r="V1712">
        <v>35</v>
      </c>
      <c r="W1712">
        <v>0</v>
      </c>
      <c r="X1712">
        <v>35</v>
      </c>
      <c r="Y1712">
        <v>0</v>
      </c>
      <c r="Z1712">
        <v>0</v>
      </c>
      <c r="AA1712">
        <v>0</v>
      </c>
      <c r="AB1712" t="s">
        <v>36</v>
      </c>
      <c r="AC1712">
        <v>35</v>
      </c>
    </row>
    <row r="1713" spans="1:30" x14ac:dyDescent="0.25">
      <c r="A1713" s="1">
        <v>44784.570231481484</v>
      </c>
      <c r="B1713" s="1">
        <v>44784.569826388892</v>
      </c>
      <c r="C1713">
        <v>75981</v>
      </c>
      <c r="D1713" t="s">
        <v>46</v>
      </c>
      <c r="E1713" t="s">
        <v>35</v>
      </c>
      <c r="F1713">
        <v>7</v>
      </c>
      <c r="G1713">
        <v>42.97</v>
      </c>
      <c r="H1713">
        <v>-71.06</v>
      </c>
      <c r="I1713">
        <v>136</v>
      </c>
      <c r="J1713">
        <v>88</v>
      </c>
      <c r="K1713">
        <v>0</v>
      </c>
      <c r="L1713" s="1">
        <v>44784.570173611108</v>
      </c>
      <c r="M1713">
        <v>9.9</v>
      </c>
      <c r="N1713">
        <v>8.9</v>
      </c>
      <c r="O1713">
        <v>1</v>
      </c>
      <c r="P1713">
        <v>11</v>
      </c>
      <c r="Q1713">
        <v>0.2</v>
      </c>
      <c r="R1713">
        <v>0.1</v>
      </c>
      <c r="S1713">
        <v>0.15</v>
      </c>
      <c r="T1713" t="s">
        <v>33</v>
      </c>
      <c r="U1713">
        <v>9.4</v>
      </c>
      <c r="V1713">
        <v>46</v>
      </c>
      <c r="W1713">
        <v>0</v>
      </c>
      <c r="X1713">
        <v>46</v>
      </c>
      <c r="Y1713">
        <v>1</v>
      </c>
      <c r="Z1713">
        <v>0</v>
      </c>
      <c r="AA1713">
        <v>1</v>
      </c>
      <c r="AB1713" t="s">
        <v>36</v>
      </c>
      <c r="AC1713">
        <v>46</v>
      </c>
      <c r="AD1713">
        <v>4.67</v>
      </c>
    </row>
    <row r="1714" spans="1:30" x14ac:dyDescent="0.25">
      <c r="A1714" s="1">
        <v>44784.570289351854</v>
      </c>
      <c r="B1714" s="1">
        <v>44784.568969907406</v>
      </c>
      <c r="C1714">
        <v>115703</v>
      </c>
      <c r="D1714" t="s">
        <v>47</v>
      </c>
      <c r="E1714" t="s">
        <v>35</v>
      </c>
      <c r="F1714">
        <v>7</v>
      </c>
      <c r="G1714">
        <v>43.953625000000002</v>
      </c>
      <c r="H1714">
        <v>-71.508859999999999</v>
      </c>
      <c r="I1714">
        <v>1493</v>
      </c>
      <c r="J1714">
        <v>92</v>
      </c>
      <c r="K1714">
        <v>0</v>
      </c>
      <c r="L1714" s="1">
        <v>44784.570173611108</v>
      </c>
      <c r="M1714">
        <v>0</v>
      </c>
      <c r="N1714">
        <v>486.7</v>
      </c>
      <c r="O1714">
        <v>486.7</v>
      </c>
      <c r="P1714">
        <v>200</v>
      </c>
      <c r="Q1714">
        <v>0</v>
      </c>
      <c r="R1714">
        <v>175.3</v>
      </c>
      <c r="S1714">
        <v>87.65</v>
      </c>
      <c r="T1714" t="s">
        <v>48</v>
      </c>
      <c r="V1714">
        <v>29</v>
      </c>
      <c r="W1714">
        <v>0</v>
      </c>
      <c r="X1714">
        <v>29</v>
      </c>
      <c r="Y1714">
        <v>2</v>
      </c>
      <c r="Z1714">
        <v>0</v>
      </c>
      <c r="AA1714">
        <v>2</v>
      </c>
      <c r="AB1714" t="s">
        <v>36</v>
      </c>
      <c r="AC1714">
        <v>29</v>
      </c>
    </row>
    <row r="1715" spans="1:30" x14ac:dyDescent="0.25">
      <c r="A1715" s="1">
        <v>44784.570289351854</v>
      </c>
      <c r="B1715" s="1">
        <v>44784.569780092592</v>
      </c>
      <c r="C1715">
        <v>12050</v>
      </c>
      <c r="D1715" t="s">
        <v>49</v>
      </c>
      <c r="E1715" t="s">
        <v>35</v>
      </c>
      <c r="F1715">
        <v>7</v>
      </c>
      <c r="G1715">
        <v>44.220573000000002</v>
      </c>
      <c r="H1715">
        <v>-71.732315</v>
      </c>
      <c r="I1715">
        <v>999</v>
      </c>
      <c r="J1715">
        <v>92</v>
      </c>
      <c r="K1715">
        <v>0</v>
      </c>
      <c r="L1715" s="1">
        <v>44784.570173611108</v>
      </c>
      <c r="M1715">
        <v>2.9</v>
      </c>
      <c r="N1715">
        <v>2.7</v>
      </c>
      <c r="O1715">
        <v>0.2</v>
      </c>
      <c r="P1715">
        <v>7</v>
      </c>
      <c r="Q1715">
        <v>0</v>
      </c>
      <c r="R1715">
        <v>0.1</v>
      </c>
      <c r="S1715">
        <v>0.05</v>
      </c>
      <c r="T1715" t="s">
        <v>33</v>
      </c>
      <c r="U1715">
        <v>2.8</v>
      </c>
      <c r="V1715">
        <v>31</v>
      </c>
      <c r="W1715">
        <v>0</v>
      </c>
      <c r="X1715">
        <v>31</v>
      </c>
      <c r="Y1715">
        <v>1</v>
      </c>
      <c r="Z1715">
        <v>0</v>
      </c>
      <c r="AA1715">
        <v>1</v>
      </c>
      <c r="AB1715" t="s">
        <v>36</v>
      </c>
      <c r="AC1715">
        <v>31</v>
      </c>
      <c r="AD1715">
        <v>1.7</v>
      </c>
    </row>
    <row r="1716" spans="1:30" x14ac:dyDescent="0.25">
      <c r="A1716" s="1">
        <v>44784.570300925923</v>
      </c>
      <c r="B1716" s="1">
        <v>44784.569884259261</v>
      </c>
      <c r="C1716">
        <v>23443</v>
      </c>
      <c r="D1716" t="s">
        <v>50</v>
      </c>
      <c r="E1716" t="s">
        <v>35</v>
      </c>
      <c r="F1716">
        <v>7</v>
      </c>
      <c r="G1716">
        <v>43.556139999999999</v>
      </c>
      <c r="H1716">
        <v>-72.370990000000006</v>
      </c>
      <c r="I1716">
        <v>523</v>
      </c>
      <c r="J1716">
        <v>101</v>
      </c>
      <c r="K1716">
        <v>0</v>
      </c>
      <c r="L1716" s="1">
        <v>44784.570173611108</v>
      </c>
      <c r="M1716">
        <v>2.7</v>
      </c>
      <c r="N1716">
        <v>2.2999999999999998</v>
      </c>
      <c r="O1716">
        <v>0.4</v>
      </c>
      <c r="P1716">
        <v>16</v>
      </c>
      <c r="Q1716">
        <v>0.2</v>
      </c>
      <c r="R1716">
        <v>0</v>
      </c>
      <c r="S1716">
        <v>0.1</v>
      </c>
      <c r="T1716" t="s">
        <v>33</v>
      </c>
      <c r="U1716">
        <v>2.5</v>
      </c>
      <c r="V1716">
        <v>24</v>
      </c>
      <c r="W1716">
        <v>0</v>
      </c>
      <c r="X1716">
        <v>24</v>
      </c>
      <c r="Y1716">
        <v>2</v>
      </c>
      <c r="Z1716">
        <v>0</v>
      </c>
      <c r="AA1716">
        <v>2</v>
      </c>
      <c r="AB1716" t="s">
        <v>36</v>
      </c>
      <c r="AC1716">
        <v>24</v>
      </c>
      <c r="AD1716">
        <v>2</v>
      </c>
    </row>
    <row r="1717" spans="1:30" x14ac:dyDescent="0.25">
      <c r="A1717" s="1">
        <v>44784.570300925923</v>
      </c>
      <c r="B1717" s="1">
        <v>44784.570011574076</v>
      </c>
      <c r="C1717">
        <v>58135</v>
      </c>
      <c r="D1717" t="s">
        <v>51</v>
      </c>
      <c r="E1717" t="s">
        <v>35</v>
      </c>
      <c r="F1717">
        <v>7</v>
      </c>
      <c r="G1717">
        <v>42.883873000000001</v>
      </c>
      <c r="H1717">
        <v>-71.972915999999998</v>
      </c>
      <c r="I1717">
        <v>808</v>
      </c>
      <c r="J1717">
        <v>86</v>
      </c>
      <c r="K1717">
        <v>0</v>
      </c>
      <c r="L1717" s="1">
        <v>44784.570173611108</v>
      </c>
      <c r="M1717">
        <v>3</v>
      </c>
      <c r="N1717">
        <v>2</v>
      </c>
      <c r="O1717">
        <v>1</v>
      </c>
      <c r="P1717">
        <v>40</v>
      </c>
      <c r="Q1717">
        <v>0.1</v>
      </c>
      <c r="R1717">
        <v>0</v>
      </c>
      <c r="S1717">
        <v>0.05</v>
      </c>
      <c r="T1717" t="s">
        <v>33</v>
      </c>
      <c r="U1717">
        <v>2.5</v>
      </c>
      <c r="V1717">
        <v>34</v>
      </c>
      <c r="W1717">
        <v>0</v>
      </c>
      <c r="X1717">
        <v>34</v>
      </c>
      <c r="Y1717">
        <v>2</v>
      </c>
      <c r="Z1717">
        <v>0</v>
      </c>
      <c r="AA1717">
        <v>2</v>
      </c>
      <c r="AB1717" t="s">
        <v>36</v>
      </c>
      <c r="AC1717">
        <v>34</v>
      </c>
      <c r="AD1717">
        <v>1.3</v>
      </c>
    </row>
    <row r="1718" spans="1:30" x14ac:dyDescent="0.25">
      <c r="A1718" s="1">
        <v>44784.570300925923</v>
      </c>
      <c r="B1718" s="1">
        <v>44784.570011574076</v>
      </c>
      <c r="C1718">
        <v>148555</v>
      </c>
      <c r="D1718" t="s">
        <v>52</v>
      </c>
      <c r="E1718" t="s">
        <v>53</v>
      </c>
      <c r="F1718">
        <v>7</v>
      </c>
      <c r="G1718">
        <v>42.904949999999999</v>
      </c>
      <c r="H1718">
        <v>-71.386764999999997</v>
      </c>
      <c r="I1718">
        <v>363</v>
      </c>
      <c r="J1718">
        <v>0</v>
      </c>
      <c r="K1718">
        <v>0</v>
      </c>
      <c r="L1718" s="1">
        <v>44784.570173611108</v>
      </c>
      <c r="M1718">
        <v>1.5</v>
      </c>
      <c r="N1718">
        <v>1.3</v>
      </c>
      <c r="O1718">
        <v>0.2</v>
      </c>
      <c r="P1718">
        <v>14</v>
      </c>
      <c r="Q1718">
        <v>0</v>
      </c>
      <c r="R1718">
        <v>0.1</v>
      </c>
      <c r="S1718">
        <v>0.05</v>
      </c>
      <c r="T1718" t="s">
        <v>33</v>
      </c>
      <c r="U1718">
        <v>1.4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 t="s">
        <v>38</v>
      </c>
    </row>
    <row r="1719" spans="1:30" x14ac:dyDescent="0.25">
      <c r="A1719" s="1">
        <v>44784.5703125</v>
      </c>
      <c r="B1719" s="1">
        <v>44784.569502314815</v>
      </c>
      <c r="C1719">
        <v>146644</v>
      </c>
      <c r="D1719" t="s">
        <v>54</v>
      </c>
      <c r="E1719" t="s">
        <v>53</v>
      </c>
      <c r="F1719">
        <v>7</v>
      </c>
      <c r="G1719">
        <v>43.06015</v>
      </c>
      <c r="H1719">
        <v>-70.758930000000007</v>
      </c>
      <c r="I1719">
        <v>35</v>
      </c>
      <c r="J1719">
        <v>84</v>
      </c>
      <c r="K1719">
        <v>85</v>
      </c>
      <c r="L1719" s="1">
        <v>44784.570173611108</v>
      </c>
      <c r="M1719">
        <v>13.8</v>
      </c>
      <c r="N1719">
        <v>12.9</v>
      </c>
      <c r="O1719">
        <v>0.9</v>
      </c>
      <c r="P1719">
        <v>7</v>
      </c>
      <c r="Q1719">
        <v>0.2</v>
      </c>
      <c r="R1719">
        <v>0.2</v>
      </c>
      <c r="S1719">
        <v>0.2</v>
      </c>
      <c r="T1719" t="s">
        <v>33</v>
      </c>
      <c r="U1719">
        <v>13.35</v>
      </c>
      <c r="V1719">
        <v>50</v>
      </c>
      <c r="W1719">
        <v>55</v>
      </c>
      <c r="X1719">
        <v>5</v>
      </c>
      <c r="Y1719">
        <v>4</v>
      </c>
      <c r="Z1719">
        <v>2</v>
      </c>
      <c r="AA1719">
        <v>2</v>
      </c>
      <c r="AB1719" t="s">
        <v>33</v>
      </c>
      <c r="AC1719">
        <v>52.5</v>
      </c>
      <c r="AD1719">
        <v>6.63</v>
      </c>
    </row>
    <row r="1720" spans="1:30" x14ac:dyDescent="0.25">
      <c r="A1720" s="1">
        <v>44784.5703125</v>
      </c>
      <c r="B1720" s="1">
        <v>43755.283437500002</v>
      </c>
      <c r="C1720">
        <v>12188</v>
      </c>
      <c r="D1720" t="s">
        <v>55</v>
      </c>
      <c r="E1720" t="s">
        <v>35</v>
      </c>
      <c r="F1720">
        <v>4.1100000000000003</v>
      </c>
      <c r="G1720">
        <v>42.927050000000001</v>
      </c>
      <c r="H1720">
        <v>-72.279610000000005</v>
      </c>
      <c r="I1720">
        <v>475</v>
      </c>
      <c r="J1720">
        <v>95</v>
      </c>
      <c r="K1720">
        <v>0</v>
      </c>
      <c r="L1720" s="1">
        <v>44784.570173611108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 t="s">
        <v>32</v>
      </c>
      <c r="V1720">
        <v>77</v>
      </c>
      <c r="W1720">
        <v>0</v>
      </c>
      <c r="X1720">
        <v>77</v>
      </c>
      <c r="Y1720">
        <v>0</v>
      </c>
      <c r="Z1720">
        <v>0</v>
      </c>
      <c r="AA1720">
        <v>0</v>
      </c>
      <c r="AB1720" t="s">
        <v>36</v>
      </c>
      <c r="AC1720">
        <v>77</v>
      </c>
    </row>
    <row r="1721" spans="1:30" x14ac:dyDescent="0.25">
      <c r="A1721" s="1">
        <v>44784.5703125</v>
      </c>
      <c r="B1721" s="1">
        <v>44784.569884259261</v>
      </c>
      <c r="C1721">
        <v>1224</v>
      </c>
      <c r="D1721" t="s">
        <v>56</v>
      </c>
      <c r="E1721" t="s">
        <v>35</v>
      </c>
      <c r="F1721" t="s">
        <v>57</v>
      </c>
      <c r="G1721">
        <v>42.938034000000002</v>
      </c>
      <c r="H1721">
        <v>-72.259299999999996</v>
      </c>
      <c r="I1721">
        <v>792</v>
      </c>
      <c r="J1721">
        <v>94</v>
      </c>
      <c r="K1721">
        <v>0</v>
      </c>
      <c r="L1721" s="1">
        <v>44784.570173611108</v>
      </c>
      <c r="M1721">
        <v>4</v>
      </c>
      <c r="N1721">
        <v>0.1</v>
      </c>
      <c r="O1721">
        <v>3.9</v>
      </c>
      <c r="P1721">
        <v>190</v>
      </c>
      <c r="Q1721">
        <v>0.1</v>
      </c>
      <c r="R1721">
        <v>0</v>
      </c>
      <c r="S1721">
        <v>0.05</v>
      </c>
      <c r="T1721" t="s">
        <v>33</v>
      </c>
      <c r="U1721">
        <v>2.0499999999999998</v>
      </c>
      <c r="V1721">
        <v>34</v>
      </c>
      <c r="W1721">
        <v>0</v>
      </c>
      <c r="X1721">
        <v>34</v>
      </c>
      <c r="Y1721">
        <v>1</v>
      </c>
      <c r="Z1721">
        <v>0</v>
      </c>
      <c r="AA1721">
        <v>1</v>
      </c>
      <c r="AB1721" t="s">
        <v>36</v>
      </c>
      <c r="AC1721">
        <v>34</v>
      </c>
      <c r="AD1721">
        <v>1.03</v>
      </c>
    </row>
    <row r="1722" spans="1:30" x14ac:dyDescent="0.25">
      <c r="A1722" s="1">
        <v>44784.570324074077</v>
      </c>
      <c r="B1722" s="1">
        <v>44784.569363425922</v>
      </c>
      <c r="C1722">
        <v>1202</v>
      </c>
      <c r="D1722" t="s">
        <v>58</v>
      </c>
      <c r="E1722" t="s">
        <v>35</v>
      </c>
      <c r="F1722" t="s">
        <v>57</v>
      </c>
      <c r="G1722">
        <v>42.936554000000001</v>
      </c>
      <c r="H1722">
        <v>-72.271019999999993</v>
      </c>
      <c r="I1722">
        <v>488</v>
      </c>
      <c r="J1722">
        <v>0</v>
      </c>
      <c r="K1722">
        <v>0</v>
      </c>
      <c r="L1722" s="1">
        <v>44784.570173611108</v>
      </c>
      <c r="M1722">
        <v>4</v>
      </c>
      <c r="N1722">
        <v>3.9</v>
      </c>
      <c r="O1722">
        <v>0.1</v>
      </c>
      <c r="P1722">
        <v>3</v>
      </c>
      <c r="Q1722">
        <v>0.2</v>
      </c>
      <c r="R1722">
        <v>0.2</v>
      </c>
      <c r="S1722">
        <v>0.2</v>
      </c>
      <c r="T1722" t="s">
        <v>33</v>
      </c>
      <c r="U1722">
        <v>3.95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 t="s">
        <v>38</v>
      </c>
    </row>
    <row r="1723" spans="1:30" x14ac:dyDescent="0.25">
      <c r="A1723" s="1">
        <v>44784.570324074077</v>
      </c>
      <c r="B1723" s="1">
        <v>44612.080023148148</v>
      </c>
      <c r="C1723">
        <v>25985</v>
      </c>
      <c r="D1723" t="s">
        <v>59</v>
      </c>
      <c r="E1723" t="s">
        <v>35</v>
      </c>
      <c r="F1723">
        <v>6.01</v>
      </c>
      <c r="G1723">
        <v>42.927326000000001</v>
      </c>
      <c r="H1723">
        <v>-72.279979999999995</v>
      </c>
      <c r="I1723">
        <v>477</v>
      </c>
      <c r="J1723">
        <v>78</v>
      </c>
      <c r="K1723">
        <v>0</v>
      </c>
      <c r="L1723" s="1">
        <v>44784.570173611108</v>
      </c>
      <c r="M1723">
        <v>1.1000000000000001</v>
      </c>
      <c r="N1723">
        <v>1</v>
      </c>
      <c r="O1723">
        <v>0.1</v>
      </c>
      <c r="P1723">
        <v>10</v>
      </c>
      <c r="Q1723">
        <v>0</v>
      </c>
      <c r="R1723">
        <v>0</v>
      </c>
      <c r="S1723">
        <v>0</v>
      </c>
      <c r="T1723" t="s">
        <v>32</v>
      </c>
      <c r="V1723">
        <v>22</v>
      </c>
      <c r="W1723">
        <v>0</v>
      </c>
      <c r="X1723">
        <v>22</v>
      </c>
      <c r="Y1723">
        <v>0</v>
      </c>
      <c r="Z1723">
        <v>0</v>
      </c>
      <c r="AA1723">
        <v>0</v>
      </c>
      <c r="AB1723" t="s">
        <v>36</v>
      </c>
      <c r="AC1723">
        <v>22</v>
      </c>
    </row>
    <row r="1724" spans="1:30" x14ac:dyDescent="0.25">
      <c r="A1724" s="1">
        <v>44784.57712962963</v>
      </c>
      <c r="B1724" s="1">
        <v>44775.701319444444</v>
      </c>
      <c r="C1724">
        <v>151708</v>
      </c>
      <c r="D1724" t="s">
        <v>30</v>
      </c>
      <c r="E1724" t="s">
        <v>31</v>
      </c>
      <c r="F1724">
        <v>7</v>
      </c>
      <c r="G1724">
        <v>43.192042999999998</v>
      </c>
      <c r="H1724">
        <v>-71.541579999999996</v>
      </c>
      <c r="I1724">
        <v>291</v>
      </c>
      <c r="J1724">
        <v>93</v>
      </c>
      <c r="K1724">
        <v>94</v>
      </c>
      <c r="L1724" s="1">
        <v>44784.577118055553</v>
      </c>
      <c r="M1724">
        <v>7.9</v>
      </c>
      <c r="N1724">
        <v>7.6</v>
      </c>
      <c r="O1724">
        <v>0.3</v>
      </c>
      <c r="P1724">
        <v>4</v>
      </c>
      <c r="Q1724">
        <v>0</v>
      </c>
      <c r="R1724">
        <v>0</v>
      </c>
      <c r="S1724">
        <v>0</v>
      </c>
      <c r="T1724" t="s">
        <v>32</v>
      </c>
      <c r="V1724">
        <v>42</v>
      </c>
      <c r="W1724">
        <v>41</v>
      </c>
      <c r="X1724">
        <v>1</v>
      </c>
      <c r="Y1724">
        <v>0</v>
      </c>
      <c r="Z1724">
        <v>0</v>
      </c>
      <c r="AA1724">
        <v>0</v>
      </c>
      <c r="AB1724" t="s">
        <v>33</v>
      </c>
      <c r="AC1724">
        <v>41.5</v>
      </c>
    </row>
    <row r="1725" spans="1:30" x14ac:dyDescent="0.25">
      <c r="A1725" s="1">
        <v>44784.577141203707</v>
      </c>
      <c r="B1725" s="1">
        <v>44784.576874999999</v>
      </c>
      <c r="C1725">
        <v>143456</v>
      </c>
      <c r="D1725" t="s">
        <v>34</v>
      </c>
      <c r="E1725" t="s">
        <v>35</v>
      </c>
      <c r="F1725">
        <v>7</v>
      </c>
      <c r="G1725">
        <v>43.08963</v>
      </c>
      <c r="H1725">
        <v>-71.502440000000007</v>
      </c>
      <c r="I1725">
        <v>619</v>
      </c>
      <c r="J1725">
        <v>83</v>
      </c>
      <c r="K1725">
        <v>0</v>
      </c>
      <c r="L1725" s="1">
        <v>44784.577118055553</v>
      </c>
      <c r="M1725">
        <v>2.7</v>
      </c>
      <c r="N1725">
        <v>3.2</v>
      </c>
      <c r="O1725">
        <v>0.5</v>
      </c>
      <c r="P1725">
        <v>17</v>
      </c>
      <c r="Q1725">
        <v>0.2</v>
      </c>
      <c r="R1725">
        <v>0.2</v>
      </c>
      <c r="S1725">
        <v>0.2</v>
      </c>
      <c r="T1725" t="s">
        <v>33</v>
      </c>
      <c r="U1725">
        <v>2.95</v>
      </c>
      <c r="V1725">
        <v>51</v>
      </c>
      <c r="W1725">
        <v>0</v>
      </c>
      <c r="X1725">
        <v>51</v>
      </c>
      <c r="Y1725">
        <v>2</v>
      </c>
      <c r="Z1725">
        <v>0</v>
      </c>
      <c r="AA1725">
        <v>2</v>
      </c>
      <c r="AB1725" t="s">
        <v>36</v>
      </c>
      <c r="AC1725">
        <v>51</v>
      </c>
      <c r="AD1725">
        <v>0.39</v>
      </c>
    </row>
    <row r="1726" spans="1:30" x14ac:dyDescent="0.25">
      <c r="A1726" s="1">
        <v>44784.577141203707</v>
      </c>
      <c r="B1726" s="1">
        <v>44784.577025462961</v>
      </c>
      <c r="C1726">
        <v>151702</v>
      </c>
      <c r="D1726" t="s">
        <v>37</v>
      </c>
      <c r="E1726" t="s">
        <v>31</v>
      </c>
      <c r="F1726">
        <v>7</v>
      </c>
      <c r="G1726">
        <v>43.118609999999997</v>
      </c>
      <c r="H1726">
        <v>-71.61618</v>
      </c>
      <c r="I1726">
        <v>885</v>
      </c>
      <c r="J1726">
        <v>0</v>
      </c>
      <c r="K1726">
        <v>0</v>
      </c>
      <c r="L1726" s="1">
        <v>44784.577118055553</v>
      </c>
      <c r="M1726">
        <v>2.4</v>
      </c>
      <c r="N1726">
        <v>2.4</v>
      </c>
      <c r="O1726">
        <v>0</v>
      </c>
      <c r="P1726">
        <v>0</v>
      </c>
      <c r="Q1726">
        <v>0.1</v>
      </c>
      <c r="R1726">
        <v>0.1</v>
      </c>
      <c r="S1726">
        <v>0.1</v>
      </c>
      <c r="T1726" t="s">
        <v>33</v>
      </c>
      <c r="U1726">
        <v>2.4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 t="s">
        <v>38</v>
      </c>
    </row>
    <row r="1727" spans="1:30" x14ac:dyDescent="0.25">
      <c r="A1727" s="1">
        <v>44784.577152777776</v>
      </c>
      <c r="B1727" s="1">
        <v>44784.576921296299</v>
      </c>
      <c r="C1727">
        <v>151700</v>
      </c>
      <c r="D1727" t="s">
        <v>30</v>
      </c>
      <c r="E1727" t="s">
        <v>31</v>
      </c>
      <c r="F1727">
        <v>7</v>
      </c>
      <c r="G1727">
        <v>43.19211</v>
      </c>
      <c r="H1727">
        <v>-71.541460000000001</v>
      </c>
      <c r="I1727">
        <v>286</v>
      </c>
      <c r="J1727">
        <v>84</v>
      </c>
      <c r="K1727">
        <v>0</v>
      </c>
      <c r="L1727" s="1">
        <v>44784.577118055553</v>
      </c>
      <c r="M1727">
        <v>2.4</v>
      </c>
      <c r="N1727">
        <v>2.8</v>
      </c>
      <c r="O1727">
        <v>0.4</v>
      </c>
      <c r="P1727">
        <v>15</v>
      </c>
      <c r="Q1727">
        <v>0.4</v>
      </c>
      <c r="R1727">
        <v>0.4</v>
      </c>
      <c r="S1727">
        <v>0.4</v>
      </c>
      <c r="T1727" t="s">
        <v>33</v>
      </c>
      <c r="U1727">
        <v>2.6</v>
      </c>
      <c r="V1727">
        <v>41</v>
      </c>
      <c r="W1727">
        <v>0</v>
      </c>
      <c r="X1727">
        <v>41</v>
      </c>
      <c r="Y1727">
        <v>2</v>
      </c>
      <c r="Z1727">
        <v>0</v>
      </c>
      <c r="AA1727">
        <v>2</v>
      </c>
      <c r="AB1727" t="s">
        <v>36</v>
      </c>
      <c r="AC1727">
        <v>41</v>
      </c>
      <c r="AD1727">
        <v>0.88</v>
      </c>
    </row>
    <row r="1728" spans="1:30" x14ac:dyDescent="0.25">
      <c r="A1728" s="1">
        <v>44784.577152777776</v>
      </c>
      <c r="B1728" s="1">
        <v>44784.575960648152</v>
      </c>
      <c r="C1728">
        <v>135984</v>
      </c>
      <c r="D1728" t="s">
        <v>39</v>
      </c>
      <c r="E1728" t="s">
        <v>31</v>
      </c>
      <c r="F1728">
        <v>7</v>
      </c>
      <c r="G1728">
        <v>43.565852999999997</v>
      </c>
      <c r="H1728">
        <v>-71.496129999999994</v>
      </c>
      <c r="I1728">
        <v>708</v>
      </c>
      <c r="J1728">
        <v>87</v>
      </c>
      <c r="K1728">
        <v>0</v>
      </c>
      <c r="L1728" s="1">
        <v>44784.577118055553</v>
      </c>
      <c r="M1728">
        <v>2.8</v>
      </c>
      <c r="N1728">
        <v>2.2999999999999998</v>
      </c>
      <c r="O1728">
        <v>0.5</v>
      </c>
      <c r="P1728">
        <v>20</v>
      </c>
      <c r="Q1728">
        <v>0.1</v>
      </c>
      <c r="R1728">
        <v>0.3</v>
      </c>
      <c r="S1728">
        <v>0.2</v>
      </c>
      <c r="T1728" t="s">
        <v>33</v>
      </c>
      <c r="U1728">
        <v>2.5499999999999998</v>
      </c>
      <c r="V1728">
        <v>49</v>
      </c>
      <c r="W1728">
        <v>0</v>
      </c>
      <c r="X1728">
        <v>49</v>
      </c>
      <c r="Y1728">
        <v>1</v>
      </c>
      <c r="Z1728">
        <v>0</v>
      </c>
      <c r="AA1728">
        <v>1</v>
      </c>
      <c r="AB1728" t="s">
        <v>36</v>
      </c>
      <c r="AC1728">
        <v>49</v>
      </c>
      <c r="AD1728">
        <v>0.28999999999999998</v>
      </c>
    </row>
    <row r="1729" spans="1:30" x14ac:dyDescent="0.25">
      <c r="A1729" s="1">
        <v>44784.577152777776</v>
      </c>
      <c r="B1729" s="1">
        <v>44780.394780092596</v>
      </c>
      <c r="C1729">
        <v>151712</v>
      </c>
      <c r="D1729" t="s">
        <v>40</v>
      </c>
      <c r="E1729" t="s">
        <v>31</v>
      </c>
      <c r="F1729">
        <v>7</v>
      </c>
      <c r="G1729">
        <v>43.289763999999998</v>
      </c>
      <c r="H1729">
        <v>-71.564260000000004</v>
      </c>
      <c r="I1729">
        <v>370</v>
      </c>
      <c r="J1729">
        <v>86</v>
      </c>
      <c r="K1729">
        <v>0</v>
      </c>
      <c r="L1729" s="1">
        <v>44784.577118055553</v>
      </c>
      <c r="M1729">
        <v>14</v>
      </c>
      <c r="N1729">
        <v>13.2</v>
      </c>
      <c r="O1729">
        <v>0.8</v>
      </c>
      <c r="P1729">
        <v>6</v>
      </c>
      <c r="Q1729">
        <v>0</v>
      </c>
      <c r="R1729">
        <v>0</v>
      </c>
      <c r="S1729">
        <v>0</v>
      </c>
      <c r="T1729" t="s">
        <v>32</v>
      </c>
      <c r="V1729">
        <v>59</v>
      </c>
      <c r="W1729">
        <v>0</v>
      </c>
      <c r="X1729">
        <v>59</v>
      </c>
      <c r="Y1729">
        <v>0</v>
      </c>
      <c r="Z1729">
        <v>0</v>
      </c>
      <c r="AA1729">
        <v>0</v>
      </c>
      <c r="AB1729" t="s">
        <v>36</v>
      </c>
      <c r="AC1729">
        <v>59</v>
      </c>
    </row>
    <row r="1730" spans="1:30" x14ac:dyDescent="0.25">
      <c r="A1730" s="1">
        <v>44784.577164351853</v>
      </c>
      <c r="B1730" s="1">
        <v>44784.575277777774</v>
      </c>
      <c r="C1730">
        <v>151710</v>
      </c>
      <c r="D1730" t="s">
        <v>41</v>
      </c>
      <c r="E1730" t="s">
        <v>31</v>
      </c>
      <c r="F1730">
        <v>7</v>
      </c>
      <c r="G1730">
        <v>43.132477000000002</v>
      </c>
      <c r="H1730">
        <v>-71.458374000000006</v>
      </c>
      <c r="I1730">
        <v>230</v>
      </c>
      <c r="J1730">
        <v>89</v>
      </c>
      <c r="K1730">
        <v>0</v>
      </c>
      <c r="L1730" s="1">
        <v>44784.577118055553</v>
      </c>
      <c r="M1730">
        <v>4.5</v>
      </c>
      <c r="N1730">
        <v>3.4</v>
      </c>
      <c r="O1730">
        <v>1.1000000000000001</v>
      </c>
      <c r="P1730">
        <v>28</v>
      </c>
      <c r="Q1730">
        <v>0</v>
      </c>
      <c r="R1730">
        <v>0</v>
      </c>
      <c r="S1730">
        <v>0</v>
      </c>
      <c r="T1730" t="s">
        <v>33</v>
      </c>
      <c r="U1730">
        <v>3.95</v>
      </c>
      <c r="V1730">
        <v>35</v>
      </c>
      <c r="W1730">
        <v>0</v>
      </c>
      <c r="X1730">
        <v>35</v>
      </c>
      <c r="Y1730">
        <v>1</v>
      </c>
      <c r="Z1730">
        <v>0</v>
      </c>
      <c r="AA1730">
        <v>1</v>
      </c>
      <c r="AB1730" t="s">
        <v>36</v>
      </c>
      <c r="AC1730">
        <v>35</v>
      </c>
      <c r="AD1730">
        <v>2.12</v>
      </c>
    </row>
    <row r="1731" spans="1:30" x14ac:dyDescent="0.25">
      <c r="A1731" s="1">
        <v>44784.577164351853</v>
      </c>
      <c r="B1731" s="1">
        <v>44784.576319444444</v>
      </c>
      <c r="C1731">
        <v>151706</v>
      </c>
      <c r="D1731" t="s">
        <v>42</v>
      </c>
      <c r="E1731" t="s">
        <v>31</v>
      </c>
      <c r="F1731">
        <v>7</v>
      </c>
      <c r="G1731">
        <v>43.004080000000002</v>
      </c>
      <c r="H1731">
        <v>-71.177040000000005</v>
      </c>
      <c r="I1731">
        <v>194</v>
      </c>
      <c r="J1731">
        <v>88</v>
      </c>
      <c r="K1731">
        <v>0</v>
      </c>
      <c r="L1731" s="1">
        <v>44784.577118055553</v>
      </c>
      <c r="M1731">
        <v>6.5</v>
      </c>
      <c r="N1731">
        <v>0</v>
      </c>
      <c r="O1731">
        <v>6.5</v>
      </c>
      <c r="P1731">
        <v>200</v>
      </c>
      <c r="Q1731">
        <v>0.6</v>
      </c>
      <c r="R1731">
        <v>0</v>
      </c>
      <c r="S1731">
        <v>0.3</v>
      </c>
      <c r="T1731" t="s">
        <v>43</v>
      </c>
      <c r="V1731">
        <v>42</v>
      </c>
      <c r="W1731">
        <v>0</v>
      </c>
      <c r="X1731">
        <v>42</v>
      </c>
      <c r="Y1731">
        <v>0</v>
      </c>
      <c r="Z1731">
        <v>0</v>
      </c>
      <c r="AA1731">
        <v>0</v>
      </c>
      <c r="AB1731" t="s">
        <v>36</v>
      </c>
      <c r="AC1731">
        <v>42</v>
      </c>
    </row>
    <row r="1732" spans="1:30" x14ac:dyDescent="0.25">
      <c r="A1732" s="1">
        <v>44784.577164351853</v>
      </c>
      <c r="B1732" s="1">
        <v>44784.576099537036</v>
      </c>
      <c r="C1732">
        <v>12212</v>
      </c>
      <c r="D1732" t="s">
        <v>44</v>
      </c>
      <c r="E1732" t="s">
        <v>35</v>
      </c>
      <c r="F1732">
        <v>7</v>
      </c>
      <c r="G1732">
        <v>42.930529999999997</v>
      </c>
      <c r="H1732">
        <v>-72.272350000000003</v>
      </c>
      <c r="I1732">
        <v>476</v>
      </c>
      <c r="J1732">
        <v>91</v>
      </c>
      <c r="K1732">
        <v>0</v>
      </c>
      <c r="L1732" s="1">
        <v>44784.577118055553</v>
      </c>
      <c r="M1732">
        <v>4</v>
      </c>
      <c r="N1732">
        <v>3.7</v>
      </c>
      <c r="O1732">
        <v>0.3</v>
      </c>
      <c r="P1732">
        <v>8</v>
      </c>
      <c r="Q1732">
        <v>0.1</v>
      </c>
      <c r="R1732">
        <v>0.1</v>
      </c>
      <c r="S1732">
        <v>0.1</v>
      </c>
      <c r="T1732" t="s">
        <v>33</v>
      </c>
      <c r="U1732">
        <v>3.85</v>
      </c>
      <c r="V1732">
        <v>31</v>
      </c>
      <c r="W1732">
        <v>0</v>
      </c>
      <c r="X1732">
        <v>31</v>
      </c>
      <c r="Y1732">
        <v>1</v>
      </c>
      <c r="Z1732">
        <v>0</v>
      </c>
      <c r="AA1732">
        <v>1</v>
      </c>
      <c r="AB1732" t="s">
        <v>36</v>
      </c>
      <c r="AC1732">
        <v>31</v>
      </c>
      <c r="AD1732">
        <v>2.34</v>
      </c>
    </row>
    <row r="1733" spans="1:30" x14ac:dyDescent="0.25">
      <c r="A1733" s="1">
        <v>44784.577175925922</v>
      </c>
      <c r="B1733" s="1">
        <v>44769.376736111109</v>
      </c>
      <c r="C1733">
        <v>12178</v>
      </c>
      <c r="D1733" t="s">
        <v>45</v>
      </c>
      <c r="E1733" t="s">
        <v>35</v>
      </c>
      <c r="F1733">
        <v>7</v>
      </c>
      <c r="G1733">
        <v>42.899563000000001</v>
      </c>
      <c r="H1733">
        <v>-71.464650000000006</v>
      </c>
      <c r="I1733">
        <v>301</v>
      </c>
      <c r="J1733">
        <v>85</v>
      </c>
      <c r="K1733">
        <v>0</v>
      </c>
      <c r="L1733" s="1">
        <v>44784.577118055553</v>
      </c>
      <c r="M1733">
        <v>3.8</v>
      </c>
      <c r="N1733">
        <v>3.1</v>
      </c>
      <c r="O1733">
        <v>0.7</v>
      </c>
      <c r="P1733">
        <v>20</v>
      </c>
      <c r="Q1733">
        <v>0</v>
      </c>
      <c r="R1733">
        <v>0</v>
      </c>
      <c r="S1733">
        <v>0</v>
      </c>
      <c r="T1733" t="s">
        <v>32</v>
      </c>
      <c r="V1733">
        <v>35</v>
      </c>
      <c r="W1733">
        <v>0</v>
      </c>
      <c r="X1733">
        <v>35</v>
      </c>
      <c r="Y1733">
        <v>0</v>
      </c>
      <c r="Z1733">
        <v>0</v>
      </c>
      <c r="AA1733">
        <v>0</v>
      </c>
      <c r="AB1733" t="s">
        <v>36</v>
      </c>
      <c r="AC1733">
        <v>35</v>
      </c>
    </row>
    <row r="1734" spans="1:30" x14ac:dyDescent="0.25">
      <c r="A1734" s="1">
        <v>44784.577175925922</v>
      </c>
      <c r="B1734" s="1">
        <v>44784.576770833337</v>
      </c>
      <c r="C1734">
        <v>75981</v>
      </c>
      <c r="D1734" t="s">
        <v>46</v>
      </c>
      <c r="E1734" t="s">
        <v>35</v>
      </c>
      <c r="F1734">
        <v>7</v>
      </c>
      <c r="G1734">
        <v>42.97</v>
      </c>
      <c r="H1734">
        <v>-71.06</v>
      </c>
      <c r="I1734">
        <v>136</v>
      </c>
      <c r="J1734">
        <v>89</v>
      </c>
      <c r="K1734">
        <v>0</v>
      </c>
      <c r="L1734" s="1">
        <v>44784.577118055553</v>
      </c>
      <c r="M1734">
        <v>9.8000000000000007</v>
      </c>
      <c r="N1734">
        <v>9</v>
      </c>
      <c r="O1734">
        <v>0.8</v>
      </c>
      <c r="P1734">
        <v>9</v>
      </c>
      <c r="Q1734">
        <v>0.1</v>
      </c>
      <c r="R1734">
        <v>0.1</v>
      </c>
      <c r="S1734">
        <v>0.1</v>
      </c>
      <c r="T1734" t="s">
        <v>33</v>
      </c>
      <c r="U1734">
        <v>9.4</v>
      </c>
      <c r="V1734">
        <v>44</v>
      </c>
      <c r="W1734">
        <v>0</v>
      </c>
      <c r="X1734">
        <v>44</v>
      </c>
      <c r="Y1734">
        <v>2</v>
      </c>
      <c r="Z1734">
        <v>0</v>
      </c>
      <c r="AA1734">
        <v>2</v>
      </c>
      <c r="AB1734" t="s">
        <v>36</v>
      </c>
      <c r="AC1734">
        <v>44</v>
      </c>
      <c r="AD1734">
        <v>4.8099999999999996</v>
      </c>
    </row>
    <row r="1735" spans="1:30" x14ac:dyDescent="0.25">
      <c r="A1735" s="1">
        <v>44784.577187499999</v>
      </c>
      <c r="B1735" s="1">
        <v>44784.575914351852</v>
      </c>
      <c r="C1735">
        <v>115703</v>
      </c>
      <c r="D1735" t="s">
        <v>47</v>
      </c>
      <c r="E1735" t="s">
        <v>35</v>
      </c>
      <c r="F1735">
        <v>7</v>
      </c>
      <c r="G1735">
        <v>43.953625000000002</v>
      </c>
      <c r="H1735">
        <v>-71.508859999999999</v>
      </c>
      <c r="I1735">
        <v>1493</v>
      </c>
      <c r="J1735">
        <v>95</v>
      </c>
      <c r="K1735">
        <v>0</v>
      </c>
      <c r="L1735" s="1">
        <v>44784.577118055553</v>
      </c>
      <c r="M1735">
        <v>0</v>
      </c>
      <c r="N1735">
        <v>326.7</v>
      </c>
      <c r="O1735">
        <v>326.7</v>
      </c>
      <c r="P1735">
        <v>200</v>
      </c>
      <c r="Q1735">
        <v>0</v>
      </c>
      <c r="R1735">
        <v>160</v>
      </c>
      <c r="S1735">
        <v>80</v>
      </c>
      <c r="T1735" t="s">
        <v>48</v>
      </c>
      <c r="V1735">
        <v>27</v>
      </c>
      <c r="W1735">
        <v>0</v>
      </c>
      <c r="X1735">
        <v>27</v>
      </c>
      <c r="Y1735">
        <v>2</v>
      </c>
      <c r="Z1735">
        <v>0</v>
      </c>
      <c r="AA1735">
        <v>2</v>
      </c>
      <c r="AB1735" t="s">
        <v>36</v>
      </c>
      <c r="AC1735">
        <v>27</v>
      </c>
    </row>
    <row r="1736" spans="1:30" x14ac:dyDescent="0.25">
      <c r="A1736" s="1">
        <v>44784.577187499999</v>
      </c>
      <c r="B1736" s="1">
        <v>44784.576724537037</v>
      </c>
      <c r="C1736">
        <v>12050</v>
      </c>
      <c r="D1736" t="s">
        <v>49</v>
      </c>
      <c r="E1736" t="s">
        <v>35</v>
      </c>
      <c r="F1736">
        <v>7</v>
      </c>
      <c r="G1736">
        <v>44.220573000000002</v>
      </c>
      <c r="H1736">
        <v>-71.732315</v>
      </c>
      <c r="I1736">
        <v>999</v>
      </c>
      <c r="J1736">
        <v>93</v>
      </c>
      <c r="K1736">
        <v>0</v>
      </c>
      <c r="L1736" s="1">
        <v>44784.577118055553</v>
      </c>
      <c r="M1736">
        <v>2.8</v>
      </c>
      <c r="N1736">
        <v>2.6</v>
      </c>
      <c r="O1736">
        <v>0.2</v>
      </c>
      <c r="P1736">
        <v>7</v>
      </c>
      <c r="Q1736">
        <v>0.1</v>
      </c>
      <c r="R1736">
        <v>0.1</v>
      </c>
      <c r="S1736">
        <v>0.1</v>
      </c>
      <c r="T1736" t="s">
        <v>33</v>
      </c>
      <c r="U1736">
        <v>2.7</v>
      </c>
      <c r="V1736">
        <v>28</v>
      </c>
      <c r="W1736">
        <v>0</v>
      </c>
      <c r="X1736">
        <v>28</v>
      </c>
      <c r="Y1736">
        <v>3</v>
      </c>
      <c r="Z1736">
        <v>0</v>
      </c>
      <c r="AA1736">
        <v>3</v>
      </c>
      <c r="AB1736" t="s">
        <v>36</v>
      </c>
      <c r="AC1736">
        <v>28</v>
      </c>
      <c r="AD1736">
        <v>1.85</v>
      </c>
    </row>
    <row r="1737" spans="1:30" x14ac:dyDescent="0.25">
      <c r="A1737" s="1">
        <v>44784.577187499999</v>
      </c>
      <c r="B1737" s="1">
        <v>44784.576840277776</v>
      </c>
      <c r="C1737">
        <v>23443</v>
      </c>
      <c r="D1737" t="s">
        <v>50</v>
      </c>
      <c r="E1737" t="s">
        <v>35</v>
      </c>
      <c r="F1737">
        <v>7</v>
      </c>
      <c r="G1737">
        <v>43.556139999999999</v>
      </c>
      <c r="H1737">
        <v>-72.370990000000006</v>
      </c>
      <c r="I1737">
        <v>523</v>
      </c>
      <c r="J1737">
        <v>101</v>
      </c>
      <c r="K1737">
        <v>0</v>
      </c>
      <c r="L1737" s="1">
        <v>44784.577118055553</v>
      </c>
      <c r="M1737">
        <v>2.7</v>
      </c>
      <c r="N1737">
        <v>2.4</v>
      </c>
      <c r="O1737">
        <v>0.3</v>
      </c>
      <c r="P1737">
        <v>12</v>
      </c>
      <c r="Q1737">
        <v>0</v>
      </c>
      <c r="R1737">
        <v>0.1</v>
      </c>
      <c r="S1737">
        <v>0.05</v>
      </c>
      <c r="T1737" t="s">
        <v>33</v>
      </c>
      <c r="U1737">
        <v>2.5499999999999998</v>
      </c>
      <c r="V1737">
        <v>24</v>
      </c>
      <c r="W1737">
        <v>0</v>
      </c>
      <c r="X1737">
        <v>24</v>
      </c>
      <c r="Y1737">
        <v>0</v>
      </c>
      <c r="Z1737">
        <v>0</v>
      </c>
      <c r="AA1737">
        <v>0</v>
      </c>
      <c r="AB1737" t="s">
        <v>36</v>
      </c>
      <c r="AC1737">
        <v>24</v>
      </c>
      <c r="AD1737">
        <v>2.04</v>
      </c>
    </row>
    <row r="1738" spans="1:30" x14ac:dyDescent="0.25">
      <c r="A1738" s="1">
        <v>44784.577199074076</v>
      </c>
      <c r="B1738" s="1">
        <v>44784.576956018522</v>
      </c>
      <c r="C1738">
        <v>58135</v>
      </c>
      <c r="D1738" t="s">
        <v>51</v>
      </c>
      <c r="E1738" t="s">
        <v>35</v>
      </c>
      <c r="F1738">
        <v>7</v>
      </c>
      <c r="G1738">
        <v>42.883873000000001</v>
      </c>
      <c r="H1738">
        <v>-71.972915999999998</v>
      </c>
      <c r="I1738">
        <v>808</v>
      </c>
      <c r="J1738">
        <v>85</v>
      </c>
      <c r="K1738">
        <v>0</v>
      </c>
      <c r="L1738" s="1">
        <v>44784.577118055553</v>
      </c>
      <c r="M1738">
        <v>3.1</v>
      </c>
      <c r="N1738">
        <v>1.9</v>
      </c>
      <c r="O1738">
        <v>1.2</v>
      </c>
      <c r="P1738">
        <v>48</v>
      </c>
      <c r="Q1738">
        <v>0.1</v>
      </c>
      <c r="R1738">
        <v>0.1</v>
      </c>
      <c r="S1738">
        <v>0.1</v>
      </c>
      <c r="T1738" t="s">
        <v>33</v>
      </c>
      <c r="U1738">
        <v>2.5</v>
      </c>
      <c r="V1738">
        <v>35</v>
      </c>
      <c r="W1738">
        <v>0</v>
      </c>
      <c r="X1738">
        <v>35</v>
      </c>
      <c r="Y1738">
        <v>1</v>
      </c>
      <c r="Z1738">
        <v>0</v>
      </c>
      <c r="AA1738">
        <v>1</v>
      </c>
      <c r="AB1738" t="s">
        <v>36</v>
      </c>
      <c r="AC1738">
        <v>35</v>
      </c>
      <c r="AD1738">
        <v>1.23</v>
      </c>
    </row>
    <row r="1739" spans="1:30" x14ac:dyDescent="0.25">
      <c r="A1739" s="1">
        <v>44784.577199074076</v>
      </c>
      <c r="B1739" s="1">
        <v>44784.576956018522</v>
      </c>
      <c r="C1739">
        <v>148555</v>
      </c>
      <c r="D1739" t="s">
        <v>52</v>
      </c>
      <c r="E1739" t="s">
        <v>53</v>
      </c>
      <c r="F1739">
        <v>7</v>
      </c>
      <c r="G1739">
        <v>42.904949999999999</v>
      </c>
      <c r="H1739">
        <v>-71.386764999999997</v>
      </c>
      <c r="I1739">
        <v>363</v>
      </c>
      <c r="J1739">
        <v>0</v>
      </c>
      <c r="K1739">
        <v>0</v>
      </c>
      <c r="L1739" s="1">
        <v>44784.577118055553</v>
      </c>
      <c r="M1739">
        <v>1.5</v>
      </c>
      <c r="N1739">
        <v>1.3</v>
      </c>
      <c r="O1739">
        <v>0.2</v>
      </c>
      <c r="P1739">
        <v>14</v>
      </c>
      <c r="Q1739">
        <v>0</v>
      </c>
      <c r="R1739">
        <v>0</v>
      </c>
      <c r="S1739">
        <v>0</v>
      </c>
      <c r="T1739" t="s">
        <v>33</v>
      </c>
      <c r="U1739">
        <v>1.4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0</v>
      </c>
      <c r="AB1739" t="s">
        <v>38</v>
      </c>
    </row>
    <row r="1740" spans="1:30" x14ac:dyDescent="0.25">
      <c r="A1740" s="1">
        <v>44784.577199074076</v>
      </c>
      <c r="B1740" s="1">
        <v>44784.57644675926</v>
      </c>
      <c r="C1740">
        <v>146644</v>
      </c>
      <c r="D1740" t="s">
        <v>54</v>
      </c>
      <c r="E1740" t="s">
        <v>53</v>
      </c>
      <c r="F1740">
        <v>7</v>
      </c>
      <c r="G1740">
        <v>43.06015</v>
      </c>
      <c r="H1740">
        <v>-70.758930000000007</v>
      </c>
      <c r="I1740">
        <v>35</v>
      </c>
      <c r="J1740">
        <v>81</v>
      </c>
      <c r="K1740">
        <v>82</v>
      </c>
      <c r="L1740" s="1">
        <v>44784.577118055553</v>
      </c>
      <c r="M1740">
        <v>14.2</v>
      </c>
      <c r="N1740">
        <v>13</v>
      </c>
      <c r="O1740">
        <v>1.2</v>
      </c>
      <c r="P1740">
        <v>9</v>
      </c>
      <c r="Q1740">
        <v>0.4</v>
      </c>
      <c r="R1740">
        <v>0.1</v>
      </c>
      <c r="S1740">
        <v>0.25</v>
      </c>
      <c r="T1740" t="s">
        <v>33</v>
      </c>
      <c r="U1740">
        <v>13.6</v>
      </c>
      <c r="V1740">
        <v>51</v>
      </c>
      <c r="W1740">
        <v>57</v>
      </c>
      <c r="X1740">
        <v>6</v>
      </c>
      <c r="Y1740">
        <v>1</v>
      </c>
      <c r="Z1740">
        <v>2</v>
      </c>
      <c r="AA1740">
        <v>1</v>
      </c>
      <c r="AB1740" t="s">
        <v>33</v>
      </c>
      <c r="AC1740">
        <v>54</v>
      </c>
      <c r="AD1740">
        <v>6.68</v>
      </c>
    </row>
    <row r="1741" spans="1:30" x14ac:dyDescent="0.25">
      <c r="A1741" s="1">
        <v>44784.577210648145</v>
      </c>
      <c r="B1741" s="1">
        <v>43755.283437500002</v>
      </c>
      <c r="C1741">
        <v>12188</v>
      </c>
      <c r="D1741" t="s">
        <v>55</v>
      </c>
      <c r="E1741" t="s">
        <v>35</v>
      </c>
      <c r="F1741">
        <v>4.1100000000000003</v>
      </c>
      <c r="G1741">
        <v>42.927050000000001</v>
      </c>
      <c r="H1741">
        <v>-72.279610000000005</v>
      </c>
      <c r="I1741">
        <v>475</v>
      </c>
      <c r="J1741">
        <v>95</v>
      </c>
      <c r="K1741">
        <v>0</v>
      </c>
      <c r="L1741" s="1">
        <v>44784.577118055553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 t="s">
        <v>32</v>
      </c>
      <c r="V1741">
        <v>77</v>
      </c>
      <c r="W1741">
        <v>0</v>
      </c>
      <c r="X1741">
        <v>77</v>
      </c>
      <c r="Y1741">
        <v>0</v>
      </c>
      <c r="Z1741">
        <v>0</v>
      </c>
      <c r="AA1741">
        <v>0</v>
      </c>
      <c r="AB1741" t="s">
        <v>36</v>
      </c>
      <c r="AC1741">
        <v>77</v>
      </c>
    </row>
    <row r="1742" spans="1:30" x14ac:dyDescent="0.25">
      <c r="A1742" s="1">
        <v>44784.577210648145</v>
      </c>
      <c r="B1742" s="1">
        <v>44784.576828703706</v>
      </c>
      <c r="C1742">
        <v>1224</v>
      </c>
      <c r="D1742" t="s">
        <v>56</v>
      </c>
      <c r="E1742" t="s">
        <v>35</v>
      </c>
      <c r="F1742" t="s">
        <v>57</v>
      </c>
      <c r="G1742">
        <v>42.938034000000002</v>
      </c>
      <c r="H1742">
        <v>-72.259299999999996</v>
      </c>
      <c r="I1742">
        <v>792</v>
      </c>
      <c r="J1742">
        <v>93</v>
      </c>
      <c r="K1742">
        <v>0</v>
      </c>
      <c r="L1742" s="1">
        <v>44784.577118055553</v>
      </c>
      <c r="M1742">
        <v>4.0999999999999996</v>
      </c>
      <c r="N1742">
        <v>0</v>
      </c>
      <c r="O1742">
        <v>4.0999999999999996</v>
      </c>
      <c r="P1742">
        <v>200</v>
      </c>
      <c r="Q1742">
        <v>0.1</v>
      </c>
      <c r="R1742">
        <v>0.1</v>
      </c>
      <c r="S1742">
        <v>0.1</v>
      </c>
      <c r="T1742" t="s">
        <v>43</v>
      </c>
      <c r="V1742">
        <v>36</v>
      </c>
      <c r="W1742">
        <v>0</v>
      </c>
      <c r="X1742">
        <v>36</v>
      </c>
      <c r="Y1742">
        <v>2</v>
      </c>
      <c r="Z1742">
        <v>0</v>
      </c>
      <c r="AA1742">
        <v>2</v>
      </c>
      <c r="AB1742" t="s">
        <v>36</v>
      </c>
      <c r="AC1742">
        <v>36</v>
      </c>
    </row>
    <row r="1743" spans="1:30" x14ac:dyDescent="0.25">
      <c r="A1743" s="1">
        <v>44784.577210648145</v>
      </c>
      <c r="B1743" s="1">
        <v>44784.576273148145</v>
      </c>
      <c r="C1743">
        <v>1202</v>
      </c>
      <c r="D1743" t="s">
        <v>58</v>
      </c>
      <c r="E1743" t="s">
        <v>35</v>
      </c>
      <c r="F1743" t="s">
        <v>57</v>
      </c>
      <c r="G1743">
        <v>42.936554000000001</v>
      </c>
      <c r="H1743">
        <v>-72.271019999999993</v>
      </c>
      <c r="I1743">
        <v>488</v>
      </c>
      <c r="J1743">
        <v>0</v>
      </c>
      <c r="K1743">
        <v>0</v>
      </c>
      <c r="L1743" s="1">
        <v>44784.577118055553</v>
      </c>
      <c r="M1743">
        <v>4.4000000000000004</v>
      </c>
      <c r="N1743">
        <v>4</v>
      </c>
      <c r="O1743">
        <v>0.4</v>
      </c>
      <c r="P1743">
        <v>10</v>
      </c>
      <c r="Q1743">
        <v>0.4</v>
      </c>
      <c r="R1743">
        <v>0.1</v>
      </c>
      <c r="S1743">
        <v>0.25</v>
      </c>
      <c r="T1743" t="s">
        <v>33</v>
      </c>
      <c r="U1743">
        <v>4.2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0</v>
      </c>
      <c r="AB1743" t="s">
        <v>38</v>
      </c>
    </row>
    <row r="1744" spans="1:30" x14ac:dyDescent="0.25">
      <c r="A1744" s="1">
        <v>44784.577222222222</v>
      </c>
      <c r="B1744" s="1">
        <v>44612.080023148148</v>
      </c>
      <c r="C1744">
        <v>25985</v>
      </c>
      <c r="D1744" t="s">
        <v>59</v>
      </c>
      <c r="E1744" t="s">
        <v>35</v>
      </c>
      <c r="F1744">
        <v>6.01</v>
      </c>
      <c r="G1744">
        <v>42.927326000000001</v>
      </c>
      <c r="H1744">
        <v>-72.279979999999995</v>
      </c>
      <c r="I1744">
        <v>477</v>
      </c>
      <c r="J1744">
        <v>78</v>
      </c>
      <c r="K1744">
        <v>0</v>
      </c>
      <c r="L1744" s="1">
        <v>44784.577118055553</v>
      </c>
      <c r="M1744">
        <v>1.1000000000000001</v>
      </c>
      <c r="N1744">
        <v>1</v>
      </c>
      <c r="O1744">
        <v>0.1</v>
      </c>
      <c r="P1744">
        <v>10</v>
      </c>
      <c r="Q1744">
        <v>0</v>
      </c>
      <c r="R1744">
        <v>0</v>
      </c>
      <c r="S1744">
        <v>0</v>
      </c>
      <c r="T1744" t="s">
        <v>32</v>
      </c>
      <c r="V1744">
        <v>22</v>
      </c>
      <c r="W1744">
        <v>0</v>
      </c>
      <c r="X1744">
        <v>22</v>
      </c>
      <c r="Y1744">
        <v>0</v>
      </c>
      <c r="Z1744">
        <v>0</v>
      </c>
      <c r="AA1744">
        <v>0</v>
      </c>
      <c r="AB1744" t="s">
        <v>36</v>
      </c>
      <c r="AC1744">
        <v>22</v>
      </c>
    </row>
    <row r="1745" spans="1:30" x14ac:dyDescent="0.25">
      <c r="A1745" s="1">
        <v>44784.584085648145</v>
      </c>
      <c r="B1745" s="1">
        <v>44775.701319444444</v>
      </c>
      <c r="C1745">
        <v>151708</v>
      </c>
      <c r="D1745" t="s">
        <v>30</v>
      </c>
      <c r="E1745" t="s">
        <v>31</v>
      </c>
      <c r="F1745">
        <v>7</v>
      </c>
      <c r="G1745">
        <v>43.192042999999998</v>
      </c>
      <c r="H1745">
        <v>-71.541579999999996</v>
      </c>
      <c r="I1745">
        <v>291</v>
      </c>
      <c r="J1745">
        <v>93</v>
      </c>
      <c r="K1745">
        <v>94</v>
      </c>
      <c r="L1745" s="1">
        <v>44784.584062499998</v>
      </c>
      <c r="M1745">
        <v>7.9</v>
      </c>
      <c r="N1745">
        <v>7.6</v>
      </c>
      <c r="O1745">
        <v>0.3</v>
      </c>
      <c r="P1745">
        <v>4</v>
      </c>
      <c r="Q1745">
        <v>0</v>
      </c>
      <c r="R1745">
        <v>0</v>
      </c>
      <c r="S1745">
        <v>0</v>
      </c>
      <c r="T1745" t="s">
        <v>32</v>
      </c>
      <c r="V1745">
        <v>42</v>
      </c>
      <c r="W1745">
        <v>41</v>
      </c>
      <c r="X1745">
        <v>1</v>
      </c>
      <c r="Y1745">
        <v>0</v>
      </c>
      <c r="Z1745">
        <v>0</v>
      </c>
      <c r="AA1745">
        <v>0</v>
      </c>
      <c r="AB1745" t="s">
        <v>33</v>
      </c>
      <c r="AC1745">
        <v>41.5</v>
      </c>
    </row>
    <row r="1746" spans="1:30" x14ac:dyDescent="0.25">
      <c r="A1746" s="1">
        <v>44784.584085648145</v>
      </c>
      <c r="B1746" s="1">
        <v>44784.582430555558</v>
      </c>
      <c r="C1746">
        <v>143456</v>
      </c>
      <c r="D1746" t="s">
        <v>34</v>
      </c>
      <c r="E1746" t="s">
        <v>35</v>
      </c>
      <c r="F1746">
        <v>7</v>
      </c>
      <c r="G1746">
        <v>43.08963</v>
      </c>
      <c r="H1746">
        <v>-71.502440000000007</v>
      </c>
      <c r="I1746">
        <v>619</v>
      </c>
      <c r="J1746">
        <v>83</v>
      </c>
      <c r="K1746">
        <v>0</v>
      </c>
      <c r="L1746" s="1">
        <v>44784.584062499998</v>
      </c>
      <c r="M1746">
        <v>2.8</v>
      </c>
      <c r="N1746">
        <v>3.2</v>
      </c>
      <c r="O1746">
        <v>0.4</v>
      </c>
      <c r="P1746">
        <v>13</v>
      </c>
      <c r="Q1746">
        <v>0.1</v>
      </c>
      <c r="R1746">
        <v>0</v>
      </c>
      <c r="S1746">
        <v>0.05</v>
      </c>
      <c r="T1746" t="s">
        <v>33</v>
      </c>
      <c r="U1746">
        <v>3</v>
      </c>
      <c r="V1746">
        <v>52</v>
      </c>
      <c r="W1746">
        <v>0</v>
      </c>
      <c r="X1746">
        <v>52</v>
      </c>
      <c r="Y1746">
        <v>1</v>
      </c>
      <c r="Z1746">
        <v>0</v>
      </c>
      <c r="AA1746">
        <v>1</v>
      </c>
      <c r="AB1746" t="s">
        <v>36</v>
      </c>
      <c r="AC1746">
        <v>52</v>
      </c>
      <c r="AD1746">
        <v>0.35</v>
      </c>
    </row>
    <row r="1747" spans="1:30" x14ac:dyDescent="0.25">
      <c r="A1747" s="1">
        <v>44784.584085648145</v>
      </c>
      <c r="B1747" s="1">
        <v>44784.58258101852</v>
      </c>
      <c r="C1747">
        <v>151702</v>
      </c>
      <c r="D1747" t="s">
        <v>37</v>
      </c>
      <c r="E1747" t="s">
        <v>31</v>
      </c>
      <c r="F1747">
        <v>7</v>
      </c>
      <c r="G1747">
        <v>43.118609999999997</v>
      </c>
      <c r="H1747">
        <v>-71.61618</v>
      </c>
      <c r="I1747">
        <v>885</v>
      </c>
      <c r="J1747">
        <v>0</v>
      </c>
      <c r="K1747">
        <v>0</v>
      </c>
      <c r="L1747" s="1">
        <v>44784.584062499998</v>
      </c>
      <c r="M1747">
        <v>2.2000000000000002</v>
      </c>
      <c r="N1747">
        <v>2.2999999999999998</v>
      </c>
      <c r="O1747">
        <v>0.1</v>
      </c>
      <c r="P1747">
        <v>4</v>
      </c>
      <c r="Q1747">
        <v>0.2</v>
      </c>
      <c r="R1747">
        <v>0.1</v>
      </c>
      <c r="S1747">
        <v>0.15</v>
      </c>
      <c r="T1747" t="s">
        <v>33</v>
      </c>
      <c r="U1747">
        <v>2.25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0</v>
      </c>
      <c r="AB1747" t="s">
        <v>38</v>
      </c>
    </row>
    <row r="1748" spans="1:30" x14ac:dyDescent="0.25">
      <c r="A1748" s="1">
        <v>44784.584097222221</v>
      </c>
      <c r="B1748" s="1">
        <v>44784.582476851851</v>
      </c>
      <c r="C1748">
        <v>151700</v>
      </c>
      <c r="D1748" t="s">
        <v>30</v>
      </c>
      <c r="E1748" t="s">
        <v>31</v>
      </c>
      <c r="F1748">
        <v>7</v>
      </c>
      <c r="G1748">
        <v>43.19211</v>
      </c>
      <c r="H1748">
        <v>-71.541460000000001</v>
      </c>
      <c r="I1748">
        <v>286</v>
      </c>
      <c r="J1748">
        <v>84</v>
      </c>
      <c r="K1748">
        <v>0</v>
      </c>
      <c r="L1748" s="1">
        <v>44784.584062499998</v>
      </c>
      <c r="M1748">
        <v>2.2999999999999998</v>
      </c>
      <c r="N1748">
        <v>2.5</v>
      </c>
      <c r="O1748">
        <v>0.2</v>
      </c>
      <c r="P1748">
        <v>8</v>
      </c>
      <c r="Q1748">
        <v>0.1</v>
      </c>
      <c r="R1748">
        <v>0.3</v>
      </c>
      <c r="S1748">
        <v>0.2</v>
      </c>
      <c r="T1748" t="s">
        <v>33</v>
      </c>
      <c r="U1748">
        <v>2.4</v>
      </c>
      <c r="V1748">
        <v>41</v>
      </c>
      <c r="W1748">
        <v>0</v>
      </c>
      <c r="X1748">
        <v>41</v>
      </c>
      <c r="Y1748">
        <v>0</v>
      </c>
      <c r="Z1748">
        <v>0</v>
      </c>
      <c r="AA1748">
        <v>0</v>
      </c>
      <c r="AB1748" t="s">
        <v>36</v>
      </c>
      <c r="AC1748">
        <v>41</v>
      </c>
      <c r="AD1748">
        <v>0.75</v>
      </c>
    </row>
    <row r="1749" spans="1:30" x14ac:dyDescent="0.25">
      <c r="A1749" s="1">
        <v>44784.584097222221</v>
      </c>
      <c r="B1749" s="1">
        <v>44784.582905092589</v>
      </c>
      <c r="C1749">
        <v>135984</v>
      </c>
      <c r="D1749" t="s">
        <v>39</v>
      </c>
      <c r="E1749" t="s">
        <v>31</v>
      </c>
      <c r="F1749">
        <v>7</v>
      </c>
      <c r="G1749">
        <v>43.565852999999997</v>
      </c>
      <c r="H1749">
        <v>-71.496129999999994</v>
      </c>
      <c r="I1749">
        <v>708</v>
      </c>
      <c r="J1749">
        <v>87</v>
      </c>
      <c r="K1749">
        <v>0</v>
      </c>
      <c r="L1749" s="1">
        <v>44784.584062499998</v>
      </c>
      <c r="M1749">
        <v>2.8</v>
      </c>
      <c r="N1749">
        <v>2.2000000000000002</v>
      </c>
      <c r="O1749">
        <v>0.6</v>
      </c>
      <c r="P1749">
        <v>24</v>
      </c>
      <c r="Q1749">
        <v>0</v>
      </c>
      <c r="R1749">
        <v>0.1</v>
      </c>
      <c r="S1749">
        <v>0.05</v>
      </c>
      <c r="T1749" t="s">
        <v>33</v>
      </c>
      <c r="U1749">
        <v>2.5</v>
      </c>
      <c r="V1749">
        <v>48</v>
      </c>
      <c r="W1749">
        <v>0</v>
      </c>
      <c r="X1749">
        <v>48</v>
      </c>
      <c r="Y1749">
        <v>1</v>
      </c>
      <c r="Z1749">
        <v>0</v>
      </c>
      <c r="AA1749">
        <v>1</v>
      </c>
      <c r="AB1749" t="s">
        <v>36</v>
      </c>
      <c r="AC1749">
        <v>48</v>
      </c>
      <c r="AD1749">
        <v>0.32</v>
      </c>
    </row>
    <row r="1750" spans="1:30" x14ac:dyDescent="0.25">
      <c r="A1750" s="1">
        <v>44784.584108796298</v>
      </c>
      <c r="B1750" s="1">
        <v>44780.394780092596</v>
      </c>
      <c r="C1750">
        <v>151712</v>
      </c>
      <c r="D1750" t="s">
        <v>40</v>
      </c>
      <c r="E1750" t="s">
        <v>31</v>
      </c>
      <c r="F1750">
        <v>7</v>
      </c>
      <c r="G1750">
        <v>43.289763999999998</v>
      </c>
      <c r="H1750">
        <v>-71.564260000000004</v>
      </c>
      <c r="I1750">
        <v>370</v>
      </c>
      <c r="J1750">
        <v>86</v>
      </c>
      <c r="K1750">
        <v>0</v>
      </c>
      <c r="L1750" s="1">
        <v>44784.584062499998</v>
      </c>
      <c r="M1750">
        <v>14</v>
      </c>
      <c r="N1750">
        <v>13.2</v>
      </c>
      <c r="O1750">
        <v>0.8</v>
      </c>
      <c r="P1750">
        <v>6</v>
      </c>
      <c r="Q1750">
        <v>0</v>
      </c>
      <c r="R1750">
        <v>0</v>
      </c>
      <c r="S1750">
        <v>0</v>
      </c>
      <c r="T1750" t="s">
        <v>32</v>
      </c>
      <c r="V1750">
        <v>59</v>
      </c>
      <c r="W1750">
        <v>0</v>
      </c>
      <c r="X1750">
        <v>59</v>
      </c>
      <c r="Y1750">
        <v>0</v>
      </c>
      <c r="Z1750">
        <v>0</v>
      </c>
      <c r="AA1750">
        <v>0</v>
      </c>
      <c r="AB1750" t="s">
        <v>36</v>
      </c>
      <c r="AC1750">
        <v>59</v>
      </c>
    </row>
    <row r="1751" spans="1:30" x14ac:dyDescent="0.25">
      <c r="A1751" s="1">
        <v>44784.584108796298</v>
      </c>
      <c r="B1751" s="1">
        <v>44784.58222222222</v>
      </c>
      <c r="C1751">
        <v>151710</v>
      </c>
      <c r="D1751" t="s">
        <v>41</v>
      </c>
      <c r="E1751" t="s">
        <v>31</v>
      </c>
      <c r="F1751">
        <v>7</v>
      </c>
      <c r="G1751">
        <v>43.132477000000002</v>
      </c>
      <c r="H1751">
        <v>-71.458374000000006</v>
      </c>
      <c r="I1751">
        <v>230</v>
      </c>
      <c r="J1751">
        <v>90</v>
      </c>
      <c r="K1751">
        <v>0</v>
      </c>
      <c r="L1751" s="1">
        <v>44784.584062499998</v>
      </c>
      <c r="M1751">
        <v>4.9000000000000004</v>
      </c>
      <c r="N1751">
        <v>3.6</v>
      </c>
      <c r="O1751">
        <v>1.3</v>
      </c>
      <c r="P1751">
        <v>31</v>
      </c>
      <c r="Q1751">
        <v>0.4</v>
      </c>
      <c r="R1751">
        <v>0.2</v>
      </c>
      <c r="S1751">
        <v>0.3</v>
      </c>
      <c r="T1751" t="s">
        <v>33</v>
      </c>
      <c r="U1751">
        <v>4.25</v>
      </c>
      <c r="V1751">
        <v>34</v>
      </c>
      <c r="W1751">
        <v>0</v>
      </c>
      <c r="X1751">
        <v>34</v>
      </c>
      <c r="Y1751">
        <v>1</v>
      </c>
      <c r="Z1751">
        <v>0</v>
      </c>
      <c r="AA1751">
        <v>1</v>
      </c>
      <c r="AB1751" t="s">
        <v>36</v>
      </c>
      <c r="AC1751">
        <v>34</v>
      </c>
      <c r="AD1751">
        <v>2.37</v>
      </c>
    </row>
    <row r="1752" spans="1:30" x14ac:dyDescent="0.25">
      <c r="A1752" s="1">
        <v>44784.584108796298</v>
      </c>
      <c r="B1752" s="1">
        <v>44784.58326388889</v>
      </c>
      <c r="C1752">
        <v>151706</v>
      </c>
      <c r="D1752" t="s">
        <v>42</v>
      </c>
      <c r="E1752" t="s">
        <v>31</v>
      </c>
      <c r="F1752">
        <v>7</v>
      </c>
      <c r="G1752">
        <v>43.004080000000002</v>
      </c>
      <c r="H1752">
        <v>-71.177040000000005</v>
      </c>
      <c r="I1752">
        <v>194</v>
      </c>
      <c r="J1752">
        <v>87</v>
      </c>
      <c r="K1752">
        <v>0</v>
      </c>
      <c r="L1752" s="1">
        <v>44784.584062499998</v>
      </c>
      <c r="M1752">
        <v>7.1</v>
      </c>
      <c r="N1752">
        <v>0</v>
      </c>
      <c r="O1752">
        <v>7.1</v>
      </c>
      <c r="P1752">
        <v>200</v>
      </c>
      <c r="Q1752">
        <v>0.6</v>
      </c>
      <c r="R1752">
        <v>0</v>
      </c>
      <c r="S1752">
        <v>0.3</v>
      </c>
      <c r="T1752" t="s">
        <v>43</v>
      </c>
      <c r="V1752">
        <v>46</v>
      </c>
      <c r="W1752">
        <v>0</v>
      </c>
      <c r="X1752">
        <v>46</v>
      </c>
      <c r="Y1752">
        <v>4</v>
      </c>
      <c r="Z1752">
        <v>0</v>
      </c>
      <c r="AA1752">
        <v>4</v>
      </c>
      <c r="AB1752" t="s">
        <v>36</v>
      </c>
      <c r="AC1752">
        <v>46</v>
      </c>
    </row>
    <row r="1753" spans="1:30" x14ac:dyDescent="0.25">
      <c r="A1753" s="1">
        <v>44784.584120370368</v>
      </c>
      <c r="B1753" s="1">
        <v>44784.583032407405</v>
      </c>
      <c r="C1753">
        <v>12212</v>
      </c>
      <c r="D1753" t="s">
        <v>44</v>
      </c>
      <c r="E1753" t="s">
        <v>35</v>
      </c>
      <c r="F1753">
        <v>7</v>
      </c>
      <c r="G1753">
        <v>42.930529999999997</v>
      </c>
      <c r="H1753">
        <v>-72.272350000000003</v>
      </c>
      <c r="I1753">
        <v>476</v>
      </c>
      <c r="J1753">
        <v>91</v>
      </c>
      <c r="K1753">
        <v>0</v>
      </c>
      <c r="L1753" s="1">
        <v>44784.584062499998</v>
      </c>
      <c r="M1753">
        <v>4.0999999999999996</v>
      </c>
      <c r="N1753">
        <v>3.8</v>
      </c>
      <c r="O1753">
        <v>0.3</v>
      </c>
      <c r="P1753">
        <v>8</v>
      </c>
      <c r="Q1753">
        <v>0.1</v>
      </c>
      <c r="R1753">
        <v>0.1</v>
      </c>
      <c r="S1753">
        <v>0.1</v>
      </c>
      <c r="T1753" t="s">
        <v>33</v>
      </c>
      <c r="U1753">
        <v>3.95</v>
      </c>
      <c r="V1753">
        <v>31</v>
      </c>
      <c r="W1753">
        <v>0</v>
      </c>
      <c r="X1753">
        <v>31</v>
      </c>
      <c r="Y1753">
        <v>0</v>
      </c>
      <c r="Z1753">
        <v>0</v>
      </c>
      <c r="AA1753">
        <v>0</v>
      </c>
      <c r="AB1753" t="s">
        <v>36</v>
      </c>
      <c r="AC1753">
        <v>31</v>
      </c>
      <c r="AD1753">
        <v>2.4</v>
      </c>
    </row>
    <row r="1754" spans="1:30" x14ac:dyDescent="0.25">
      <c r="A1754" s="1">
        <v>44784.584120370368</v>
      </c>
      <c r="B1754" s="1">
        <v>44769.376736111109</v>
      </c>
      <c r="C1754">
        <v>12178</v>
      </c>
      <c r="D1754" t="s">
        <v>45</v>
      </c>
      <c r="E1754" t="s">
        <v>35</v>
      </c>
      <c r="F1754">
        <v>7</v>
      </c>
      <c r="G1754">
        <v>42.899563000000001</v>
      </c>
      <c r="H1754">
        <v>-71.464650000000006</v>
      </c>
      <c r="I1754">
        <v>301</v>
      </c>
      <c r="J1754">
        <v>85</v>
      </c>
      <c r="K1754">
        <v>0</v>
      </c>
      <c r="L1754" s="1">
        <v>44784.584062499998</v>
      </c>
      <c r="M1754">
        <v>3.8</v>
      </c>
      <c r="N1754">
        <v>3.1</v>
      </c>
      <c r="O1754">
        <v>0.7</v>
      </c>
      <c r="P1754">
        <v>20</v>
      </c>
      <c r="Q1754">
        <v>0</v>
      </c>
      <c r="R1754">
        <v>0</v>
      </c>
      <c r="S1754">
        <v>0</v>
      </c>
      <c r="T1754" t="s">
        <v>32</v>
      </c>
      <c r="V1754">
        <v>35</v>
      </c>
      <c r="W1754">
        <v>0</v>
      </c>
      <c r="X1754">
        <v>35</v>
      </c>
      <c r="Y1754">
        <v>0</v>
      </c>
      <c r="Z1754">
        <v>0</v>
      </c>
      <c r="AA1754">
        <v>0</v>
      </c>
      <c r="AB1754" t="s">
        <v>36</v>
      </c>
      <c r="AC1754">
        <v>35</v>
      </c>
    </row>
    <row r="1755" spans="1:30" x14ac:dyDescent="0.25">
      <c r="A1755" s="1">
        <v>44784.584120370368</v>
      </c>
      <c r="B1755" s="1">
        <v>44784.582326388889</v>
      </c>
      <c r="C1755">
        <v>75981</v>
      </c>
      <c r="D1755" t="s">
        <v>46</v>
      </c>
      <c r="E1755" t="s">
        <v>35</v>
      </c>
      <c r="F1755">
        <v>7</v>
      </c>
      <c r="G1755">
        <v>42.97</v>
      </c>
      <c r="H1755">
        <v>-71.06</v>
      </c>
      <c r="I1755">
        <v>136</v>
      </c>
      <c r="J1755">
        <v>89</v>
      </c>
      <c r="K1755">
        <v>0</v>
      </c>
      <c r="L1755" s="1">
        <v>44784.584062499998</v>
      </c>
      <c r="M1755">
        <v>9.6</v>
      </c>
      <c r="N1755">
        <v>9.1</v>
      </c>
      <c r="O1755">
        <v>0.5</v>
      </c>
      <c r="P1755">
        <v>5</v>
      </c>
      <c r="Q1755">
        <v>0.2</v>
      </c>
      <c r="R1755">
        <v>0.1</v>
      </c>
      <c r="S1755">
        <v>0.15</v>
      </c>
      <c r="T1755" t="s">
        <v>33</v>
      </c>
      <c r="U1755">
        <v>9.35</v>
      </c>
      <c r="V1755">
        <v>44</v>
      </c>
      <c r="W1755">
        <v>0</v>
      </c>
      <c r="X1755">
        <v>44</v>
      </c>
      <c r="Y1755">
        <v>0</v>
      </c>
      <c r="Z1755">
        <v>0</v>
      </c>
      <c r="AA1755">
        <v>0</v>
      </c>
      <c r="AB1755" t="s">
        <v>36</v>
      </c>
      <c r="AC1755">
        <v>44</v>
      </c>
      <c r="AD1755">
        <v>4.78</v>
      </c>
    </row>
    <row r="1756" spans="1:30" x14ac:dyDescent="0.25">
      <c r="A1756" s="1">
        <v>44784.584131944444</v>
      </c>
      <c r="B1756" s="1">
        <v>44784.582858796297</v>
      </c>
      <c r="C1756">
        <v>115703</v>
      </c>
      <c r="D1756" t="s">
        <v>47</v>
      </c>
      <c r="E1756" t="s">
        <v>35</v>
      </c>
      <c r="F1756">
        <v>7</v>
      </c>
      <c r="G1756">
        <v>43.953625000000002</v>
      </c>
      <c r="H1756">
        <v>-71.508859999999999</v>
      </c>
      <c r="I1756">
        <v>1493</v>
      </c>
      <c r="J1756">
        <v>93</v>
      </c>
      <c r="K1756">
        <v>0</v>
      </c>
      <c r="L1756" s="1">
        <v>44784.584062499998</v>
      </c>
      <c r="M1756">
        <v>0</v>
      </c>
      <c r="N1756">
        <v>192.9</v>
      </c>
      <c r="O1756">
        <v>192.9</v>
      </c>
      <c r="P1756">
        <v>200</v>
      </c>
      <c r="Q1756">
        <v>0</v>
      </c>
      <c r="R1756">
        <v>133.80000000000001</v>
      </c>
      <c r="S1756">
        <v>66.900000000000006</v>
      </c>
      <c r="T1756" t="s">
        <v>48</v>
      </c>
      <c r="V1756">
        <v>29</v>
      </c>
      <c r="W1756">
        <v>0</v>
      </c>
      <c r="X1756">
        <v>29</v>
      </c>
      <c r="Y1756">
        <v>2</v>
      </c>
      <c r="Z1756">
        <v>0</v>
      </c>
      <c r="AA1756">
        <v>2</v>
      </c>
      <c r="AB1756" t="s">
        <v>36</v>
      </c>
      <c r="AC1756">
        <v>29</v>
      </c>
    </row>
    <row r="1757" spans="1:30" x14ac:dyDescent="0.25">
      <c r="A1757" s="1">
        <v>44784.584131944444</v>
      </c>
      <c r="B1757" s="1">
        <v>44784.582291666666</v>
      </c>
      <c r="C1757">
        <v>12050</v>
      </c>
      <c r="D1757" t="s">
        <v>49</v>
      </c>
      <c r="E1757" t="s">
        <v>35</v>
      </c>
      <c r="F1757">
        <v>7</v>
      </c>
      <c r="G1757">
        <v>44.220573000000002</v>
      </c>
      <c r="H1757">
        <v>-71.732315</v>
      </c>
      <c r="I1757">
        <v>999</v>
      </c>
      <c r="J1757">
        <v>93</v>
      </c>
      <c r="K1757">
        <v>0</v>
      </c>
      <c r="L1757" s="1">
        <v>44784.584062499998</v>
      </c>
      <c r="M1757">
        <v>2.9</v>
      </c>
      <c r="N1757">
        <v>2.6</v>
      </c>
      <c r="O1757">
        <v>0.3</v>
      </c>
      <c r="P1757">
        <v>11</v>
      </c>
      <c r="Q1757">
        <v>0.1</v>
      </c>
      <c r="R1757">
        <v>0</v>
      </c>
      <c r="S1757">
        <v>0.05</v>
      </c>
      <c r="T1757" t="s">
        <v>33</v>
      </c>
      <c r="U1757">
        <v>2.75</v>
      </c>
      <c r="V1757">
        <v>30</v>
      </c>
      <c r="W1757">
        <v>0</v>
      </c>
      <c r="X1757">
        <v>30</v>
      </c>
      <c r="Y1757">
        <v>2</v>
      </c>
      <c r="Z1757">
        <v>0</v>
      </c>
      <c r="AA1757">
        <v>2</v>
      </c>
      <c r="AB1757" t="s">
        <v>36</v>
      </c>
      <c r="AC1757">
        <v>30</v>
      </c>
      <c r="AD1757">
        <v>1.74</v>
      </c>
    </row>
    <row r="1758" spans="1:30" x14ac:dyDescent="0.25">
      <c r="A1758" s="1">
        <v>44784.584131944444</v>
      </c>
      <c r="B1758" s="1">
        <v>44784.582395833335</v>
      </c>
      <c r="C1758">
        <v>23443</v>
      </c>
      <c r="D1758" t="s">
        <v>50</v>
      </c>
      <c r="E1758" t="s">
        <v>35</v>
      </c>
      <c r="F1758">
        <v>7</v>
      </c>
      <c r="G1758">
        <v>43.556139999999999</v>
      </c>
      <c r="H1758">
        <v>-72.370990000000006</v>
      </c>
      <c r="I1758">
        <v>523</v>
      </c>
      <c r="J1758">
        <v>102</v>
      </c>
      <c r="K1758">
        <v>0</v>
      </c>
      <c r="L1758" s="1">
        <v>44784.584062499998</v>
      </c>
      <c r="M1758">
        <v>2.7</v>
      </c>
      <c r="N1758">
        <v>2.5</v>
      </c>
      <c r="O1758">
        <v>0.2</v>
      </c>
      <c r="P1758">
        <v>8</v>
      </c>
      <c r="Q1758">
        <v>0</v>
      </c>
      <c r="R1758">
        <v>0.1</v>
      </c>
      <c r="S1758">
        <v>0.05</v>
      </c>
      <c r="T1758" t="s">
        <v>33</v>
      </c>
      <c r="U1758">
        <v>2.6</v>
      </c>
      <c r="V1758">
        <v>23</v>
      </c>
      <c r="W1758">
        <v>0</v>
      </c>
      <c r="X1758">
        <v>23</v>
      </c>
      <c r="Y1758">
        <v>1</v>
      </c>
      <c r="Z1758">
        <v>0</v>
      </c>
      <c r="AA1758">
        <v>1</v>
      </c>
      <c r="AB1758" t="s">
        <v>36</v>
      </c>
      <c r="AC1758">
        <v>23</v>
      </c>
      <c r="AD1758">
        <v>2.14</v>
      </c>
    </row>
    <row r="1759" spans="1:30" x14ac:dyDescent="0.25">
      <c r="A1759" s="1">
        <v>44784.584143518521</v>
      </c>
      <c r="B1759" s="1">
        <v>44784.582511574074</v>
      </c>
      <c r="C1759">
        <v>58135</v>
      </c>
      <c r="D1759" t="s">
        <v>51</v>
      </c>
      <c r="E1759" t="s">
        <v>35</v>
      </c>
      <c r="F1759">
        <v>7</v>
      </c>
      <c r="G1759">
        <v>42.883873000000001</v>
      </c>
      <c r="H1759">
        <v>-71.972915999999998</v>
      </c>
      <c r="I1759">
        <v>808</v>
      </c>
      <c r="J1759">
        <v>86</v>
      </c>
      <c r="K1759">
        <v>0</v>
      </c>
      <c r="L1759" s="1">
        <v>44784.584062499998</v>
      </c>
      <c r="M1759">
        <v>3.5</v>
      </c>
      <c r="N1759">
        <v>2.2000000000000002</v>
      </c>
      <c r="O1759">
        <v>1.3</v>
      </c>
      <c r="P1759">
        <v>46</v>
      </c>
      <c r="Q1759">
        <v>0.4</v>
      </c>
      <c r="R1759">
        <v>0.3</v>
      </c>
      <c r="S1759">
        <v>0.35</v>
      </c>
      <c r="T1759" t="s">
        <v>33</v>
      </c>
      <c r="U1759">
        <v>2.85</v>
      </c>
      <c r="V1759">
        <v>38</v>
      </c>
      <c r="W1759">
        <v>0</v>
      </c>
      <c r="X1759">
        <v>38</v>
      </c>
      <c r="Y1759">
        <v>3</v>
      </c>
      <c r="Z1759">
        <v>0</v>
      </c>
      <c r="AA1759">
        <v>3</v>
      </c>
      <c r="AB1759" t="s">
        <v>36</v>
      </c>
      <c r="AC1759">
        <v>38</v>
      </c>
      <c r="AD1759">
        <v>1.24</v>
      </c>
    </row>
    <row r="1760" spans="1:30" x14ac:dyDescent="0.25">
      <c r="A1760" s="1">
        <v>44784.584143518521</v>
      </c>
      <c r="B1760" s="1">
        <v>44784.582511574074</v>
      </c>
      <c r="C1760">
        <v>148555</v>
      </c>
      <c r="D1760" t="s">
        <v>52</v>
      </c>
      <c r="E1760" t="s">
        <v>53</v>
      </c>
      <c r="F1760">
        <v>7</v>
      </c>
      <c r="G1760">
        <v>42.904949999999999</v>
      </c>
      <c r="H1760">
        <v>-71.386764999999997</v>
      </c>
      <c r="I1760">
        <v>363</v>
      </c>
      <c r="J1760">
        <v>0</v>
      </c>
      <c r="K1760">
        <v>0</v>
      </c>
      <c r="L1760" s="1">
        <v>44784.584062499998</v>
      </c>
      <c r="M1760">
        <v>1.6</v>
      </c>
      <c r="N1760">
        <v>1.4</v>
      </c>
      <c r="O1760">
        <v>0.2</v>
      </c>
      <c r="P1760">
        <v>13</v>
      </c>
      <c r="Q1760">
        <v>0.1</v>
      </c>
      <c r="R1760">
        <v>0.1</v>
      </c>
      <c r="S1760">
        <v>0.1</v>
      </c>
      <c r="T1760" t="s">
        <v>33</v>
      </c>
      <c r="U1760">
        <v>1.5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 t="s">
        <v>38</v>
      </c>
    </row>
    <row r="1761" spans="1:30" x14ac:dyDescent="0.25">
      <c r="A1761" s="1">
        <v>44784.584155092591</v>
      </c>
      <c r="B1761" s="1">
        <v>44784.583391203705</v>
      </c>
      <c r="C1761">
        <v>146644</v>
      </c>
      <c r="D1761" t="s">
        <v>54</v>
      </c>
      <c r="E1761" t="s">
        <v>53</v>
      </c>
      <c r="F1761">
        <v>7</v>
      </c>
      <c r="G1761">
        <v>43.06015</v>
      </c>
      <c r="H1761">
        <v>-70.758930000000007</v>
      </c>
      <c r="I1761">
        <v>35</v>
      </c>
      <c r="J1761">
        <v>81</v>
      </c>
      <c r="K1761">
        <v>83</v>
      </c>
      <c r="L1761" s="1">
        <v>44784.584062499998</v>
      </c>
      <c r="M1761">
        <v>14.4</v>
      </c>
      <c r="N1761">
        <v>13.6</v>
      </c>
      <c r="O1761">
        <v>0.8</v>
      </c>
      <c r="P1761">
        <v>6</v>
      </c>
      <c r="Q1761">
        <v>0.2</v>
      </c>
      <c r="R1761">
        <v>0.6</v>
      </c>
      <c r="S1761">
        <v>0.4</v>
      </c>
      <c r="T1761" t="s">
        <v>33</v>
      </c>
      <c r="U1761">
        <v>14</v>
      </c>
      <c r="V1761">
        <v>50</v>
      </c>
      <c r="W1761">
        <v>56</v>
      </c>
      <c r="X1761">
        <v>6</v>
      </c>
      <c r="Y1761">
        <v>1</v>
      </c>
      <c r="Z1761">
        <v>1</v>
      </c>
      <c r="AA1761">
        <v>0</v>
      </c>
      <c r="AB1761" t="s">
        <v>33</v>
      </c>
      <c r="AC1761">
        <v>53</v>
      </c>
      <c r="AD1761">
        <v>6.99</v>
      </c>
    </row>
    <row r="1762" spans="1:30" x14ac:dyDescent="0.25">
      <c r="A1762" s="1">
        <v>44784.584155092591</v>
      </c>
      <c r="B1762" s="1">
        <v>43755.283437500002</v>
      </c>
      <c r="C1762">
        <v>12188</v>
      </c>
      <c r="D1762" t="s">
        <v>55</v>
      </c>
      <c r="E1762" t="s">
        <v>35</v>
      </c>
      <c r="F1762">
        <v>4.1100000000000003</v>
      </c>
      <c r="G1762">
        <v>42.927050000000001</v>
      </c>
      <c r="H1762">
        <v>-72.279610000000005</v>
      </c>
      <c r="I1762">
        <v>475</v>
      </c>
      <c r="J1762">
        <v>95</v>
      </c>
      <c r="K1762">
        <v>0</v>
      </c>
      <c r="L1762" s="1">
        <v>44784.584062499998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 t="s">
        <v>32</v>
      </c>
      <c r="V1762">
        <v>77</v>
      </c>
      <c r="W1762">
        <v>0</v>
      </c>
      <c r="X1762">
        <v>77</v>
      </c>
      <c r="Y1762">
        <v>0</v>
      </c>
      <c r="Z1762">
        <v>0</v>
      </c>
      <c r="AA1762">
        <v>0</v>
      </c>
      <c r="AB1762" t="s">
        <v>36</v>
      </c>
      <c r="AC1762">
        <v>77</v>
      </c>
    </row>
    <row r="1763" spans="1:30" x14ac:dyDescent="0.25">
      <c r="A1763" s="1">
        <v>44784.584155092591</v>
      </c>
      <c r="B1763" s="1">
        <v>44784.582384259258</v>
      </c>
      <c r="C1763">
        <v>1224</v>
      </c>
      <c r="D1763" t="s">
        <v>56</v>
      </c>
      <c r="E1763" t="s">
        <v>35</v>
      </c>
      <c r="F1763" t="s">
        <v>57</v>
      </c>
      <c r="G1763">
        <v>42.938034000000002</v>
      </c>
      <c r="H1763">
        <v>-72.259299999999996</v>
      </c>
      <c r="I1763">
        <v>792</v>
      </c>
      <c r="J1763">
        <v>93</v>
      </c>
      <c r="K1763">
        <v>0</v>
      </c>
      <c r="L1763" s="1">
        <v>44784.584062499998</v>
      </c>
      <c r="M1763">
        <v>4.2</v>
      </c>
      <c r="N1763">
        <v>0.1</v>
      </c>
      <c r="O1763">
        <v>4.0999999999999996</v>
      </c>
      <c r="P1763">
        <v>191</v>
      </c>
      <c r="Q1763">
        <v>0.1</v>
      </c>
      <c r="R1763">
        <v>0.1</v>
      </c>
      <c r="S1763">
        <v>0.1</v>
      </c>
      <c r="T1763" t="s">
        <v>33</v>
      </c>
      <c r="U1763">
        <v>2.15</v>
      </c>
      <c r="V1763">
        <v>36</v>
      </c>
      <c r="W1763">
        <v>0</v>
      </c>
      <c r="X1763">
        <v>36</v>
      </c>
      <c r="Y1763">
        <v>0</v>
      </c>
      <c r="Z1763">
        <v>0</v>
      </c>
      <c r="AA1763">
        <v>0</v>
      </c>
      <c r="AB1763" t="s">
        <v>36</v>
      </c>
      <c r="AC1763">
        <v>36</v>
      </c>
      <c r="AD1763">
        <v>0.95</v>
      </c>
    </row>
    <row r="1764" spans="1:30" x14ac:dyDescent="0.25">
      <c r="A1764" s="1">
        <v>44784.584166666667</v>
      </c>
      <c r="B1764" s="1">
        <v>44784.58321759259</v>
      </c>
      <c r="C1764">
        <v>1202</v>
      </c>
      <c r="D1764" t="s">
        <v>58</v>
      </c>
      <c r="E1764" t="s">
        <v>35</v>
      </c>
      <c r="F1764" t="s">
        <v>57</v>
      </c>
      <c r="G1764">
        <v>42.936554000000001</v>
      </c>
      <c r="H1764">
        <v>-72.271019999999993</v>
      </c>
      <c r="I1764">
        <v>488</v>
      </c>
      <c r="J1764">
        <v>0</v>
      </c>
      <c r="K1764">
        <v>0</v>
      </c>
      <c r="L1764" s="1">
        <v>44784.584062499998</v>
      </c>
      <c r="M1764">
        <v>4.5</v>
      </c>
      <c r="N1764">
        <v>4.0999999999999996</v>
      </c>
      <c r="O1764">
        <v>0.4</v>
      </c>
      <c r="P1764">
        <v>9</v>
      </c>
      <c r="Q1764">
        <v>0.1</v>
      </c>
      <c r="R1764">
        <v>0.1</v>
      </c>
      <c r="S1764">
        <v>0.1</v>
      </c>
      <c r="T1764" t="s">
        <v>33</v>
      </c>
      <c r="U1764">
        <v>4.3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0</v>
      </c>
      <c r="AB1764" t="s">
        <v>38</v>
      </c>
    </row>
    <row r="1765" spans="1:30" x14ac:dyDescent="0.25">
      <c r="A1765" s="1">
        <v>44784.584178240744</v>
      </c>
      <c r="B1765" s="1">
        <v>44612.080023148148</v>
      </c>
      <c r="C1765">
        <v>25985</v>
      </c>
      <c r="D1765" t="s">
        <v>59</v>
      </c>
      <c r="E1765" t="s">
        <v>35</v>
      </c>
      <c r="F1765">
        <v>6.01</v>
      </c>
      <c r="G1765">
        <v>42.927326000000001</v>
      </c>
      <c r="H1765">
        <v>-72.279979999999995</v>
      </c>
      <c r="I1765">
        <v>477</v>
      </c>
      <c r="J1765">
        <v>78</v>
      </c>
      <c r="K1765">
        <v>0</v>
      </c>
      <c r="L1765" s="1">
        <v>44784.584062499998</v>
      </c>
      <c r="M1765">
        <v>1.1000000000000001</v>
      </c>
      <c r="N1765">
        <v>1</v>
      </c>
      <c r="O1765">
        <v>0.1</v>
      </c>
      <c r="P1765">
        <v>10</v>
      </c>
      <c r="Q1765">
        <v>0</v>
      </c>
      <c r="R1765">
        <v>0</v>
      </c>
      <c r="S1765">
        <v>0</v>
      </c>
      <c r="T1765" t="s">
        <v>32</v>
      </c>
      <c r="V1765">
        <v>22</v>
      </c>
      <c r="W1765">
        <v>0</v>
      </c>
      <c r="X1765">
        <v>22</v>
      </c>
      <c r="Y1765">
        <v>0</v>
      </c>
      <c r="Z1765">
        <v>0</v>
      </c>
      <c r="AA1765">
        <v>0</v>
      </c>
      <c r="AB1765" t="s">
        <v>36</v>
      </c>
      <c r="AC1765">
        <v>22</v>
      </c>
    </row>
    <row r="1766" spans="1:30" x14ac:dyDescent="0.25">
      <c r="A1766" s="1">
        <v>44784.59101851852</v>
      </c>
      <c r="B1766" s="1">
        <v>44775.701319444444</v>
      </c>
      <c r="C1766">
        <v>151708</v>
      </c>
      <c r="D1766" t="s">
        <v>30</v>
      </c>
      <c r="E1766" t="s">
        <v>31</v>
      </c>
      <c r="F1766">
        <v>7</v>
      </c>
      <c r="G1766">
        <v>43.192042999999998</v>
      </c>
      <c r="H1766">
        <v>-71.541579999999996</v>
      </c>
      <c r="I1766">
        <v>291</v>
      </c>
      <c r="J1766">
        <v>93</v>
      </c>
      <c r="K1766">
        <v>94</v>
      </c>
      <c r="L1766" s="1">
        <v>44784.591006944444</v>
      </c>
      <c r="M1766">
        <v>7.9</v>
      </c>
      <c r="N1766">
        <v>7.6</v>
      </c>
      <c r="O1766">
        <v>0.3</v>
      </c>
      <c r="P1766">
        <v>4</v>
      </c>
      <c r="Q1766">
        <v>0</v>
      </c>
      <c r="R1766">
        <v>0</v>
      </c>
      <c r="S1766">
        <v>0</v>
      </c>
      <c r="T1766" t="s">
        <v>32</v>
      </c>
      <c r="V1766">
        <v>42</v>
      </c>
      <c r="W1766">
        <v>41</v>
      </c>
      <c r="X1766">
        <v>1</v>
      </c>
      <c r="Y1766">
        <v>0</v>
      </c>
      <c r="Z1766">
        <v>0</v>
      </c>
      <c r="AA1766">
        <v>0</v>
      </c>
      <c r="AB1766" t="s">
        <v>33</v>
      </c>
      <c r="AC1766">
        <v>41.5</v>
      </c>
    </row>
    <row r="1767" spans="1:30" x14ac:dyDescent="0.25">
      <c r="A1767" s="1">
        <v>44784.59103009259</v>
      </c>
      <c r="B1767" s="1">
        <v>44784.589375000003</v>
      </c>
      <c r="C1767">
        <v>143456</v>
      </c>
      <c r="D1767" t="s">
        <v>34</v>
      </c>
      <c r="E1767" t="s">
        <v>35</v>
      </c>
      <c r="F1767">
        <v>7</v>
      </c>
      <c r="G1767">
        <v>43.08963</v>
      </c>
      <c r="H1767">
        <v>-71.502440000000007</v>
      </c>
      <c r="I1767">
        <v>619</v>
      </c>
      <c r="J1767">
        <v>84</v>
      </c>
      <c r="K1767">
        <v>0</v>
      </c>
      <c r="L1767" s="1">
        <v>44784.591006944444</v>
      </c>
      <c r="M1767">
        <v>3</v>
      </c>
      <c r="N1767">
        <v>3.4</v>
      </c>
      <c r="O1767">
        <v>0.4</v>
      </c>
      <c r="P1767">
        <v>12</v>
      </c>
      <c r="Q1767">
        <v>0.2</v>
      </c>
      <c r="R1767">
        <v>0.2</v>
      </c>
      <c r="S1767">
        <v>0.2</v>
      </c>
      <c r="T1767" t="s">
        <v>33</v>
      </c>
      <c r="U1767">
        <v>3.2</v>
      </c>
      <c r="V1767">
        <v>45</v>
      </c>
      <c r="W1767">
        <v>0</v>
      </c>
      <c r="X1767">
        <v>45</v>
      </c>
      <c r="Y1767">
        <v>7</v>
      </c>
      <c r="Z1767">
        <v>0</v>
      </c>
      <c r="AA1767">
        <v>7</v>
      </c>
      <c r="AB1767" t="s">
        <v>36</v>
      </c>
      <c r="AC1767">
        <v>45</v>
      </c>
      <c r="AD1767">
        <v>0.96</v>
      </c>
    </row>
    <row r="1768" spans="1:30" x14ac:dyDescent="0.25">
      <c r="A1768" s="1">
        <v>44784.59103009259</v>
      </c>
      <c r="B1768" s="1">
        <v>44784.589525462965</v>
      </c>
      <c r="C1768">
        <v>151702</v>
      </c>
      <c r="D1768" t="s">
        <v>37</v>
      </c>
      <c r="E1768" t="s">
        <v>31</v>
      </c>
      <c r="F1768">
        <v>7</v>
      </c>
      <c r="G1768">
        <v>43.118609999999997</v>
      </c>
      <c r="H1768">
        <v>-71.61618</v>
      </c>
      <c r="I1768">
        <v>885</v>
      </c>
      <c r="J1768">
        <v>0</v>
      </c>
      <c r="K1768">
        <v>0</v>
      </c>
      <c r="L1768" s="1">
        <v>44784.591006944444</v>
      </c>
      <c r="M1768">
        <v>2.1</v>
      </c>
      <c r="N1768">
        <v>2.2000000000000002</v>
      </c>
      <c r="O1768">
        <v>0.1</v>
      </c>
      <c r="P1768">
        <v>5</v>
      </c>
      <c r="Q1768">
        <v>0.1</v>
      </c>
      <c r="R1768">
        <v>0.1</v>
      </c>
      <c r="S1768">
        <v>0.1</v>
      </c>
      <c r="T1768" t="s">
        <v>33</v>
      </c>
      <c r="U1768">
        <v>2.15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 t="s">
        <v>38</v>
      </c>
    </row>
    <row r="1769" spans="1:30" x14ac:dyDescent="0.25">
      <c r="A1769" s="1">
        <v>44784.59103009259</v>
      </c>
      <c r="B1769" s="1">
        <v>44784.589421296296</v>
      </c>
      <c r="C1769">
        <v>151700</v>
      </c>
      <c r="D1769" t="s">
        <v>30</v>
      </c>
      <c r="E1769" t="s">
        <v>31</v>
      </c>
      <c r="F1769">
        <v>7</v>
      </c>
      <c r="G1769">
        <v>43.19211</v>
      </c>
      <c r="H1769">
        <v>-71.541460000000001</v>
      </c>
      <c r="I1769">
        <v>286</v>
      </c>
      <c r="J1769">
        <v>84</v>
      </c>
      <c r="K1769">
        <v>0</v>
      </c>
      <c r="L1769" s="1">
        <v>44784.591006944444</v>
      </c>
      <c r="M1769">
        <v>2.2000000000000002</v>
      </c>
      <c r="N1769">
        <v>2.4</v>
      </c>
      <c r="O1769">
        <v>0.2</v>
      </c>
      <c r="P1769">
        <v>9</v>
      </c>
      <c r="Q1769">
        <v>0.1</v>
      </c>
      <c r="R1769">
        <v>0.1</v>
      </c>
      <c r="S1769">
        <v>0.1</v>
      </c>
      <c r="T1769" t="s">
        <v>33</v>
      </c>
      <c r="U1769">
        <v>2.2999999999999998</v>
      </c>
      <c r="V1769">
        <v>41</v>
      </c>
      <c r="W1769">
        <v>0</v>
      </c>
      <c r="X1769">
        <v>41</v>
      </c>
      <c r="Y1769">
        <v>0</v>
      </c>
      <c r="Z1769">
        <v>0</v>
      </c>
      <c r="AA1769">
        <v>0</v>
      </c>
      <c r="AB1769" t="s">
        <v>36</v>
      </c>
      <c r="AC1769">
        <v>41</v>
      </c>
      <c r="AD1769">
        <v>0.69</v>
      </c>
    </row>
    <row r="1770" spans="1:30" x14ac:dyDescent="0.25">
      <c r="A1770" s="1">
        <v>44784.591041666667</v>
      </c>
      <c r="B1770" s="1">
        <v>44784.589861111112</v>
      </c>
      <c r="C1770">
        <v>135984</v>
      </c>
      <c r="D1770" t="s">
        <v>39</v>
      </c>
      <c r="E1770" t="s">
        <v>31</v>
      </c>
      <c r="F1770">
        <v>7</v>
      </c>
      <c r="G1770">
        <v>43.565852999999997</v>
      </c>
      <c r="H1770">
        <v>-71.496129999999994</v>
      </c>
      <c r="I1770">
        <v>708</v>
      </c>
      <c r="J1770">
        <v>87</v>
      </c>
      <c r="K1770">
        <v>0</v>
      </c>
      <c r="L1770" s="1">
        <v>44784.591006944444</v>
      </c>
      <c r="M1770">
        <v>2.9</v>
      </c>
      <c r="N1770">
        <v>2.2000000000000002</v>
      </c>
      <c r="O1770">
        <v>0.7</v>
      </c>
      <c r="P1770">
        <v>27</v>
      </c>
      <c r="Q1770">
        <v>0.1</v>
      </c>
      <c r="R1770">
        <v>0</v>
      </c>
      <c r="S1770">
        <v>0.05</v>
      </c>
      <c r="T1770" t="s">
        <v>33</v>
      </c>
      <c r="U1770">
        <v>2.5499999999999998</v>
      </c>
      <c r="V1770">
        <v>50</v>
      </c>
      <c r="W1770">
        <v>0</v>
      </c>
      <c r="X1770">
        <v>50</v>
      </c>
      <c r="Y1770">
        <v>2</v>
      </c>
      <c r="Z1770">
        <v>0</v>
      </c>
      <c r="AA1770">
        <v>2</v>
      </c>
      <c r="AB1770" t="s">
        <v>36</v>
      </c>
      <c r="AC1770">
        <v>50</v>
      </c>
      <c r="AD1770">
        <v>0.22</v>
      </c>
    </row>
    <row r="1771" spans="1:30" x14ac:dyDescent="0.25">
      <c r="A1771" s="1">
        <v>44784.591041666667</v>
      </c>
      <c r="B1771" s="1">
        <v>44780.394780092596</v>
      </c>
      <c r="C1771">
        <v>151712</v>
      </c>
      <c r="D1771" t="s">
        <v>40</v>
      </c>
      <c r="E1771" t="s">
        <v>31</v>
      </c>
      <c r="F1771">
        <v>7</v>
      </c>
      <c r="G1771">
        <v>43.289763999999998</v>
      </c>
      <c r="H1771">
        <v>-71.564260000000004</v>
      </c>
      <c r="I1771">
        <v>370</v>
      </c>
      <c r="J1771">
        <v>86</v>
      </c>
      <c r="K1771">
        <v>0</v>
      </c>
      <c r="L1771" s="1">
        <v>44784.591006944444</v>
      </c>
      <c r="M1771">
        <v>14</v>
      </c>
      <c r="N1771">
        <v>13.2</v>
      </c>
      <c r="O1771">
        <v>0.8</v>
      </c>
      <c r="P1771">
        <v>6</v>
      </c>
      <c r="Q1771">
        <v>0</v>
      </c>
      <c r="R1771">
        <v>0</v>
      </c>
      <c r="S1771">
        <v>0</v>
      </c>
      <c r="T1771" t="s">
        <v>32</v>
      </c>
      <c r="V1771">
        <v>59</v>
      </c>
      <c r="W1771">
        <v>0</v>
      </c>
      <c r="X1771">
        <v>59</v>
      </c>
      <c r="Y1771">
        <v>0</v>
      </c>
      <c r="Z1771">
        <v>0</v>
      </c>
      <c r="AA1771">
        <v>0</v>
      </c>
      <c r="AB1771" t="s">
        <v>36</v>
      </c>
      <c r="AC1771">
        <v>59</v>
      </c>
    </row>
    <row r="1772" spans="1:30" x14ac:dyDescent="0.25">
      <c r="A1772" s="1">
        <v>44784.591041666667</v>
      </c>
      <c r="B1772" s="1">
        <v>44784.589166666665</v>
      </c>
      <c r="C1772">
        <v>151710</v>
      </c>
      <c r="D1772" t="s">
        <v>41</v>
      </c>
      <c r="E1772" t="s">
        <v>31</v>
      </c>
      <c r="F1772">
        <v>7</v>
      </c>
      <c r="G1772">
        <v>43.132477000000002</v>
      </c>
      <c r="H1772">
        <v>-71.458374000000006</v>
      </c>
      <c r="I1772">
        <v>230</v>
      </c>
      <c r="J1772">
        <v>90</v>
      </c>
      <c r="K1772">
        <v>0</v>
      </c>
      <c r="L1772" s="1">
        <v>44784.591006944444</v>
      </c>
      <c r="M1772">
        <v>5.4</v>
      </c>
      <c r="N1772">
        <v>3.7</v>
      </c>
      <c r="O1772">
        <v>1.7</v>
      </c>
      <c r="P1772">
        <v>37</v>
      </c>
      <c r="Q1772">
        <v>0.5</v>
      </c>
      <c r="R1772">
        <v>0.1</v>
      </c>
      <c r="S1772">
        <v>0.3</v>
      </c>
      <c r="T1772" t="s">
        <v>33</v>
      </c>
      <c r="U1772">
        <v>4.55</v>
      </c>
      <c r="V1772">
        <v>33</v>
      </c>
      <c r="W1772">
        <v>0</v>
      </c>
      <c r="X1772">
        <v>33</v>
      </c>
      <c r="Y1772">
        <v>1</v>
      </c>
      <c r="Z1772">
        <v>0</v>
      </c>
      <c r="AA1772">
        <v>1</v>
      </c>
      <c r="AB1772" t="s">
        <v>36</v>
      </c>
      <c r="AC1772">
        <v>33</v>
      </c>
      <c r="AD1772">
        <v>2.63</v>
      </c>
    </row>
    <row r="1773" spans="1:30" x14ac:dyDescent="0.25">
      <c r="A1773" s="1">
        <v>44784.591053240743</v>
      </c>
      <c r="B1773" s="1">
        <v>44784.590208333335</v>
      </c>
      <c r="C1773">
        <v>151706</v>
      </c>
      <c r="D1773" t="s">
        <v>42</v>
      </c>
      <c r="E1773" t="s">
        <v>31</v>
      </c>
      <c r="F1773">
        <v>7</v>
      </c>
      <c r="G1773">
        <v>43.004080000000002</v>
      </c>
      <c r="H1773">
        <v>-71.177040000000005</v>
      </c>
      <c r="I1773">
        <v>194</v>
      </c>
      <c r="J1773">
        <v>87</v>
      </c>
      <c r="K1773">
        <v>0</v>
      </c>
      <c r="L1773" s="1">
        <v>44784.591006944444</v>
      </c>
      <c r="M1773">
        <v>7.4</v>
      </c>
      <c r="N1773">
        <v>0</v>
      </c>
      <c r="O1773">
        <v>7.4</v>
      </c>
      <c r="P1773">
        <v>200</v>
      </c>
      <c r="Q1773">
        <v>0.3</v>
      </c>
      <c r="R1773">
        <v>0</v>
      </c>
      <c r="S1773">
        <v>0.15</v>
      </c>
      <c r="T1773" t="s">
        <v>43</v>
      </c>
      <c r="V1773">
        <v>44</v>
      </c>
      <c r="W1773">
        <v>0</v>
      </c>
      <c r="X1773">
        <v>44</v>
      </c>
      <c r="Y1773">
        <v>2</v>
      </c>
      <c r="Z1773">
        <v>0</v>
      </c>
      <c r="AA1773">
        <v>2</v>
      </c>
      <c r="AB1773" t="s">
        <v>36</v>
      </c>
      <c r="AC1773">
        <v>44</v>
      </c>
    </row>
    <row r="1774" spans="1:30" x14ac:dyDescent="0.25">
      <c r="A1774" s="1">
        <v>44784.591053240743</v>
      </c>
      <c r="B1774" s="1">
        <v>44784.589988425927</v>
      </c>
      <c r="C1774">
        <v>12212</v>
      </c>
      <c r="D1774" t="s">
        <v>44</v>
      </c>
      <c r="E1774" t="s">
        <v>35</v>
      </c>
      <c r="F1774">
        <v>7</v>
      </c>
      <c r="G1774">
        <v>42.930529999999997</v>
      </c>
      <c r="H1774">
        <v>-72.272350000000003</v>
      </c>
      <c r="I1774">
        <v>476</v>
      </c>
      <c r="J1774">
        <v>89</v>
      </c>
      <c r="K1774">
        <v>0</v>
      </c>
      <c r="L1774" s="1">
        <v>44784.591006944444</v>
      </c>
      <c r="M1774">
        <v>4.4000000000000004</v>
      </c>
      <c r="N1774">
        <v>3.8</v>
      </c>
      <c r="O1774">
        <v>0.6</v>
      </c>
      <c r="P1774">
        <v>15</v>
      </c>
      <c r="Q1774">
        <v>0.3</v>
      </c>
      <c r="R1774">
        <v>0</v>
      </c>
      <c r="S1774">
        <v>0.15</v>
      </c>
      <c r="T1774" t="s">
        <v>33</v>
      </c>
      <c r="U1774">
        <v>4.0999999999999996</v>
      </c>
      <c r="V1774">
        <v>31</v>
      </c>
      <c r="W1774">
        <v>0</v>
      </c>
      <c r="X1774">
        <v>31</v>
      </c>
      <c r="Y1774">
        <v>0</v>
      </c>
      <c r="Z1774">
        <v>0</v>
      </c>
      <c r="AA1774">
        <v>0</v>
      </c>
      <c r="AB1774" t="s">
        <v>36</v>
      </c>
      <c r="AC1774">
        <v>31</v>
      </c>
      <c r="AD1774">
        <v>2.4900000000000002</v>
      </c>
    </row>
    <row r="1775" spans="1:30" x14ac:dyDescent="0.25">
      <c r="A1775" s="1">
        <v>44784.591064814813</v>
      </c>
      <c r="B1775" s="1">
        <v>44769.376736111109</v>
      </c>
      <c r="C1775">
        <v>12178</v>
      </c>
      <c r="D1775" t="s">
        <v>45</v>
      </c>
      <c r="E1775" t="s">
        <v>35</v>
      </c>
      <c r="F1775">
        <v>7</v>
      </c>
      <c r="G1775">
        <v>42.899563000000001</v>
      </c>
      <c r="H1775">
        <v>-71.464650000000006</v>
      </c>
      <c r="I1775">
        <v>301</v>
      </c>
      <c r="J1775">
        <v>85</v>
      </c>
      <c r="K1775">
        <v>0</v>
      </c>
      <c r="L1775" s="1">
        <v>44784.591006944444</v>
      </c>
      <c r="M1775">
        <v>3.8</v>
      </c>
      <c r="N1775">
        <v>3.1</v>
      </c>
      <c r="O1775">
        <v>0.7</v>
      </c>
      <c r="P1775">
        <v>20</v>
      </c>
      <c r="Q1775">
        <v>0</v>
      </c>
      <c r="R1775">
        <v>0</v>
      </c>
      <c r="S1775">
        <v>0</v>
      </c>
      <c r="T1775" t="s">
        <v>32</v>
      </c>
      <c r="V1775">
        <v>35</v>
      </c>
      <c r="W1775">
        <v>0</v>
      </c>
      <c r="X1775">
        <v>35</v>
      </c>
      <c r="Y1775">
        <v>0</v>
      </c>
      <c r="Z1775">
        <v>0</v>
      </c>
      <c r="AA1775">
        <v>0</v>
      </c>
      <c r="AB1775" t="s">
        <v>36</v>
      </c>
      <c r="AC1775">
        <v>35</v>
      </c>
    </row>
    <row r="1776" spans="1:30" x14ac:dyDescent="0.25">
      <c r="A1776" s="1">
        <v>44784.591064814813</v>
      </c>
      <c r="B1776" s="1">
        <v>44784.589270833334</v>
      </c>
      <c r="C1776">
        <v>75981</v>
      </c>
      <c r="D1776" t="s">
        <v>46</v>
      </c>
      <c r="E1776" t="s">
        <v>35</v>
      </c>
      <c r="F1776">
        <v>7</v>
      </c>
      <c r="G1776">
        <v>42.97</v>
      </c>
      <c r="H1776">
        <v>-71.06</v>
      </c>
      <c r="I1776">
        <v>136</v>
      </c>
      <c r="J1776">
        <v>88</v>
      </c>
      <c r="K1776">
        <v>0</v>
      </c>
      <c r="L1776" s="1">
        <v>44784.591006944444</v>
      </c>
      <c r="M1776">
        <v>9.9</v>
      </c>
      <c r="N1776">
        <v>9.1999999999999993</v>
      </c>
      <c r="O1776">
        <v>0.7</v>
      </c>
      <c r="P1776">
        <v>7</v>
      </c>
      <c r="Q1776">
        <v>0.3</v>
      </c>
      <c r="R1776">
        <v>0.1</v>
      </c>
      <c r="S1776">
        <v>0.2</v>
      </c>
      <c r="T1776" t="s">
        <v>33</v>
      </c>
      <c r="U1776">
        <v>9.5500000000000007</v>
      </c>
      <c r="V1776">
        <v>44</v>
      </c>
      <c r="W1776">
        <v>0</v>
      </c>
      <c r="X1776">
        <v>44</v>
      </c>
      <c r="Y1776">
        <v>0</v>
      </c>
      <c r="Z1776">
        <v>0</v>
      </c>
      <c r="AA1776">
        <v>0</v>
      </c>
      <c r="AB1776" t="s">
        <v>36</v>
      </c>
      <c r="AC1776">
        <v>44</v>
      </c>
      <c r="AD1776">
        <v>4.91</v>
      </c>
    </row>
    <row r="1777" spans="1:30" x14ac:dyDescent="0.25">
      <c r="A1777" s="1">
        <v>44784.591134259259</v>
      </c>
      <c r="B1777" s="1">
        <v>44784.589803240742</v>
      </c>
      <c r="C1777">
        <v>115703</v>
      </c>
      <c r="D1777" t="s">
        <v>47</v>
      </c>
      <c r="E1777" t="s">
        <v>35</v>
      </c>
      <c r="F1777">
        <v>7</v>
      </c>
      <c r="G1777">
        <v>43.953625000000002</v>
      </c>
      <c r="H1777">
        <v>-71.508859999999999</v>
      </c>
      <c r="I1777">
        <v>1493</v>
      </c>
      <c r="J1777">
        <v>90</v>
      </c>
      <c r="K1777">
        <v>0</v>
      </c>
      <c r="L1777" s="1">
        <v>44784.591006944444</v>
      </c>
      <c r="M1777">
        <v>0</v>
      </c>
      <c r="N1777">
        <v>113.9</v>
      </c>
      <c r="O1777">
        <v>113.9</v>
      </c>
      <c r="P1777">
        <v>200</v>
      </c>
      <c r="Q1777">
        <v>0</v>
      </c>
      <c r="R1777">
        <v>79</v>
      </c>
      <c r="S1777">
        <v>39.5</v>
      </c>
      <c r="T1777" t="s">
        <v>48</v>
      </c>
      <c r="V1777">
        <v>30</v>
      </c>
      <c r="W1777">
        <v>0</v>
      </c>
      <c r="X1777">
        <v>30</v>
      </c>
      <c r="Y1777">
        <v>1</v>
      </c>
      <c r="Z1777">
        <v>0</v>
      </c>
      <c r="AA1777">
        <v>1</v>
      </c>
      <c r="AB1777" t="s">
        <v>36</v>
      </c>
      <c r="AC1777">
        <v>30</v>
      </c>
    </row>
    <row r="1778" spans="1:30" x14ac:dyDescent="0.25">
      <c r="A1778" s="1">
        <v>44784.591145833336</v>
      </c>
      <c r="B1778" s="1">
        <v>44784.589224537034</v>
      </c>
      <c r="C1778">
        <v>12050</v>
      </c>
      <c r="D1778" t="s">
        <v>49</v>
      </c>
      <c r="E1778" t="s">
        <v>35</v>
      </c>
      <c r="F1778">
        <v>7</v>
      </c>
      <c r="G1778">
        <v>44.220573000000002</v>
      </c>
      <c r="H1778">
        <v>-71.732315</v>
      </c>
      <c r="I1778">
        <v>999</v>
      </c>
      <c r="J1778">
        <v>93</v>
      </c>
      <c r="K1778">
        <v>0</v>
      </c>
      <c r="L1778" s="1">
        <v>44784.591006944444</v>
      </c>
      <c r="M1778">
        <v>2.8</v>
      </c>
      <c r="N1778">
        <v>2.4</v>
      </c>
      <c r="O1778">
        <v>0.4</v>
      </c>
      <c r="P1778">
        <v>15</v>
      </c>
      <c r="Q1778">
        <v>0.1</v>
      </c>
      <c r="R1778">
        <v>0.2</v>
      </c>
      <c r="S1778">
        <v>0.15</v>
      </c>
      <c r="T1778" t="s">
        <v>33</v>
      </c>
      <c r="U1778">
        <v>2.6</v>
      </c>
      <c r="V1778">
        <v>30</v>
      </c>
      <c r="W1778">
        <v>0</v>
      </c>
      <c r="X1778">
        <v>30</v>
      </c>
      <c r="Y1778">
        <v>0</v>
      </c>
      <c r="Z1778">
        <v>0</v>
      </c>
      <c r="AA1778">
        <v>0</v>
      </c>
      <c r="AB1778" t="s">
        <v>36</v>
      </c>
      <c r="AC1778">
        <v>30</v>
      </c>
      <c r="AD1778">
        <v>1.65</v>
      </c>
    </row>
    <row r="1779" spans="1:30" x14ac:dyDescent="0.25">
      <c r="A1779" s="1">
        <v>44784.591145833336</v>
      </c>
      <c r="B1779" s="1">
        <v>44784.58934027778</v>
      </c>
      <c r="C1779">
        <v>23443</v>
      </c>
      <c r="D1779" t="s">
        <v>50</v>
      </c>
      <c r="E1779" t="s">
        <v>35</v>
      </c>
      <c r="F1779">
        <v>7</v>
      </c>
      <c r="G1779">
        <v>43.556139999999999</v>
      </c>
      <c r="H1779">
        <v>-72.370990000000006</v>
      </c>
      <c r="I1779">
        <v>523</v>
      </c>
      <c r="J1779">
        <v>102</v>
      </c>
      <c r="K1779">
        <v>0</v>
      </c>
      <c r="L1779" s="1">
        <v>44784.591006944444</v>
      </c>
      <c r="M1779">
        <v>2.9</v>
      </c>
      <c r="N1779">
        <v>2.5</v>
      </c>
      <c r="O1779">
        <v>0.4</v>
      </c>
      <c r="P1779">
        <v>15</v>
      </c>
      <c r="Q1779">
        <v>0.2</v>
      </c>
      <c r="R1779">
        <v>0</v>
      </c>
      <c r="S1779">
        <v>0.1</v>
      </c>
      <c r="T1779" t="s">
        <v>33</v>
      </c>
      <c r="U1779">
        <v>2.7</v>
      </c>
      <c r="V1779">
        <v>23</v>
      </c>
      <c r="W1779">
        <v>0</v>
      </c>
      <c r="X1779">
        <v>23</v>
      </c>
      <c r="Y1779">
        <v>0</v>
      </c>
      <c r="Z1779">
        <v>0</v>
      </c>
      <c r="AA1779">
        <v>0</v>
      </c>
      <c r="AB1779" t="s">
        <v>36</v>
      </c>
      <c r="AC1779">
        <v>23</v>
      </c>
      <c r="AD1779">
        <v>2.2000000000000002</v>
      </c>
    </row>
    <row r="1780" spans="1:30" x14ac:dyDescent="0.25">
      <c r="A1780" s="1">
        <v>44784.591145833336</v>
      </c>
      <c r="B1780" s="1">
        <v>44784.589456018519</v>
      </c>
      <c r="C1780">
        <v>58135</v>
      </c>
      <c r="D1780" t="s">
        <v>51</v>
      </c>
      <c r="E1780" t="s">
        <v>35</v>
      </c>
      <c r="F1780">
        <v>7</v>
      </c>
      <c r="G1780">
        <v>42.883873000000001</v>
      </c>
      <c r="H1780">
        <v>-71.972915999999998</v>
      </c>
      <c r="I1780">
        <v>808</v>
      </c>
      <c r="J1780">
        <v>88</v>
      </c>
      <c r="K1780">
        <v>0</v>
      </c>
      <c r="L1780" s="1">
        <v>44784.591006944444</v>
      </c>
      <c r="M1780">
        <v>3.9</v>
      </c>
      <c r="N1780">
        <v>2.5</v>
      </c>
      <c r="O1780">
        <v>1.4</v>
      </c>
      <c r="P1780">
        <v>44</v>
      </c>
      <c r="Q1780">
        <v>0.4</v>
      </c>
      <c r="R1780">
        <v>0.3</v>
      </c>
      <c r="S1780">
        <v>0.35</v>
      </c>
      <c r="T1780" t="s">
        <v>33</v>
      </c>
      <c r="U1780">
        <v>3.2</v>
      </c>
      <c r="V1780">
        <v>36</v>
      </c>
      <c r="W1780">
        <v>0</v>
      </c>
      <c r="X1780">
        <v>36</v>
      </c>
      <c r="Y1780">
        <v>2</v>
      </c>
      <c r="Z1780">
        <v>0</v>
      </c>
      <c r="AA1780">
        <v>2</v>
      </c>
      <c r="AB1780" t="s">
        <v>36</v>
      </c>
      <c r="AC1780">
        <v>36</v>
      </c>
      <c r="AD1780">
        <v>1.59</v>
      </c>
    </row>
    <row r="1781" spans="1:30" x14ac:dyDescent="0.25">
      <c r="A1781" s="1">
        <v>44784.591157407405</v>
      </c>
      <c r="B1781" s="1">
        <v>44784.590844907405</v>
      </c>
      <c r="C1781">
        <v>148555</v>
      </c>
      <c r="D1781" t="s">
        <v>52</v>
      </c>
      <c r="E1781" t="s">
        <v>53</v>
      </c>
      <c r="F1781">
        <v>7</v>
      </c>
      <c r="G1781">
        <v>42.904949999999999</v>
      </c>
      <c r="H1781">
        <v>-71.386764999999997</v>
      </c>
      <c r="I1781">
        <v>363</v>
      </c>
      <c r="J1781">
        <v>0</v>
      </c>
      <c r="K1781">
        <v>0</v>
      </c>
      <c r="L1781" s="1">
        <v>44784.591006944444</v>
      </c>
      <c r="M1781">
        <v>1.7</v>
      </c>
      <c r="N1781">
        <v>1.4</v>
      </c>
      <c r="O1781">
        <v>0.3</v>
      </c>
      <c r="P1781">
        <v>19</v>
      </c>
      <c r="Q1781">
        <v>0.1</v>
      </c>
      <c r="R1781">
        <v>0</v>
      </c>
      <c r="S1781">
        <v>0.05</v>
      </c>
      <c r="T1781" t="s">
        <v>33</v>
      </c>
      <c r="U1781">
        <v>1.55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 t="s">
        <v>38</v>
      </c>
    </row>
    <row r="1782" spans="1:30" x14ac:dyDescent="0.25">
      <c r="A1782" s="1">
        <v>44784.591157407405</v>
      </c>
      <c r="B1782" s="1">
        <v>44784.59033564815</v>
      </c>
      <c r="C1782">
        <v>146644</v>
      </c>
      <c r="D1782" t="s">
        <v>54</v>
      </c>
      <c r="E1782" t="s">
        <v>53</v>
      </c>
      <c r="F1782">
        <v>7</v>
      </c>
      <c r="G1782">
        <v>43.06015</v>
      </c>
      <c r="H1782">
        <v>-70.758930000000007</v>
      </c>
      <c r="I1782">
        <v>35</v>
      </c>
      <c r="J1782">
        <v>80</v>
      </c>
      <c r="K1782">
        <v>82</v>
      </c>
      <c r="L1782" s="1">
        <v>44784.591006944444</v>
      </c>
      <c r="M1782">
        <v>14.5</v>
      </c>
      <c r="N1782">
        <v>13.7</v>
      </c>
      <c r="O1782">
        <v>0.8</v>
      </c>
      <c r="P1782">
        <v>6</v>
      </c>
      <c r="Q1782">
        <v>0.1</v>
      </c>
      <c r="R1782">
        <v>0.1</v>
      </c>
      <c r="S1782">
        <v>0.1</v>
      </c>
      <c r="T1782" t="s">
        <v>33</v>
      </c>
      <c r="U1782">
        <v>14.1</v>
      </c>
      <c r="V1782">
        <v>52</v>
      </c>
      <c r="W1782">
        <v>57</v>
      </c>
      <c r="X1782">
        <v>5</v>
      </c>
      <c r="Y1782">
        <v>2</v>
      </c>
      <c r="Z1782">
        <v>1</v>
      </c>
      <c r="AA1782">
        <v>1</v>
      </c>
      <c r="AB1782" t="s">
        <v>33</v>
      </c>
      <c r="AC1782">
        <v>54.5</v>
      </c>
      <c r="AD1782">
        <v>6.95</v>
      </c>
    </row>
    <row r="1783" spans="1:30" x14ac:dyDescent="0.25">
      <c r="A1783" s="1">
        <v>44784.591157407405</v>
      </c>
      <c r="B1783" s="1">
        <v>43755.283437500002</v>
      </c>
      <c r="C1783">
        <v>12188</v>
      </c>
      <c r="D1783" t="s">
        <v>55</v>
      </c>
      <c r="E1783" t="s">
        <v>35</v>
      </c>
      <c r="F1783">
        <v>4.1100000000000003</v>
      </c>
      <c r="G1783">
        <v>42.927050000000001</v>
      </c>
      <c r="H1783">
        <v>-72.279610000000005</v>
      </c>
      <c r="I1783">
        <v>475</v>
      </c>
      <c r="J1783">
        <v>95</v>
      </c>
      <c r="K1783">
        <v>0</v>
      </c>
      <c r="L1783" s="1">
        <v>44784.591006944444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 t="s">
        <v>32</v>
      </c>
      <c r="V1783">
        <v>77</v>
      </c>
      <c r="W1783">
        <v>0</v>
      </c>
      <c r="X1783">
        <v>77</v>
      </c>
      <c r="Y1783">
        <v>0</v>
      </c>
      <c r="Z1783">
        <v>0</v>
      </c>
      <c r="AA1783">
        <v>0</v>
      </c>
      <c r="AB1783" t="s">
        <v>36</v>
      </c>
      <c r="AC1783">
        <v>77</v>
      </c>
    </row>
    <row r="1784" spans="1:30" x14ac:dyDescent="0.25">
      <c r="A1784" s="1">
        <v>44784.591168981482</v>
      </c>
      <c r="B1784" s="1">
        <v>44784.589328703703</v>
      </c>
      <c r="C1784">
        <v>1224</v>
      </c>
      <c r="D1784" t="s">
        <v>56</v>
      </c>
      <c r="E1784" t="s">
        <v>35</v>
      </c>
      <c r="F1784" t="s">
        <v>57</v>
      </c>
      <c r="G1784">
        <v>42.938034000000002</v>
      </c>
      <c r="H1784">
        <v>-72.259299999999996</v>
      </c>
      <c r="I1784">
        <v>792</v>
      </c>
      <c r="J1784">
        <v>94</v>
      </c>
      <c r="K1784">
        <v>0</v>
      </c>
      <c r="L1784" s="1">
        <v>44784.591006944444</v>
      </c>
      <c r="M1784">
        <v>4.4000000000000004</v>
      </c>
      <c r="N1784">
        <v>0.1</v>
      </c>
      <c r="O1784">
        <v>4.3</v>
      </c>
      <c r="P1784">
        <v>191</v>
      </c>
      <c r="Q1784">
        <v>0.2</v>
      </c>
      <c r="R1784">
        <v>0</v>
      </c>
      <c r="S1784">
        <v>0.1</v>
      </c>
      <c r="T1784" t="s">
        <v>33</v>
      </c>
      <c r="U1784">
        <v>2.25</v>
      </c>
      <c r="V1784">
        <v>35</v>
      </c>
      <c r="W1784">
        <v>0</v>
      </c>
      <c r="X1784">
        <v>35</v>
      </c>
      <c r="Y1784">
        <v>1</v>
      </c>
      <c r="Z1784">
        <v>0</v>
      </c>
      <c r="AA1784">
        <v>1</v>
      </c>
      <c r="AB1784" t="s">
        <v>36</v>
      </c>
      <c r="AC1784">
        <v>35</v>
      </c>
      <c r="AD1784">
        <v>1.08</v>
      </c>
    </row>
    <row r="1785" spans="1:30" x14ac:dyDescent="0.25">
      <c r="A1785" s="1">
        <v>44784.591168981482</v>
      </c>
      <c r="B1785" s="1">
        <v>44784.590162037035</v>
      </c>
      <c r="C1785">
        <v>1202</v>
      </c>
      <c r="D1785" t="s">
        <v>58</v>
      </c>
      <c r="E1785" t="s">
        <v>35</v>
      </c>
      <c r="F1785" t="s">
        <v>57</v>
      </c>
      <c r="G1785">
        <v>42.936554000000001</v>
      </c>
      <c r="H1785">
        <v>-72.271019999999993</v>
      </c>
      <c r="I1785">
        <v>488</v>
      </c>
      <c r="J1785">
        <v>0</v>
      </c>
      <c r="K1785">
        <v>0</v>
      </c>
      <c r="L1785" s="1">
        <v>44784.591006944444</v>
      </c>
      <c r="M1785">
        <v>4.7</v>
      </c>
      <c r="N1785">
        <v>4.2</v>
      </c>
      <c r="O1785">
        <v>0.5</v>
      </c>
      <c r="P1785">
        <v>11</v>
      </c>
      <c r="Q1785">
        <v>0.2</v>
      </c>
      <c r="R1785">
        <v>0.1</v>
      </c>
      <c r="S1785">
        <v>0.15</v>
      </c>
      <c r="T1785" t="s">
        <v>33</v>
      </c>
      <c r="U1785">
        <v>4.45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0</v>
      </c>
      <c r="AB1785" t="s">
        <v>38</v>
      </c>
    </row>
    <row r="1786" spans="1:30" x14ac:dyDescent="0.25">
      <c r="A1786" s="1">
        <v>44784.591168981482</v>
      </c>
      <c r="B1786" s="1">
        <v>44612.080023148148</v>
      </c>
      <c r="C1786">
        <v>25985</v>
      </c>
      <c r="D1786" t="s">
        <v>59</v>
      </c>
      <c r="E1786" t="s">
        <v>35</v>
      </c>
      <c r="F1786">
        <v>6.01</v>
      </c>
      <c r="G1786">
        <v>42.927326000000001</v>
      </c>
      <c r="H1786">
        <v>-72.279979999999995</v>
      </c>
      <c r="I1786">
        <v>477</v>
      </c>
      <c r="J1786">
        <v>78</v>
      </c>
      <c r="K1786">
        <v>0</v>
      </c>
      <c r="L1786" s="1">
        <v>44784.591006944444</v>
      </c>
      <c r="M1786">
        <v>1.1000000000000001</v>
      </c>
      <c r="N1786">
        <v>1</v>
      </c>
      <c r="O1786">
        <v>0.1</v>
      </c>
      <c r="P1786">
        <v>10</v>
      </c>
      <c r="Q1786">
        <v>0</v>
      </c>
      <c r="R1786">
        <v>0</v>
      </c>
      <c r="S1786">
        <v>0</v>
      </c>
      <c r="T1786" t="s">
        <v>32</v>
      </c>
      <c r="V1786">
        <v>22</v>
      </c>
      <c r="W1786">
        <v>0</v>
      </c>
      <c r="X1786">
        <v>22</v>
      </c>
      <c r="Y1786">
        <v>0</v>
      </c>
      <c r="Z1786">
        <v>0</v>
      </c>
      <c r="AA1786">
        <v>0</v>
      </c>
      <c r="AB1786" t="s">
        <v>36</v>
      </c>
      <c r="AC1786">
        <v>22</v>
      </c>
    </row>
    <row r="1787" spans="1:30" x14ac:dyDescent="0.25">
      <c r="A1787" s="1">
        <v>44784.597962962966</v>
      </c>
      <c r="B1787" s="1">
        <v>44775.701319444444</v>
      </c>
      <c r="C1787">
        <v>151708</v>
      </c>
      <c r="D1787" t="s">
        <v>30</v>
      </c>
      <c r="E1787" t="s">
        <v>31</v>
      </c>
      <c r="F1787">
        <v>7</v>
      </c>
      <c r="G1787">
        <v>43.192042999999998</v>
      </c>
      <c r="H1787">
        <v>-71.541579999999996</v>
      </c>
      <c r="I1787">
        <v>291</v>
      </c>
      <c r="J1787">
        <v>93</v>
      </c>
      <c r="K1787">
        <v>94</v>
      </c>
      <c r="L1787" s="1">
        <v>44784.597951388889</v>
      </c>
      <c r="M1787">
        <v>7.9</v>
      </c>
      <c r="N1787">
        <v>7.6</v>
      </c>
      <c r="O1787">
        <v>0.3</v>
      </c>
      <c r="P1787">
        <v>4</v>
      </c>
      <c r="Q1787">
        <v>0</v>
      </c>
      <c r="R1787">
        <v>0</v>
      </c>
      <c r="S1787">
        <v>0</v>
      </c>
      <c r="T1787" t="s">
        <v>32</v>
      </c>
      <c r="V1787">
        <v>42</v>
      </c>
      <c r="W1787">
        <v>41</v>
      </c>
      <c r="X1787">
        <v>1</v>
      </c>
      <c r="Y1787">
        <v>0</v>
      </c>
      <c r="Z1787">
        <v>0</v>
      </c>
      <c r="AA1787">
        <v>0</v>
      </c>
      <c r="AB1787" t="s">
        <v>33</v>
      </c>
      <c r="AC1787">
        <v>41.5</v>
      </c>
    </row>
    <row r="1788" spans="1:30" x14ac:dyDescent="0.25">
      <c r="A1788" s="1">
        <v>44784.597974537035</v>
      </c>
      <c r="B1788" s="1">
        <v>44784.596319444441</v>
      </c>
      <c r="C1788">
        <v>143456</v>
      </c>
      <c r="D1788" t="s">
        <v>34</v>
      </c>
      <c r="E1788" t="s">
        <v>35</v>
      </c>
      <c r="F1788">
        <v>7</v>
      </c>
      <c r="G1788">
        <v>43.08963</v>
      </c>
      <c r="H1788">
        <v>-71.502440000000007</v>
      </c>
      <c r="I1788">
        <v>619</v>
      </c>
      <c r="J1788">
        <v>84</v>
      </c>
      <c r="K1788">
        <v>0</v>
      </c>
      <c r="L1788" s="1">
        <v>44784.597951388889</v>
      </c>
      <c r="M1788">
        <v>3.3</v>
      </c>
      <c r="N1788">
        <v>3.6</v>
      </c>
      <c r="O1788">
        <v>0.3</v>
      </c>
      <c r="P1788">
        <v>9</v>
      </c>
      <c r="Q1788">
        <v>0.3</v>
      </c>
      <c r="R1788">
        <v>0.2</v>
      </c>
      <c r="S1788">
        <v>0.25</v>
      </c>
      <c r="T1788" t="s">
        <v>33</v>
      </c>
      <c r="U1788">
        <v>3.45</v>
      </c>
      <c r="V1788">
        <v>49</v>
      </c>
      <c r="W1788">
        <v>0</v>
      </c>
      <c r="X1788">
        <v>49</v>
      </c>
      <c r="Y1788">
        <v>4</v>
      </c>
      <c r="Z1788">
        <v>0</v>
      </c>
      <c r="AA1788">
        <v>4</v>
      </c>
      <c r="AB1788" t="s">
        <v>36</v>
      </c>
      <c r="AC1788">
        <v>49</v>
      </c>
      <c r="AD1788">
        <v>0.83</v>
      </c>
    </row>
    <row r="1789" spans="1:30" x14ac:dyDescent="0.25">
      <c r="A1789" s="1">
        <v>44784.597974537035</v>
      </c>
      <c r="B1789" s="1">
        <v>44784.59648148148</v>
      </c>
      <c r="C1789">
        <v>151702</v>
      </c>
      <c r="D1789" t="s">
        <v>37</v>
      </c>
      <c r="E1789" t="s">
        <v>31</v>
      </c>
      <c r="F1789">
        <v>7</v>
      </c>
      <c r="G1789">
        <v>43.118609999999997</v>
      </c>
      <c r="H1789">
        <v>-71.61618</v>
      </c>
      <c r="I1789">
        <v>885</v>
      </c>
      <c r="J1789">
        <v>0</v>
      </c>
      <c r="K1789">
        <v>0</v>
      </c>
      <c r="L1789" s="1">
        <v>44784.597951388889</v>
      </c>
      <c r="M1789">
        <v>2.1</v>
      </c>
      <c r="N1789">
        <v>2.1</v>
      </c>
      <c r="O1789">
        <v>0</v>
      </c>
      <c r="P1789">
        <v>0</v>
      </c>
      <c r="Q1789">
        <v>0</v>
      </c>
      <c r="R1789">
        <v>0.1</v>
      </c>
      <c r="S1789">
        <v>0.05</v>
      </c>
      <c r="T1789" t="s">
        <v>33</v>
      </c>
      <c r="U1789">
        <v>2.1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 t="s">
        <v>38</v>
      </c>
    </row>
    <row r="1790" spans="1:30" x14ac:dyDescent="0.25">
      <c r="A1790" s="1">
        <v>44784.597974537035</v>
      </c>
      <c r="B1790" s="1">
        <v>44784.596377314818</v>
      </c>
      <c r="C1790">
        <v>151700</v>
      </c>
      <c r="D1790" t="s">
        <v>30</v>
      </c>
      <c r="E1790" t="s">
        <v>31</v>
      </c>
      <c r="F1790">
        <v>7</v>
      </c>
      <c r="G1790">
        <v>43.19211</v>
      </c>
      <c r="H1790">
        <v>-71.541460000000001</v>
      </c>
      <c r="I1790">
        <v>286</v>
      </c>
      <c r="J1790">
        <v>85</v>
      </c>
      <c r="K1790">
        <v>0</v>
      </c>
      <c r="L1790" s="1">
        <v>44784.597951388889</v>
      </c>
      <c r="M1790">
        <v>2.1</v>
      </c>
      <c r="N1790">
        <v>2.4</v>
      </c>
      <c r="O1790">
        <v>0.3</v>
      </c>
      <c r="P1790">
        <v>13</v>
      </c>
      <c r="Q1790">
        <v>0.1</v>
      </c>
      <c r="R1790">
        <v>0</v>
      </c>
      <c r="S1790">
        <v>0.05</v>
      </c>
      <c r="T1790" t="s">
        <v>33</v>
      </c>
      <c r="U1790">
        <v>2.25</v>
      </c>
      <c r="V1790">
        <v>41</v>
      </c>
      <c r="W1790">
        <v>0</v>
      </c>
      <c r="X1790">
        <v>41</v>
      </c>
      <c r="Y1790">
        <v>0</v>
      </c>
      <c r="Z1790">
        <v>0</v>
      </c>
      <c r="AA1790">
        <v>0</v>
      </c>
      <c r="AB1790" t="s">
        <v>36</v>
      </c>
      <c r="AC1790">
        <v>41</v>
      </c>
      <c r="AD1790">
        <v>0.66</v>
      </c>
    </row>
    <row r="1791" spans="1:30" x14ac:dyDescent="0.25">
      <c r="A1791" s="1">
        <v>44784.597986111112</v>
      </c>
      <c r="B1791" s="1">
        <v>44784.596805555557</v>
      </c>
      <c r="C1791">
        <v>135984</v>
      </c>
      <c r="D1791" t="s">
        <v>39</v>
      </c>
      <c r="E1791" t="s">
        <v>31</v>
      </c>
      <c r="F1791">
        <v>7</v>
      </c>
      <c r="G1791">
        <v>43.565852999999997</v>
      </c>
      <c r="H1791">
        <v>-71.496129999999994</v>
      </c>
      <c r="I1791">
        <v>708</v>
      </c>
      <c r="J1791">
        <v>88</v>
      </c>
      <c r="K1791">
        <v>0</v>
      </c>
      <c r="L1791" s="1">
        <v>44784.597951388889</v>
      </c>
      <c r="M1791">
        <v>2.8</v>
      </c>
      <c r="N1791">
        <v>2.2000000000000002</v>
      </c>
      <c r="O1791">
        <v>0.6</v>
      </c>
      <c r="P1791">
        <v>24</v>
      </c>
      <c r="Q1791">
        <v>0.1</v>
      </c>
      <c r="R1791">
        <v>0</v>
      </c>
      <c r="S1791">
        <v>0.05</v>
      </c>
      <c r="T1791" t="s">
        <v>33</v>
      </c>
      <c r="U1791">
        <v>2.5</v>
      </c>
      <c r="V1791">
        <v>50</v>
      </c>
      <c r="W1791">
        <v>0</v>
      </c>
      <c r="X1791">
        <v>50</v>
      </c>
      <c r="Y1791">
        <v>0</v>
      </c>
      <c r="Z1791">
        <v>0</v>
      </c>
      <c r="AA1791">
        <v>0</v>
      </c>
      <c r="AB1791" t="s">
        <v>36</v>
      </c>
      <c r="AC1791">
        <v>50</v>
      </c>
      <c r="AD1791">
        <v>0.18</v>
      </c>
    </row>
    <row r="1792" spans="1:30" x14ac:dyDescent="0.25">
      <c r="A1792" s="1">
        <v>44784.597986111112</v>
      </c>
      <c r="B1792" s="1">
        <v>44780.394780092596</v>
      </c>
      <c r="C1792">
        <v>151712</v>
      </c>
      <c r="D1792" t="s">
        <v>40</v>
      </c>
      <c r="E1792" t="s">
        <v>31</v>
      </c>
      <c r="F1792">
        <v>7</v>
      </c>
      <c r="G1792">
        <v>43.289763999999998</v>
      </c>
      <c r="H1792">
        <v>-71.564260000000004</v>
      </c>
      <c r="I1792">
        <v>370</v>
      </c>
      <c r="J1792">
        <v>86</v>
      </c>
      <c r="K1792">
        <v>0</v>
      </c>
      <c r="L1792" s="1">
        <v>44784.597951388889</v>
      </c>
      <c r="M1792">
        <v>14</v>
      </c>
      <c r="N1792">
        <v>13.2</v>
      </c>
      <c r="O1792">
        <v>0.8</v>
      </c>
      <c r="P1792">
        <v>6</v>
      </c>
      <c r="Q1792">
        <v>0</v>
      </c>
      <c r="R1792">
        <v>0</v>
      </c>
      <c r="S1792">
        <v>0</v>
      </c>
      <c r="T1792" t="s">
        <v>32</v>
      </c>
      <c r="V1792">
        <v>59</v>
      </c>
      <c r="W1792">
        <v>0</v>
      </c>
      <c r="X1792">
        <v>59</v>
      </c>
      <c r="Y1792">
        <v>0</v>
      </c>
      <c r="Z1792">
        <v>0</v>
      </c>
      <c r="AA1792">
        <v>0</v>
      </c>
      <c r="AB1792" t="s">
        <v>36</v>
      </c>
      <c r="AC1792">
        <v>59</v>
      </c>
    </row>
    <row r="1793" spans="1:30" x14ac:dyDescent="0.25">
      <c r="A1793" s="1">
        <v>44784.597986111112</v>
      </c>
      <c r="B1793" s="1">
        <v>44784.597500000003</v>
      </c>
      <c r="C1793">
        <v>151710</v>
      </c>
      <c r="D1793" t="s">
        <v>41</v>
      </c>
      <c r="E1793" t="s">
        <v>31</v>
      </c>
      <c r="F1793">
        <v>7</v>
      </c>
      <c r="G1793">
        <v>43.132477000000002</v>
      </c>
      <c r="H1793">
        <v>-71.458374000000006</v>
      </c>
      <c r="I1793">
        <v>230</v>
      </c>
      <c r="J1793">
        <v>89</v>
      </c>
      <c r="K1793">
        <v>0</v>
      </c>
      <c r="L1793" s="1">
        <v>44784.597951388889</v>
      </c>
      <c r="M1793">
        <v>5.5</v>
      </c>
      <c r="N1793">
        <v>3.7</v>
      </c>
      <c r="O1793">
        <v>1.8</v>
      </c>
      <c r="P1793">
        <v>39</v>
      </c>
      <c r="Q1793">
        <v>0.1</v>
      </c>
      <c r="R1793">
        <v>0</v>
      </c>
      <c r="S1793">
        <v>0.05</v>
      </c>
      <c r="T1793" t="s">
        <v>33</v>
      </c>
      <c r="U1793">
        <v>4.5999999999999996</v>
      </c>
      <c r="V1793">
        <v>34</v>
      </c>
      <c r="W1793">
        <v>0</v>
      </c>
      <c r="X1793">
        <v>34</v>
      </c>
      <c r="Y1793">
        <v>1</v>
      </c>
      <c r="Z1793">
        <v>0</v>
      </c>
      <c r="AA1793">
        <v>1</v>
      </c>
      <c r="AB1793" t="s">
        <v>36</v>
      </c>
      <c r="AC1793">
        <v>34</v>
      </c>
      <c r="AD1793">
        <v>2.59</v>
      </c>
    </row>
    <row r="1794" spans="1:30" x14ac:dyDescent="0.25">
      <c r="A1794" s="1">
        <v>44784.597997685189</v>
      </c>
      <c r="B1794" s="1">
        <v>44784.59715277778</v>
      </c>
      <c r="C1794">
        <v>151706</v>
      </c>
      <c r="D1794" t="s">
        <v>42</v>
      </c>
      <c r="E1794" t="s">
        <v>31</v>
      </c>
      <c r="F1794">
        <v>7</v>
      </c>
      <c r="G1794">
        <v>43.004080000000002</v>
      </c>
      <c r="H1794">
        <v>-71.177040000000005</v>
      </c>
      <c r="I1794">
        <v>194</v>
      </c>
      <c r="J1794">
        <v>87</v>
      </c>
      <c r="K1794">
        <v>0</v>
      </c>
      <c r="L1794" s="1">
        <v>44784.597951388889</v>
      </c>
      <c r="M1794">
        <v>6.8</v>
      </c>
      <c r="N1794">
        <v>0</v>
      </c>
      <c r="O1794">
        <v>6.8</v>
      </c>
      <c r="P1794">
        <v>200</v>
      </c>
      <c r="Q1794">
        <v>0.6</v>
      </c>
      <c r="R1794">
        <v>0</v>
      </c>
      <c r="S1794">
        <v>0.3</v>
      </c>
      <c r="T1794" t="s">
        <v>43</v>
      </c>
      <c r="V1794">
        <v>41</v>
      </c>
      <c r="W1794">
        <v>0</v>
      </c>
      <c r="X1794">
        <v>41</v>
      </c>
      <c r="Y1794">
        <v>3</v>
      </c>
      <c r="Z1794">
        <v>0</v>
      </c>
      <c r="AA1794">
        <v>3</v>
      </c>
      <c r="AB1794" t="s">
        <v>36</v>
      </c>
      <c r="AC1794">
        <v>41</v>
      </c>
    </row>
    <row r="1795" spans="1:30" x14ac:dyDescent="0.25">
      <c r="A1795" s="1">
        <v>44784.597997685189</v>
      </c>
      <c r="B1795" s="1">
        <v>44784.596921296295</v>
      </c>
      <c r="C1795">
        <v>12212</v>
      </c>
      <c r="D1795" t="s">
        <v>44</v>
      </c>
      <c r="E1795" t="s">
        <v>35</v>
      </c>
      <c r="F1795">
        <v>7</v>
      </c>
      <c r="G1795">
        <v>42.930529999999997</v>
      </c>
      <c r="H1795">
        <v>-72.272350000000003</v>
      </c>
      <c r="I1795">
        <v>476</v>
      </c>
      <c r="J1795">
        <v>92</v>
      </c>
      <c r="K1795">
        <v>0</v>
      </c>
      <c r="L1795" s="1">
        <v>44784.597951388889</v>
      </c>
      <c r="M1795">
        <v>4.5</v>
      </c>
      <c r="N1795">
        <v>4</v>
      </c>
      <c r="O1795">
        <v>0.5</v>
      </c>
      <c r="P1795">
        <v>12</v>
      </c>
      <c r="Q1795">
        <v>0.1</v>
      </c>
      <c r="R1795">
        <v>0.2</v>
      </c>
      <c r="S1795">
        <v>0.15</v>
      </c>
      <c r="T1795" t="s">
        <v>33</v>
      </c>
      <c r="U1795">
        <v>4.25</v>
      </c>
      <c r="V1795">
        <v>31</v>
      </c>
      <c r="W1795">
        <v>0</v>
      </c>
      <c r="X1795">
        <v>31</v>
      </c>
      <c r="Y1795">
        <v>0</v>
      </c>
      <c r="Z1795">
        <v>0</v>
      </c>
      <c r="AA1795">
        <v>0</v>
      </c>
      <c r="AB1795" t="s">
        <v>36</v>
      </c>
      <c r="AC1795">
        <v>31</v>
      </c>
      <c r="AD1795">
        <v>2.58</v>
      </c>
    </row>
    <row r="1796" spans="1:30" x14ac:dyDescent="0.25">
      <c r="A1796" s="1">
        <v>44784.597997685189</v>
      </c>
      <c r="B1796" s="1">
        <v>44769.376736111109</v>
      </c>
      <c r="C1796">
        <v>12178</v>
      </c>
      <c r="D1796" t="s">
        <v>45</v>
      </c>
      <c r="E1796" t="s">
        <v>35</v>
      </c>
      <c r="F1796">
        <v>7</v>
      </c>
      <c r="G1796">
        <v>42.899563000000001</v>
      </c>
      <c r="H1796">
        <v>-71.464650000000006</v>
      </c>
      <c r="I1796">
        <v>301</v>
      </c>
      <c r="J1796">
        <v>85</v>
      </c>
      <c r="K1796">
        <v>0</v>
      </c>
      <c r="L1796" s="1">
        <v>44784.597951388889</v>
      </c>
      <c r="M1796">
        <v>3.8</v>
      </c>
      <c r="N1796">
        <v>3.1</v>
      </c>
      <c r="O1796">
        <v>0.7</v>
      </c>
      <c r="P1796">
        <v>20</v>
      </c>
      <c r="Q1796">
        <v>0</v>
      </c>
      <c r="R1796">
        <v>0</v>
      </c>
      <c r="S1796">
        <v>0</v>
      </c>
      <c r="T1796" t="s">
        <v>32</v>
      </c>
      <c r="V1796">
        <v>35</v>
      </c>
      <c r="W1796">
        <v>0</v>
      </c>
      <c r="X1796">
        <v>35</v>
      </c>
      <c r="Y1796">
        <v>0</v>
      </c>
      <c r="Z1796">
        <v>0</v>
      </c>
      <c r="AA1796">
        <v>0</v>
      </c>
      <c r="AB1796" t="s">
        <v>36</v>
      </c>
      <c r="AC1796">
        <v>35</v>
      </c>
    </row>
    <row r="1797" spans="1:30" x14ac:dyDescent="0.25">
      <c r="A1797" s="1">
        <v>44784.598009259258</v>
      </c>
      <c r="B1797" s="1">
        <v>44784.597604166665</v>
      </c>
      <c r="C1797">
        <v>75981</v>
      </c>
      <c r="D1797" t="s">
        <v>46</v>
      </c>
      <c r="E1797" t="s">
        <v>35</v>
      </c>
      <c r="F1797">
        <v>7</v>
      </c>
      <c r="G1797">
        <v>42.97</v>
      </c>
      <c r="H1797">
        <v>-71.06</v>
      </c>
      <c r="I1797">
        <v>136</v>
      </c>
      <c r="J1797">
        <v>88</v>
      </c>
      <c r="K1797">
        <v>0</v>
      </c>
      <c r="L1797" s="1">
        <v>44784.597951388889</v>
      </c>
      <c r="M1797">
        <v>10.199999999999999</v>
      </c>
      <c r="N1797">
        <v>9.1</v>
      </c>
      <c r="O1797">
        <v>1.1000000000000001</v>
      </c>
      <c r="P1797">
        <v>11</v>
      </c>
      <c r="Q1797">
        <v>0.3</v>
      </c>
      <c r="R1797">
        <v>0.1</v>
      </c>
      <c r="S1797">
        <v>0.2</v>
      </c>
      <c r="T1797" t="s">
        <v>33</v>
      </c>
      <c r="U1797">
        <v>9.65</v>
      </c>
      <c r="V1797">
        <v>44</v>
      </c>
      <c r="W1797">
        <v>0</v>
      </c>
      <c r="X1797">
        <v>44</v>
      </c>
      <c r="Y1797">
        <v>0</v>
      </c>
      <c r="Z1797">
        <v>0</v>
      </c>
      <c r="AA1797">
        <v>0</v>
      </c>
      <c r="AB1797" t="s">
        <v>36</v>
      </c>
      <c r="AC1797">
        <v>44</v>
      </c>
      <c r="AD1797">
        <v>4.97</v>
      </c>
    </row>
    <row r="1798" spans="1:30" x14ac:dyDescent="0.25">
      <c r="A1798" s="1">
        <v>44784.598009259258</v>
      </c>
      <c r="B1798" s="1">
        <v>44784.596747685187</v>
      </c>
      <c r="C1798">
        <v>115703</v>
      </c>
      <c r="D1798" t="s">
        <v>47</v>
      </c>
      <c r="E1798" t="s">
        <v>35</v>
      </c>
      <c r="F1798">
        <v>7</v>
      </c>
      <c r="G1798">
        <v>43.953625000000002</v>
      </c>
      <c r="H1798">
        <v>-71.508859999999999</v>
      </c>
      <c r="I1798">
        <v>1493</v>
      </c>
      <c r="J1798">
        <v>87</v>
      </c>
      <c r="K1798">
        <v>0</v>
      </c>
      <c r="L1798" s="1">
        <v>44784.597951388889</v>
      </c>
      <c r="M1798">
        <v>0</v>
      </c>
      <c r="N1798">
        <v>67.3</v>
      </c>
      <c r="O1798">
        <v>67.3</v>
      </c>
      <c r="P1798">
        <v>200</v>
      </c>
      <c r="Q1798">
        <v>0</v>
      </c>
      <c r="R1798">
        <v>46.6</v>
      </c>
      <c r="S1798">
        <v>23.3</v>
      </c>
      <c r="T1798" t="s">
        <v>48</v>
      </c>
      <c r="V1798">
        <v>32</v>
      </c>
      <c r="W1798">
        <v>0</v>
      </c>
      <c r="X1798">
        <v>32</v>
      </c>
      <c r="Y1798">
        <v>2</v>
      </c>
      <c r="Z1798">
        <v>0</v>
      </c>
      <c r="AA1798">
        <v>2</v>
      </c>
      <c r="AB1798" t="s">
        <v>36</v>
      </c>
      <c r="AC1798">
        <v>32</v>
      </c>
    </row>
    <row r="1799" spans="1:30" x14ac:dyDescent="0.25">
      <c r="A1799" s="1">
        <v>44784.598009259258</v>
      </c>
      <c r="B1799" s="1">
        <v>44784.597557870373</v>
      </c>
      <c r="C1799">
        <v>12050</v>
      </c>
      <c r="D1799" t="s">
        <v>49</v>
      </c>
      <c r="E1799" t="s">
        <v>35</v>
      </c>
      <c r="F1799">
        <v>7</v>
      </c>
      <c r="G1799">
        <v>44.220573000000002</v>
      </c>
      <c r="H1799">
        <v>-71.732315</v>
      </c>
      <c r="I1799">
        <v>999</v>
      </c>
      <c r="J1799">
        <v>95</v>
      </c>
      <c r="K1799">
        <v>0</v>
      </c>
      <c r="L1799" s="1">
        <v>44784.597951388889</v>
      </c>
      <c r="M1799">
        <v>2.7</v>
      </c>
      <c r="N1799">
        <v>2.5</v>
      </c>
      <c r="O1799">
        <v>0.2</v>
      </c>
      <c r="P1799">
        <v>8</v>
      </c>
      <c r="Q1799">
        <v>0.1</v>
      </c>
      <c r="R1799">
        <v>0.1</v>
      </c>
      <c r="S1799">
        <v>0.1</v>
      </c>
      <c r="T1799" t="s">
        <v>33</v>
      </c>
      <c r="U1799">
        <v>2.6</v>
      </c>
      <c r="V1799">
        <v>29</v>
      </c>
      <c r="W1799">
        <v>0</v>
      </c>
      <c r="X1799">
        <v>29</v>
      </c>
      <c r="Y1799">
        <v>1</v>
      </c>
      <c r="Z1799">
        <v>0</v>
      </c>
      <c r="AA1799">
        <v>1</v>
      </c>
      <c r="AB1799" t="s">
        <v>36</v>
      </c>
      <c r="AC1799">
        <v>29</v>
      </c>
      <c r="AD1799">
        <v>1.72</v>
      </c>
    </row>
    <row r="1800" spans="1:30" x14ac:dyDescent="0.25">
      <c r="A1800" s="1">
        <v>44784.598020833335</v>
      </c>
      <c r="B1800" s="1">
        <v>44784.597673611112</v>
      </c>
      <c r="C1800">
        <v>23443</v>
      </c>
      <c r="D1800" t="s">
        <v>50</v>
      </c>
      <c r="E1800" t="s">
        <v>35</v>
      </c>
      <c r="F1800">
        <v>7</v>
      </c>
      <c r="G1800">
        <v>43.556139999999999</v>
      </c>
      <c r="H1800">
        <v>-72.370990000000006</v>
      </c>
      <c r="I1800">
        <v>523</v>
      </c>
      <c r="J1800">
        <v>101</v>
      </c>
      <c r="K1800">
        <v>0</v>
      </c>
      <c r="L1800" s="1">
        <v>44784.597951388889</v>
      </c>
      <c r="M1800">
        <v>2.9</v>
      </c>
      <c r="N1800">
        <v>2.6</v>
      </c>
      <c r="O1800">
        <v>0.3</v>
      </c>
      <c r="P1800">
        <v>11</v>
      </c>
      <c r="Q1800">
        <v>0</v>
      </c>
      <c r="R1800">
        <v>0.1</v>
      </c>
      <c r="S1800">
        <v>0.05</v>
      </c>
      <c r="T1800" t="s">
        <v>33</v>
      </c>
      <c r="U1800">
        <v>2.75</v>
      </c>
      <c r="V1800">
        <v>23</v>
      </c>
      <c r="W1800">
        <v>0</v>
      </c>
      <c r="X1800">
        <v>23</v>
      </c>
      <c r="Y1800">
        <v>0</v>
      </c>
      <c r="Z1800">
        <v>0</v>
      </c>
      <c r="AA1800">
        <v>0</v>
      </c>
      <c r="AB1800" t="s">
        <v>36</v>
      </c>
      <c r="AC1800">
        <v>23</v>
      </c>
      <c r="AD1800">
        <v>2.23</v>
      </c>
    </row>
    <row r="1801" spans="1:30" x14ac:dyDescent="0.25">
      <c r="A1801" s="1">
        <v>44784.598020833335</v>
      </c>
      <c r="B1801" s="1">
        <v>44784.596400462964</v>
      </c>
      <c r="C1801">
        <v>58135</v>
      </c>
      <c r="D1801" t="s">
        <v>51</v>
      </c>
      <c r="E1801" t="s">
        <v>35</v>
      </c>
      <c r="F1801">
        <v>7</v>
      </c>
      <c r="G1801">
        <v>42.883873000000001</v>
      </c>
      <c r="H1801">
        <v>-71.972915999999998</v>
      </c>
      <c r="I1801">
        <v>808</v>
      </c>
      <c r="J1801">
        <v>87</v>
      </c>
      <c r="K1801">
        <v>0</v>
      </c>
      <c r="L1801" s="1">
        <v>44784.597951388889</v>
      </c>
      <c r="M1801">
        <v>4.2</v>
      </c>
      <c r="N1801">
        <v>2.6</v>
      </c>
      <c r="O1801">
        <v>1.6</v>
      </c>
      <c r="P1801">
        <v>47</v>
      </c>
      <c r="Q1801">
        <v>0.3</v>
      </c>
      <c r="R1801">
        <v>0.1</v>
      </c>
      <c r="S1801">
        <v>0.2</v>
      </c>
      <c r="T1801" t="s">
        <v>33</v>
      </c>
      <c r="U1801">
        <v>3.4</v>
      </c>
      <c r="V1801">
        <v>34</v>
      </c>
      <c r="W1801">
        <v>0</v>
      </c>
      <c r="X1801">
        <v>34</v>
      </c>
      <c r="Y1801">
        <v>2</v>
      </c>
      <c r="Z1801">
        <v>0</v>
      </c>
      <c r="AA1801">
        <v>2</v>
      </c>
      <c r="AB1801" t="s">
        <v>36</v>
      </c>
      <c r="AC1801">
        <v>34</v>
      </c>
      <c r="AD1801">
        <v>1.85</v>
      </c>
    </row>
    <row r="1802" spans="1:30" x14ac:dyDescent="0.25">
      <c r="A1802" s="1">
        <v>44784.598032407404</v>
      </c>
      <c r="B1802" s="1">
        <v>44784.596400462964</v>
      </c>
      <c r="C1802">
        <v>148555</v>
      </c>
      <c r="D1802" t="s">
        <v>52</v>
      </c>
      <c r="E1802" t="s">
        <v>53</v>
      </c>
      <c r="F1802">
        <v>7</v>
      </c>
      <c r="G1802">
        <v>42.904949999999999</v>
      </c>
      <c r="H1802">
        <v>-71.386764999999997</v>
      </c>
      <c r="I1802">
        <v>363</v>
      </c>
      <c r="J1802">
        <v>0</v>
      </c>
      <c r="K1802">
        <v>0</v>
      </c>
      <c r="L1802" s="1">
        <v>44784.597951388889</v>
      </c>
      <c r="M1802">
        <v>1.9</v>
      </c>
      <c r="N1802">
        <v>1.6</v>
      </c>
      <c r="O1802">
        <v>0.3</v>
      </c>
      <c r="P1802">
        <v>17</v>
      </c>
      <c r="Q1802">
        <v>0.2</v>
      </c>
      <c r="R1802">
        <v>0.2</v>
      </c>
      <c r="S1802">
        <v>0.2</v>
      </c>
      <c r="T1802" t="s">
        <v>33</v>
      </c>
      <c r="U1802">
        <v>1.75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 t="s">
        <v>38</v>
      </c>
    </row>
    <row r="1803" spans="1:30" x14ac:dyDescent="0.25">
      <c r="A1803" s="1">
        <v>44784.598067129627</v>
      </c>
      <c r="B1803" s="1">
        <v>44784.597280092596</v>
      </c>
      <c r="C1803">
        <v>146644</v>
      </c>
      <c r="D1803" t="s">
        <v>54</v>
      </c>
      <c r="E1803" t="s">
        <v>53</v>
      </c>
      <c r="F1803">
        <v>7</v>
      </c>
      <c r="G1803">
        <v>43.06015</v>
      </c>
      <c r="H1803">
        <v>-70.758930000000007</v>
      </c>
      <c r="I1803">
        <v>35</v>
      </c>
      <c r="J1803">
        <v>81</v>
      </c>
      <c r="K1803">
        <v>82</v>
      </c>
      <c r="L1803" s="1">
        <v>44784.597951388889</v>
      </c>
      <c r="M1803">
        <v>14</v>
      </c>
      <c r="N1803">
        <v>13.4</v>
      </c>
      <c r="O1803">
        <v>0.6</v>
      </c>
      <c r="P1803">
        <v>4</v>
      </c>
      <c r="Q1803">
        <v>0.5</v>
      </c>
      <c r="R1803">
        <v>0.3</v>
      </c>
      <c r="S1803">
        <v>0.4</v>
      </c>
      <c r="T1803" t="s">
        <v>33</v>
      </c>
      <c r="U1803">
        <v>13.7</v>
      </c>
      <c r="V1803">
        <v>50</v>
      </c>
      <c r="W1803">
        <v>55</v>
      </c>
      <c r="X1803">
        <v>5</v>
      </c>
      <c r="Y1803">
        <v>2</v>
      </c>
      <c r="Z1803">
        <v>2</v>
      </c>
      <c r="AA1803">
        <v>0</v>
      </c>
      <c r="AB1803" t="s">
        <v>33</v>
      </c>
      <c r="AC1803">
        <v>52.5</v>
      </c>
      <c r="AD1803">
        <v>6.84</v>
      </c>
    </row>
    <row r="1804" spans="1:30" x14ac:dyDescent="0.25">
      <c r="A1804" s="1">
        <v>44784.598078703704</v>
      </c>
      <c r="B1804" s="1">
        <v>43755.283437500002</v>
      </c>
      <c r="C1804">
        <v>12188</v>
      </c>
      <c r="D1804" t="s">
        <v>55</v>
      </c>
      <c r="E1804" t="s">
        <v>35</v>
      </c>
      <c r="F1804">
        <v>4.1100000000000003</v>
      </c>
      <c r="G1804">
        <v>42.927050000000001</v>
      </c>
      <c r="H1804">
        <v>-72.279610000000005</v>
      </c>
      <c r="I1804">
        <v>475</v>
      </c>
      <c r="J1804">
        <v>95</v>
      </c>
      <c r="K1804">
        <v>0</v>
      </c>
      <c r="L1804" s="1">
        <v>44784.597951388889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 t="s">
        <v>32</v>
      </c>
      <c r="V1804">
        <v>77</v>
      </c>
      <c r="W1804">
        <v>0</v>
      </c>
      <c r="X1804">
        <v>77</v>
      </c>
      <c r="Y1804">
        <v>0</v>
      </c>
      <c r="Z1804">
        <v>0</v>
      </c>
      <c r="AA1804">
        <v>0</v>
      </c>
      <c r="AB1804" t="s">
        <v>36</v>
      </c>
      <c r="AC1804">
        <v>77</v>
      </c>
    </row>
    <row r="1805" spans="1:30" x14ac:dyDescent="0.25">
      <c r="A1805" s="1">
        <v>44784.598078703704</v>
      </c>
      <c r="B1805" s="1">
        <v>44784.597662037035</v>
      </c>
      <c r="C1805">
        <v>1224</v>
      </c>
      <c r="D1805" t="s">
        <v>56</v>
      </c>
      <c r="E1805" t="s">
        <v>35</v>
      </c>
      <c r="F1805" t="s">
        <v>57</v>
      </c>
      <c r="G1805">
        <v>42.938034000000002</v>
      </c>
      <c r="H1805">
        <v>-72.259299999999996</v>
      </c>
      <c r="I1805">
        <v>792</v>
      </c>
      <c r="J1805">
        <v>94</v>
      </c>
      <c r="K1805">
        <v>0</v>
      </c>
      <c r="L1805" s="1">
        <v>44784.597951388889</v>
      </c>
      <c r="M1805">
        <v>4.5999999999999996</v>
      </c>
      <c r="N1805">
        <v>0</v>
      </c>
      <c r="O1805">
        <v>4.5999999999999996</v>
      </c>
      <c r="P1805">
        <v>200</v>
      </c>
      <c r="Q1805">
        <v>0.2</v>
      </c>
      <c r="R1805">
        <v>0.1</v>
      </c>
      <c r="S1805">
        <v>0.15</v>
      </c>
      <c r="T1805" t="s">
        <v>43</v>
      </c>
      <c r="V1805">
        <v>34</v>
      </c>
      <c r="W1805">
        <v>0</v>
      </c>
      <c r="X1805">
        <v>34</v>
      </c>
      <c r="Y1805">
        <v>1</v>
      </c>
      <c r="Z1805">
        <v>0</v>
      </c>
      <c r="AA1805">
        <v>1</v>
      </c>
      <c r="AB1805" t="s">
        <v>36</v>
      </c>
      <c r="AC1805">
        <v>34</v>
      </c>
    </row>
    <row r="1806" spans="1:30" x14ac:dyDescent="0.25">
      <c r="A1806" s="1">
        <v>44784.598078703704</v>
      </c>
      <c r="B1806" s="1">
        <v>44784.59710648148</v>
      </c>
      <c r="C1806">
        <v>1202</v>
      </c>
      <c r="D1806" t="s">
        <v>58</v>
      </c>
      <c r="E1806" t="s">
        <v>35</v>
      </c>
      <c r="F1806" t="s">
        <v>57</v>
      </c>
      <c r="G1806">
        <v>42.936554000000001</v>
      </c>
      <c r="H1806">
        <v>-72.271019999999993</v>
      </c>
      <c r="I1806">
        <v>488</v>
      </c>
      <c r="J1806">
        <v>0</v>
      </c>
      <c r="K1806">
        <v>0</v>
      </c>
      <c r="L1806" s="1">
        <v>44784.597951388889</v>
      </c>
      <c r="M1806">
        <v>4.9000000000000004</v>
      </c>
      <c r="N1806">
        <v>4.3</v>
      </c>
      <c r="O1806">
        <v>0.6</v>
      </c>
      <c r="P1806">
        <v>13</v>
      </c>
      <c r="Q1806">
        <v>0.2</v>
      </c>
      <c r="R1806">
        <v>0.1</v>
      </c>
      <c r="S1806">
        <v>0.15</v>
      </c>
      <c r="T1806" t="s">
        <v>33</v>
      </c>
      <c r="U1806">
        <v>4.5999999999999996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 t="s">
        <v>38</v>
      </c>
    </row>
    <row r="1807" spans="1:30" x14ac:dyDescent="0.25">
      <c r="A1807" s="1">
        <v>44784.598090277781</v>
      </c>
      <c r="B1807" s="1">
        <v>44612.080023148148</v>
      </c>
      <c r="C1807">
        <v>25985</v>
      </c>
      <c r="D1807" t="s">
        <v>59</v>
      </c>
      <c r="E1807" t="s">
        <v>35</v>
      </c>
      <c r="F1807">
        <v>6.01</v>
      </c>
      <c r="G1807">
        <v>42.927326000000001</v>
      </c>
      <c r="H1807">
        <v>-72.279979999999995</v>
      </c>
      <c r="I1807">
        <v>477</v>
      </c>
      <c r="J1807">
        <v>78</v>
      </c>
      <c r="K1807">
        <v>0</v>
      </c>
      <c r="L1807" s="1">
        <v>44784.597951388889</v>
      </c>
      <c r="M1807">
        <v>1.1000000000000001</v>
      </c>
      <c r="N1807">
        <v>1</v>
      </c>
      <c r="O1807">
        <v>0.1</v>
      </c>
      <c r="P1807">
        <v>10</v>
      </c>
      <c r="Q1807">
        <v>0</v>
      </c>
      <c r="R1807">
        <v>0</v>
      </c>
      <c r="S1807">
        <v>0</v>
      </c>
      <c r="T1807" t="s">
        <v>32</v>
      </c>
      <c r="V1807">
        <v>22</v>
      </c>
      <c r="W1807">
        <v>0</v>
      </c>
      <c r="X1807">
        <v>22</v>
      </c>
      <c r="Y1807">
        <v>0</v>
      </c>
      <c r="Z1807">
        <v>0</v>
      </c>
      <c r="AA1807">
        <v>0</v>
      </c>
      <c r="AB1807" t="s">
        <v>36</v>
      </c>
      <c r="AC1807">
        <v>22</v>
      </c>
    </row>
    <row r="1808" spans="1:30" x14ac:dyDescent="0.25">
      <c r="A1808" s="1">
        <v>44784.60491898148</v>
      </c>
      <c r="B1808" s="1">
        <v>44775.701319444444</v>
      </c>
      <c r="C1808">
        <v>151708</v>
      </c>
      <c r="D1808" t="s">
        <v>30</v>
      </c>
      <c r="E1808" t="s">
        <v>31</v>
      </c>
      <c r="F1808">
        <v>7</v>
      </c>
      <c r="G1808">
        <v>43.192042999999998</v>
      </c>
      <c r="H1808">
        <v>-71.541579999999996</v>
      </c>
      <c r="I1808">
        <v>291</v>
      </c>
      <c r="J1808">
        <v>93</v>
      </c>
      <c r="K1808">
        <v>94</v>
      </c>
      <c r="L1808" s="1">
        <v>44784.604895833334</v>
      </c>
      <c r="M1808">
        <v>7.9</v>
      </c>
      <c r="N1808">
        <v>7.6</v>
      </c>
      <c r="O1808">
        <v>0.3</v>
      </c>
      <c r="P1808">
        <v>4</v>
      </c>
      <c r="Q1808">
        <v>0</v>
      </c>
      <c r="R1808">
        <v>0</v>
      </c>
      <c r="S1808">
        <v>0</v>
      </c>
      <c r="T1808" t="s">
        <v>32</v>
      </c>
      <c r="V1808">
        <v>42</v>
      </c>
      <c r="W1808">
        <v>41</v>
      </c>
      <c r="X1808">
        <v>1</v>
      </c>
      <c r="Y1808">
        <v>0</v>
      </c>
      <c r="Z1808">
        <v>0</v>
      </c>
      <c r="AA1808">
        <v>0</v>
      </c>
      <c r="AB1808" t="s">
        <v>33</v>
      </c>
      <c r="AC1808">
        <v>41.5</v>
      </c>
    </row>
    <row r="1809" spans="1:30" x14ac:dyDescent="0.25">
      <c r="A1809" s="1">
        <v>44784.60491898148</v>
      </c>
      <c r="B1809" s="1">
        <v>44784.603263888886</v>
      </c>
      <c r="C1809">
        <v>143456</v>
      </c>
      <c r="D1809" t="s">
        <v>34</v>
      </c>
      <c r="E1809" t="s">
        <v>35</v>
      </c>
      <c r="F1809">
        <v>7</v>
      </c>
      <c r="G1809">
        <v>43.08963</v>
      </c>
      <c r="H1809">
        <v>-71.502440000000007</v>
      </c>
      <c r="I1809">
        <v>619</v>
      </c>
      <c r="J1809">
        <v>84</v>
      </c>
      <c r="K1809">
        <v>0</v>
      </c>
      <c r="L1809" s="1">
        <v>44784.604895833334</v>
      </c>
      <c r="M1809">
        <v>3.6</v>
      </c>
      <c r="N1809">
        <v>3.9</v>
      </c>
      <c r="O1809">
        <v>0.3</v>
      </c>
      <c r="P1809">
        <v>8</v>
      </c>
      <c r="Q1809">
        <v>0.3</v>
      </c>
      <c r="R1809">
        <v>0.3</v>
      </c>
      <c r="S1809">
        <v>0.3</v>
      </c>
      <c r="T1809" t="s">
        <v>33</v>
      </c>
      <c r="U1809">
        <v>3.75</v>
      </c>
      <c r="V1809">
        <v>49</v>
      </c>
      <c r="W1809">
        <v>0</v>
      </c>
      <c r="X1809">
        <v>49</v>
      </c>
      <c r="Y1809">
        <v>0</v>
      </c>
      <c r="Z1809">
        <v>0</v>
      </c>
      <c r="AA1809">
        <v>0</v>
      </c>
      <c r="AB1809" t="s">
        <v>36</v>
      </c>
      <c r="AC1809">
        <v>49</v>
      </c>
      <c r="AD1809">
        <v>1.02</v>
      </c>
    </row>
    <row r="1810" spans="1:30" x14ac:dyDescent="0.25">
      <c r="A1810" s="1">
        <v>44784.60491898148</v>
      </c>
      <c r="B1810" s="1">
        <v>44784.603414351855</v>
      </c>
      <c r="C1810">
        <v>151702</v>
      </c>
      <c r="D1810" t="s">
        <v>37</v>
      </c>
      <c r="E1810" t="s">
        <v>31</v>
      </c>
      <c r="F1810">
        <v>7</v>
      </c>
      <c r="G1810">
        <v>43.118609999999997</v>
      </c>
      <c r="H1810">
        <v>-71.61618</v>
      </c>
      <c r="I1810">
        <v>885</v>
      </c>
      <c r="J1810">
        <v>0</v>
      </c>
      <c r="K1810">
        <v>0</v>
      </c>
      <c r="L1810" s="1">
        <v>44784.604895833334</v>
      </c>
      <c r="M1810">
        <v>2.1</v>
      </c>
      <c r="N1810">
        <v>2.2000000000000002</v>
      </c>
      <c r="O1810">
        <v>0.1</v>
      </c>
      <c r="P1810">
        <v>5</v>
      </c>
      <c r="Q1810">
        <v>0</v>
      </c>
      <c r="R1810">
        <v>0.1</v>
      </c>
      <c r="S1810">
        <v>0.05</v>
      </c>
      <c r="T1810" t="s">
        <v>33</v>
      </c>
      <c r="U1810">
        <v>2.15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 t="s">
        <v>38</v>
      </c>
    </row>
    <row r="1811" spans="1:30" x14ac:dyDescent="0.25">
      <c r="A1811" s="1">
        <v>44784.604930555557</v>
      </c>
      <c r="B1811" s="1">
        <v>44784.604710648149</v>
      </c>
      <c r="C1811">
        <v>151700</v>
      </c>
      <c r="D1811" t="s">
        <v>30</v>
      </c>
      <c r="E1811" t="s">
        <v>31</v>
      </c>
      <c r="F1811">
        <v>7</v>
      </c>
      <c r="G1811">
        <v>43.19211</v>
      </c>
      <c r="H1811">
        <v>-71.541460000000001</v>
      </c>
      <c r="I1811">
        <v>286</v>
      </c>
      <c r="J1811">
        <v>85</v>
      </c>
      <c r="K1811">
        <v>0</v>
      </c>
      <c r="L1811" s="1">
        <v>44784.604895833334</v>
      </c>
      <c r="M1811">
        <v>2.1</v>
      </c>
      <c r="N1811">
        <v>2.2999999999999998</v>
      </c>
      <c r="O1811">
        <v>0.2</v>
      </c>
      <c r="P1811">
        <v>9</v>
      </c>
      <c r="Q1811">
        <v>0</v>
      </c>
      <c r="R1811">
        <v>0.1</v>
      </c>
      <c r="S1811">
        <v>0.05</v>
      </c>
      <c r="T1811" t="s">
        <v>33</v>
      </c>
      <c r="U1811">
        <v>2.2000000000000002</v>
      </c>
      <c r="V1811">
        <v>41</v>
      </c>
      <c r="W1811">
        <v>0</v>
      </c>
      <c r="X1811">
        <v>41</v>
      </c>
      <c r="Y1811">
        <v>0</v>
      </c>
      <c r="Z1811">
        <v>0</v>
      </c>
      <c r="AA1811">
        <v>0</v>
      </c>
      <c r="AB1811" t="s">
        <v>36</v>
      </c>
      <c r="AC1811">
        <v>41</v>
      </c>
      <c r="AD1811">
        <v>0.63</v>
      </c>
    </row>
    <row r="1812" spans="1:30" x14ac:dyDescent="0.25">
      <c r="A1812" s="1">
        <v>44784.604930555557</v>
      </c>
      <c r="B1812" s="1">
        <v>44784.603750000002</v>
      </c>
      <c r="C1812">
        <v>135984</v>
      </c>
      <c r="D1812" t="s">
        <v>39</v>
      </c>
      <c r="E1812" t="s">
        <v>31</v>
      </c>
      <c r="F1812">
        <v>7</v>
      </c>
      <c r="G1812">
        <v>43.565852999999997</v>
      </c>
      <c r="H1812">
        <v>-71.496129999999994</v>
      </c>
      <c r="I1812">
        <v>708</v>
      </c>
      <c r="J1812">
        <v>88</v>
      </c>
      <c r="K1812">
        <v>0</v>
      </c>
      <c r="L1812" s="1">
        <v>44784.604895833334</v>
      </c>
      <c r="M1812">
        <v>2.7</v>
      </c>
      <c r="N1812">
        <v>2.2999999999999998</v>
      </c>
      <c r="O1812">
        <v>0.4</v>
      </c>
      <c r="P1812">
        <v>16</v>
      </c>
      <c r="Q1812">
        <v>0.1</v>
      </c>
      <c r="R1812">
        <v>0.1</v>
      </c>
      <c r="S1812">
        <v>0.1</v>
      </c>
      <c r="T1812" t="s">
        <v>33</v>
      </c>
      <c r="U1812">
        <v>2.5</v>
      </c>
      <c r="V1812">
        <v>49</v>
      </c>
      <c r="W1812">
        <v>0</v>
      </c>
      <c r="X1812">
        <v>49</v>
      </c>
      <c r="Y1812">
        <v>1</v>
      </c>
      <c r="Z1812">
        <v>0</v>
      </c>
      <c r="AA1812">
        <v>1</v>
      </c>
      <c r="AB1812" t="s">
        <v>36</v>
      </c>
      <c r="AC1812">
        <v>49</v>
      </c>
      <c r="AD1812">
        <v>0.25</v>
      </c>
    </row>
    <row r="1813" spans="1:30" x14ac:dyDescent="0.25">
      <c r="A1813" s="1">
        <v>44784.604942129627</v>
      </c>
      <c r="B1813" s="1">
        <v>44780.394780092596</v>
      </c>
      <c r="C1813">
        <v>151712</v>
      </c>
      <c r="D1813" t="s">
        <v>40</v>
      </c>
      <c r="E1813" t="s">
        <v>31</v>
      </c>
      <c r="F1813">
        <v>7</v>
      </c>
      <c r="G1813">
        <v>43.289763999999998</v>
      </c>
      <c r="H1813">
        <v>-71.564260000000004</v>
      </c>
      <c r="I1813">
        <v>370</v>
      </c>
      <c r="J1813">
        <v>86</v>
      </c>
      <c r="K1813">
        <v>0</v>
      </c>
      <c r="L1813" s="1">
        <v>44784.604895833334</v>
      </c>
      <c r="M1813">
        <v>14</v>
      </c>
      <c r="N1813">
        <v>13.2</v>
      </c>
      <c r="O1813">
        <v>0.8</v>
      </c>
      <c r="P1813">
        <v>6</v>
      </c>
      <c r="Q1813">
        <v>0</v>
      </c>
      <c r="R1813">
        <v>0</v>
      </c>
      <c r="S1813">
        <v>0</v>
      </c>
      <c r="T1813" t="s">
        <v>32</v>
      </c>
      <c r="V1813">
        <v>59</v>
      </c>
      <c r="W1813">
        <v>0</v>
      </c>
      <c r="X1813">
        <v>59</v>
      </c>
      <c r="Y1813">
        <v>0</v>
      </c>
      <c r="Z1813">
        <v>0</v>
      </c>
      <c r="AA1813">
        <v>0</v>
      </c>
      <c r="AB1813" t="s">
        <v>36</v>
      </c>
      <c r="AC1813">
        <v>59</v>
      </c>
    </row>
    <row r="1814" spans="1:30" x14ac:dyDescent="0.25">
      <c r="A1814" s="1">
        <v>44784.604942129627</v>
      </c>
      <c r="B1814" s="1">
        <v>44784.604444444441</v>
      </c>
      <c r="C1814">
        <v>151710</v>
      </c>
      <c r="D1814" t="s">
        <v>41</v>
      </c>
      <c r="E1814" t="s">
        <v>31</v>
      </c>
      <c r="F1814">
        <v>7</v>
      </c>
      <c r="G1814">
        <v>43.132477000000002</v>
      </c>
      <c r="H1814">
        <v>-71.458374000000006</v>
      </c>
      <c r="I1814">
        <v>230</v>
      </c>
      <c r="J1814">
        <v>90</v>
      </c>
      <c r="K1814">
        <v>0</v>
      </c>
      <c r="L1814" s="1">
        <v>44784.604895833334</v>
      </c>
      <c r="M1814">
        <v>5.8</v>
      </c>
      <c r="N1814">
        <v>4</v>
      </c>
      <c r="O1814">
        <v>1.8</v>
      </c>
      <c r="P1814">
        <v>37</v>
      </c>
      <c r="Q1814">
        <v>0.3</v>
      </c>
      <c r="R1814">
        <v>0.3</v>
      </c>
      <c r="S1814">
        <v>0.3</v>
      </c>
      <c r="T1814" t="s">
        <v>33</v>
      </c>
      <c r="U1814">
        <v>4.9000000000000004</v>
      </c>
      <c r="V1814">
        <v>34</v>
      </c>
      <c r="W1814">
        <v>0</v>
      </c>
      <c r="X1814">
        <v>34</v>
      </c>
      <c r="Y1814">
        <v>0</v>
      </c>
      <c r="Z1814">
        <v>0</v>
      </c>
      <c r="AA1814">
        <v>0</v>
      </c>
      <c r="AB1814" t="s">
        <v>36</v>
      </c>
      <c r="AC1814">
        <v>34</v>
      </c>
      <c r="AD1814">
        <v>2.77</v>
      </c>
    </row>
    <row r="1815" spans="1:30" x14ac:dyDescent="0.25">
      <c r="A1815" s="1">
        <v>44784.604942129627</v>
      </c>
      <c r="B1815" s="1">
        <v>44784.604108796295</v>
      </c>
      <c r="C1815">
        <v>151706</v>
      </c>
      <c r="D1815" t="s">
        <v>42</v>
      </c>
      <c r="E1815" t="s">
        <v>31</v>
      </c>
      <c r="F1815">
        <v>7</v>
      </c>
      <c r="G1815">
        <v>43.004080000000002</v>
      </c>
      <c r="H1815">
        <v>-71.177040000000005</v>
      </c>
      <c r="I1815">
        <v>194</v>
      </c>
      <c r="J1815">
        <v>87</v>
      </c>
      <c r="K1815">
        <v>0</v>
      </c>
      <c r="L1815" s="1">
        <v>44784.604895833334</v>
      </c>
      <c r="M1815">
        <v>6.2</v>
      </c>
      <c r="N1815">
        <v>0</v>
      </c>
      <c r="O1815">
        <v>6.2</v>
      </c>
      <c r="P1815">
        <v>200</v>
      </c>
      <c r="Q1815">
        <v>0.6</v>
      </c>
      <c r="R1815">
        <v>0</v>
      </c>
      <c r="S1815">
        <v>0.3</v>
      </c>
      <c r="T1815" t="s">
        <v>43</v>
      </c>
      <c r="V1815">
        <v>42</v>
      </c>
      <c r="W1815">
        <v>0</v>
      </c>
      <c r="X1815">
        <v>42</v>
      </c>
      <c r="Y1815">
        <v>1</v>
      </c>
      <c r="Z1815">
        <v>0</v>
      </c>
      <c r="AA1815">
        <v>1</v>
      </c>
      <c r="AB1815" t="s">
        <v>36</v>
      </c>
      <c r="AC1815">
        <v>42</v>
      </c>
    </row>
    <row r="1816" spans="1:30" x14ac:dyDescent="0.25">
      <c r="A1816" s="1">
        <v>44784.604953703703</v>
      </c>
      <c r="B1816" s="1">
        <v>44784.603877314818</v>
      </c>
      <c r="C1816">
        <v>12212</v>
      </c>
      <c r="D1816" t="s">
        <v>44</v>
      </c>
      <c r="E1816" t="s">
        <v>35</v>
      </c>
      <c r="F1816">
        <v>7</v>
      </c>
      <c r="G1816">
        <v>42.930529999999997</v>
      </c>
      <c r="H1816">
        <v>-72.272350000000003</v>
      </c>
      <c r="I1816">
        <v>476</v>
      </c>
      <c r="J1816">
        <v>92</v>
      </c>
      <c r="K1816">
        <v>0</v>
      </c>
      <c r="L1816" s="1">
        <v>44784.604895833334</v>
      </c>
      <c r="M1816">
        <v>4.5999999999999996</v>
      </c>
      <c r="N1816">
        <v>4</v>
      </c>
      <c r="O1816">
        <v>0.6</v>
      </c>
      <c r="P1816">
        <v>14</v>
      </c>
      <c r="Q1816">
        <v>0.1</v>
      </c>
      <c r="R1816">
        <v>0</v>
      </c>
      <c r="S1816">
        <v>0.05</v>
      </c>
      <c r="T1816" t="s">
        <v>33</v>
      </c>
      <c r="U1816">
        <v>4.3</v>
      </c>
      <c r="V1816">
        <v>31</v>
      </c>
      <c r="W1816">
        <v>0</v>
      </c>
      <c r="X1816">
        <v>31</v>
      </c>
      <c r="Y1816">
        <v>0</v>
      </c>
      <c r="Z1816">
        <v>0</v>
      </c>
      <c r="AA1816">
        <v>0</v>
      </c>
      <c r="AB1816" t="s">
        <v>36</v>
      </c>
      <c r="AC1816">
        <v>31</v>
      </c>
      <c r="AD1816">
        <v>2.61</v>
      </c>
    </row>
    <row r="1817" spans="1:30" x14ac:dyDescent="0.25">
      <c r="A1817" s="1">
        <v>44784.604953703703</v>
      </c>
      <c r="B1817" s="1">
        <v>44769.376736111109</v>
      </c>
      <c r="C1817">
        <v>12178</v>
      </c>
      <c r="D1817" t="s">
        <v>45</v>
      </c>
      <c r="E1817" t="s">
        <v>35</v>
      </c>
      <c r="F1817">
        <v>7</v>
      </c>
      <c r="G1817">
        <v>42.899563000000001</v>
      </c>
      <c r="H1817">
        <v>-71.464650000000006</v>
      </c>
      <c r="I1817">
        <v>301</v>
      </c>
      <c r="J1817">
        <v>85</v>
      </c>
      <c r="K1817">
        <v>0</v>
      </c>
      <c r="L1817" s="1">
        <v>44784.604895833334</v>
      </c>
      <c r="M1817">
        <v>3.8</v>
      </c>
      <c r="N1817">
        <v>3.1</v>
      </c>
      <c r="O1817">
        <v>0.7</v>
      </c>
      <c r="P1817">
        <v>20</v>
      </c>
      <c r="Q1817">
        <v>0</v>
      </c>
      <c r="R1817">
        <v>0</v>
      </c>
      <c r="S1817">
        <v>0</v>
      </c>
      <c r="T1817" t="s">
        <v>32</v>
      </c>
      <c r="V1817">
        <v>35</v>
      </c>
      <c r="W1817">
        <v>0</v>
      </c>
      <c r="X1817">
        <v>35</v>
      </c>
      <c r="Y1817">
        <v>0</v>
      </c>
      <c r="Z1817">
        <v>0</v>
      </c>
      <c r="AA1817">
        <v>0</v>
      </c>
      <c r="AB1817" t="s">
        <v>36</v>
      </c>
      <c r="AC1817">
        <v>35</v>
      </c>
    </row>
    <row r="1818" spans="1:30" x14ac:dyDescent="0.25">
      <c r="A1818" s="1">
        <v>44784.604953703703</v>
      </c>
      <c r="B1818" s="1">
        <v>44784.604548611111</v>
      </c>
      <c r="C1818">
        <v>75981</v>
      </c>
      <c r="D1818" t="s">
        <v>46</v>
      </c>
      <c r="E1818" t="s">
        <v>35</v>
      </c>
      <c r="F1818">
        <v>7</v>
      </c>
      <c r="G1818">
        <v>42.97</v>
      </c>
      <c r="H1818">
        <v>-71.06</v>
      </c>
      <c r="I1818">
        <v>136</v>
      </c>
      <c r="J1818">
        <v>88</v>
      </c>
      <c r="K1818">
        <v>0</v>
      </c>
      <c r="L1818" s="1">
        <v>44784.604895833334</v>
      </c>
      <c r="M1818">
        <v>10.1</v>
      </c>
      <c r="N1818">
        <v>9.1999999999999993</v>
      </c>
      <c r="O1818">
        <v>0.9</v>
      </c>
      <c r="P1818">
        <v>9</v>
      </c>
      <c r="Q1818">
        <v>0.1</v>
      </c>
      <c r="R1818">
        <v>0.1</v>
      </c>
      <c r="S1818">
        <v>0.1</v>
      </c>
      <c r="T1818" t="s">
        <v>33</v>
      </c>
      <c r="U1818">
        <v>9.65</v>
      </c>
      <c r="V1818">
        <v>44</v>
      </c>
      <c r="W1818">
        <v>0</v>
      </c>
      <c r="X1818">
        <v>44</v>
      </c>
      <c r="Y1818">
        <v>0</v>
      </c>
      <c r="Z1818">
        <v>0</v>
      </c>
      <c r="AA1818">
        <v>0</v>
      </c>
      <c r="AB1818" t="s">
        <v>36</v>
      </c>
      <c r="AC1818">
        <v>44</v>
      </c>
      <c r="AD1818">
        <v>4.97</v>
      </c>
    </row>
    <row r="1819" spans="1:30" x14ac:dyDescent="0.25">
      <c r="A1819" s="1">
        <v>44784.60496527778</v>
      </c>
      <c r="B1819" s="1">
        <v>44784.603703703702</v>
      </c>
      <c r="C1819">
        <v>115703</v>
      </c>
      <c r="D1819" t="s">
        <v>47</v>
      </c>
      <c r="E1819" t="s">
        <v>35</v>
      </c>
      <c r="F1819">
        <v>7</v>
      </c>
      <c r="G1819">
        <v>43.953625000000002</v>
      </c>
      <c r="H1819">
        <v>-71.508859999999999</v>
      </c>
      <c r="I1819">
        <v>1493</v>
      </c>
      <c r="J1819">
        <v>88</v>
      </c>
      <c r="K1819">
        <v>0</v>
      </c>
      <c r="L1819" s="1">
        <v>44784.604895833334</v>
      </c>
      <c r="M1819">
        <v>0.1</v>
      </c>
      <c r="N1819">
        <v>184.7</v>
      </c>
      <c r="O1819">
        <v>184.6</v>
      </c>
      <c r="P1819">
        <v>200</v>
      </c>
      <c r="Q1819">
        <v>0.1</v>
      </c>
      <c r="R1819">
        <v>117.4</v>
      </c>
      <c r="S1819">
        <v>58.75</v>
      </c>
      <c r="T1819" t="s">
        <v>60</v>
      </c>
      <c r="V1819">
        <v>33</v>
      </c>
      <c r="W1819">
        <v>0</v>
      </c>
      <c r="X1819">
        <v>33</v>
      </c>
      <c r="Y1819">
        <v>1</v>
      </c>
      <c r="Z1819">
        <v>0</v>
      </c>
      <c r="AA1819">
        <v>1</v>
      </c>
      <c r="AB1819" t="s">
        <v>36</v>
      </c>
      <c r="AC1819">
        <v>33</v>
      </c>
    </row>
    <row r="1820" spans="1:30" x14ac:dyDescent="0.25">
      <c r="A1820" s="1">
        <v>44784.60496527778</v>
      </c>
      <c r="B1820" s="1">
        <v>44784.604502314818</v>
      </c>
      <c r="C1820">
        <v>12050</v>
      </c>
      <c r="D1820" t="s">
        <v>49</v>
      </c>
      <c r="E1820" t="s">
        <v>35</v>
      </c>
      <c r="F1820">
        <v>7</v>
      </c>
      <c r="G1820">
        <v>44.220573000000002</v>
      </c>
      <c r="H1820">
        <v>-71.732315</v>
      </c>
      <c r="I1820">
        <v>999</v>
      </c>
      <c r="J1820">
        <v>94</v>
      </c>
      <c r="K1820">
        <v>0</v>
      </c>
      <c r="L1820" s="1">
        <v>44784.604895833334</v>
      </c>
      <c r="M1820">
        <v>2.9</v>
      </c>
      <c r="N1820">
        <v>2.5</v>
      </c>
      <c r="O1820">
        <v>0.4</v>
      </c>
      <c r="P1820">
        <v>15</v>
      </c>
      <c r="Q1820">
        <v>0.2</v>
      </c>
      <c r="R1820">
        <v>0</v>
      </c>
      <c r="S1820">
        <v>0.1</v>
      </c>
      <c r="T1820" t="s">
        <v>33</v>
      </c>
      <c r="U1820">
        <v>2.7</v>
      </c>
      <c r="V1820">
        <v>27</v>
      </c>
      <c r="W1820">
        <v>0</v>
      </c>
      <c r="X1820">
        <v>27</v>
      </c>
      <c r="Y1820">
        <v>2</v>
      </c>
      <c r="Z1820">
        <v>0</v>
      </c>
      <c r="AA1820">
        <v>2</v>
      </c>
      <c r="AB1820" t="s">
        <v>36</v>
      </c>
      <c r="AC1820">
        <v>27</v>
      </c>
      <c r="AD1820">
        <v>1.92</v>
      </c>
    </row>
    <row r="1821" spans="1:30" x14ac:dyDescent="0.25">
      <c r="A1821" s="1">
        <v>44784.60497685185</v>
      </c>
      <c r="B1821" s="1">
        <v>44784.604618055557</v>
      </c>
      <c r="C1821">
        <v>23443</v>
      </c>
      <c r="D1821" t="s">
        <v>50</v>
      </c>
      <c r="E1821" t="s">
        <v>35</v>
      </c>
      <c r="F1821">
        <v>7</v>
      </c>
      <c r="G1821">
        <v>43.556139999999999</v>
      </c>
      <c r="H1821">
        <v>-72.370990000000006</v>
      </c>
      <c r="I1821">
        <v>523</v>
      </c>
      <c r="J1821">
        <v>103</v>
      </c>
      <c r="K1821">
        <v>0</v>
      </c>
      <c r="L1821" s="1">
        <v>44784.604895833334</v>
      </c>
      <c r="M1821">
        <v>3</v>
      </c>
      <c r="N1821">
        <v>2.6</v>
      </c>
      <c r="O1821">
        <v>0.4</v>
      </c>
      <c r="P1821">
        <v>14</v>
      </c>
      <c r="Q1821">
        <v>0.1</v>
      </c>
      <c r="R1821">
        <v>0</v>
      </c>
      <c r="S1821">
        <v>0.05</v>
      </c>
      <c r="T1821" t="s">
        <v>33</v>
      </c>
      <c r="U1821">
        <v>2.8</v>
      </c>
      <c r="V1821">
        <v>23</v>
      </c>
      <c r="W1821">
        <v>0</v>
      </c>
      <c r="X1821">
        <v>23</v>
      </c>
      <c r="Y1821">
        <v>0</v>
      </c>
      <c r="Z1821">
        <v>0</v>
      </c>
      <c r="AA1821">
        <v>0</v>
      </c>
      <c r="AB1821" t="s">
        <v>36</v>
      </c>
      <c r="AC1821">
        <v>23</v>
      </c>
      <c r="AD1821">
        <v>2.2599999999999998</v>
      </c>
    </row>
    <row r="1822" spans="1:30" x14ac:dyDescent="0.25">
      <c r="A1822" s="1">
        <v>44784.60497685185</v>
      </c>
      <c r="B1822" s="1">
        <v>44784.604733796295</v>
      </c>
      <c r="C1822">
        <v>58135</v>
      </c>
      <c r="D1822" t="s">
        <v>51</v>
      </c>
      <c r="E1822" t="s">
        <v>35</v>
      </c>
      <c r="F1822">
        <v>7</v>
      </c>
      <c r="G1822">
        <v>42.883873000000001</v>
      </c>
      <c r="H1822">
        <v>-71.972915999999998</v>
      </c>
      <c r="I1822">
        <v>808</v>
      </c>
      <c r="J1822">
        <v>87</v>
      </c>
      <c r="K1822">
        <v>0</v>
      </c>
      <c r="L1822" s="1">
        <v>44784.604895833334</v>
      </c>
      <c r="M1822">
        <v>4.3</v>
      </c>
      <c r="N1822">
        <v>2.7</v>
      </c>
      <c r="O1822">
        <v>1.6</v>
      </c>
      <c r="P1822">
        <v>46</v>
      </c>
      <c r="Q1822">
        <v>0.1</v>
      </c>
      <c r="R1822">
        <v>0.1</v>
      </c>
      <c r="S1822">
        <v>0.1</v>
      </c>
      <c r="T1822" t="s">
        <v>33</v>
      </c>
      <c r="U1822">
        <v>3.5</v>
      </c>
      <c r="V1822">
        <v>35</v>
      </c>
      <c r="W1822">
        <v>0</v>
      </c>
      <c r="X1822">
        <v>35</v>
      </c>
      <c r="Y1822">
        <v>1</v>
      </c>
      <c r="Z1822">
        <v>0</v>
      </c>
      <c r="AA1822">
        <v>1</v>
      </c>
      <c r="AB1822" t="s">
        <v>36</v>
      </c>
      <c r="AC1822">
        <v>35</v>
      </c>
      <c r="AD1822">
        <v>1.84</v>
      </c>
    </row>
    <row r="1823" spans="1:30" x14ac:dyDescent="0.25">
      <c r="A1823" s="1">
        <v>44784.60497685185</v>
      </c>
      <c r="B1823" s="1">
        <v>44784.604733796295</v>
      </c>
      <c r="C1823">
        <v>148555</v>
      </c>
      <c r="D1823" t="s">
        <v>52</v>
      </c>
      <c r="E1823" t="s">
        <v>53</v>
      </c>
      <c r="F1823">
        <v>7</v>
      </c>
      <c r="G1823">
        <v>42.904949999999999</v>
      </c>
      <c r="H1823">
        <v>-71.386764999999997</v>
      </c>
      <c r="I1823">
        <v>363</v>
      </c>
      <c r="J1823">
        <v>0</v>
      </c>
      <c r="K1823">
        <v>0</v>
      </c>
      <c r="L1823" s="1">
        <v>44784.604895833334</v>
      </c>
      <c r="M1823">
        <v>2</v>
      </c>
      <c r="N1823">
        <v>1.8</v>
      </c>
      <c r="O1823">
        <v>0.2</v>
      </c>
      <c r="P1823">
        <v>11</v>
      </c>
      <c r="Q1823">
        <v>0.1</v>
      </c>
      <c r="R1823">
        <v>0.2</v>
      </c>
      <c r="S1823">
        <v>0.15</v>
      </c>
      <c r="T1823" t="s">
        <v>33</v>
      </c>
      <c r="U1823">
        <v>1.9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 t="s">
        <v>38</v>
      </c>
    </row>
    <row r="1824" spans="1:30" x14ac:dyDescent="0.25">
      <c r="A1824" s="1">
        <v>44784.604988425926</v>
      </c>
      <c r="B1824" s="1">
        <v>44784.604224537034</v>
      </c>
      <c r="C1824">
        <v>146644</v>
      </c>
      <c r="D1824" t="s">
        <v>54</v>
      </c>
      <c r="E1824" t="s">
        <v>53</v>
      </c>
      <c r="F1824">
        <v>7</v>
      </c>
      <c r="G1824">
        <v>43.06015</v>
      </c>
      <c r="H1824">
        <v>-70.758930000000007</v>
      </c>
      <c r="I1824">
        <v>35</v>
      </c>
      <c r="J1824">
        <v>80</v>
      </c>
      <c r="K1824">
        <v>82</v>
      </c>
      <c r="L1824" s="1">
        <v>44784.604895833334</v>
      </c>
      <c r="M1824">
        <v>13.6</v>
      </c>
      <c r="N1824">
        <v>13.2</v>
      </c>
      <c r="O1824">
        <v>0.4</v>
      </c>
      <c r="P1824">
        <v>3</v>
      </c>
      <c r="Q1824">
        <v>0.4</v>
      </c>
      <c r="R1824">
        <v>0.2</v>
      </c>
      <c r="S1824">
        <v>0.3</v>
      </c>
      <c r="T1824" t="s">
        <v>33</v>
      </c>
      <c r="U1824">
        <v>13.4</v>
      </c>
      <c r="V1824">
        <v>53</v>
      </c>
      <c r="W1824">
        <v>58</v>
      </c>
      <c r="X1824">
        <v>5</v>
      </c>
      <c r="Y1824">
        <v>3</v>
      </c>
      <c r="Z1824">
        <v>3</v>
      </c>
      <c r="AA1824">
        <v>0</v>
      </c>
      <c r="AB1824" t="s">
        <v>33</v>
      </c>
      <c r="AC1824">
        <v>55.5</v>
      </c>
      <c r="AD1824">
        <v>6.45</v>
      </c>
    </row>
    <row r="1825" spans="1:30" x14ac:dyDescent="0.25">
      <c r="A1825" s="1">
        <v>44784.604988425926</v>
      </c>
      <c r="B1825" s="1">
        <v>43755.283437500002</v>
      </c>
      <c r="C1825">
        <v>12188</v>
      </c>
      <c r="D1825" t="s">
        <v>55</v>
      </c>
      <c r="E1825" t="s">
        <v>35</v>
      </c>
      <c r="F1825">
        <v>4.1100000000000003</v>
      </c>
      <c r="G1825">
        <v>42.927050000000001</v>
      </c>
      <c r="H1825">
        <v>-72.279610000000005</v>
      </c>
      <c r="I1825">
        <v>475</v>
      </c>
      <c r="J1825">
        <v>95</v>
      </c>
      <c r="K1825">
        <v>0</v>
      </c>
      <c r="L1825" s="1">
        <v>44784.604895833334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 t="s">
        <v>32</v>
      </c>
      <c r="V1825">
        <v>77</v>
      </c>
      <c r="W1825">
        <v>0</v>
      </c>
      <c r="X1825">
        <v>77</v>
      </c>
      <c r="Y1825">
        <v>0</v>
      </c>
      <c r="Z1825">
        <v>0</v>
      </c>
      <c r="AA1825">
        <v>0</v>
      </c>
      <c r="AB1825" t="s">
        <v>36</v>
      </c>
      <c r="AC1825">
        <v>77</v>
      </c>
    </row>
    <row r="1826" spans="1:30" x14ac:dyDescent="0.25">
      <c r="A1826" s="1">
        <v>44784.604988425926</v>
      </c>
      <c r="B1826" s="1">
        <v>44784.60460648148</v>
      </c>
      <c r="C1826">
        <v>1224</v>
      </c>
      <c r="D1826" t="s">
        <v>56</v>
      </c>
      <c r="E1826" t="s">
        <v>35</v>
      </c>
      <c r="F1826" t="s">
        <v>57</v>
      </c>
      <c r="G1826">
        <v>42.938034000000002</v>
      </c>
      <c r="H1826">
        <v>-72.259299999999996</v>
      </c>
      <c r="I1826">
        <v>792</v>
      </c>
      <c r="J1826">
        <v>94</v>
      </c>
      <c r="K1826">
        <v>0</v>
      </c>
      <c r="L1826" s="1">
        <v>44784.604895833334</v>
      </c>
      <c r="M1826">
        <v>4.5999999999999996</v>
      </c>
      <c r="N1826">
        <v>0</v>
      </c>
      <c r="O1826">
        <v>4.5999999999999996</v>
      </c>
      <c r="P1826">
        <v>200</v>
      </c>
      <c r="Q1826">
        <v>0</v>
      </c>
      <c r="R1826">
        <v>0</v>
      </c>
      <c r="S1826">
        <v>0</v>
      </c>
      <c r="T1826" t="s">
        <v>43</v>
      </c>
      <c r="V1826">
        <v>36</v>
      </c>
      <c r="W1826">
        <v>0</v>
      </c>
      <c r="X1826">
        <v>36</v>
      </c>
      <c r="Y1826">
        <v>2</v>
      </c>
      <c r="Z1826">
        <v>0</v>
      </c>
      <c r="AA1826">
        <v>2</v>
      </c>
      <c r="AB1826" t="s">
        <v>36</v>
      </c>
      <c r="AC1826">
        <v>36</v>
      </c>
    </row>
    <row r="1827" spans="1:30" x14ac:dyDescent="0.25">
      <c r="A1827" s="1">
        <v>44784.605000000003</v>
      </c>
      <c r="B1827" s="1">
        <v>44784.604050925926</v>
      </c>
      <c r="C1827">
        <v>1202</v>
      </c>
      <c r="D1827" t="s">
        <v>58</v>
      </c>
      <c r="E1827" t="s">
        <v>35</v>
      </c>
      <c r="F1827" t="s">
        <v>57</v>
      </c>
      <c r="G1827">
        <v>42.936554000000001</v>
      </c>
      <c r="H1827">
        <v>-72.271019999999993</v>
      </c>
      <c r="I1827">
        <v>488</v>
      </c>
      <c r="J1827">
        <v>0</v>
      </c>
      <c r="K1827">
        <v>0</v>
      </c>
      <c r="L1827" s="1">
        <v>44784.604895833334</v>
      </c>
      <c r="M1827">
        <v>5</v>
      </c>
      <c r="N1827">
        <v>4.5</v>
      </c>
      <c r="O1827">
        <v>0.5</v>
      </c>
      <c r="P1827">
        <v>11</v>
      </c>
      <c r="Q1827">
        <v>0.1</v>
      </c>
      <c r="R1827">
        <v>0.2</v>
      </c>
      <c r="S1827">
        <v>0.15</v>
      </c>
      <c r="T1827" t="s">
        <v>33</v>
      </c>
      <c r="U1827">
        <v>4.75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0</v>
      </c>
      <c r="AB1827" t="s">
        <v>38</v>
      </c>
    </row>
    <row r="1828" spans="1:30" x14ac:dyDescent="0.25">
      <c r="A1828" s="1">
        <v>44784.605000000003</v>
      </c>
      <c r="B1828" s="1">
        <v>44612.080023148148</v>
      </c>
      <c r="C1828">
        <v>25985</v>
      </c>
      <c r="D1828" t="s">
        <v>59</v>
      </c>
      <c r="E1828" t="s">
        <v>35</v>
      </c>
      <c r="F1828">
        <v>6.01</v>
      </c>
      <c r="G1828">
        <v>42.927326000000001</v>
      </c>
      <c r="H1828">
        <v>-72.279979999999995</v>
      </c>
      <c r="I1828">
        <v>477</v>
      </c>
      <c r="J1828">
        <v>78</v>
      </c>
      <c r="K1828">
        <v>0</v>
      </c>
      <c r="L1828" s="1">
        <v>44784.604895833334</v>
      </c>
      <c r="M1828">
        <v>1.1000000000000001</v>
      </c>
      <c r="N1828">
        <v>1</v>
      </c>
      <c r="O1828">
        <v>0.1</v>
      </c>
      <c r="P1828">
        <v>10</v>
      </c>
      <c r="Q1828">
        <v>0</v>
      </c>
      <c r="R1828">
        <v>0</v>
      </c>
      <c r="S1828">
        <v>0</v>
      </c>
      <c r="T1828" t="s">
        <v>32</v>
      </c>
      <c r="V1828">
        <v>22</v>
      </c>
      <c r="W1828">
        <v>0</v>
      </c>
      <c r="X1828">
        <v>22</v>
      </c>
      <c r="Y1828">
        <v>0</v>
      </c>
      <c r="Z1828">
        <v>0</v>
      </c>
      <c r="AA1828">
        <v>0</v>
      </c>
      <c r="AB1828" t="s">
        <v>36</v>
      </c>
      <c r="AC1828">
        <v>22</v>
      </c>
    </row>
    <row r="1829" spans="1:30" x14ac:dyDescent="0.25">
      <c r="A1829" s="1">
        <v>44784.611851851849</v>
      </c>
      <c r="B1829" s="1">
        <v>44775.701319444444</v>
      </c>
      <c r="C1829">
        <v>151708</v>
      </c>
      <c r="D1829" t="s">
        <v>30</v>
      </c>
      <c r="E1829" t="s">
        <v>31</v>
      </c>
      <c r="F1829">
        <v>7</v>
      </c>
      <c r="G1829">
        <v>43.192042999999998</v>
      </c>
      <c r="H1829">
        <v>-71.541579999999996</v>
      </c>
      <c r="I1829">
        <v>291</v>
      </c>
      <c r="J1829">
        <v>93</v>
      </c>
      <c r="K1829">
        <v>94</v>
      </c>
      <c r="L1829" s="1">
        <v>44784.611840277779</v>
      </c>
      <c r="M1829">
        <v>7.9</v>
      </c>
      <c r="N1829">
        <v>7.6</v>
      </c>
      <c r="O1829">
        <v>0.3</v>
      </c>
      <c r="P1829">
        <v>4</v>
      </c>
      <c r="Q1829">
        <v>0</v>
      </c>
      <c r="R1829">
        <v>0</v>
      </c>
      <c r="S1829">
        <v>0</v>
      </c>
      <c r="T1829" t="s">
        <v>32</v>
      </c>
      <c r="V1829">
        <v>42</v>
      </c>
      <c r="W1829">
        <v>41</v>
      </c>
      <c r="X1829">
        <v>1</v>
      </c>
      <c r="Y1829">
        <v>0</v>
      </c>
      <c r="Z1829">
        <v>0</v>
      </c>
      <c r="AA1829">
        <v>0</v>
      </c>
      <c r="AB1829" t="s">
        <v>33</v>
      </c>
      <c r="AC1829">
        <v>41.5</v>
      </c>
    </row>
    <row r="1830" spans="1:30" x14ac:dyDescent="0.25">
      <c r="A1830" s="1">
        <v>44784.611863425926</v>
      </c>
      <c r="B1830" s="1">
        <v>44784.610208333332</v>
      </c>
      <c r="C1830">
        <v>143456</v>
      </c>
      <c r="D1830" t="s">
        <v>34</v>
      </c>
      <c r="E1830" t="s">
        <v>35</v>
      </c>
      <c r="F1830">
        <v>7</v>
      </c>
      <c r="G1830">
        <v>43.08963</v>
      </c>
      <c r="H1830">
        <v>-71.502440000000007</v>
      </c>
      <c r="I1830">
        <v>619</v>
      </c>
      <c r="J1830">
        <v>84</v>
      </c>
      <c r="K1830">
        <v>0</v>
      </c>
      <c r="L1830" s="1">
        <v>44784.611840277779</v>
      </c>
      <c r="M1830">
        <v>3.7</v>
      </c>
      <c r="N1830">
        <v>4.2</v>
      </c>
      <c r="O1830">
        <v>0.5</v>
      </c>
      <c r="P1830">
        <v>13</v>
      </c>
      <c r="Q1830">
        <v>0.1</v>
      </c>
      <c r="R1830">
        <v>0.3</v>
      </c>
      <c r="S1830">
        <v>0.2</v>
      </c>
      <c r="T1830" t="s">
        <v>33</v>
      </c>
      <c r="U1830">
        <v>3.95</v>
      </c>
      <c r="V1830">
        <v>47</v>
      </c>
      <c r="W1830">
        <v>0</v>
      </c>
      <c r="X1830">
        <v>47</v>
      </c>
      <c r="Y1830">
        <v>2</v>
      </c>
      <c r="Z1830">
        <v>0</v>
      </c>
      <c r="AA1830">
        <v>2</v>
      </c>
      <c r="AB1830" t="s">
        <v>36</v>
      </c>
      <c r="AC1830">
        <v>47</v>
      </c>
      <c r="AD1830">
        <v>1.28</v>
      </c>
    </row>
    <row r="1831" spans="1:30" x14ac:dyDescent="0.25">
      <c r="A1831" s="1">
        <v>44784.611863425926</v>
      </c>
      <c r="B1831" s="1">
        <v>44784.61037037037</v>
      </c>
      <c r="C1831">
        <v>151702</v>
      </c>
      <c r="D1831" t="s">
        <v>37</v>
      </c>
      <c r="E1831" t="s">
        <v>31</v>
      </c>
      <c r="F1831">
        <v>7</v>
      </c>
      <c r="G1831">
        <v>43.118609999999997</v>
      </c>
      <c r="H1831">
        <v>-71.61618</v>
      </c>
      <c r="I1831">
        <v>885</v>
      </c>
      <c r="J1831">
        <v>0</v>
      </c>
      <c r="K1831">
        <v>0</v>
      </c>
      <c r="L1831" s="1">
        <v>44784.611840277779</v>
      </c>
      <c r="M1831">
        <v>2.2000000000000002</v>
      </c>
      <c r="N1831">
        <v>2.2999999999999998</v>
      </c>
      <c r="O1831">
        <v>0.1</v>
      </c>
      <c r="P1831">
        <v>4</v>
      </c>
      <c r="Q1831">
        <v>0.1</v>
      </c>
      <c r="R1831">
        <v>0.1</v>
      </c>
      <c r="S1831">
        <v>0.1</v>
      </c>
      <c r="T1831" t="s">
        <v>33</v>
      </c>
      <c r="U1831">
        <v>2.25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 t="s">
        <v>38</v>
      </c>
    </row>
    <row r="1832" spans="1:30" x14ac:dyDescent="0.25">
      <c r="A1832" s="1">
        <v>44784.611875000002</v>
      </c>
      <c r="B1832" s="1">
        <v>44784.610266203701</v>
      </c>
      <c r="C1832">
        <v>151700</v>
      </c>
      <c r="D1832" t="s">
        <v>30</v>
      </c>
      <c r="E1832" t="s">
        <v>31</v>
      </c>
      <c r="F1832">
        <v>7</v>
      </c>
      <c r="G1832">
        <v>43.19211</v>
      </c>
      <c r="H1832">
        <v>-71.541460000000001</v>
      </c>
      <c r="I1832">
        <v>286</v>
      </c>
      <c r="J1832">
        <v>85</v>
      </c>
      <c r="K1832">
        <v>0</v>
      </c>
      <c r="L1832" s="1">
        <v>44784.611840277779</v>
      </c>
      <c r="M1832">
        <v>2.1</v>
      </c>
      <c r="N1832">
        <v>2.5</v>
      </c>
      <c r="O1832">
        <v>0.4</v>
      </c>
      <c r="P1832">
        <v>17</v>
      </c>
      <c r="Q1832">
        <v>0</v>
      </c>
      <c r="R1832">
        <v>0.2</v>
      </c>
      <c r="S1832">
        <v>0.1</v>
      </c>
      <c r="T1832" t="s">
        <v>33</v>
      </c>
      <c r="U1832">
        <v>2.2999999999999998</v>
      </c>
      <c r="V1832">
        <v>41</v>
      </c>
      <c r="W1832">
        <v>0</v>
      </c>
      <c r="X1832">
        <v>41</v>
      </c>
      <c r="Y1832">
        <v>0</v>
      </c>
      <c r="Z1832">
        <v>0</v>
      </c>
      <c r="AA1832">
        <v>0</v>
      </c>
      <c r="AB1832" t="s">
        <v>36</v>
      </c>
      <c r="AC1832">
        <v>41</v>
      </c>
      <c r="AD1832">
        <v>0.69</v>
      </c>
    </row>
    <row r="1833" spans="1:30" x14ac:dyDescent="0.25">
      <c r="A1833" s="1">
        <v>44784.611875000002</v>
      </c>
      <c r="B1833" s="1">
        <v>44784.610694444447</v>
      </c>
      <c r="C1833">
        <v>135984</v>
      </c>
      <c r="D1833" t="s">
        <v>39</v>
      </c>
      <c r="E1833" t="s">
        <v>31</v>
      </c>
      <c r="F1833">
        <v>7</v>
      </c>
      <c r="G1833">
        <v>43.565852999999997</v>
      </c>
      <c r="H1833">
        <v>-71.496129999999994</v>
      </c>
      <c r="I1833">
        <v>708</v>
      </c>
      <c r="J1833">
        <v>89</v>
      </c>
      <c r="K1833">
        <v>0</v>
      </c>
      <c r="L1833" s="1">
        <v>44784.611840277779</v>
      </c>
      <c r="M1833">
        <v>2.7</v>
      </c>
      <c r="N1833">
        <v>2.4</v>
      </c>
      <c r="O1833">
        <v>0.3</v>
      </c>
      <c r="P1833">
        <v>12</v>
      </c>
      <c r="Q1833">
        <v>0</v>
      </c>
      <c r="R1833">
        <v>0.1</v>
      </c>
      <c r="S1833">
        <v>0.05</v>
      </c>
      <c r="T1833" t="s">
        <v>33</v>
      </c>
      <c r="U1833">
        <v>2.5499999999999998</v>
      </c>
      <c r="V1833">
        <v>47</v>
      </c>
      <c r="W1833">
        <v>0</v>
      </c>
      <c r="X1833">
        <v>47</v>
      </c>
      <c r="Y1833">
        <v>2</v>
      </c>
      <c r="Z1833">
        <v>0</v>
      </c>
      <c r="AA1833">
        <v>2</v>
      </c>
      <c r="AB1833" t="s">
        <v>36</v>
      </c>
      <c r="AC1833">
        <v>47</v>
      </c>
      <c r="AD1833">
        <v>0.43</v>
      </c>
    </row>
    <row r="1834" spans="1:30" x14ac:dyDescent="0.25">
      <c r="A1834" s="1">
        <v>44784.611875000002</v>
      </c>
      <c r="B1834" s="1">
        <v>44780.394780092596</v>
      </c>
      <c r="C1834">
        <v>151712</v>
      </c>
      <c r="D1834" t="s">
        <v>40</v>
      </c>
      <c r="E1834" t="s">
        <v>31</v>
      </c>
      <c r="F1834">
        <v>7</v>
      </c>
      <c r="G1834">
        <v>43.289763999999998</v>
      </c>
      <c r="H1834">
        <v>-71.564260000000004</v>
      </c>
      <c r="I1834">
        <v>370</v>
      </c>
      <c r="J1834">
        <v>86</v>
      </c>
      <c r="K1834">
        <v>0</v>
      </c>
      <c r="L1834" s="1">
        <v>44784.611840277779</v>
      </c>
      <c r="M1834">
        <v>14</v>
      </c>
      <c r="N1834">
        <v>13.2</v>
      </c>
      <c r="O1834">
        <v>0.8</v>
      </c>
      <c r="P1834">
        <v>6</v>
      </c>
      <c r="Q1834">
        <v>0</v>
      </c>
      <c r="R1834">
        <v>0</v>
      </c>
      <c r="S1834">
        <v>0</v>
      </c>
      <c r="T1834" t="s">
        <v>32</v>
      </c>
      <c r="V1834">
        <v>59</v>
      </c>
      <c r="W1834">
        <v>0</v>
      </c>
      <c r="X1834">
        <v>59</v>
      </c>
      <c r="Y1834">
        <v>0</v>
      </c>
      <c r="Z1834">
        <v>0</v>
      </c>
      <c r="AA1834">
        <v>0</v>
      </c>
      <c r="AB1834" t="s">
        <v>36</v>
      </c>
      <c r="AC1834">
        <v>59</v>
      </c>
    </row>
    <row r="1835" spans="1:30" x14ac:dyDescent="0.25">
      <c r="A1835" s="1">
        <v>44784.611886574072</v>
      </c>
      <c r="B1835" s="1">
        <v>44784.61</v>
      </c>
      <c r="C1835">
        <v>151710</v>
      </c>
      <c r="D1835" t="s">
        <v>41</v>
      </c>
      <c r="E1835" t="s">
        <v>31</v>
      </c>
      <c r="F1835">
        <v>7</v>
      </c>
      <c r="G1835">
        <v>43.132477000000002</v>
      </c>
      <c r="H1835">
        <v>-71.458374000000006</v>
      </c>
      <c r="I1835">
        <v>230</v>
      </c>
      <c r="J1835">
        <v>90</v>
      </c>
      <c r="K1835">
        <v>0</v>
      </c>
      <c r="L1835" s="1">
        <v>44784.611840277779</v>
      </c>
      <c r="M1835">
        <v>5.8</v>
      </c>
      <c r="N1835">
        <v>4.2</v>
      </c>
      <c r="O1835">
        <v>1.6</v>
      </c>
      <c r="P1835">
        <v>32</v>
      </c>
      <c r="Q1835">
        <v>0</v>
      </c>
      <c r="R1835">
        <v>0.2</v>
      </c>
      <c r="S1835">
        <v>0.1</v>
      </c>
      <c r="T1835" t="s">
        <v>33</v>
      </c>
      <c r="U1835">
        <v>5</v>
      </c>
      <c r="V1835">
        <v>34</v>
      </c>
      <c r="W1835">
        <v>0</v>
      </c>
      <c r="X1835">
        <v>34</v>
      </c>
      <c r="Y1835">
        <v>0</v>
      </c>
      <c r="Z1835">
        <v>0</v>
      </c>
      <c r="AA1835">
        <v>0</v>
      </c>
      <c r="AB1835" t="s">
        <v>36</v>
      </c>
      <c r="AC1835">
        <v>34</v>
      </c>
      <c r="AD1835">
        <v>2.83</v>
      </c>
    </row>
    <row r="1836" spans="1:30" x14ac:dyDescent="0.25">
      <c r="A1836" s="1">
        <v>44784.611886574072</v>
      </c>
      <c r="B1836" s="1">
        <v>44784.611041666663</v>
      </c>
      <c r="C1836">
        <v>151706</v>
      </c>
      <c r="D1836" t="s">
        <v>42</v>
      </c>
      <c r="E1836" t="s">
        <v>31</v>
      </c>
      <c r="F1836">
        <v>7</v>
      </c>
      <c r="G1836">
        <v>43.004080000000002</v>
      </c>
      <c r="H1836">
        <v>-71.177040000000005</v>
      </c>
      <c r="I1836">
        <v>194</v>
      </c>
      <c r="J1836">
        <v>88</v>
      </c>
      <c r="K1836">
        <v>0</v>
      </c>
      <c r="L1836" s="1">
        <v>44784.611840277779</v>
      </c>
      <c r="M1836">
        <v>5.6</v>
      </c>
      <c r="N1836">
        <v>0</v>
      </c>
      <c r="O1836">
        <v>5.6</v>
      </c>
      <c r="P1836">
        <v>200</v>
      </c>
      <c r="Q1836">
        <v>0.6</v>
      </c>
      <c r="R1836">
        <v>0</v>
      </c>
      <c r="S1836">
        <v>0.3</v>
      </c>
      <c r="T1836" t="s">
        <v>43</v>
      </c>
      <c r="V1836">
        <v>39</v>
      </c>
      <c r="W1836">
        <v>0</v>
      </c>
      <c r="X1836">
        <v>39</v>
      </c>
      <c r="Y1836">
        <v>3</v>
      </c>
      <c r="Z1836">
        <v>0</v>
      </c>
      <c r="AA1836">
        <v>3</v>
      </c>
      <c r="AB1836" t="s">
        <v>36</v>
      </c>
      <c r="AC1836">
        <v>39</v>
      </c>
    </row>
    <row r="1837" spans="1:30" x14ac:dyDescent="0.25">
      <c r="A1837" s="1">
        <v>44784.611886574072</v>
      </c>
      <c r="B1837" s="1">
        <v>44784.610833333332</v>
      </c>
      <c r="C1837">
        <v>12212</v>
      </c>
      <c r="D1837" t="s">
        <v>44</v>
      </c>
      <c r="E1837" t="s">
        <v>35</v>
      </c>
      <c r="F1837">
        <v>7</v>
      </c>
      <c r="G1837">
        <v>42.930529999999997</v>
      </c>
      <c r="H1837">
        <v>-72.272350000000003</v>
      </c>
      <c r="I1837">
        <v>476</v>
      </c>
      <c r="J1837">
        <v>91</v>
      </c>
      <c r="K1837">
        <v>0</v>
      </c>
      <c r="L1837" s="1">
        <v>44784.611840277779</v>
      </c>
      <c r="M1837">
        <v>4.7</v>
      </c>
      <c r="N1837">
        <v>4.0999999999999996</v>
      </c>
      <c r="O1837">
        <v>0.6</v>
      </c>
      <c r="P1837">
        <v>14</v>
      </c>
      <c r="Q1837">
        <v>0.1</v>
      </c>
      <c r="R1837">
        <v>0.1</v>
      </c>
      <c r="S1837">
        <v>0.1</v>
      </c>
      <c r="T1837" t="s">
        <v>33</v>
      </c>
      <c r="U1837">
        <v>4.4000000000000004</v>
      </c>
      <c r="V1837">
        <v>30</v>
      </c>
      <c r="W1837">
        <v>0</v>
      </c>
      <c r="X1837">
        <v>30</v>
      </c>
      <c r="Y1837">
        <v>1</v>
      </c>
      <c r="Z1837">
        <v>0</v>
      </c>
      <c r="AA1837">
        <v>1</v>
      </c>
      <c r="AB1837" t="s">
        <v>36</v>
      </c>
      <c r="AC1837">
        <v>30</v>
      </c>
      <c r="AD1837">
        <v>2.74</v>
      </c>
    </row>
    <row r="1838" spans="1:30" x14ac:dyDescent="0.25">
      <c r="A1838" s="1">
        <v>44784.611898148149</v>
      </c>
      <c r="B1838" s="1">
        <v>44769.376736111109</v>
      </c>
      <c r="C1838">
        <v>12178</v>
      </c>
      <c r="D1838" t="s">
        <v>45</v>
      </c>
      <c r="E1838" t="s">
        <v>35</v>
      </c>
      <c r="F1838">
        <v>7</v>
      </c>
      <c r="G1838">
        <v>42.899563000000001</v>
      </c>
      <c r="H1838">
        <v>-71.464650000000006</v>
      </c>
      <c r="I1838">
        <v>301</v>
      </c>
      <c r="J1838">
        <v>85</v>
      </c>
      <c r="K1838">
        <v>0</v>
      </c>
      <c r="L1838" s="1">
        <v>44784.611840277779</v>
      </c>
      <c r="M1838">
        <v>3.8</v>
      </c>
      <c r="N1838">
        <v>3.1</v>
      </c>
      <c r="O1838">
        <v>0.7</v>
      </c>
      <c r="P1838">
        <v>20</v>
      </c>
      <c r="Q1838">
        <v>0</v>
      </c>
      <c r="R1838">
        <v>0</v>
      </c>
      <c r="S1838">
        <v>0</v>
      </c>
      <c r="T1838" t="s">
        <v>32</v>
      </c>
      <c r="V1838">
        <v>35</v>
      </c>
      <c r="W1838">
        <v>0</v>
      </c>
      <c r="X1838">
        <v>35</v>
      </c>
      <c r="Y1838">
        <v>0</v>
      </c>
      <c r="Z1838">
        <v>0</v>
      </c>
      <c r="AA1838">
        <v>0</v>
      </c>
      <c r="AB1838" t="s">
        <v>36</v>
      </c>
      <c r="AC1838">
        <v>35</v>
      </c>
    </row>
    <row r="1839" spans="1:30" x14ac:dyDescent="0.25">
      <c r="A1839" s="1">
        <v>44784.611898148149</v>
      </c>
      <c r="B1839" s="1">
        <v>44784.61010416667</v>
      </c>
      <c r="C1839">
        <v>75981</v>
      </c>
      <c r="D1839" t="s">
        <v>46</v>
      </c>
      <c r="E1839" t="s">
        <v>35</v>
      </c>
      <c r="F1839">
        <v>7</v>
      </c>
      <c r="G1839">
        <v>42.97</v>
      </c>
      <c r="H1839">
        <v>-71.06</v>
      </c>
      <c r="I1839">
        <v>136</v>
      </c>
      <c r="J1839">
        <v>88</v>
      </c>
      <c r="K1839">
        <v>0</v>
      </c>
      <c r="L1839" s="1">
        <v>44784.611840277779</v>
      </c>
      <c r="M1839">
        <v>9.9</v>
      </c>
      <c r="N1839">
        <v>9.1</v>
      </c>
      <c r="O1839">
        <v>0.8</v>
      </c>
      <c r="P1839">
        <v>8</v>
      </c>
      <c r="Q1839">
        <v>0.2</v>
      </c>
      <c r="R1839">
        <v>0.1</v>
      </c>
      <c r="S1839">
        <v>0.15</v>
      </c>
      <c r="T1839" t="s">
        <v>33</v>
      </c>
      <c r="U1839">
        <v>9.5</v>
      </c>
      <c r="V1839">
        <v>44</v>
      </c>
      <c r="W1839">
        <v>0</v>
      </c>
      <c r="X1839">
        <v>44</v>
      </c>
      <c r="Y1839">
        <v>0</v>
      </c>
      <c r="Z1839">
        <v>0</v>
      </c>
      <c r="AA1839">
        <v>0</v>
      </c>
      <c r="AB1839" t="s">
        <v>36</v>
      </c>
      <c r="AC1839">
        <v>44</v>
      </c>
      <c r="AD1839">
        <v>4.88</v>
      </c>
    </row>
    <row r="1840" spans="1:30" x14ac:dyDescent="0.25">
      <c r="A1840" s="1">
        <v>44784.611909722225</v>
      </c>
      <c r="B1840" s="1">
        <v>44784.610648148147</v>
      </c>
      <c r="C1840">
        <v>115703</v>
      </c>
      <c r="D1840" t="s">
        <v>47</v>
      </c>
      <c r="E1840" t="s">
        <v>35</v>
      </c>
      <c r="F1840">
        <v>7</v>
      </c>
      <c r="G1840">
        <v>43.953625000000002</v>
      </c>
      <c r="H1840">
        <v>-71.508859999999999</v>
      </c>
      <c r="I1840">
        <v>1493</v>
      </c>
      <c r="J1840">
        <v>91</v>
      </c>
      <c r="K1840">
        <v>0</v>
      </c>
      <c r="L1840" s="1">
        <v>44784.611840277779</v>
      </c>
      <c r="M1840">
        <v>0</v>
      </c>
      <c r="N1840">
        <v>184.7</v>
      </c>
      <c r="O1840">
        <v>184.7</v>
      </c>
      <c r="P1840">
        <v>200</v>
      </c>
      <c r="Q1840">
        <v>0.1</v>
      </c>
      <c r="R1840">
        <v>0</v>
      </c>
      <c r="S1840">
        <v>0.05</v>
      </c>
      <c r="T1840" t="s">
        <v>48</v>
      </c>
      <c r="V1840">
        <v>31</v>
      </c>
      <c r="W1840">
        <v>0</v>
      </c>
      <c r="X1840">
        <v>31</v>
      </c>
      <c r="Y1840">
        <v>2</v>
      </c>
      <c r="Z1840">
        <v>0</v>
      </c>
      <c r="AA1840">
        <v>2</v>
      </c>
      <c r="AB1840" t="s">
        <v>36</v>
      </c>
      <c r="AC1840">
        <v>31</v>
      </c>
    </row>
    <row r="1841" spans="1:30" x14ac:dyDescent="0.25">
      <c r="A1841" s="1">
        <v>44784.611967592595</v>
      </c>
      <c r="B1841" s="1">
        <v>44784.611446759256</v>
      </c>
      <c r="C1841">
        <v>12050</v>
      </c>
      <c r="D1841" t="s">
        <v>49</v>
      </c>
      <c r="E1841" t="s">
        <v>35</v>
      </c>
      <c r="F1841">
        <v>7</v>
      </c>
      <c r="G1841">
        <v>44.220573000000002</v>
      </c>
      <c r="H1841">
        <v>-71.732315</v>
      </c>
      <c r="I1841">
        <v>999</v>
      </c>
      <c r="J1841">
        <v>93</v>
      </c>
      <c r="K1841">
        <v>0</v>
      </c>
      <c r="L1841" s="1">
        <v>44784.611840277779</v>
      </c>
      <c r="M1841">
        <v>3</v>
      </c>
      <c r="N1841">
        <v>2.6</v>
      </c>
      <c r="O1841">
        <v>0.4</v>
      </c>
      <c r="P1841">
        <v>14</v>
      </c>
      <c r="Q1841">
        <v>0.1</v>
      </c>
      <c r="R1841">
        <v>0.1</v>
      </c>
      <c r="S1841">
        <v>0.1</v>
      </c>
      <c r="T1841" t="s">
        <v>33</v>
      </c>
      <c r="U1841">
        <v>2.8</v>
      </c>
      <c r="V1841">
        <v>31</v>
      </c>
      <c r="W1841">
        <v>0</v>
      </c>
      <c r="X1841">
        <v>31</v>
      </c>
      <c r="Y1841">
        <v>4</v>
      </c>
      <c r="Z1841">
        <v>0</v>
      </c>
      <c r="AA1841">
        <v>4</v>
      </c>
      <c r="AB1841" t="s">
        <v>36</v>
      </c>
      <c r="AC1841">
        <v>31</v>
      </c>
      <c r="AD1841">
        <v>1.7</v>
      </c>
    </row>
    <row r="1842" spans="1:30" x14ac:dyDescent="0.25">
      <c r="A1842" s="1">
        <v>44784.611967592595</v>
      </c>
      <c r="B1842" s="1">
        <v>44784.611562500002</v>
      </c>
      <c r="C1842">
        <v>23443</v>
      </c>
      <c r="D1842" t="s">
        <v>50</v>
      </c>
      <c r="E1842" t="s">
        <v>35</v>
      </c>
      <c r="F1842">
        <v>7</v>
      </c>
      <c r="G1842">
        <v>43.556139999999999</v>
      </c>
      <c r="H1842">
        <v>-72.370990000000006</v>
      </c>
      <c r="I1842">
        <v>523</v>
      </c>
      <c r="J1842">
        <v>106</v>
      </c>
      <c r="K1842">
        <v>0</v>
      </c>
      <c r="L1842" s="1">
        <v>44784.611840277779</v>
      </c>
      <c r="M1842">
        <v>3</v>
      </c>
      <c r="N1842">
        <v>2.6</v>
      </c>
      <c r="O1842">
        <v>0.4</v>
      </c>
      <c r="P1842">
        <v>14</v>
      </c>
      <c r="Q1842">
        <v>0</v>
      </c>
      <c r="R1842">
        <v>0</v>
      </c>
      <c r="S1842">
        <v>0</v>
      </c>
      <c r="T1842" t="s">
        <v>33</v>
      </c>
      <c r="U1842">
        <v>2.8</v>
      </c>
      <c r="V1842">
        <v>21</v>
      </c>
      <c r="W1842">
        <v>0</v>
      </c>
      <c r="X1842">
        <v>21</v>
      </c>
      <c r="Y1842">
        <v>2</v>
      </c>
      <c r="Z1842">
        <v>0</v>
      </c>
      <c r="AA1842">
        <v>2</v>
      </c>
      <c r="AB1842" t="s">
        <v>36</v>
      </c>
      <c r="AC1842">
        <v>21</v>
      </c>
      <c r="AD1842">
        <v>2.4</v>
      </c>
    </row>
    <row r="1843" spans="1:30" x14ac:dyDescent="0.25">
      <c r="A1843" s="1">
        <v>44784.611967592595</v>
      </c>
      <c r="B1843" s="1">
        <v>44784.611678240741</v>
      </c>
      <c r="C1843">
        <v>58135</v>
      </c>
      <c r="D1843" t="s">
        <v>51</v>
      </c>
      <c r="E1843" t="s">
        <v>35</v>
      </c>
      <c r="F1843">
        <v>7</v>
      </c>
      <c r="G1843">
        <v>42.883873000000001</v>
      </c>
      <c r="H1843">
        <v>-71.972915999999998</v>
      </c>
      <c r="I1843">
        <v>808</v>
      </c>
      <c r="J1843">
        <v>87</v>
      </c>
      <c r="K1843">
        <v>0</v>
      </c>
      <c r="L1843" s="1">
        <v>44784.611840277779</v>
      </c>
      <c r="M1843">
        <v>4.4000000000000004</v>
      </c>
      <c r="N1843">
        <v>2.8</v>
      </c>
      <c r="O1843">
        <v>1.6</v>
      </c>
      <c r="P1843">
        <v>44</v>
      </c>
      <c r="Q1843">
        <v>0.1</v>
      </c>
      <c r="R1843">
        <v>0.1</v>
      </c>
      <c r="S1843">
        <v>0.1</v>
      </c>
      <c r="T1843" t="s">
        <v>33</v>
      </c>
      <c r="U1843">
        <v>3.6</v>
      </c>
      <c r="V1843">
        <v>35</v>
      </c>
      <c r="W1843">
        <v>0</v>
      </c>
      <c r="X1843">
        <v>35</v>
      </c>
      <c r="Y1843">
        <v>0</v>
      </c>
      <c r="Z1843">
        <v>0</v>
      </c>
      <c r="AA1843">
        <v>0</v>
      </c>
      <c r="AB1843" t="s">
        <v>36</v>
      </c>
      <c r="AC1843">
        <v>35</v>
      </c>
      <c r="AD1843">
        <v>1.91</v>
      </c>
    </row>
    <row r="1844" spans="1:30" x14ac:dyDescent="0.25">
      <c r="A1844" s="1">
        <v>44784.611979166664</v>
      </c>
      <c r="B1844" s="1">
        <v>44784.611678240741</v>
      </c>
      <c r="C1844">
        <v>148555</v>
      </c>
      <c r="D1844" t="s">
        <v>52</v>
      </c>
      <c r="E1844" t="s">
        <v>53</v>
      </c>
      <c r="F1844">
        <v>7</v>
      </c>
      <c r="G1844">
        <v>42.904949999999999</v>
      </c>
      <c r="H1844">
        <v>-71.386764999999997</v>
      </c>
      <c r="I1844">
        <v>363</v>
      </c>
      <c r="J1844">
        <v>0</v>
      </c>
      <c r="K1844">
        <v>0</v>
      </c>
      <c r="L1844" s="1">
        <v>44784.611840277779</v>
      </c>
      <c r="M1844">
        <v>1.8</v>
      </c>
      <c r="N1844">
        <v>1.7</v>
      </c>
      <c r="O1844">
        <v>0.1</v>
      </c>
      <c r="P1844">
        <v>6</v>
      </c>
      <c r="Q1844">
        <v>0.2</v>
      </c>
      <c r="R1844">
        <v>0.1</v>
      </c>
      <c r="S1844">
        <v>0.15</v>
      </c>
      <c r="T1844" t="s">
        <v>33</v>
      </c>
      <c r="U1844">
        <v>1.75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0</v>
      </c>
      <c r="AB1844" t="s">
        <v>38</v>
      </c>
    </row>
    <row r="1845" spans="1:30" x14ac:dyDescent="0.25">
      <c r="A1845" s="1">
        <v>44784.611979166664</v>
      </c>
      <c r="B1845" s="1">
        <v>44784.611168981479</v>
      </c>
      <c r="C1845">
        <v>146644</v>
      </c>
      <c r="D1845" t="s">
        <v>54</v>
      </c>
      <c r="E1845" t="s">
        <v>53</v>
      </c>
      <c r="F1845">
        <v>7</v>
      </c>
      <c r="G1845">
        <v>43.06015</v>
      </c>
      <c r="H1845">
        <v>-70.758930000000007</v>
      </c>
      <c r="I1845">
        <v>35</v>
      </c>
      <c r="J1845">
        <v>81</v>
      </c>
      <c r="K1845">
        <v>83</v>
      </c>
      <c r="L1845" s="1">
        <v>44784.611840277779</v>
      </c>
      <c r="M1845">
        <v>13.3</v>
      </c>
      <c r="N1845">
        <v>13.1</v>
      </c>
      <c r="O1845">
        <v>0.2</v>
      </c>
      <c r="P1845">
        <v>2</v>
      </c>
      <c r="Q1845">
        <v>0.3</v>
      </c>
      <c r="R1845">
        <v>0.1</v>
      </c>
      <c r="S1845">
        <v>0.2</v>
      </c>
      <c r="T1845" t="s">
        <v>33</v>
      </c>
      <c r="U1845">
        <v>13.2</v>
      </c>
      <c r="V1845">
        <v>51</v>
      </c>
      <c r="W1845">
        <v>56</v>
      </c>
      <c r="X1845">
        <v>5</v>
      </c>
      <c r="Y1845">
        <v>2</v>
      </c>
      <c r="Z1845">
        <v>2</v>
      </c>
      <c r="AA1845">
        <v>0</v>
      </c>
      <c r="AB1845" t="s">
        <v>33</v>
      </c>
      <c r="AC1845">
        <v>53.5</v>
      </c>
      <c r="AD1845">
        <v>6.47</v>
      </c>
    </row>
    <row r="1846" spans="1:30" x14ac:dyDescent="0.25">
      <c r="A1846" s="1">
        <v>44784.611990740741</v>
      </c>
      <c r="B1846" s="1">
        <v>43755.283437500002</v>
      </c>
      <c r="C1846">
        <v>12188</v>
      </c>
      <c r="D1846" t="s">
        <v>55</v>
      </c>
      <c r="E1846" t="s">
        <v>35</v>
      </c>
      <c r="F1846">
        <v>4.1100000000000003</v>
      </c>
      <c r="G1846">
        <v>42.927050000000001</v>
      </c>
      <c r="H1846">
        <v>-72.279610000000005</v>
      </c>
      <c r="I1846">
        <v>475</v>
      </c>
      <c r="J1846">
        <v>95</v>
      </c>
      <c r="K1846">
        <v>0</v>
      </c>
      <c r="L1846" s="1">
        <v>44784.611840277779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 t="s">
        <v>32</v>
      </c>
      <c r="V1846">
        <v>77</v>
      </c>
      <c r="W1846">
        <v>0</v>
      </c>
      <c r="X1846">
        <v>77</v>
      </c>
      <c r="Y1846">
        <v>0</v>
      </c>
      <c r="Z1846">
        <v>0</v>
      </c>
      <c r="AA1846">
        <v>0</v>
      </c>
      <c r="AB1846" t="s">
        <v>36</v>
      </c>
      <c r="AC1846">
        <v>77</v>
      </c>
    </row>
    <row r="1847" spans="1:30" x14ac:dyDescent="0.25">
      <c r="A1847" s="1">
        <v>44784.611990740741</v>
      </c>
      <c r="B1847" s="1">
        <v>44784.611550925925</v>
      </c>
      <c r="C1847">
        <v>1224</v>
      </c>
      <c r="D1847" t="s">
        <v>56</v>
      </c>
      <c r="E1847" t="s">
        <v>35</v>
      </c>
      <c r="F1847" t="s">
        <v>57</v>
      </c>
      <c r="G1847">
        <v>42.938034000000002</v>
      </c>
      <c r="H1847">
        <v>-72.259299999999996</v>
      </c>
      <c r="I1847">
        <v>792</v>
      </c>
      <c r="J1847">
        <v>92</v>
      </c>
      <c r="K1847">
        <v>0</v>
      </c>
      <c r="L1847" s="1">
        <v>44784.611840277779</v>
      </c>
      <c r="M1847">
        <v>4.8</v>
      </c>
      <c r="N1847">
        <v>0</v>
      </c>
      <c r="O1847">
        <v>4.8</v>
      </c>
      <c r="P1847">
        <v>200</v>
      </c>
      <c r="Q1847">
        <v>0.2</v>
      </c>
      <c r="R1847">
        <v>0</v>
      </c>
      <c r="S1847">
        <v>0.1</v>
      </c>
      <c r="T1847" t="s">
        <v>43</v>
      </c>
      <c r="V1847">
        <v>36</v>
      </c>
      <c r="W1847">
        <v>0</v>
      </c>
      <c r="X1847">
        <v>36</v>
      </c>
      <c r="Y1847">
        <v>0</v>
      </c>
      <c r="Z1847">
        <v>0</v>
      </c>
      <c r="AA1847">
        <v>0</v>
      </c>
      <c r="AB1847" t="s">
        <v>36</v>
      </c>
      <c r="AC1847">
        <v>36</v>
      </c>
    </row>
    <row r="1848" spans="1:30" x14ac:dyDescent="0.25">
      <c r="A1848" s="1">
        <v>44784.611990740741</v>
      </c>
      <c r="B1848" s="1">
        <v>44784.610995370371</v>
      </c>
      <c r="C1848">
        <v>1202</v>
      </c>
      <c r="D1848" t="s">
        <v>58</v>
      </c>
      <c r="E1848" t="s">
        <v>35</v>
      </c>
      <c r="F1848" t="s">
        <v>57</v>
      </c>
      <c r="G1848">
        <v>42.936554000000001</v>
      </c>
      <c r="H1848">
        <v>-72.271019999999993</v>
      </c>
      <c r="I1848">
        <v>488</v>
      </c>
      <c r="J1848">
        <v>0</v>
      </c>
      <c r="K1848">
        <v>0</v>
      </c>
      <c r="L1848" s="1">
        <v>44784.611840277779</v>
      </c>
      <c r="M1848">
        <v>5.2</v>
      </c>
      <c r="N1848">
        <v>4.5999999999999996</v>
      </c>
      <c r="O1848">
        <v>0.6</v>
      </c>
      <c r="P1848">
        <v>12</v>
      </c>
      <c r="Q1848">
        <v>0.2</v>
      </c>
      <c r="R1848">
        <v>0.1</v>
      </c>
      <c r="S1848">
        <v>0.15</v>
      </c>
      <c r="T1848" t="s">
        <v>33</v>
      </c>
      <c r="U1848">
        <v>4.9000000000000004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 t="s">
        <v>38</v>
      </c>
    </row>
    <row r="1849" spans="1:30" x14ac:dyDescent="0.25">
      <c r="A1849" s="1">
        <v>44784.612002314818</v>
      </c>
      <c r="B1849" s="1">
        <v>44612.080023148148</v>
      </c>
      <c r="C1849">
        <v>25985</v>
      </c>
      <c r="D1849" t="s">
        <v>59</v>
      </c>
      <c r="E1849" t="s">
        <v>35</v>
      </c>
      <c r="F1849">
        <v>6.01</v>
      </c>
      <c r="G1849">
        <v>42.927326000000001</v>
      </c>
      <c r="H1849">
        <v>-72.279979999999995</v>
      </c>
      <c r="I1849">
        <v>477</v>
      </c>
      <c r="J1849">
        <v>78</v>
      </c>
      <c r="K1849">
        <v>0</v>
      </c>
      <c r="L1849" s="1">
        <v>44784.611840277779</v>
      </c>
      <c r="M1849">
        <v>1.1000000000000001</v>
      </c>
      <c r="N1849">
        <v>1</v>
      </c>
      <c r="O1849">
        <v>0.1</v>
      </c>
      <c r="P1849">
        <v>10</v>
      </c>
      <c r="Q1849">
        <v>0</v>
      </c>
      <c r="R1849">
        <v>0</v>
      </c>
      <c r="S1849">
        <v>0</v>
      </c>
      <c r="T1849" t="s">
        <v>32</v>
      </c>
      <c r="V1849">
        <v>22</v>
      </c>
      <c r="W1849">
        <v>0</v>
      </c>
      <c r="X1849">
        <v>22</v>
      </c>
      <c r="Y1849">
        <v>0</v>
      </c>
      <c r="Z1849">
        <v>0</v>
      </c>
      <c r="AA1849">
        <v>0</v>
      </c>
      <c r="AB1849" t="s">
        <v>36</v>
      </c>
      <c r="AC1849">
        <v>22</v>
      </c>
    </row>
    <row r="1850" spans="1:30" x14ac:dyDescent="0.25">
      <c r="A1850" s="1">
        <v>44784.618807870371</v>
      </c>
      <c r="B1850" s="1">
        <v>44775.701319444444</v>
      </c>
      <c r="C1850">
        <v>151708</v>
      </c>
      <c r="D1850" t="s">
        <v>30</v>
      </c>
      <c r="E1850" t="s">
        <v>31</v>
      </c>
      <c r="F1850">
        <v>7</v>
      </c>
      <c r="G1850">
        <v>43.192042999999998</v>
      </c>
      <c r="H1850">
        <v>-71.541579999999996</v>
      </c>
      <c r="I1850">
        <v>291</v>
      </c>
      <c r="J1850">
        <v>93</v>
      </c>
      <c r="K1850">
        <v>94</v>
      </c>
      <c r="L1850" s="1">
        <v>44784.618784722225</v>
      </c>
      <c r="M1850">
        <v>7.9</v>
      </c>
      <c r="N1850">
        <v>7.6</v>
      </c>
      <c r="O1850">
        <v>0.3</v>
      </c>
      <c r="P1850">
        <v>4</v>
      </c>
      <c r="Q1850">
        <v>0</v>
      </c>
      <c r="R1850">
        <v>0</v>
      </c>
      <c r="S1850">
        <v>0</v>
      </c>
      <c r="T1850" t="s">
        <v>32</v>
      </c>
      <c r="V1850">
        <v>42</v>
      </c>
      <c r="W1850">
        <v>41</v>
      </c>
      <c r="X1850">
        <v>1</v>
      </c>
      <c r="Y1850">
        <v>0</v>
      </c>
      <c r="Z1850">
        <v>0</v>
      </c>
      <c r="AA1850">
        <v>0</v>
      </c>
      <c r="AB1850" t="s">
        <v>33</v>
      </c>
      <c r="AC1850">
        <v>41.5</v>
      </c>
    </row>
    <row r="1851" spans="1:30" x14ac:dyDescent="0.25">
      <c r="A1851" s="1">
        <v>44784.618807870371</v>
      </c>
      <c r="B1851" s="1">
        <v>44784.618541666663</v>
      </c>
      <c r="C1851">
        <v>143456</v>
      </c>
      <c r="D1851" t="s">
        <v>34</v>
      </c>
      <c r="E1851" t="s">
        <v>35</v>
      </c>
      <c r="F1851">
        <v>7</v>
      </c>
      <c r="G1851">
        <v>43.08963</v>
      </c>
      <c r="H1851">
        <v>-71.502440000000007</v>
      </c>
      <c r="I1851">
        <v>619</v>
      </c>
      <c r="J1851">
        <v>85</v>
      </c>
      <c r="K1851">
        <v>0</v>
      </c>
      <c r="L1851" s="1">
        <v>44784.618784722225</v>
      </c>
      <c r="M1851">
        <v>3.7</v>
      </c>
      <c r="N1851">
        <v>4.3</v>
      </c>
      <c r="O1851">
        <v>0.6</v>
      </c>
      <c r="P1851">
        <v>15</v>
      </c>
      <c r="Q1851">
        <v>0</v>
      </c>
      <c r="R1851">
        <v>0.1</v>
      </c>
      <c r="S1851">
        <v>0.05</v>
      </c>
      <c r="T1851" t="s">
        <v>33</v>
      </c>
      <c r="U1851">
        <v>4</v>
      </c>
      <c r="V1851">
        <v>43</v>
      </c>
      <c r="W1851">
        <v>0</v>
      </c>
      <c r="X1851">
        <v>43</v>
      </c>
      <c r="Y1851">
        <v>4</v>
      </c>
      <c r="Z1851">
        <v>0</v>
      </c>
      <c r="AA1851">
        <v>4</v>
      </c>
      <c r="AB1851" t="s">
        <v>36</v>
      </c>
      <c r="AC1851">
        <v>43</v>
      </c>
      <c r="AD1851">
        <v>1.59</v>
      </c>
    </row>
    <row r="1852" spans="1:30" x14ac:dyDescent="0.25">
      <c r="A1852" s="1">
        <v>44784.618807870371</v>
      </c>
      <c r="B1852" s="1">
        <v>44784.618703703702</v>
      </c>
      <c r="C1852">
        <v>151702</v>
      </c>
      <c r="D1852" t="s">
        <v>37</v>
      </c>
      <c r="E1852" t="s">
        <v>31</v>
      </c>
      <c r="F1852">
        <v>7</v>
      </c>
      <c r="G1852">
        <v>43.118609999999997</v>
      </c>
      <c r="H1852">
        <v>-71.61618</v>
      </c>
      <c r="I1852">
        <v>885</v>
      </c>
      <c r="J1852">
        <v>0</v>
      </c>
      <c r="K1852">
        <v>0</v>
      </c>
      <c r="L1852" s="1">
        <v>44784.618784722225</v>
      </c>
      <c r="M1852">
        <v>2.2000000000000002</v>
      </c>
      <c r="N1852">
        <v>2.4</v>
      </c>
      <c r="O1852">
        <v>0.2</v>
      </c>
      <c r="P1852">
        <v>9</v>
      </c>
      <c r="Q1852">
        <v>0</v>
      </c>
      <c r="R1852">
        <v>0.1</v>
      </c>
      <c r="S1852">
        <v>0.05</v>
      </c>
      <c r="T1852" t="s">
        <v>33</v>
      </c>
      <c r="U1852">
        <v>2.2999999999999998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 t="s">
        <v>38</v>
      </c>
    </row>
    <row r="1853" spans="1:30" x14ac:dyDescent="0.25">
      <c r="A1853" s="1">
        <v>44784.618819444448</v>
      </c>
      <c r="B1853" s="1">
        <v>44784.61859953704</v>
      </c>
      <c r="C1853">
        <v>151700</v>
      </c>
      <c r="D1853" t="s">
        <v>30</v>
      </c>
      <c r="E1853" t="s">
        <v>31</v>
      </c>
      <c r="F1853">
        <v>7</v>
      </c>
      <c r="G1853">
        <v>43.19211</v>
      </c>
      <c r="H1853">
        <v>-71.541460000000001</v>
      </c>
      <c r="I1853">
        <v>286</v>
      </c>
      <c r="J1853">
        <v>85</v>
      </c>
      <c r="K1853">
        <v>0</v>
      </c>
      <c r="L1853" s="1">
        <v>44784.618784722225</v>
      </c>
      <c r="M1853">
        <v>2.1</v>
      </c>
      <c r="N1853">
        <v>2.6</v>
      </c>
      <c r="O1853">
        <v>0.5</v>
      </c>
      <c r="P1853">
        <v>21</v>
      </c>
      <c r="Q1853">
        <v>0</v>
      </c>
      <c r="R1853">
        <v>0.1</v>
      </c>
      <c r="S1853">
        <v>0.05</v>
      </c>
      <c r="T1853" t="s">
        <v>33</v>
      </c>
      <c r="U1853">
        <v>2.35</v>
      </c>
      <c r="V1853">
        <v>41</v>
      </c>
      <c r="W1853">
        <v>0</v>
      </c>
      <c r="X1853">
        <v>41</v>
      </c>
      <c r="Y1853">
        <v>0</v>
      </c>
      <c r="Z1853">
        <v>0</v>
      </c>
      <c r="AA1853">
        <v>0</v>
      </c>
      <c r="AB1853" t="s">
        <v>36</v>
      </c>
      <c r="AC1853">
        <v>41</v>
      </c>
      <c r="AD1853">
        <v>0.72</v>
      </c>
    </row>
    <row r="1854" spans="1:30" x14ac:dyDescent="0.25">
      <c r="A1854" s="1">
        <v>44784.618819444448</v>
      </c>
      <c r="B1854" s="1">
        <v>44784.617638888885</v>
      </c>
      <c r="C1854">
        <v>135984</v>
      </c>
      <c r="D1854" t="s">
        <v>39</v>
      </c>
      <c r="E1854" t="s">
        <v>31</v>
      </c>
      <c r="F1854">
        <v>7</v>
      </c>
      <c r="G1854">
        <v>43.565852999999997</v>
      </c>
      <c r="H1854">
        <v>-71.496129999999994</v>
      </c>
      <c r="I1854">
        <v>708</v>
      </c>
      <c r="J1854">
        <v>88</v>
      </c>
      <c r="K1854">
        <v>0</v>
      </c>
      <c r="L1854" s="1">
        <v>44784.618784722225</v>
      </c>
      <c r="M1854">
        <v>2.8</v>
      </c>
      <c r="N1854">
        <v>2.2999999999999998</v>
      </c>
      <c r="O1854">
        <v>0.5</v>
      </c>
      <c r="P1854">
        <v>20</v>
      </c>
      <c r="Q1854">
        <v>0.1</v>
      </c>
      <c r="R1854">
        <v>0.1</v>
      </c>
      <c r="S1854">
        <v>0.1</v>
      </c>
      <c r="T1854" t="s">
        <v>33</v>
      </c>
      <c r="U1854">
        <v>2.5499999999999998</v>
      </c>
      <c r="V1854">
        <v>47</v>
      </c>
      <c r="W1854">
        <v>0</v>
      </c>
      <c r="X1854">
        <v>47</v>
      </c>
      <c r="Y1854">
        <v>0</v>
      </c>
      <c r="Z1854">
        <v>0</v>
      </c>
      <c r="AA1854">
        <v>0</v>
      </c>
      <c r="AB1854" t="s">
        <v>36</v>
      </c>
      <c r="AC1854">
        <v>47</v>
      </c>
      <c r="AD1854">
        <v>0.43</v>
      </c>
    </row>
    <row r="1855" spans="1:30" x14ac:dyDescent="0.25">
      <c r="A1855" s="1">
        <v>44784.618831018517</v>
      </c>
      <c r="B1855" s="1">
        <v>44780.394780092596</v>
      </c>
      <c r="C1855">
        <v>151712</v>
      </c>
      <c r="D1855" t="s">
        <v>40</v>
      </c>
      <c r="E1855" t="s">
        <v>31</v>
      </c>
      <c r="F1855">
        <v>7</v>
      </c>
      <c r="G1855">
        <v>43.289763999999998</v>
      </c>
      <c r="H1855">
        <v>-71.564260000000004</v>
      </c>
      <c r="I1855">
        <v>370</v>
      </c>
      <c r="J1855">
        <v>86</v>
      </c>
      <c r="K1855">
        <v>0</v>
      </c>
      <c r="L1855" s="1">
        <v>44784.618784722225</v>
      </c>
      <c r="M1855">
        <v>14</v>
      </c>
      <c r="N1855">
        <v>13.2</v>
      </c>
      <c r="O1855">
        <v>0.8</v>
      </c>
      <c r="P1855">
        <v>6</v>
      </c>
      <c r="Q1855">
        <v>0</v>
      </c>
      <c r="R1855">
        <v>0</v>
      </c>
      <c r="S1855">
        <v>0</v>
      </c>
      <c r="T1855" t="s">
        <v>32</v>
      </c>
      <c r="V1855">
        <v>59</v>
      </c>
      <c r="W1855">
        <v>0</v>
      </c>
      <c r="X1855">
        <v>59</v>
      </c>
      <c r="Y1855">
        <v>0</v>
      </c>
      <c r="Z1855">
        <v>0</v>
      </c>
      <c r="AA1855">
        <v>0</v>
      </c>
      <c r="AB1855" t="s">
        <v>36</v>
      </c>
      <c r="AC1855">
        <v>59</v>
      </c>
    </row>
    <row r="1856" spans="1:30" x14ac:dyDescent="0.25">
      <c r="A1856" s="1">
        <v>44784.618831018517</v>
      </c>
      <c r="B1856" s="1">
        <v>44784.618344907409</v>
      </c>
      <c r="C1856">
        <v>151710</v>
      </c>
      <c r="D1856" t="s">
        <v>41</v>
      </c>
      <c r="E1856" t="s">
        <v>31</v>
      </c>
      <c r="F1856">
        <v>7</v>
      </c>
      <c r="G1856">
        <v>43.132477000000002</v>
      </c>
      <c r="H1856">
        <v>-71.458374000000006</v>
      </c>
      <c r="I1856">
        <v>230</v>
      </c>
      <c r="J1856">
        <v>89</v>
      </c>
      <c r="K1856">
        <v>0</v>
      </c>
      <c r="L1856" s="1">
        <v>44784.618784722225</v>
      </c>
      <c r="M1856">
        <v>6</v>
      </c>
      <c r="N1856">
        <v>4.4000000000000004</v>
      </c>
      <c r="O1856">
        <v>1.6</v>
      </c>
      <c r="P1856">
        <v>31</v>
      </c>
      <c r="Q1856">
        <v>0.2</v>
      </c>
      <c r="R1856">
        <v>0.2</v>
      </c>
      <c r="S1856">
        <v>0.2</v>
      </c>
      <c r="T1856" t="s">
        <v>33</v>
      </c>
      <c r="U1856">
        <v>5.2</v>
      </c>
      <c r="V1856">
        <v>33</v>
      </c>
      <c r="W1856">
        <v>0</v>
      </c>
      <c r="X1856">
        <v>33</v>
      </c>
      <c r="Y1856">
        <v>1</v>
      </c>
      <c r="Z1856">
        <v>0</v>
      </c>
      <c r="AA1856">
        <v>1</v>
      </c>
      <c r="AB1856" t="s">
        <v>36</v>
      </c>
      <c r="AC1856">
        <v>33</v>
      </c>
      <c r="AD1856">
        <v>3.02</v>
      </c>
    </row>
    <row r="1857" spans="1:30" x14ac:dyDescent="0.25">
      <c r="A1857" s="1">
        <v>44784.618831018517</v>
      </c>
      <c r="B1857" s="1">
        <v>44784.617986111109</v>
      </c>
      <c r="C1857">
        <v>151706</v>
      </c>
      <c r="D1857" t="s">
        <v>42</v>
      </c>
      <c r="E1857" t="s">
        <v>31</v>
      </c>
      <c r="F1857">
        <v>7</v>
      </c>
      <c r="G1857">
        <v>43.004080000000002</v>
      </c>
      <c r="H1857">
        <v>-71.177040000000005</v>
      </c>
      <c r="I1857">
        <v>194</v>
      </c>
      <c r="J1857">
        <v>89</v>
      </c>
      <c r="K1857">
        <v>0</v>
      </c>
      <c r="L1857" s="1">
        <v>44784.618784722225</v>
      </c>
      <c r="M1857">
        <v>5</v>
      </c>
      <c r="N1857">
        <v>0</v>
      </c>
      <c r="O1857">
        <v>5</v>
      </c>
      <c r="P1857">
        <v>200</v>
      </c>
      <c r="Q1857">
        <v>0.6</v>
      </c>
      <c r="R1857">
        <v>0</v>
      </c>
      <c r="S1857">
        <v>0.3</v>
      </c>
      <c r="T1857" t="s">
        <v>43</v>
      </c>
      <c r="V1857">
        <v>38</v>
      </c>
      <c r="W1857">
        <v>0</v>
      </c>
      <c r="X1857">
        <v>38</v>
      </c>
      <c r="Y1857">
        <v>1</v>
      </c>
      <c r="Z1857">
        <v>0</v>
      </c>
      <c r="AA1857">
        <v>1</v>
      </c>
      <c r="AB1857" t="s">
        <v>36</v>
      </c>
      <c r="AC1857">
        <v>38</v>
      </c>
    </row>
    <row r="1858" spans="1:30" x14ac:dyDescent="0.25">
      <c r="A1858" s="1">
        <v>44784.618842592594</v>
      </c>
      <c r="B1858" s="1">
        <v>44784.617777777778</v>
      </c>
      <c r="C1858">
        <v>12212</v>
      </c>
      <c r="D1858" t="s">
        <v>44</v>
      </c>
      <c r="E1858" t="s">
        <v>35</v>
      </c>
      <c r="F1858">
        <v>7</v>
      </c>
      <c r="G1858">
        <v>42.930529999999997</v>
      </c>
      <c r="H1858">
        <v>-72.272350000000003</v>
      </c>
      <c r="I1858">
        <v>476</v>
      </c>
      <c r="J1858">
        <v>94</v>
      </c>
      <c r="K1858">
        <v>0</v>
      </c>
      <c r="L1858" s="1">
        <v>44784.618784722225</v>
      </c>
      <c r="M1858">
        <v>4.9000000000000004</v>
      </c>
      <c r="N1858">
        <v>4.2</v>
      </c>
      <c r="O1858">
        <v>0.7</v>
      </c>
      <c r="P1858">
        <v>15</v>
      </c>
      <c r="Q1858">
        <v>0.2</v>
      </c>
      <c r="R1858">
        <v>0.1</v>
      </c>
      <c r="S1858">
        <v>0.15</v>
      </c>
      <c r="T1858" t="s">
        <v>33</v>
      </c>
      <c r="U1858">
        <v>4.55</v>
      </c>
      <c r="V1858">
        <v>28</v>
      </c>
      <c r="W1858">
        <v>0</v>
      </c>
      <c r="X1858">
        <v>28</v>
      </c>
      <c r="Y1858">
        <v>2</v>
      </c>
      <c r="Z1858">
        <v>0</v>
      </c>
      <c r="AA1858">
        <v>2</v>
      </c>
      <c r="AB1858" t="s">
        <v>36</v>
      </c>
      <c r="AC1858">
        <v>28</v>
      </c>
      <c r="AD1858">
        <v>2.98</v>
      </c>
    </row>
    <row r="1859" spans="1:30" x14ac:dyDescent="0.25">
      <c r="A1859" s="1">
        <v>44784.618842592594</v>
      </c>
      <c r="B1859" s="1">
        <v>44769.376736111109</v>
      </c>
      <c r="C1859">
        <v>12178</v>
      </c>
      <c r="D1859" t="s">
        <v>45</v>
      </c>
      <c r="E1859" t="s">
        <v>35</v>
      </c>
      <c r="F1859">
        <v>7</v>
      </c>
      <c r="G1859">
        <v>42.899563000000001</v>
      </c>
      <c r="H1859">
        <v>-71.464650000000006</v>
      </c>
      <c r="I1859">
        <v>301</v>
      </c>
      <c r="J1859">
        <v>85</v>
      </c>
      <c r="K1859">
        <v>0</v>
      </c>
      <c r="L1859" s="1">
        <v>44784.618784722225</v>
      </c>
      <c r="M1859">
        <v>3.8</v>
      </c>
      <c r="N1859">
        <v>3.1</v>
      </c>
      <c r="O1859">
        <v>0.7</v>
      </c>
      <c r="P1859">
        <v>20</v>
      </c>
      <c r="Q1859">
        <v>0</v>
      </c>
      <c r="R1859">
        <v>0</v>
      </c>
      <c r="S1859">
        <v>0</v>
      </c>
      <c r="T1859" t="s">
        <v>32</v>
      </c>
      <c r="V1859">
        <v>35</v>
      </c>
      <c r="W1859">
        <v>0</v>
      </c>
      <c r="X1859">
        <v>35</v>
      </c>
      <c r="Y1859">
        <v>0</v>
      </c>
      <c r="Z1859">
        <v>0</v>
      </c>
      <c r="AA1859">
        <v>0</v>
      </c>
      <c r="AB1859" t="s">
        <v>36</v>
      </c>
      <c r="AC1859">
        <v>35</v>
      </c>
    </row>
    <row r="1860" spans="1:30" x14ac:dyDescent="0.25">
      <c r="A1860" s="1">
        <v>44784.618842592594</v>
      </c>
      <c r="B1860" s="1">
        <v>44784.617048611108</v>
      </c>
      <c r="C1860">
        <v>75981</v>
      </c>
      <c r="D1860" t="s">
        <v>46</v>
      </c>
      <c r="E1860" t="s">
        <v>35</v>
      </c>
      <c r="F1860">
        <v>7</v>
      </c>
      <c r="G1860">
        <v>42.97</v>
      </c>
      <c r="H1860">
        <v>-71.06</v>
      </c>
      <c r="I1860">
        <v>136</v>
      </c>
      <c r="J1860">
        <v>88</v>
      </c>
      <c r="K1860">
        <v>0</v>
      </c>
      <c r="L1860" s="1">
        <v>44784.618784722225</v>
      </c>
      <c r="M1860">
        <v>10.1</v>
      </c>
      <c r="N1860">
        <v>9.1</v>
      </c>
      <c r="O1860">
        <v>1</v>
      </c>
      <c r="P1860">
        <v>10</v>
      </c>
      <c r="Q1860">
        <v>0.2</v>
      </c>
      <c r="R1860">
        <v>0</v>
      </c>
      <c r="S1860">
        <v>0.1</v>
      </c>
      <c r="T1860" t="s">
        <v>33</v>
      </c>
      <c r="U1860">
        <v>9.6</v>
      </c>
      <c r="V1860">
        <v>46</v>
      </c>
      <c r="W1860">
        <v>0</v>
      </c>
      <c r="X1860">
        <v>46</v>
      </c>
      <c r="Y1860">
        <v>2</v>
      </c>
      <c r="Z1860">
        <v>0</v>
      </c>
      <c r="AA1860">
        <v>2</v>
      </c>
      <c r="AB1860" t="s">
        <v>36</v>
      </c>
      <c r="AC1860">
        <v>46</v>
      </c>
      <c r="AD1860">
        <v>4.8</v>
      </c>
    </row>
    <row r="1861" spans="1:30" x14ac:dyDescent="0.25">
      <c r="A1861" s="1">
        <v>44784.618854166663</v>
      </c>
      <c r="B1861" s="1">
        <v>44784.617592592593</v>
      </c>
      <c r="C1861">
        <v>115703</v>
      </c>
      <c r="D1861" t="s">
        <v>47</v>
      </c>
      <c r="E1861" t="s">
        <v>35</v>
      </c>
      <c r="F1861">
        <v>7</v>
      </c>
      <c r="G1861">
        <v>43.953625000000002</v>
      </c>
      <c r="H1861">
        <v>-71.508859999999999</v>
      </c>
      <c r="I1861">
        <v>1493</v>
      </c>
      <c r="J1861">
        <v>93</v>
      </c>
      <c r="K1861">
        <v>0</v>
      </c>
      <c r="L1861" s="1">
        <v>44784.618784722225</v>
      </c>
      <c r="M1861">
        <v>0</v>
      </c>
      <c r="N1861">
        <v>192.7</v>
      </c>
      <c r="O1861">
        <v>192.7</v>
      </c>
      <c r="P1861">
        <v>200</v>
      </c>
      <c r="Q1861">
        <v>0</v>
      </c>
      <c r="R1861">
        <v>8</v>
      </c>
      <c r="S1861">
        <v>4</v>
      </c>
      <c r="T1861" t="s">
        <v>48</v>
      </c>
      <c r="V1861">
        <v>29</v>
      </c>
      <c r="W1861">
        <v>0</v>
      </c>
      <c r="X1861">
        <v>29</v>
      </c>
      <c r="Y1861">
        <v>2</v>
      </c>
      <c r="Z1861">
        <v>0</v>
      </c>
      <c r="AA1861">
        <v>2</v>
      </c>
      <c r="AB1861" t="s">
        <v>36</v>
      </c>
      <c r="AC1861">
        <v>29</v>
      </c>
    </row>
    <row r="1862" spans="1:30" x14ac:dyDescent="0.25">
      <c r="A1862" s="1">
        <v>44784.618854166663</v>
      </c>
      <c r="B1862" s="1">
        <v>44784.618391203701</v>
      </c>
      <c r="C1862">
        <v>12050</v>
      </c>
      <c r="D1862" t="s">
        <v>49</v>
      </c>
      <c r="E1862" t="s">
        <v>35</v>
      </c>
      <c r="F1862">
        <v>7</v>
      </c>
      <c r="G1862">
        <v>44.220573000000002</v>
      </c>
      <c r="H1862">
        <v>-71.732315</v>
      </c>
      <c r="I1862">
        <v>999</v>
      </c>
      <c r="J1862">
        <v>93</v>
      </c>
      <c r="K1862">
        <v>0</v>
      </c>
      <c r="L1862" s="1">
        <v>44784.618784722225</v>
      </c>
      <c r="M1862">
        <v>3.1</v>
      </c>
      <c r="N1862">
        <v>2.7</v>
      </c>
      <c r="O1862">
        <v>0.4</v>
      </c>
      <c r="P1862">
        <v>14</v>
      </c>
      <c r="Q1862">
        <v>0.1</v>
      </c>
      <c r="R1862">
        <v>0.1</v>
      </c>
      <c r="S1862">
        <v>0.1</v>
      </c>
      <c r="T1862" t="s">
        <v>33</v>
      </c>
      <c r="U1862">
        <v>2.9</v>
      </c>
      <c r="V1862">
        <v>32</v>
      </c>
      <c r="W1862">
        <v>0</v>
      </c>
      <c r="X1862">
        <v>32</v>
      </c>
      <c r="Y1862">
        <v>1</v>
      </c>
      <c r="Z1862">
        <v>0</v>
      </c>
      <c r="AA1862">
        <v>1</v>
      </c>
      <c r="AB1862" t="s">
        <v>36</v>
      </c>
      <c r="AC1862">
        <v>32</v>
      </c>
      <c r="AD1862">
        <v>1.69</v>
      </c>
    </row>
    <row r="1863" spans="1:30" x14ac:dyDescent="0.25">
      <c r="A1863" s="1">
        <v>44784.618854166663</v>
      </c>
      <c r="B1863" s="1">
        <v>44784.617129629631</v>
      </c>
      <c r="C1863">
        <v>23443</v>
      </c>
      <c r="D1863" t="s">
        <v>50</v>
      </c>
      <c r="E1863" t="s">
        <v>35</v>
      </c>
      <c r="F1863">
        <v>7</v>
      </c>
      <c r="G1863">
        <v>43.556139999999999</v>
      </c>
      <c r="H1863">
        <v>-72.370990000000006</v>
      </c>
      <c r="I1863">
        <v>523</v>
      </c>
      <c r="J1863">
        <v>107</v>
      </c>
      <c r="K1863">
        <v>0</v>
      </c>
      <c r="L1863" s="1">
        <v>44784.618784722225</v>
      </c>
      <c r="M1863">
        <v>3</v>
      </c>
      <c r="N1863">
        <v>2.5</v>
      </c>
      <c r="O1863">
        <v>0.5</v>
      </c>
      <c r="P1863">
        <v>18</v>
      </c>
      <c r="Q1863">
        <v>0</v>
      </c>
      <c r="R1863">
        <v>0.1</v>
      </c>
      <c r="S1863">
        <v>0.05</v>
      </c>
      <c r="T1863" t="s">
        <v>33</v>
      </c>
      <c r="U1863">
        <v>2.75</v>
      </c>
      <c r="V1863">
        <v>20</v>
      </c>
      <c r="W1863">
        <v>0</v>
      </c>
      <c r="X1863">
        <v>20</v>
      </c>
      <c r="Y1863">
        <v>1</v>
      </c>
      <c r="Z1863">
        <v>0</v>
      </c>
      <c r="AA1863">
        <v>1</v>
      </c>
      <c r="AB1863" t="s">
        <v>36</v>
      </c>
      <c r="AC1863">
        <v>20</v>
      </c>
      <c r="AD1863">
        <v>2.44</v>
      </c>
    </row>
    <row r="1864" spans="1:30" x14ac:dyDescent="0.25">
      <c r="A1864" s="1">
        <v>44784.61886574074</v>
      </c>
      <c r="B1864" s="1">
        <v>44784.618634259263</v>
      </c>
      <c r="C1864">
        <v>58135</v>
      </c>
      <c r="D1864" t="s">
        <v>51</v>
      </c>
      <c r="E1864" t="s">
        <v>35</v>
      </c>
      <c r="F1864">
        <v>7</v>
      </c>
      <c r="G1864">
        <v>42.883873000000001</v>
      </c>
      <c r="H1864">
        <v>-71.972915999999998</v>
      </c>
      <c r="I1864">
        <v>808</v>
      </c>
      <c r="J1864">
        <v>87</v>
      </c>
      <c r="K1864">
        <v>0</v>
      </c>
      <c r="L1864" s="1">
        <v>44784.618784722225</v>
      </c>
      <c r="M1864">
        <v>4.4000000000000004</v>
      </c>
      <c r="N1864">
        <v>2.7</v>
      </c>
      <c r="O1864">
        <v>1.7</v>
      </c>
      <c r="P1864">
        <v>48</v>
      </c>
      <c r="Q1864">
        <v>0</v>
      </c>
      <c r="R1864">
        <v>0.1</v>
      </c>
      <c r="S1864">
        <v>0.05</v>
      </c>
      <c r="T1864" t="s">
        <v>33</v>
      </c>
      <c r="U1864">
        <v>3.55</v>
      </c>
      <c r="V1864">
        <v>33</v>
      </c>
      <c r="W1864">
        <v>0</v>
      </c>
      <c r="X1864">
        <v>33</v>
      </c>
      <c r="Y1864">
        <v>2</v>
      </c>
      <c r="Z1864">
        <v>0</v>
      </c>
      <c r="AA1864">
        <v>2</v>
      </c>
      <c r="AB1864" t="s">
        <v>36</v>
      </c>
      <c r="AC1864">
        <v>33</v>
      </c>
      <c r="AD1864">
        <v>2.02</v>
      </c>
    </row>
    <row r="1865" spans="1:30" x14ac:dyDescent="0.25">
      <c r="A1865" s="1">
        <v>44784.61886574074</v>
      </c>
      <c r="B1865" s="1">
        <v>44784.618622685186</v>
      </c>
      <c r="C1865">
        <v>148555</v>
      </c>
      <c r="D1865" t="s">
        <v>52</v>
      </c>
      <c r="E1865" t="s">
        <v>53</v>
      </c>
      <c r="F1865">
        <v>7</v>
      </c>
      <c r="G1865">
        <v>42.904949999999999</v>
      </c>
      <c r="H1865">
        <v>-71.386764999999997</v>
      </c>
      <c r="I1865">
        <v>363</v>
      </c>
      <c r="J1865">
        <v>0</v>
      </c>
      <c r="K1865">
        <v>0</v>
      </c>
      <c r="L1865" s="1">
        <v>44784.618784722225</v>
      </c>
      <c r="M1865">
        <v>1.8</v>
      </c>
      <c r="N1865">
        <v>1.7</v>
      </c>
      <c r="O1865">
        <v>0.1</v>
      </c>
      <c r="P1865">
        <v>6</v>
      </c>
      <c r="Q1865">
        <v>0</v>
      </c>
      <c r="R1865">
        <v>0</v>
      </c>
      <c r="S1865">
        <v>0</v>
      </c>
      <c r="T1865" t="s">
        <v>33</v>
      </c>
      <c r="U1865">
        <v>1.75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 t="s">
        <v>38</v>
      </c>
    </row>
    <row r="1866" spans="1:30" x14ac:dyDescent="0.25">
      <c r="A1866" s="1">
        <v>44784.618877314817</v>
      </c>
      <c r="B1866" s="1">
        <v>44784.618113425924</v>
      </c>
      <c r="C1866">
        <v>146644</v>
      </c>
      <c r="D1866" t="s">
        <v>54</v>
      </c>
      <c r="E1866" t="s">
        <v>53</v>
      </c>
      <c r="F1866">
        <v>7</v>
      </c>
      <c r="G1866">
        <v>43.06015</v>
      </c>
      <c r="H1866">
        <v>-70.758930000000007</v>
      </c>
      <c r="I1866">
        <v>35</v>
      </c>
      <c r="J1866">
        <v>80</v>
      </c>
      <c r="K1866">
        <v>81</v>
      </c>
      <c r="L1866" s="1">
        <v>44784.618784722225</v>
      </c>
      <c r="M1866">
        <v>13.7</v>
      </c>
      <c r="N1866">
        <v>13.3</v>
      </c>
      <c r="O1866">
        <v>0.4</v>
      </c>
      <c r="P1866">
        <v>3</v>
      </c>
      <c r="Q1866">
        <v>0.4</v>
      </c>
      <c r="R1866">
        <v>0.2</v>
      </c>
      <c r="S1866">
        <v>0.3</v>
      </c>
      <c r="T1866" t="s">
        <v>33</v>
      </c>
      <c r="U1866">
        <v>13.5</v>
      </c>
      <c r="V1866">
        <v>53</v>
      </c>
      <c r="W1866">
        <v>58</v>
      </c>
      <c r="X1866">
        <v>5</v>
      </c>
      <c r="Y1866">
        <v>2</v>
      </c>
      <c r="Z1866">
        <v>2</v>
      </c>
      <c r="AA1866">
        <v>0</v>
      </c>
      <c r="AB1866" t="s">
        <v>33</v>
      </c>
      <c r="AC1866">
        <v>55.5</v>
      </c>
      <c r="AD1866">
        <v>6.51</v>
      </c>
    </row>
    <row r="1867" spans="1:30" x14ac:dyDescent="0.25">
      <c r="A1867" s="1">
        <v>44784.618877314817</v>
      </c>
      <c r="B1867" s="1">
        <v>43755.283437500002</v>
      </c>
      <c r="C1867">
        <v>12188</v>
      </c>
      <c r="D1867" t="s">
        <v>55</v>
      </c>
      <c r="E1867" t="s">
        <v>35</v>
      </c>
      <c r="F1867">
        <v>4.1100000000000003</v>
      </c>
      <c r="G1867">
        <v>42.927050000000001</v>
      </c>
      <c r="H1867">
        <v>-72.279610000000005</v>
      </c>
      <c r="I1867">
        <v>475</v>
      </c>
      <c r="J1867">
        <v>95</v>
      </c>
      <c r="K1867">
        <v>0</v>
      </c>
      <c r="L1867" s="1">
        <v>44784.618784722225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 t="s">
        <v>32</v>
      </c>
      <c r="V1867">
        <v>77</v>
      </c>
      <c r="W1867">
        <v>0</v>
      </c>
      <c r="X1867">
        <v>77</v>
      </c>
      <c r="Y1867">
        <v>0</v>
      </c>
      <c r="Z1867">
        <v>0</v>
      </c>
      <c r="AA1867">
        <v>0</v>
      </c>
      <c r="AB1867" t="s">
        <v>36</v>
      </c>
      <c r="AC1867">
        <v>77</v>
      </c>
    </row>
    <row r="1868" spans="1:30" x14ac:dyDescent="0.25">
      <c r="A1868" s="1">
        <v>44784.618877314817</v>
      </c>
      <c r="B1868" s="1">
        <v>44784.618506944447</v>
      </c>
      <c r="C1868">
        <v>1224</v>
      </c>
      <c r="D1868" t="s">
        <v>56</v>
      </c>
      <c r="E1868" t="s">
        <v>35</v>
      </c>
      <c r="F1868" t="s">
        <v>57</v>
      </c>
      <c r="G1868">
        <v>42.938034000000002</v>
      </c>
      <c r="H1868">
        <v>-72.259299999999996</v>
      </c>
      <c r="I1868">
        <v>792</v>
      </c>
      <c r="J1868">
        <v>92</v>
      </c>
      <c r="K1868">
        <v>0</v>
      </c>
      <c r="L1868" s="1">
        <v>44784.618784722225</v>
      </c>
      <c r="M1868">
        <v>5</v>
      </c>
      <c r="N1868">
        <v>0</v>
      </c>
      <c r="O1868">
        <v>5</v>
      </c>
      <c r="P1868">
        <v>200</v>
      </c>
      <c r="Q1868">
        <v>0.2</v>
      </c>
      <c r="R1868">
        <v>0</v>
      </c>
      <c r="S1868">
        <v>0.1</v>
      </c>
      <c r="T1868" t="s">
        <v>43</v>
      </c>
      <c r="V1868">
        <v>36</v>
      </c>
      <c r="W1868">
        <v>0</v>
      </c>
      <c r="X1868">
        <v>36</v>
      </c>
      <c r="Y1868">
        <v>0</v>
      </c>
      <c r="Z1868">
        <v>0</v>
      </c>
      <c r="AA1868">
        <v>0</v>
      </c>
      <c r="AB1868" t="s">
        <v>36</v>
      </c>
      <c r="AC1868">
        <v>36</v>
      </c>
    </row>
    <row r="1869" spans="1:30" x14ac:dyDescent="0.25">
      <c r="A1869" s="1">
        <v>44784.618888888886</v>
      </c>
      <c r="B1869" s="1">
        <v>44784.617939814816</v>
      </c>
      <c r="C1869">
        <v>1202</v>
      </c>
      <c r="D1869" t="s">
        <v>58</v>
      </c>
      <c r="E1869" t="s">
        <v>35</v>
      </c>
      <c r="F1869" t="s">
        <v>57</v>
      </c>
      <c r="G1869">
        <v>42.936554000000001</v>
      </c>
      <c r="H1869">
        <v>-72.271019999999993</v>
      </c>
      <c r="I1869">
        <v>488</v>
      </c>
      <c r="J1869">
        <v>0</v>
      </c>
      <c r="K1869">
        <v>0</v>
      </c>
      <c r="L1869" s="1">
        <v>44784.618784722225</v>
      </c>
      <c r="M1869">
        <v>5.2</v>
      </c>
      <c r="N1869">
        <v>4.7</v>
      </c>
      <c r="O1869">
        <v>0.5</v>
      </c>
      <c r="P1869">
        <v>10</v>
      </c>
      <c r="Q1869">
        <v>0</v>
      </c>
      <c r="R1869">
        <v>0.1</v>
      </c>
      <c r="S1869">
        <v>0.05</v>
      </c>
      <c r="T1869" t="s">
        <v>33</v>
      </c>
      <c r="U1869">
        <v>4.95</v>
      </c>
      <c r="V1869">
        <v>0</v>
      </c>
      <c r="W1869">
        <v>0</v>
      </c>
      <c r="X1869">
        <v>0</v>
      </c>
      <c r="Y1869">
        <v>0</v>
      </c>
      <c r="Z1869">
        <v>0</v>
      </c>
      <c r="AA1869">
        <v>0</v>
      </c>
      <c r="AB1869" t="s">
        <v>38</v>
      </c>
    </row>
    <row r="1870" spans="1:30" x14ac:dyDescent="0.25">
      <c r="A1870" s="1">
        <v>44784.618888888886</v>
      </c>
      <c r="B1870" s="1">
        <v>44612.080023148148</v>
      </c>
      <c r="C1870">
        <v>25985</v>
      </c>
      <c r="D1870" t="s">
        <v>59</v>
      </c>
      <c r="E1870" t="s">
        <v>35</v>
      </c>
      <c r="F1870">
        <v>6.01</v>
      </c>
      <c r="G1870">
        <v>42.927326000000001</v>
      </c>
      <c r="H1870">
        <v>-72.279979999999995</v>
      </c>
      <c r="I1870">
        <v>477</v>
      </c>
      <c r="J1870">
        <v>78</v>
      </c>
      <c r="K1870">
        <v>0</v>
      </c>
      <c r="L1870" s="1">
        <v>44784.618784722225</v>
      </c>
      <c r="M1870">
        <v>1.1000000000000001</v>
      </c>
      <c r="N1870">
        <v>1</v>
      </c>
      <c r="O1870">
        <v>0.1</v>
      </c>
      <c r="P1870">
        <v>10</v>
      </c>
      <c r="Q1870">
        <v>0</v>
      </c>
      <c r="R1870">
        <v>0</v>
      </c>
      <c r="S1870">
        <v>0</v>
      </c>
      <c r="T1870" t="s">
        <v>32</v>
      </c>
      <c r="V1870">
        <v>22</v>
      </c>
      <c r="W1870">
        <v>0</v>
      </c>
      <c r="X1870">
        <v>22</v>
      </c>
      <c r="Y1870">
        <v>0</v>
      </c>
      <c r="Z1870">
        <v>0</v>
      </c>
      <c r="AA1870">
        <v>0</v>
      </c>
      <c r="AB1870" t="s">
        <v>36</v>
      </c>
      <c r="AC1870">
        <v>22</v>
      </c>
    </row>
    <row r="1871" spans="1:30" x14ac:dyDescent="0.25">
      <c r="A1871" s="1">
        <v>44784.625752314816</v>
      </c>
      <c r="B1871" s="1">
        <v>44775.701319444444</v>
      </c>
      <c r="C1871">
        <v>151708</v>
      </c>
      <c r="D1871" t="s">
        <v>30</v>
      </c>
      <c r="E1871" t="s">
        <v>31</v>
      </c>
      <c r="F1871">
        <v>7</v>
      </c>
      <c r="G1871">
        <v>43.192042999999998</v>
      </c>
      <c r="H1871">
        <v>-71.541579999999996</v>
      </c>
      <c r="I1871">
        <v>291</v>
      </c>
      <c r="J1871">
        <v>93</v>
      </c>
      <c r="K1871">
        <v>94</v>
      </c>
      <c r="L1871" s="1">
        <v>44784.62572916667</v>
      </c>
      <c r="M1871">
        <v>7.9</v>
      </c>
      <c r="N1871">
        <v>7.6</v>
      </c>
      <c r="O1871">
        <v>0.3</v>
      </c>
      <c r="P1871">
        <v>4</v>
      </c>
      <c r="Q1871">
        <v>0</v>
      </c>
      <c r="R1871">
        <v>0</v>
      </c>
      <c r="S1871">
        <v>0</v>
      </c>
      <c r="T1871" t="s">
        <v>32</v>
      </c>
      <c r="V1871">
        <v>42</v>
      </c>
      <c r="W1871">
        <v>41</v>
      </c>
      <c r="X1871">
        <v>1</v>
      </c>
      <c r="Y1871">
        <v>0</v>
      </c>
      <c r="Z1871">
        <v>0</v>
      </c>
      <c r="AA1871">
        <v>0</v>
      </c>
      <c r="AB1871" t="s">
        <v>33</v>
      </c>
      <c r="AC1871">
        <v>41.5</v>
      </c>
    </row>
    <row r="1872" spans="1:30" x14ac:dyDescent="0.25">
      <c r="A1872" s="1">
        <v>44784.625752314816</v>
      </c>
      <c r="B1872" s="1">
        <v>44784.624108796299</v>
      </c>
      <c r="C1872">
        <v>143456</v>
      </c>
      <c r="D1872" t="s">
        <v>34</v>
      </c>
      <c r="E1872" t="s">
        <v>35</v>
      </c>
      <c r="F1872">
        <v>7</v>
      </c>
      <c r="G1872">
        <v>43.08963</v>
      </c>
      <c r="H1872">
        <v>-71.502440000000007</v>
      </c>
      <c r="I1872">
        <v>619</v>
      </c>
      <c r="J1872">
        <v>85</v>
      </c>
      <c r="K1872">
        <v>0</v>
      </c>
      <c r="L1872" s="1">
        <v>44784.62572916667</v>
      </c>
      <c r="M1872">
        <v>3.8</v>
      </c>
      <c r="N1872">
        <v>4.3</v>
      </c>
      <c r="O1872">
        <v>0.5</v>
      </c>
      <c r="P1872">
        <v>12</v>
      </c>
      <c r="Q1872">
        <v>0.1</v>
      </c>
      <c r="R1872">
        <v>0</v>
      </c>
      <c r="S1872">
        <v>0.05</v>
      </c>
      <c r="T1872" t="s">
        <v>33</v>
      </c>
      <c r="U1872">
        <v>4.05</v>
      </c>
      <c r="V1872">
        <v>46</v>
      </c>
      <c r="W1872">
        <v>0</v>
      </c>
      <c r="X1872">
        <v>46</v>
      </c>
      <c r="Y1872">
        <v>3</v>
      </c>
      <c r="Z1872">
        <v>0</v>
      </c>
      <c r="AA1872">
        <v>3</v>
      </c>
      <c r="AB1872" t="s">
        <v>36</v>
      </c>
      <c r="AC1872">
        <v>46</v>
      </c>
      <c r="AD1872">
        <v>1.41</v>
      </c>
    </row>
    <row r="1873" spans="1:30" x14ac:dyDescent="0.25">
      <c r="A1873" s="1">
        <v>44784.625752314816</v>
      </c>
      <c r="B1873" s="1">
        <v>44784.624259259261</v>
      </c>
      <c r="C1873">
        <v>151702</v>
      </c>
      <c r="D1873" t="s">
        <v>37</v>
      </c>
      <c r="E1873" t="s">
        <v>31</v>
      </c>
      <c r="F1873">
        <v>7</v>
      </c>
      <c r="G1873">
        <v>43.118609999999997</v>
      </c>
      <c r="H1873">
        <v>-71.61618</v>
      </c>
      <c r="I1873">
        <v>885</v>
      </c>
      <c r="J1873">
        <v>0</v>
      </c>
      <c r="K1873">
        <v>0</v>
      </c>
      <c r="L1873" s="1">
        <v>44784.62572916667</v>
      </c>
      <c r="M1873">
        <v>2.2999999999999998</v>
      </c>
      <c r="N1873">
        <v>2.2000000000000002</v>
      </c>
      <c r="O1873">
        <v>0.1</v>
      </c>
      <c r="P1873">
        <v>4</v>
      </c>
      <c r="Q1873">
        <v>0.1</v>
      </c>
      <c r="R1873">
        <v>0.2</v>
      </c>
      <c r="S1873">
        <v>0.15</v>
      </c>
      <c r="T1873" t="s">
        <v>33</v>
      </c>
      <c r="U1873">
        <v>2.25</v>
      </c>
      <c r="V1873">
        <v>0</v>
      </c>
      <c r="W1873">
        <v>0</v>
      </c>
      <c r="X1873">
        <v>0</v>
      </c>
      <c r="Y1873">
        <v>0</v>
      </c>
      <c r="Z1873">
        <v>0</v>
      </c>
      <c r="AA1873">
        <v>0</v>
      </c>
      <c r="AB1873" t="s">
        <v>38</v>
      </c>
    </row>
    <row r="1874" spans="1:30" x14ac:dyDescent="0.25">
      <c r="A1874" s="1">
        <v>44784.625763888886</v>
      </c>
      <c r="B1874" s="1">
        <v>44784.624155092592</v>
      </c>
      <c r="C1874">
        <v>151700</v>
      </c>
      <c r="D1874" t="s">
        <v>30</v>
      </c>
      <c r="E1874" t="s">
        <v>31</v>
      </c>
      <c r="F1874">
        <v>7</v>
      </c>
      <c r="G1874">
        <v>43.19211</v>
      </c>
      <c r="H1874">
        <v>-71.541460000000001</v>
      </c>
      <c r="I1874">
        <v>286</v>
      </c>
      <c r="J1874">
        <v>85</v>
      </c>
      <c r="K1874">
        <v>0</v>
      </c>
      <c r="L1874" s="1">
        <v>44784.62572916667</v>
      </c>
      <c r="M1874">
        <v>2</v>
      </c>
      <c r="N1874">
        <v>2.5</v>
      </c>
      <c r="O1874">
        <v>0.5</v>
      </c>
      <c r="P1874">
        <v>22</v>
      </c>
      <c r="Q1874">
        <v>0.1</v>
      </c>
      <c r="R1874">
        <v>0.1</v>
      </c>
      <c r="S1874">
        <v>0.1</v>
      </c>
      <c r="T1874" t="s">
        <v>33</v>
      </c>
      <c r="U1874">
        <v>2.25</v>
      </c>
      <c r="V1874">
        <v>40</v>
      </c>
      <c r="W1874">
        <v>0</v>
      </c>
      <c r="X1874">
        <v>40</v>
      </c>
      <c r="Y1874">
        <v>1</v>
      </c>
      <c r="Z1874">
        <v>0</v>
      </c>
      <c r="AA1874">
        <v>1</v>
      </c>
      <c r="AB1874" t="s">
        <v>36</v>
      </c>
      <c r="AC1874">
        <v>40</v>
      </c>
      <c r="AD1874">
        <v>0.73</v>
      </c>
    </row>
    <row r="1875" spans="1:30" x14ac:dyDescent="0.25">
      <c r="A1875" s="1">
        <v>44784.625763888886</v>
      </c>
      <c r="B1875" s="1">
        <v>44784.624583333331</v>
      </c>
      <c r="C1875">
        <v>135984</v>
      </c>
      <c r="D1875" t="s">
        <v>39</v>
      </c>
      <c r="E1875" t="s">
        <v>31</v>
      </c>
      <c r="F1875">
        <v>7</v>
      </c>
      <c r="G1875">
        <v>43.565852999999997</v>
      </c>
      <c r="H1875">
        <v>-71.496129999999994</v>
      </c>
      <c r="I1875">
        <v>708</v>
      </c>
      <c r="J1875">
        <v>89</v>
      </c>
      <c r="K1875">
        <v>0</v>
      </c>
      <c r="L1875" s="1">
        <v>44784.62572916667</v>
      </c>
      <c r="M1875">
        <v>2.8</v>
      </c>
      <c r="N1875">
        <v>2.4</v>
      </c>
      <c r="O1875">
        <v>0.4</v>
      </c>
      <c r="P1875">
        <v>15</v>
      </c>
      <c r="Q1875">
        <v>0</v>
      </c>
      <c r="R1875">
        <v>0.1</v>
      </c>
      <c r="S1875">
        <v>0.05</v>
      </c>
      <c r="T1875" t="s">
        <v>33</v>
      </c>
      <c r="U1875">
        <v>2.6</v>
      </c>
      <c r="V1875">
        <v>46</v>
      </c>
      <c r="W1875">
        <v>0</v>
      </c>
      <c r="X1875">
        <v>46</v>
      </c>
      <c r="Y1875">
        <v>1</v>
      </c>
      <c r="Z1875">
        <v>0</v>
      </c>
      <c r="AA1875">
        <v>1</v>
      </c>
      <c r="AB1875" t="s">
        <v>36</v>
      </c>
      <c r="AC1875">
        <v>46</v>
      </c>
      <c r="AD1875">
        <v>0.53</v>
      </c>
    </row>
    <row r="1876" spans="1:30" x14ac:dyDescent="0.25">
      <c r="A1876" s="1">
        <v>44784.625775462962</v>
      </c>
      <c r="B1876" s="1">
        <v>44780.394780092596</v>
      </c>
      <c r="C1876">
        <v>151712</v>
      </c>
      <c r="D1876" t="s">
        <v>40</v>
      </c>
      <c r="E1876" t="s">
        <v>31</v>
      </c>
      <c r="F1876">
        <v>7</v>
      </c>
      <c r="G1876">
        <v>43.289763999999998</v>
      </c>
      <c r="H1876">
        <v>-71.564260000000004</v>
      </c>
      <c r="I1876">
        <v>370</v>
      </c>
      <c r="J1876">
        <v>86</v>
      </c>
      <c r="K1876">
        <v>0</v>
      </c>
      <c r="L1876" s="1">
        <v>44784.62572916667</v>
      </c>
      <c r="M1876">
        <v>14</v>
      </c>
      <c r="N1876">
        <v>13.2</v>
      </c>
      <c r="O1876">
        <v>0.8</v>
      </c>
      <c r="P1876">
        <v>6</v>
      </c>
      <c r="Q1876">
        <v>0</v>
      </c>
      <c r="R1876">
        <v>0</v>
      </c>
      <c r="S1876">
        <v>0</v>
      </c>
      <c r="T1876" t="s">
        <v>32</v>
      </c>
      <c r="V1876">
        <v>59</v>
      </c>
      <c r="W1876">
        <v>0</v>
      </c>
      <c r="X1876">
        <v>59</v>
      </c>
      <c r="Y1876">
        <v>0</v>
      </c>
      <c r="Z1876">
        <v>0</v>
      </c>
      <c r="AA1876">
        <v>0</v>
      </c>
      <c r="AB1876" t="s">
        <v>36</v>
      </c>
      <c r="AC1876">
        <v>59</v>
      </c>
    </row>
    <row r="1877" spans="1:30" x14ac:dyDescent="0.25">
      <c r="A1877" s="1">
        <v>44784.625775462962</v>
      </c>
      <c r="B1877" s="1">
        <v>44784.623900462961</v>
      </c>
      <c r="C1877">
        <v>151710</v>
      </c>
      <c r="D1877" t="s">
        <v>41</v>
      </c>
      <c r="E1877" t="s">
        <v>31</v>
      </c>
      <c r="F1877">
        <v>7</v>
      </c>
      <c r="G1877">
        <v>43.132477000000002</v>
      </c>
      <c r="H1877">
        <v>-71.458374000000006</v>
      </c>
      <c r="I1877">
        <v>230</v>
      </c>
      <c r="J1877">
        <v>90</v>
      </c>
      <c r="K1877">
        <v>0</v>
      </c>
      <c r="L1877" s="1">
        <v>44784.62572916667</v>
      </c>
      <c r="M1877">
        <v>5.8</v>
      </c>
      <c r="N1877">
        <v>4.4000000000000004</v>
      </c>
      <c r="O1877">
        <v>1.4</v>
      </c>
      <c r="P1877">
        <v>27</v>
      </c>
      <c r="Q1877">
        <v>0.2</v>
      </c>
      <c r="R1877">
        <v>0</v>
      </c>
      <c r="S1877">
        <v>0.1</v>
      </c>
      <c r="T1877" t="s">
        <v>33</v>
      </c>
      <c r="U1877">
        <v>5.0999999999999996</v>
      </c>
      <c r="V1877">
        <v>34</v>
      </c>
      <c r="W1877">
        <v>0</v>
      </c>
      <c r="X1877">
        <v>34</v>
      </c>
      <c r="Y1877">
        <v>1</v>
      </c>
      <c r="Z1877">
        <v>0</v>
      </c>
      <c r="AA1877">
        <v>1</v>
      </c>
      <c r="AB1877" t="s">
        <v>36</v>
      </c>
      <c r="AC1877">
        <v>34</v>
      </c>
      <c r="AD1877">
        <v>2.89</v>
      </c>
    </row>
    <row r="1878" spans="1:30" x14ac:dyDescent="0.25">
      <c r="A1878" s="1">
        <v>44784.625775462962</v>
      </c>
      <c r="B1878" s="1">
        <v>44784.624930555554</v>
      </c>
      <c r="C1878">
        <v>151706</v>
      </c>
      <c r="D1878" t="s">
        <v>42</v>
      </c>
      <c r="E1878" t="s">
        <v>31</v>
      </c>
      <c r="F1878">
        <v>7</v>
      </c>
      <c r="G1878">
        <v>43.004080000000002</v>
      </c>
      <c r="H1878">
        <v>-71.177040000000005</v>
      </c>
      <c r="I1878">
        <v>194</v>
      </c>
      <c r="J1878">
        <v>89</v>
      </c>
      <c r="K1878">
        <v>0</v>
      </c>
      <c r="L1878" s="1">
        <v>44784.62572916667</v>
      </c>
      <c r="M1878">
        <v>4.5</v>
      </c>
      <c r="N1878">
        <v>0</v>
      </c>
      <c r="O1878">
        <v>4.5</v>
      </c>
      <c r="P1878">
        <v>200</v>
      </c>
      <c r="Q1878">
        <v>0.5</v>
      </c>
      <c r="R1878">
        <v>0</v>
      </c>
      <c r="S1878">
        <v>0.25</v>
      </c>
      <c r="T1878" t="s">
        <v>43</v>
      </c>
      <c r="V1878">
        <v>40</v>
      </c>
      <c r="W1878">
        <v>0</v>
      </c>
      <c r="X1878">
        <v>40</v>
      </c>
      <c r="Y1878">
        <v>2</v>
      </c>
      <c r="Z1878">
        <v>0</v>
      </c>
      <c r="AA1878">
        <v>2</v>
      </c>
      <c r="AB1878" t="s">
        <v>36</v>
      </c>
      <c r="AC1878">
        <v>40</v>
      </c>
    </row>
    <row r="1879" spans="1:30" x14ac:dyDescent="0.25">
      <c r="A1879" s="1">
        <v>44784.625787037039</v>
      </c>
      <c r="B1879" s="1">
        <v>44784.624722222223</v>
      </c>
      <c r="C1879">
        <v>12212</v>
      </c>
      <c r="D1879" t="s">
        <v>44</v>
      </c>
      <c r="E1879" t="s">
        <v>35</v>
      </c>
      <c r="F1879">
        <v>7</v>
      </c>
      <c r="G1879">
        <v>42.930529999999997</v>
      </c>
      <c r="H1879">
        <v>-72.272350000000003</v>
      </c>
      <c r="I1879">
        <v>476</v>
      </c>
      <c r="J1879">
        <v>92</v>
      </c>
      <c r="K1879">
        <v>0</v>
      </c>
      <c r="L1879" s="1">
        <v>44784.62572916667</v>
      </c>
      <c r="M1879">
        <v>4.9000000000000004</v>
      </c>
      <c r="N1879">
        <v>4.4000000000000004</v>
      </c>
      <c r="O1879">
        <v>0.5</v>
      </c>
      <c r="P1879">
        <v>11</v>
      </c>
      <c r="Q1879">
        <v>0</v>
      </c>
      <c r="R1879">
        <v>0.2</v>
      </c>
      <c r="S1879">
        <v>0.1</v>
      </c>
      <c r="T1879" t="s">
        <v>33</v>
      </c>
      <c r="U1879">
        <v>4.6500000000000004</v>
      </c>
      <c r="V1879">
        <v>30</v>
      </c>
      <c r="W1879">
        <v>0</v>
      </c>
      <c r="X1879">
        <v>30</v>
      </c>
      <c r="Y1879">
        <v>2</v>
      </c>
      <c r="Z1879">
        <v>0</v>
      </c>
      <c r="AA1879">
        <v>2</v>
      </c>
      <c r="AB1879" t="s">
        <v>36</v>
      </c>
      <c r="AC1879">
        <v>30</v>
      </c>
      <c r="AD1879">
        <v>2.9</v>
      </c>
    </row>
    <row r="1880" spans="1:30" x14ac:dyDescent="0.25">
      <c r="A1880" s="1">
        <v>44784.625787037039</v>
      </c>
      <c r="B1880" s="1">
        <v>44769.376736111109</v>
      </c>
      <c r="C1880">
        <v>12178</v>
      </c>
      <c r="D1880" t="s">
        <v>45</v>
      </c>
      <c r="E1880" t="s">
        <v>35</v>
      </c>
      <c r="F1880">
        <v>7</v>
      </c>
      <c r="G1880">
        <v>42.899563000000001</v>
      </c>
      <c r="H1880">
        <v>-71.464650000000006</v>
      </c>
      <c r="I1880">
        <v>301</v>
      </c>
      <c r="J1880">
        <v>85</v>
      </c>
      <c r="K1880">
        <v>0</v>
      </c>
      <c r="L1880" s="1">
        <v>44784.62572916667</v>
      </c>
      <c r="M1880">
        <v>3.8</v>
      </c>
      <c r="N1880">
        <v>3.1</v>
      </c>
      <c r="O1880">
        <v>0.7</v>
      </c>
      <c r="P1880">
        <v>20</v>
      </c>
      <c r="Q1880">
        <v>0</v>
      </c>
      <c r="R1880">
        <v>0</v>
      </c>
      <c r="S1880">
        <v>0</v>
      </c>
      <c r="T1880" t="s">
        <v>32</v>
      </c>
      <c r="V1880">
        <v>35</v>
      </c>
      <c r="W1880">
        <v>0</v>
      </c>
      <c r="X1880">
        <v>35</v>
      </c>
      <c r="Y1880">
        <v>0</v>
      </c>
      <c r="Z1880">
        <v>0</v>
      </c>
      <c r="AA1880">
        <v>0</v>
      </c>
      <c r="AB1880" t="s">
        <v>36</v>
      </c>
      <c r="AC1880">
        <v>35</v>
      </c>
    </row>
    <row r="1881" spans="1:30" x14ac:dyDescent="0.25">
      <c r="A1881" s="1">
        <v>44784.625787037039</v>
      </c>
      <c r="B1881" s="1">
        <v>44784.62400462963</v>
      </c>
      <c r="C1881">
        <v>75981</v>
      </c>
      <c r="D1881" t="s">
        <v>46</v>
      </c>
      <c r="E1881" t="s">
        <v>35</v>
      </c>
      <c r="F1881">
        <v>7</v>
      </c>
      <c r="G1881">
        <v>42.97</v>
      </c>
      <c r="H1881">
        <v>-71.06</v>
      </c>
      <c r="I1881">
        <v>136</v>
      </c>
      <c r="J1881">
        <v>89</v>
      </c>
      <c r="K1881">
        <v>0</v>
      </c>
      <c r="L1881" s="1">
        <v>44784.62572916667</v>
      </c>
      <c r="M1881">
        <v>10.5</v>
      </c>
      <c r="N1881">
        <v>9.4</v>
      </c>
      <c r="O1881">
        <v>1.1000000000000001</v>
      </c>
      <c r="P1881">
        <v>11</v>
      </c>
      <c r="Q1881">
        <v>0.4</v>
      </c>
      <c r="R1881">
        <v>0.3</v>
      </c>
      <c r="S1881">
        <v>0.35</v>
      </c>
      <c r="T1881" t="s">
        <v>33</v>
      </c>
      <c r="U1881">
        <v>9.9499999999999993</v>
      </c>
      <c r="V1881">
        <v>45</v>
      </c>
      <c r="W1881">
        <v>0</v>
      </c>
      <c r="X1881">
        <v>45</v>
      </c>
      <c r="Y1881">
        <v>1</v>
      </c>
      <c r="Z1881">
        <v>0</v>
      </c>
      <c r="AA1881">
        <v>1</v>
      </c>
      <c r="AB1881" t="s">
        <v>36</v>
      </c>
      <c r="AC1881">
        <v>45</v>
      </c>
      <c r="AD1881">
        <v>5.08</v>
      </c>
    </row>
    <row r="1882" spans="1:30" x14ac:dyDescent="0.25">
      <c r="A1882" s="1">
        <v>44784.625798611109</v>
      </c>
      <c r="B1882" s="1">
        <v>44784.624537037038</v>
      </c>
      <c r="C1882">
        <v>115703</v>
      </c>
      <c r="D1882" t="s">
        <v>47</v>
      </c>
      <c r="E1882" t="s">
        <v>35</v>
      </c>
      <c r="F1882">
        <v>7</v>
      </c>
      <c r="G1882">
        <v>43.953625000000002</v>
      </c>
      <c r="H1882">
        <v>-71.508859999999999</v>
      </c>
      <c r="I1882">
        <v>1493</v>
      </c>
      <c r="J1882">
        <v>89</v>
      </c>
      <c r="K1882">
        <v>0</v>
      </c>
      <c r="L1882" s="1">
        <v>44784.62572916667</v>
      </c>
      <c r="M1882">
        <v>0</v>
      </c>
      <c r="N1882">
        <v>113.8</v>
      </c>
      <c r="O1882">
        <v>113.8</v>
      </c>
      <c r="P1882">
        <v>200</v>
      </c>
      <c r="Q1882">
        <v>0</v>
      </c>
      <c r="R1882">
        <v>78.900000000000006</v>
      </c>
      <c r="S1882">
        <v>39.450000000000003</v>
      </c>
      <c r="T1882" t="s">
        <v>48</v>
      </c>
      <c r="V1882">
        <v>30</v>
      </c>
      <c r="W1882">
        <v>0</v>
      </c>
      <c r="X1882">
        <v>30</v>
      </c>
      <c r="Y1882">
        <v>1</v>
      </c>
      <c r="Z1882">
        <v>0</v>
      </c>
      <c r="AA1882">
        <v>1</v>
      </c>
      <c r="AB1882" t="s">
        <v>36</v>
      </c>
      <c r="AC1882">
        <v>30</v>
      </c>
    </row>
    <row r="1883" spans="1:30" x14ac:dyDescent="0.25">
      <c r="A1883" s="1">
        <v>44784.625844907408</v>
      </c>
      <c r="B1883" s="1">
        <v>44784.625347222223</v>
      </c>
      <c r="C1883">
        <v>12050</v>
      </c>
      <c r="D1883" t="s">
        <v>49</v>
      </c>
      <c r="E1883" t="s">
        <v>35</v>
      </c>
      <c r="F1883">
        <v>7</v>
      </c>
      <c r="G1883">
        <v>44.220573000000002</v>
      </c>
      <c r="H1883">
        <v>-71.732315</v>
      </c>
      <c r="I1883">
        <v>999</v>
      </c>
      <c r="J1883">
        <v>94</v>
      </c>
      <c r="K1883">
        <v>0</v>
      </c>
      <c r="L1883" s="1">
        <v>44784.62572916667</v>
      </c>
      <c r="M1883">
        <v>3.1</v>
      </c>
      <c r="N1883">
        <v>2.8</v>
      </c>
      <c r="O1883">
        <v>0.3</v>
      </c>
      <c r="P1883">
        <v>10</v>
      </c>
      <c r="Q1883">
        <v>0</v>
      </c>
      <c r="R1883">
        <v>0.1</v>
      </c>
      <c r="S1883">
        <v>0.05</v>
      </c>
      <c r="T1883" t="s">
        <v>33</v>
      </c>
      <c r="U1883">
        <v>2.95</v>
      </c>
      <c r="V1883">
        <v>31</v>
      </c>
      <c r="W1883">
        <v>0</v>
      </c>
      <c r="X1883">
        <v>31</v>
      </c>
      <c r="Y1883">
        <v>1</v>
      </c>
      <c r="Z1883">
        <v>0</v>
      </c>
      <c r="AA1883">
        <v>1</v>
      </c>
      <c r="AB1883" t="s">
        <v>36</v>
      </c>
      <c r="AC1883">
        <v>31</v>
      </c>
      <c r="AD1883">
        <v>1.79</v>
      </c>
    </row>
    <row r="1884" spans="1:30" x14ac:dyDescent="0.25">
      <c r="A1884" s="1">
        <v>44784.625844907408</v>
      </c>
      <c r="B1884" s="1">
        <v>44784.625462962962</v>
      </c>
      <c r="C1884">
        <v>23443</v>
      </c>
      <c r="D1884" t="s">
        <v>50</v>
      </c>
      <c r="E1884" t="s">
        <v>35</v>
      </c>
      <c r="F1884">
        <v>7</v>
      </c>
      <c r="G1884">
        <v>43.556139999999999</v>
      </c>
      <c r="H1884">
        <v>-72.370990000000006</v>
      </c>
      <c r="I1884">
        <v>523</v>
      </c>
      <c r="J1884">
        <v>107</v>
      </c>
      <c r="K1884">
        <v>0</v>
      </c>
      <c r="L1884" s="1">
        <v>44784.62572916667</v>
      </c>
      <c r="M1884">
        <v>3</v>
      </c>
      <c r="N1884">
        <v>2.6</v>
      </c>
      <c r="O1884">
        <v>0.4</v>
      </c>
      <c r="P1884">
        <v>14</v>
      </c>
      <c r="Q1884">
        <v>0</v>
      </c>
      <c r="R1884">
        <v>0.1</v>
      </c>
      <c r="S1884">
        <v>0.05</v>
      </c>
      <c r="T1884" t="s">
        <v>33</v>
      </c>
      <c r="U1884">
        <v>2.8</v>
      </c>
      <c r="V1884">
        <v>19</v>
      </c>
      <c r="W1884">
        <v>0</v>
      </c>
      <c r="X1884">
        <v>19</v>
      </c>
      <c r="Y1884">
        <v>1</v>
      </c>
      <c r="Z1884">
        <v>0</v>
      </c>
      <c r="AA1884">
        <v>1</v>
      </c>
      <c r="AB1884" t="s">
        <v>36</v>
      </c>
      <c r="AC1884">
        <v>19</v>
      </c>
      <c r="AD1884">
        <v>2.54</v>
      </c>
    </row>
    <row r="1885" spans="1:30" x14ac:dyDescent="0.25">
      <c r="A1885" s="1">
        <v>44784.625856481478</v>
      </c>
      <c r="B1885" s="1">
        <v>44784.625567129631</v>
      </c>
      <c r="C1885">
        <v>58135</v>
      </c>
      <c r="D1885" t="s">
        <v>51</v>
      </c>
      <c r="E1885" t="s">
        <v>35</v>
      </c>
      <c r="F1885">
        <v>7</v>
      </c>
      <c r="G1885">
        <v>42.883873000000001</v>
      </c>
      <c r="H1885">
        <v>-71.972915999999998</v>
      </c>
      <c r="I1885">
        <v>808</v>
      </c>
      <c r="J1885">
        <v>89</v>
      </c>
      <c r="K1885">
        <v>0</v>
      </c>
      <c r="L1885" s="1">
        <v>44784.62572916667</v>
      </c>
      <c r="M1885">
        <v>4.2</v>
      </c>
      <c r="N1885">
        <v>2.5</v>
      </c>
      <c r="O1885">
        <v>1.7</v>
      </c>
      <c r="P1885">
        <v>51</v>
      </c>
      <c r="Q1885">
        <v>0.2</v>
      </c>
      <c r="R1885">
        <v>0.2</v>
      </c>
      <c r="S1885">
        <v>0.2</v>
      </c>
      <c r="T1885" t="s">
        <v>33</v>
      </c>
      <c r="U1885">
        <v>3.35</v>
      </c>
      <c r="V1885">
        <v>31</v>
      </c>
      <c r="W1885">
        <v>0</v>
      </c>
      <c r="X1885">
        <v>31</v>
      </c>
      <c r="Y1885">
        <v>2</v>
      </c>
      <c r="Z1885">
        <v>0</v>
      </c>
      <c r="AA1885">
        <v>2</v>
      </c>
      <c r="AB1885" t="s">
        <v>36</v>
      </c>
      <c r="AC1885">
        <v>31</v>
      </c>
      <c r="AD1885">
        <v>2.0299999999999998</v>
      </c>
    </row>
    <row r="1886" spans="1:30" x14ac:dyDescent="0.25">
      <c r="A1886" s="1">
        <v>44784.625856481478</v>
      </c>
      <c r="B1886" s="1">
        <v>44784.625567129631</v>
      </c>
      <c r="C1886">
        <v>148555</v>
      </c>
      <c r="D1886" t="s">
        <v>52</v>
      </c>
      <c r="E1886" t="s">
        <v>53</v>
      </c>
      <c r="F1886">
        <v>7</v>
      </c>
      <c r="G1886">
        <v>42.904949999999999</v>
      </c>
      <c r="H1886">
        <v>-71.386764999999997</v>
      </c>
      <c r="I1886">
        <v>363</v>
      </c>
      <c r="J1886">
        <v>0</v>
      </c>
      <c r="K1886">
        <v>0</v>
      </c>
      <c r="L1886" s="1">
        <v>44784.62572916667</v>
      </c>
      <c r="M1886">
        <v>1.7</v>
      </c>
      <c r="N1886">
        <v>1.5</v>
      </c>
      <c r="O1886">
        <v>0.2</v>
      </c>
      <c r="P1886">
        <v>12</v>
      </c>
      <c r="Q1886">
        <v>0.1</v>
      </c>
      <c r="R1886">
        <v>0.2</v>
      </c>
      <c r="S1886">
        <v>0.15</v>
      </c>
      <c r="T1886" t="s">
        <v>33</v>
      </c>
      <c r="U1886">
        <v>1.6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 t="s">
        <v>38</v>
      </c>
    </row>
    <row r="1887" spans="1:30" x14ac:dyDescent="0.25">
      <c r="A1887" s="1">
        <v>44784.625868055555</v>
      </c>
      <c r="B1887" s="1">
        <v>44784.625057870369</v>
      </c>
      <c r="C1887">
        <v>146644</v>
      </c>
      <c r="D1887" t="s">
        <v>54</v>
      </c>
      <c r="E1887" t="s">
        <v>53</v>
      </c>
      <c r="F1887">
        <v>7</v>
      </c>
      <c r="G1887">
        <v>43.06015</v>
      </c>
      <c r="H1887">
        <v>-70.758930000000007</v>
      </c>
      <c r="I1887">
        <v>35</v>
      </c>
      <c r="J1887">
        <v>80</v>
      </c>
      <c r="K1887">
        <v>81</v>
      </c>
      <c r="L1887" s="1">
        <v>44784.62572916667</v>
      </c>
      <c r="M1887">
        <v>14.3</v>
      </c>
      <c r="N1887">
        <v>13.7</v>
      </c>
      <c r="O1887">
        <v>0.6</v>
      </c>
      <c r="P1887">
        <v>4</v>
      </c>
      <c r="Q1887">
        <v>0.6</v>
      </c>
      <c r="R1887">
        <v>0.4</v>
      </c>
      <c r="S1887">
        <v>0.5</v>
      </c>
      <c r="T1887" t="s">
        <v>33</v>
      </c>
      <c r="U1887">
        <v>14</v>
      </c>
      <c r="V1887">
        <v>55</v>
      </c>
      <c r="W1887">
        <v>60</v>
      </c>
      <c r="X1887">
        <v>5</v>
      </c>
      <c r="Y1887">
        <v>2</v>
      </c>
      <c r="Z1887">
        <v>2</v>
      </c>
      <c r="AA1887">
        <v>0</v>
      </c>
      <c r="AB1887" t="s">
        <v>33</v>
      </c>
      <c r="AC1887">
        <v>57.5</v>
      </c>
      <c r="AD1887">
        <v>6.67</v>
      </c>
    </row>
    <row r="1888" spans="1:30" x14ac:dyDescent="0.25">
      <c r="A1888" s="1">
        <v>44784.625868055555</v>
      </c>
      <c r="B1888" s="1">
        <v>43755.283437500002</v>
      </c>
      <c r="C1888">
        <v>12188</v>
      </c>
      <c r="D1888" t="s">
        <v>55</v>
      </c>
      <c r="E1888" t="s">
        <v>35</v>
      </c>
      <c r="F1888">
        <v>4.1100000000000003</v>
      </c>
      <c r="G1888">
        <v>42.927050000000001</v>
      </c>
      <c r="H1888">
        <v>-72.279610000000005</v>
      </c>
      <c r="I1888">
        <v>475</v>
      </c>
      <c r="J1888">
        <v>95</v>
      </c>
      <c r="K1888">
        <v>0</v>
      </c>
      <c r="L1888" s="1">
        <v>44784.62572916667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 t="s">
        <v>32</v>
      </c>
      <c r="V1888">
        <v>77</v>
      </c>
      <c r="W1888">
        <v>0</v>
      </c>
      <c r="X1888">
        <v>77</v>
      </c>
      <c r="Y1888">
        <v>0</v>
      </c>
      <c r="Z1888">
        <v>0</v>
      </c>
      <c r="AA1888">
        <v>0</v>
      </c>
      <c r="AB1888" t="s">
        <v>36</v>
      </c>
      <c r="AC1888">
        <v>77</v>
      </c>
    </row>
    <row r="1889" spans="1:30" x14ac:dyDescent="0.25">
      <c r="A1889" s="1">
        <v>44784.625868055555</v>
      </c>
      <c r="B1889" s="1">
        <v>44784.625451388885</v>
      </c>
      <c r="C1889">
        <v>1224</v>
      </c>
      <c r="D1889" t="s">
        <v>56</v>
      </c>
      <c r="E1889" t="s">
        <v>35</v>
      </c>
      <c r="F1889" t="s">
        <v>57</v>
      </c>
      <c r="G1889">
        <v>42.938034000000002</v>
      </c>
      <c r="H1889">
        <v>-72.259299999999996</v>
      </c>
      <c r="I1889">
        <v>792</v>
      </c>
      <c r="J1889">
        <v>93</v>
      </c>
      <c r="K1889">
        <v>0</v>
      </c>
      <c r="L1889" s="1">
        <v>44784.62572916667</v>
      </c>
      <c r="M1889">
        <v>5.0999999999999996</v>
      </c>
      <c r="N1889">
        <v>0</v>
      </c>
      <c r="O1889">
        <v>5.0999999999999996</v>
      </c>
      <c r="P1889">
        <v>200</v>
      </c>
      <c r="Q1889">
        <v>0.1</v>
      </c>
      <c r="R1889">
        <v>0</v>
      </c>
      <c r="S1889">
        <v>0.05</v>
      </c>
      <c r="T1889" t="s">
        <v>43</v>
      </c>
      <c r="V1889">
        <v>36</v>
      </c>
      <c r="W1889">
        <v>0</v>
      </c>
      <c r="X1889">
        <v>36</v>
      </c>
      <c r="Y1889">
        <v>0</v>
      </c>
      <c r="Z1889">
        <v>0</v>
      </c>
      <c r="AA1889">
        <v>0</v>
      </c>
      <c r="AB1889" t="s">
        <v>36</v>
      </c>
      <c r="AC1889">
        <v>36</v>
      </c>
    </row>
    <row r="1890" spans="1:30" x14ac:dyDescent="0.25">
      <c r="A1890" s="1">
        <v>44784.625879629632</v>
      </c>
      <c r="B1890" s="1">
        <v>44784.624884259261</v>
      </c>
      <c r="C1890">
        <v>1202</v>
      </c>
      <c r="D1890" t="s">
        <v>58</v>
      </c>
      <c r="E1890" t="s">
        <v>35</v>
      </c>
      <c r="F1890" t="s">
        <v>57</v>
      </c>
      <c r="G1890">
        <v>42.936554000000001</v>
      </c>
      <c r="H1890">
        <v>-72.271019999999993</v>
      </c>
      <c r="I1890">
        <v>488</v>
      </c>
      <c r="J1890">
        <v>0</v>
      </c>
      <c r="K1890">
        <v>0</v>
      </c>
      <c r="L1890" s="1">
        <v>44784.62572916667</v>
      </c>
      <c r="M1890">
        <v>5.2</v>
      </c>
      <c r="N1890">
        <v>4.5</v>
      </c>
      <c r="O1890">
        <v>0.7</v>
      </c>
      <c r="P1890">
        <v>14</v>
      </c>
      <c r="Q1890">
        <v>0</v>
      </c>
      <c r="R1890">
        <v>0.2</v>
      </c>
      <c r="S1890">
        <v>0.1</v>
      </c>
      <c r="T1890" t="s">
        <v>33</v>
      </c>
      <c r="U1890">
        <v>4.8499999999999996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 t="s">
        <v>38</v>
      </c>
    </row>
    <row r="1891" spans="1:30" x14ac:dyDescent="0.25">
      <c r="A1891" s="1">
        <v>44784.625879629632</v>
      </c>
      <c r="B1891" s="1">
        <v>44612.080023148148</v>
      </c>
      <c r="C1891">
        <v>25985</v>
      </c>
      <c r="D1891" t="s">
        <v>59</v>
      </c>
      <c r="E1891" t="s">
        <v>35</v>
      </c>
      <c r="F1891">
        <v>6.01</v>
      </c>
      <c r="G1891">
        <v>42.927326000000001</v>
      </c>
      <c r="H1891">
        <v>-72.279979999999995</v>
      </c>
      <c r="I1891">
        <v>477</v>
      </c>
      <c r="J1891">
        <v>78</v>
      </c>
      <c r="K1891">
        <v>0</v>
      </c>
      <c r="L1891" s="1">
        <v>44784.62572916667</v>
      </c>
      <c r="M1891">
        <v>1.1000000000000001</v>
      </c>
      <c r="N1891">
        <v>1</v>
      </c>
      <c r="O1891">
        <v>0.1</v>
      </c>
      <c r="P1891">
        <v>10</v>
      </c>
      <c r="Q1891">
        <v>0</v>
      </c>
      <c r="R1891">
        <v>0</v>
      </c>
      <c r="S1891">
        <v>0</v>
      </c>
      <c r="T1891" t="s">
        <v>32</v>
      </c>
      <c r="V1891">
        <v>22</v>
      </c>
      <c r="W1891">
        <v>0</v>
      </c>
      <c r="X1891">
        <v>22</v>
      </c>
      <c r="Y1891">
        <v>0</v>
      </c>
      <c r="Z1891">
        <v>0</v>
      </c>
      <c r="AA1891">
        <v>0</v>
      </c>
      <c r="AB1891" t="s">
        <v>36</v>
      </c>
      <c r="AC1891">
        <v>22</v>
      </c>
    </row>
    <row r="1892" spans="1:30" x14ac:dyDescent="0.25">
      <c r="A1892" s="1">
        <v>44784.632673611108</v>
      </c>
      <c r="B1892" s="1">
        <v>44775.701319444444</v>
      </c>
      <c r="C1892">
        <v>151708</v>
      </c>
      <c r="D1892" t="s">
        <v>30</v>
      </c>
      <c r="E1892" t="s">
        <v>31</v>
      </c>
      <c r="F1892">
        <v>7</v>
      </c>
      <c r="G1892">
        <v>43.192042999999998</v>
      </c>
      <c r="H1892">
        <v>-71.541579999999996</v>
      </c>
      <c r="I1892">
        <v>291</v>
      </c>
      <c r="J1892">
        <v>93</v>
      </c>
      <c r="K1892">
        <v>94</v>
      </c>
      <c r="L1892" s="1">
        <v>44784.632673611108</v>
      </c>
      <c r="M1892">
        <v>7.9</v>
      </c>
      <c r="N1892">
        <v>7.6</v>
      </c>
      <c r="O1892">
        <v>0.3</v>
      </c>
      <c r="P1892">
        <v>4</v>
      </c>
      <c r="Q1892">
        <v>0</v>
      </c>
      <c r="R1892">
        <v>0</v>
      </c>
      <c r="S1892">
        <v>0</v>
      </c>
      <c r="T1892" t="s">
        <v>32</v>
      </c>
      <c r="V1892">
        <v>42</v>
      </c>
      <c r="W1892">
        <v>41</v>
      </c>
      <c r="X1892">
        <v>1</v>
      </c>
      <c r="Y1892">
        <v>0</v>
      </c>
      <c r="Z1892">
        <v>0</v>
      </c>
      <c r="AA1892">
        <v>0</v>
      </c>
      <c r="AB1892" t="s">
        <v>33</v>
      </c>
      <c r="AC1892">
        <v>41.5</v>
      </c>
    </row>
    <row r="1893" spans="1:30" x14ac:dyDescent="0.25">
      <c r="A1893" s="1">
        <v>44784.632685185185</v>
      </c>
      <c r="B1893" s="1">
        <v>44784.632430555554</v>
      </c>
      <c r="C1893">
        <v>143456</v>
      </c>
      <c r="D1893" t="s">
        <v>34</v>
      </c>
      <c r="E1893" t="s">
        <v>35</v>
      </c>
      <c r="F1893">
        <v>7</v>
      </c>
      <c r="G1893">
        <v>43.08963</v>
      </c>
      <c r="H1893">
        <v>-71.502440000000007</v>
      </c>
      <c r="I1893">
        <v>619</v>
      </c>
      <c r="J1893">
        <v>84</v>
      </c>
      <c r="K1893">
        <v>0</v>
      </c>
      <c r="L1893" s="1">
        <v>44784.632673611108</v>
      </c>
      <c r="M1893">
        <v>3.6</v>
      </c>
      <c r="N1893">
        <v>4.0999999999999996</v>
      </c>
      <c r="O1893">
        <v>0.5</v>
      </c>
      <c r="P1893">
        <v>13</v>
      </c>
      <c r="Q1893">
        <v>0.2</v>
      </c>
      <c r="R1893">
        <v>0.2</v>
      </c>
      <c r="S1893">
        <v>0.2</v>
      </c>
      <c r="T1893" t="s">
        <v>33</v>
      </c>
      <c r="U1893">
        <v>3.85</v>
      </c>
      <c r="V1893">
        <v>46</v>
      </c>
      <c r="W1893">
        <v>0</v>
      </c>
      <c r="X1893">
        <v>46</v>
      </c>
      <c r="Y1893">
        <v>0</v>
      </c>
      <c r="Z1893">
        <v>0</v>
      </c>
      <c r="AA1893">
        <v>0</v>
      </c>
      <c r="AB1893" t="s">
        <v>36</v>
      </c>
      <c r="AC1893">
        <v>46</v>
      </c>
      <c r="AD1893">
        <v>1.29</v>
      </c>
    </row>
    <row r="1894" spans="1:30" x14ac:dyDescent="0.25">
      <c r="A1894" s="1">
        <v>44784.632685185185</v>
      </c>
      <c r="B1894" s="1">
        <v>44784.632592592592</v>
      </c>
      <c r="C1894">
        <v>151702</v>
      </c>
      <c r="D1894" t="s">
        <v>37</v>
      </c>
      <c r="E1894" t="s">
        <v>31</v>
      </c>
      <c r="F1894">
        <v>7</v>
      </c>
      <c r="G1894">
        <v>43.118609999999997</v>
      </c>
      <c r="H1894">
        <v>-71.61618</v>
      </c>
      <c r="I1894">
        <v>885</v>
      </c>
      <c r="J1894">
        <v>0</v>
      </c>
      <c r="K1894">
        <v>0</v>
      </c>
      <c r="L1894" s="1">
        <v>44784.632673611108</v>
      </c>
      <c r="M1894">
        <v>2.2999999999999998</v>
      </c>
      <c r="N1894">
        <v>2.2999999999999998</v>
      </c>
      <c r="O1894">
        <v>0</v>
      </c>
      <c r="P1894">
        <v>0</v>
      </c>
      <c r="Q1894">
        <v>0</v>
      </c>
      <c r="R1894">
        <v>0.1</v>
      </c>
      <c r="S1894">
        <v>0.05</v>
      </c>
      <c r="T1894" t="s">
        <v>33</v>
      </c>
      <c r="U1894">
        <v>2.2999999999999998</v>
      </c>
      <c r="V1894">
        <v>0</v>
      </c>
      <c r="W1894">
        <v>0</v>
      </c>
      <c r="X1894">
        <v>0</v>
      </c>
      <c r="Y1894">
        <v>0</v>
      </c>
      <c r="Z1894">
        <v>0</v>
      </c>
      <c r="AA1894">
        <v>0</v>
      </c>
      <c r="AB1894" t="s">
        <v>38</v>
      </c>
    </row>
    <row r="1895" spans="1:30" x14ac:dyDescent="0.25">
      <c r="A1895" s="1">
        <v>44784.632696759261</v>
      </c>
      <c r="B1895" s="1">
        <v>44784.632488425923</v>
      </c>
      <c r="C1895">
        <v>151700</v>
      </c>
      <c r="D1895" t="s">
        <v>30</v>
      </c>
      <c r="E1895" t="s">
        <v>31</v>
      </c>
      <c r="F1895">
        <v>7</v>
      </c>
      <c r="G1895">
        <v>43.19211</v>
      </c>
      <c r="H1895">
        <v>-71.541460000000001</v>
      </c>
      <c r="I1895">
        <v>286</v>
      </c>
      <c r="J1895">
        <v>86</v>
      </c>
      <c r="K1895">
        <v>0</v>
      </c>
      <c r="L1895" s="1">
        <v>44784.632673611108</v>
      </c>
      <c r="M1895">
        <v>2.2000000000000002</v>
      </c>
      <c r="N1895">
        <v>2.6</v>
      </c>
      <c r="O1895">
        <v>0.4</v>
      </c>
      <c r="P1895">
        <v>17</v>
      </c>
      <c r="Q1895">
        <v>0.2</v>
      </c>
      <c r="R1895">
        <v>0.1</v>
      </c>
      <c r="S1895">
        <v>0.15</v>
      </c>
      <c r="T1895" t="s">
        <v>33</v>
      </c>
      <c r="U1895">
        <v>2.4</v>
      </c>
      <c r="V1895">
        <v>41</v>
      </c>
      <c r="W1895">
        <v>0</v>
      </c>
      <c r="X1895">
        <v>41</v>
      </c>
      <c r="Y1895">
        <v>1</v>
      </c>
      <c r="Z1895">
        <v>0</v>
      </c>
      <c r="AA1895">
        <v>1</v>
      </c>
      <c r="AB1895" t="s">
        <v>36</v>
      </c>
      <c r="AC1895">
        <v>41</v>
      </c>
      <c r="AD1895">
        <v>0.75</v>
      </c>
    </row>
    <row r="1896" spans="1:30" x14ac:dyDescent="0.25">
      <c r="A1896" s="1">
        <v>44784.632696759261</v>
      </c>
      <c r="B1896" s="1">
        <v>44784.631539351853</v>
      </c>
      <c r="C1896">
        <v>135984</v>
      </c>
      <c r="D1896" t="s">
        <v>39</v>
      </c>
      <c r="E1896" t="s">
        <v>31</v>
      </c>
      <c r="F1896">
        <v>7</v>
      </c>
      <c r="G1896">
        <v>43.565852999999997</v>
      </c>
      <c r="H1896">
        <v>-71.496129999999994</v>
      </c>
      <c r="I1896">
        <v>708</v>
      </c>
      <c r="J1896">
        <v>89</v>
      </c>
      <c r="K1896">
        <v>0</v>
      </c>
      <c r="L1896" s="1">
        <v>44784.632673611108</v>
      </c>
      <c r="M1896">
        <v>2.8</v>
      </c>
      <c r="N1896">
        <v>2.4</v>
      </c>
      <c r="O1896">
        <v>0.4</v>
      </c>
      <c r="P1896">
        <v>15</v>
      </c>
      <c r="Q1896">
        <v>0</v>
      </c>
      <c r="R1896">
        <v>0</v>
      </c>
      <c r="S1896">
        <v>0</v>
      </c>
      <c r="T1896" t="s">
        <v>33</v>
      </c>
      <c r="U1896">
        <v>2.6</v>
      </c>
      <c r="V1896">
        <v>45</v>
      </c>
      <c r="W1896">
        <v>0</v>
      </c>
      <c r="X1896">
        <v>45</v>
      </c>
      <c r="Y1896">
        <v>1</v>
      </c>
      <c r="Z1896">
        <v>0</v>
      </c>
      <c r="AA1896">
        <v>1</v>
      </c>
      <c r="AB1896" t="s">
        <v>36</v>
      </c>
      <c r="AC1896">
        <v>45</v>
      </c>
      <c r="AD1896">
        <v>0.6</v>
      </c>
    </row>
    <row r="1897" spans="1:30" x14ac:dyDescent="0.25">
      <c r="A1897" s="1">
        <v>44784.632696759261</v>
      </c>
      <c r="B1897" s="1">
        <v>44780.394780092596</v>
      </c>
      <c r="C1897">
        <v>151712</v>
      </c>
      <c r="D1897" t="s">
        <v>40</v>
      </c>
      <c r="E1897" t="s">
        <v>31</v>
      </c>
      <c r="F1897">
        <v>7</v>
      </c>
      <c r="G1897">
        <v>43.289763999999998</v>
      </c>
      <c r="H1897">
        <v>-71.564260000000004</v>
      </c>
      <c r="I1897">
        <v>370</v>
      </c>
      <c r="J1897">
        <v>86</v>
      </c>
      <c r="K1897">
        <v>0</v>
      </c>
      <c r="L1897" s="1">
        <v>44784.632673611108</v>
      </c>
      <c r="M1897">
        <v>14</v>
      </c>
      <c r="N1897">
        <v>13.2</v>
      </c>
      <c r="O1897">
        <v>0.8</v>
      </c>
      <c r="P1897">
        <v>6</v>
      </c>
      <c r="Q1897">
        <v>0</v>
      </c>
      <c r="R1897">
        <v>0</v>
      </c>
      <c r="S1897">
        <v>0</v>
      </c>
      <c r="T1897" t="s">
        <v>32</v>
      </c>
      <c r="V1897">
        <v>59</v>
      </c>
      <c r="W1897">
        <v>0</v>
      </c>
      <c r="X1897">
        <v>59</v>
      </c>
      <c r="Y1897">
        <v>0</v>
      </c>
      <c r="Z1897">
        <v>0</v>
      </c>
      <c r="AA1897">
        <v>0</v>
      </c>
      <c r="AB1897" t="s">
        <v>36</v>
      </c>
      <c r="AC1897">
        <v>59</v>
      </c>
    </row>
    <row r="1898" spans="1:30" x14ac:dyDescent="0.25">
      <c r="A1898" s="1">
        <v>44784.632708333331</v>
      </c>
      <c r="B1898" s="1">
        <v>44784.632233796299</v>
      </c>
      <c r="C1898">
        <v>151710</v>
      </c>
      <c r="D1898" t="s">
        <v>41</v>
      </c>
      <c r="E1898" t="s">
        <v>31</v>
      </c>
      <c r="F1898">
        <v>7</v>
      </c>
      <c r="G1898">
        <v>43.132477000000002</v>
      </c>
      <c r="H1898">
        <v>-71.458374000000006</v>
      </c>
      <c r="I1898">
        <v>230</v>
      </c>
      <c r="J1898">
        <v>90</v>
      </c>
      <c r="K1898">
        <v>0</v>
      </c>
      <c r="L1898" s="1">
        <v>44784.632673611108</v>
      </c>
      <c r="M1898">
        <v>6.4</v>
      </c>
      <c r="N1898">
        <v>4.4000000000000004</v>
      </c>
      <c r="O1898">
        <v>2</v>
      </c>
      <c r="P1898">
        <v>37</v>
      </c>
      <c r="Q1898">
        <v>0.6</v>
      </c>
      <c r="R1898">
        <v>0</v>
      </c>
      <c r="S1898">
        <v>0.3</v>
      </c>
      <c r="T1898" t="s">
        <v>33</v>
      </c>
      <c r="U1898">
        <v>5.4</v>
      </c>
      <c r="V1898">
        <v>35</v>
      </c>
      <c r="W1898">
        <v>0</v>
      </c>
      <c r="X1898">
        <v>35</v>
      </c>
      <c r="Y1898">
        <v>1</v>
      </c>
      <c r="Z1898">
        <v>0</v>
      </c>
      <c r="AA1898">
        <v>1</v>
      </c>
      <c r="AB1898" t="s">
        <v>36</v>
      </c>
      <c r="AC1898">
        <v>35</v>
      </c>
      <c r="AD1898">
        <v>3</v>
      </c>
    </row>
    <row r="1899" spans="1:30" x14ac:dyDescent="0.25">
      <c r="A1899" s="1">
        <v>44784.632708333331</v>
      </c>
      <c r="B1899" s="1">
        <v>44784.631874999999</v>
      </c>
      <c r="C1899">
        <v>151706</v>
      </c>
      <c r="D1899" t="s">
        <v>42</v>
      </c>
      <c r="E1899" t="s">
        <v>31</v>
      </c>
      <c r="F1899">
        <v>7</v>
      </c>
      <c r="G1899">
        <v>43.004080000000002</v>
      </c>
      <c r="H1899">
        <v>-71.177040000000005</v>
      </c>
      <c r="I1899">
        <v>194</v>
      </c>
      <c r="J1899">
        <v>88</v>
      </c>
      <c r="K1899">
        <v>0</v>
      </c>
      <c r="L1899" s="1">
        <v>44784.632673611108</v>
      </c>
      <c r="M1899">
        <v>3.8</v>
      </c>
      <c r="N1899">
        <v>0</v>
      </c>
      <c r="O1899">
        <v>3.8</v>
      </c>
      <c r="P1899">
        <v>200</v>
      </c>
      <c r="Q1899">
        <v>0.7</v>
      </c>
      <c r="R1899">
        <v>0</v>
      </c>
      <c r="S1899">
        <v>0.35</v>
      </c>
      <c r="T1899" t="s">
        <v>43</v>
      </c>
      <c r="V1899">
        <v>38</v>
      </c>
      <c r="W1899">
        <v>0</v>
      </c>
      <c r="X1899">
        <v>38</v>
      </c>
      <c r="Y1899">
        <v>2</v>
      </c>
      <c r="Z1899">
        <v>0</v>
      </c>
      <c r="AA1899">
        <v>2</v>
      </c>
      <c r="AB1899" t="s">
        <v>36</v>
      </c>
      <c r="AC1899">
        <v>38</v>
      </c>
    </row>
    <row r="1900" spans="1:30" x14ac:dyDescent="0.25">
      <c r="A1900" s="1">
        <v>44784.632719907408</v>
      </c>
      <c r="B1900" s="1">
        <v>44784.631666666668</v>
      </c>
      <c r="C1900">
        <v>12212</v>
      </c>
      <c r="D1900" t="s">
        <v>44</v>
      </c>
      <c r="E1900" t="s">
        <v>35</v>
      </c>
      <c r="F1900">
        <v>7</v>
      </c>
      <c r="G1900">
        <v>42.930529999999997</v>
      </c>
      <c r="H1900">
        <v>-72.272350000000003</v>
      </c>
      <c r="I1900">
        <v>476</v>
      </c>
      <c r="J1900">
        <v>94</v>
      </c>
      <c r="K1900">
        <v>0</v>
      </c>
      <c r="L1900" s="1">
        <v>44784.632673611108</v>
      </c>
      <c r="M1900">
        <v>4.9000000000000004</v>
      </c>
      <c r="N1900">
        <v>4.3</v>
      </c>
      <c r="O1900">
        <v>0.6</v>
      </c>
      <c r="P1900">
        <v>13</v>
      </c>
      <c r="Q1900">
        <v>0</v>
      </c>
      <c r="R1900">
        <v>0.1</v>
      </c>
      <c r="S1900">
        <v>0.05</v>
      </c>
      <c r="T1900" t="s">
        <v>33</v>
      </c>
      <c r="U1900">
        <v>4.5999999999999996</v>
      </c>
      <c r="V1900">
        <v>29</v>
      </c>
      <c r="W1900">
        <v>0</v>
      </c>
      <c r="X1900">
        <v>29</v>
      </c>
      <c r="Y1900">
        <v>1</v>
      </c>
      <c r="Z1900">
        <v>0</v>
      </c>
      <c r="AA1900">
        <v>1</v>
      </c>
      <c r="AB1900" t="s">
        <v>36</v>
      </c>
      <c r="AC1900">
        <v>29</v>
      </c>
      <c r="AD1900">
        <v>2.94</v>
      </c>
    </row>
    <row r="1901" spans="1:30" x14ac:dyDescent="0.25">
      <c r="A1901" s="1">
        <v>44784.632719907408</v>
      </c>
      <c r="B1901" s="1">
        <v>44769.376736111109</v>
      </c>
      <c r="C1901">
        <v>12178</v>
      </c>
      <c r="D1901" t="s">
        <v>45</v>
      </c>
      <c r="E1901" t="s">
        <v>35</v>
      </c>
      <c r="F1901">
        <v>7</v>
      </c>
      <c r="G1901">
        <v>42.899563000000001</v>
      </c>
      <c r="H1901">
        <v>-71.464650000000006</v>
      </c>
      <c r="I1901">
        <v>301</v>
      </c>
      <c r="J1901">
        <v>85</v>
      </c>
      <c r="K1901">
        <v>0</v>
      </c>
      <c r="L1901" s="1">
        <v>44784.632673611108</v>
      </c>
      <c r="M1901">
        <v>3.8</v>
      </c>
      <c r="N1901">
        <v>3.1</v>
      </c>
      <c r="O1901">
        <v>0.7</v>
      </c>
      <c r="P1901">
        <v>20</v>
      </c>
      <c r="Q1901">
        <v>0</v>
      </c>
      <c r="R1901">
        <v>0</v>
      </c>
      <c r="S1901">
        <v>0</v>
      </c>
      <c r="T1901" t="s">
        <v>32</v>
      </c>
      <c r="V1901">
        <v>35</v>
      </c>
      <c r="W1901">
        <v>0</v>
      </c>
      <c r="X1901">
        <v>35</v>
      </c>
      <c r="Y1901">
        <v>0</v>
      </c>
      <c r="Z1901">
        <v>0</v>
      </c>
      <c r="AA1901">
        <v>0</v>
      </c>
      <c r="AB1901" t="s">
        <v>36</v>
      </c>
      <c r="AC1901">
        <v>35</v>
      </c>
    </row>
    <row r="1902" spans="1:30" x14ac:dyDescent="0.25">
      <c r="A1902" s="1">
        <v>44784.632719907408</v>
      </c>
      <c r="B1902" s="1">
        <v>44784.630949074075</v>
      </c>
      <c r="C1902">
        <v>75981</v>
      </c>
      <c r="D1902" t="s">
        <v>46</v>
      </c>
      <c r="E1902" t="s">
        <v>35</v>
      </c>
      <c r="F1902">
        <v>7</v>
      </c>
      <c r="G1902">
        <v>42.97</v>
      </c>
      <c r="H1902">
        <v>-71.06</v>
      </c>
      <c r="I1902">
        <v>136</v>
      </c>
      <c r="J1902">
        <v>89</v>
      </c>
      <c r="K1902">
        <v>0</v>
      </c>
      <c r="L1902" s="1">
        <v>44784.632673611108</v>
      </c>
      <c r="M1902">
        <v>10.5</v>
      </c>
      <c r="N1902">
        <v>9.6</v>
      </c>
      <c r="O1902">
        <v>0.9</v>
      </c>
      <c r="P1902">
        <v>9</v>
      </c>
      <c r="Q1902">
        <v>0</v>
      </c>
      <c r="R1902">
        <v>0.2</v>
      </c>
      <c r="S1902">
        <v>0.1</v>
      </c>
      <c r="T1902" t="s">
        <v>33</v>
      </c>
      <c r="U1902">
        <v>10.050000000000001</v>
      </c>
      <c r="V1902">
        <v>45</v>
      </c>
      <c r="W1902">
        <v>0</v>
      </c>
      <c r="X1902">
        <v>45</v>
      </c>
      <c r="Y1902">
        <v>0</v>
      </c>
      <c r="Z1902">
        <v>0</v>
      </c>
      <c r="AA1902">
        <v>0</v>
      </c>
      <c r="AB1902" t="s">
        <v>36</v>
      </c>
      <c r="AC1902">
        <v>45</v>
      </c>
      <c r="AD1902">
        <v>5.14</v>
      </c>
    </row>
    <row r="1903" spans="1:30" x14ac:dyDescent="0.25">
      <c r="A1903" s="1">
        <v>44784.632731481484</v>
      </c>
      <c r="B1903" s="1">
        <v>44784.631481481483</v>
      </c>
      <c r="C1903">
        <v>115703</v>
      </c>
      <c r="D1903" t="s">
        <v>47</v>
      </c>
      <c r="E1903" t="s">
        <v>35</v>
      </c>
      <c r="F1903">
        <v>7</v>
      </c>
      <c r="G1903">
        <v>43.953625000000002</v>
      </c>
      <c r="H1903">
        <v>-71.508859999999999</v>
      </c>
      <c r="I1903">
        <v>1493</v>
      </c>
      <c r="J1903">
        <v>89</v>
      </c>
      <c r="K1903">
        <v>0</v>
      </c>
      <c r="L1903" s="1">
        <v>44784.632673611108</v>
      </c>
      <c r="M1903">
        <v>0.1</v>
      </c>
      <c r="N1903">
        <v>67.2</v>
      </c>
      <c r="O1903">
        <v>67.099999999999994</v>
      </c>
      <c r="P1903">
        <v>199</v>
      </c>
      <c r="Q1903">
        <v>0.1</v>
      </c>
      <c r="R1903">
        <v>46.6</v>
      </c>
      <c r="S1903">
        <v>23.35</v>
      </c>
      <c r="T1903" t="s">
        <v>60</v>
      </c>
      <c r="V1903">
        <v>31</v>
      </c>
      <c r="W1903">
        <v>0</v>
      </c>
      <c r="X1903">
        <v>31</v>
      </c>
      <c r="Y1903">
        <v>1</v>
      </c>
      <c r="Z1903">
        <v>0</v>
      </c>
      <c r="AA1903">
        <v>1</v>
      </c>
      <c r="AB1903" t="s">
        <v>36</v>
      </c>
      <c r="AC1903">
        <v>31</v>
      </c>
    </row>
    <row r="1904" spans="1:30" x14ac:dyDescent="0.25">
      <c r="A1904" s="1">
        <v>44784.632731481484</v>
      </c>
      <c r="B1904" s="1">
        <v>44784.632291666669</v>
      </c>
      <c r="C1904">
        <v>12050</v>
      </c>
      <c r="D1904" t="s">
        <v>49</v>
      </c>
      <c r="E1904" t="s">
        <v>35</v>
      </c>
      <c r="F1904">
        <v>7</v>
      </c>
      <c r="G1904">
        <v>44.220573000000002</v>
      </c>
      <c r="H1904">
        <v>-71.732315</v>
      </c>
      <c r="I1904">
        <v>999</v>
      </c>
      <c r="J1904">
        <v>94</v>
      </c>
      <c r="K1904">
        <v>0</v>
      </c>
      <c r="L1904" s="1">
        <v>44784.632673611108</v>
      </c>
      <c r="M1904">
        <v>3.2</v>
      </c>
      <c r="N1904">
        <v>2.9</v>
      </c>
      <c r="O1904">
        <v>0.3</v>
      </c>
      <c r="P1904">
        <v>10</v>
      </c>
      <c r="Q1904">
        <v>0.1</v>
      </c>
      <c r="R1904">
        <v>0.1</v>
      </c>
      <c r="S1904">
        <v>0.1</v>
      </c>
      <c r="T1904" t="s">
        <v>33</v>
      </c>
      <c r="U1904">
        <v>3.05</v>
      </c>
      <c r="V1904">
        <v>28</v>
      </c>
      <c r="W1904">
        <v>0</v>
      </c>
      <c r="X1904">
        <v>28</v>
      </c>
      <c r="Y1904">
        <v>3</v>
      </c>
      <c r="Z1904">
        <v>0</v>
      </c>
      <c r="AA1904">
        <v>3</v>
      </c>
      <c r="AB1904" t="s">
        <v>36</v>
      </c>
      <c r="AC1904">
        <v>28</v>
      </c>
      <c r="AD1904">
        <v>2.06</v>
      </c>
    </row>
    <row r="1905" spans="1:30" x14ac:dyDescent="0.25">
      <c r="A1905" s="1">
        <v>44784.632743055554</v>
      </c>
      <c r="B1905" s="1">
        <v>44784.632407407407</v>
      </c>
      <c r="C1905">
        <v>23443</v>
      </c>
      <c r="D1905" t="s">
        <v>50</v>
      </c>
      <c r="E1905" t="s">
        <v>35</v>
      </c>
      <c r="F1905">
        <v>7</v>
      </c>
      <c r="G1905">
        <v>43.556139999999999</v>
      </c>
      <c r="H1905">
        <v>-72.370990000000006</v>
      </c>
      <c r="I1905">
        <v>523</v>
      </c>
      <c r="J1905">
        <v>107</v>
      </c>
      <c r="K1905">
        <v>0</v>
      </c>
      <c r="L1905" s="1">
        <v>44784.632673611108</v>
      </c>
      <c r="M1905">
        <v>3</v>
      </c>
      <c r="N1905">
        <v>2.7</v>
      </c>
      <c r="O1905">
        <v>0.3</v>
      </c>
      <c r="P1905">
        <v>11</v>
      </c>
      <c r="Q1905">
        <v>0</v>
      </c>
      <c r="R1905">
        <v>0.1</v>
      </c>
      <c r="S1905">
        <v>0.05</v>
      </c>
      <c r="T1905" t="s">
        <v>33</v>
      </c>
      <c r="U1905">
        <v>2.85</v>
      </c>
      <c r="V1905">
        <v>19</v>
      </c>
      <c r="W1905">
        <v>0</v>
      </c>
      <c r="X1905">
        <v>19</v>
      </c>
      <c r="Y1905">
        <v>0</v>
      </c>
      <c r="Z1905">
        <v>0</v>
      </c>
      <c r="AA1905">
        <v>0</v>
      </c>
      <c r="AB1905" t="s">
        <v>36</v>
      </c>
      <c r="AC1905">
        <v>19</v>
      </c>
      <c r="AD1905">
        <v>2.57</v>
      </c>
    </row>
    <row r="1906" spans="1:30" x14ac:dyDescent="0.25">
      <c r="A1906" s="1">
        <v>44784.632743055554</v>
      </c>
      <c r="B1906" s="1">
        <v>44784.63113425926</v>
      </c>
      <c r="C1906">
        <v>58135</v>
      </c>
      <c r="D1906" t="s">
        <v>51</v>
      </c>
      <c r="E1906" t="s">
        <v>35</v>
      </c>
      <c r="F1906">
        <v>7</v>
      </c>
      <c r="G1906">
        <v>42.883873000000001</v>
      </c>
      <c r="H1906">
        <v>-71.972915999999998</v>
      </c>
      <c r="I1906">
        <v>808</v>
      </c>
      <c r="J1906">
        <v>88</v>
      </c>
      <c r="K1906">
        <v>0</v>
      </c>
      <c r="L1906" s="1">
        <v>44784.632673611108</v>
      </c>
      <c r="M1906">
        <v>4.2</v>
      </c>
      <c r="N1906">
        <v>2.6</v>
      </c>
      <c r="O1906">
        <v>1.6</v>
      </c>
      <c r="P1906">
        <v>47</v>
      </c>
      <c r="Q1906">
        <v>0</v>
      </c>
      <c r="R1906">
        <v>0.1</v>
      </c>
      <c r="S1906">
        <v>0.05</v>
      </c>
      <c r="T1906" t="s">
        <v>33</v>
      </c>
      <c r="U1906">
        <v>3.4</v>
      </c>
      <c r="V1906">
        <v>33</v>
      </c>
      <c r="W1906">
        <v>0</v>
      </c>
      <c r="X1906">
        <v>33</v>
      </c>
      <c r="Y1906">
        <v>2</v>
      </c>
      <c r="Z1906">
        <v>0</v>
      </c>
      <c r="AA1906">
        <v>2</v>
      </c>
      <c r="AB1906" t="s">
        <v>36</v>
      </c>
      <c r="AC1906">
        <v>33</v>
      </c>
      <c r="AD1906">
        <v>1.92</v>
      </c>
    </row>
    <row r="1907" spans="1:30" x14ac:dyDescent="0.25">
      <c r="A1907" s="1">
        <v>44784.632743055554</v>
      </c>
      <c r="B1907" s="1">
        <v>44784.632511574076</v>
      </c>
      <c r="C1907">
        <v>148555</v>
      </c>
      <c r="D1907" t="s">
        <v>52</v>
      </c>
      <c r="E1907" t="s">
        <v>53</v>
      </c>
      <c r="F1907">
        <v>7</v>
      </c>
      <c r="G1907">
        <v>42.904949999999999</v>
      </c>
      <c r="H1907">
        <v>-71.386764999999997</v>
      </c>
      <c r="I1907">
        <v>363</v>
      </c>
      <c r="J1907">
        <v>0</v>
      </c>
      <c r="K1907">
        <v>0</v>
      </c>
      <c r="L1907" s="1">
        <v>44784.632673611108</v>
      </c>
      <c r="M1907">
        <v>1.7</v>
      </c>
      <c r="N1907">
        <v>1.3</v>
      </c>
      <c r="O1907">
        <v>0.4</v>
      </c>
      <c r="P1907">
        <v>27</v>
      </c>
      <c r="Q1907">
        <v>0</v>
      </c>
      <c r="R1907">
        <v>0.2</v>
      </c>
      <c r="S1907">
        <v>0.1</v>
      </c>
      <c r="T1907" t="s">
        <v>33</v>
      </c>
      <c r="U1907">
        <v>1.5</v>
      </c>
      <c r="V1907">
        <v>0</v>
      </c>
      <c r="W1907">
        <v>0</v>
      </c>
      <c r="X1907">
        <v>0</v>
      </c>
      <c r="Y1907">
        <v>0</v>
      </c>
      <c r="Z1907">
        <v>0</v>
      </c>
      <c r="AA1907">
        <v>0</v>
      </c>
      <c r="AB1907" t="s">
        <v>38</v>
      </c>
    </row>
    <row r="1908" spans="1:30" x14ac:dyDescent="0.25">
      <c r="A1908" s="1">
        <v>44784.632754629631</v>
      </c>
      <c r="B1908" s="1">
        <v>44784.632013888891</v>
      </c>
      <c r="C1908">
        <v>146644</v>
      </c>
      <c r="D1908" t="s">
        <v>54</v>
      </c>
      <c r="E1908" t="s">
        <v>53</v>
      </c>
      <c r="F1908">
        <v>7</v>
      </c>
      <c r="G1908">
        <v>43.06015</v>
      </c>
      <c r="H1908">
        <v>-70.758930000000007</v>
      </c>
      <c r="I1908">
        <v>35</v>
      </c>
      <c r="J1908">
        <v>80</v>
      </c>
      <c r="K1908">
        <v>81</v>
      </c>
      <c r="L1908" s="1">
        <v>44784.632673611108</v>
      </c>
      <c r="M1908">
        <v>14.8</v>
      </c>
      <c r="N1908">
        <v>14.4</v>
      </c>
      <c r="O1908">
        <v>0.4</v>
      </c>
      <c r="P1908">
        <v>3</v>
      </c>
      <c r="Q1908">
        <v>0.5</v>
      </c>
      <c r="R1908">
        <v>0.7</v>
      </c>
      <c r="S1908">
        <v>0.6</v>
      </c>
      <c r="T1908" t="s">
        <v>33</v>
      </c>
      <c r="U1908">
        <v>14.6</v>
      </c>
      <c r="V1908">
        <v>54</v>
      </c>
      <c r="W1908">
        <v>59</v>
      </c>
      <c r="X1908">
        <v>5</v>
      </c>
      <c r="Y1908">
        <v>1</v>
      </c>
      <c r="Z1908">
        <v>1</v>
      </c>
      <c r="AA1908">
        <v>0</v>
      </c>
      <c r="AB1908" t="s">
        <v>33</v>
      </c>
      <c r="AC1908">
        <v>56.5</v>
      </c>
      <c r="AD1908">
        <v>7.11</v>
      </c>
    </row>
    <row r="1909" spans="1:30" x14ac:dyDescent="0.25">
      <c r="A1909" s="1">
        <v>44784.632754629631</v>
      </c>
      <c r="B1909" s="1">
        <v>43755.283437500002</v>
      </c>
      <c r="C1909">
        <v>12188</v>
      </c>
      <c r="D1909" t="s">
        <v>55</v>
      </c>
      <c r="E1909" t="s">
        <v>35</v>
      </c>
      <c r="F1909">
        <v>4.1100000000000003</v>
      </c>
      <c r="G1909">
        <v>42.927050000000001</v>
      </c>
      <c r="H1909">
        <v>-72.279610000000005</v>
      </c>
      <c r="I1909">
        <v>475</v>
      </c>
      <c r="J1909">
        <v>95</v>
      </c>
      <c r="K1909">
        <v>0</v>
      </c>
      <c r="L1909" s="1">
        <v>44784.632673611108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 t="s">
        <v>32</v>
      </c>
      <c r="V1909">
        <v>77</v>
      </c>
      <c r="W1909">
        <v>0</v>
      </c>
      <c r="X1909">
        <v>77</v>
      </c>
      <c r="Y1909">
        <v>0</v>
      </c>
      <c r="Z1909">
        <v>0</v>
      </c>
      <c r="AA1909">
        <v>0</v>
      </c>
      <c r="AB1909" t="s">
        <v>36</v>
      </c>
      <c r="AC1909">
        <v>77</v>
      </c>
    </row>
    <row r="1910" spans="1:30" x14ac:dyDescent="0.25">
      <c r="A1910" s="1">
        <v>44784.632754629631</v>
      </c>
      <c r="B1910" s="1">
        <v>44784.632395833331</v>
      </c>
      <c r="C1910">
        <v>1224</v>
      </c>
      <c r="D1910" t="s">
        <v>56</v>
      </c>
      <c r="E1910" t="s">
        <v>35</v>
      </c>
      <c r="F1910" t="s">
        <v>57</v>
      </c>
      <c r="G1910">
        <v>42.938034000000002</v>
      </c>
      <c r="H1910">
        <v>-72.259299999999996</v>
      </c>
      <c r="I1910">
        <v>792</v>
      </c>
      <c r="J1910">
        <v>94</v>
      </c>
      <c r="K1910">
        <v>0</v>
      </c>
      <c r="L1910" s="1">
        <v>44784.632673611108</v>
      </c>
      <c r="M1910">
        <v>5.0999999999999996</v>
      </c>
      <c r="N1910">
        <v>0</v>
      </c>
      <c r="O1910">
        <v>5.0999999999999996</v>
      </c>
      <c r="P1910">
        <v>200</v>
      </c>
      <c r="Q1910">
        <v>0</v>
      </c>
      <c r="R1910">
        <v>0</v>
      </c>
      <c r="S1910">
        <v>0</v>
      </c>
      <c r="T1910" t="s">
        <v>43</v>
      </c>
      <c r="V1910">
        <v>36</v>
      </c>
      <c r="W1910">
        <v>0</v>
      </c>
      <c r="X1910">
        <v>36</v>
      </c>
      <c r="Y1910">
        <v>0</v>
      </c>
      <c r="Z1910">
        <v>0</v>
      </c>
      <c r="AA1910">
        <v>0</v>
      </c>
      <c r="AB1910" t="s">
        <v>36</v>
      </c>
      <c r="AC1910">
        <v>36</v>
      </c>
    </row>
    <row r="1911" spans="1:30" x14ac:dyDescent="0.25">
      <c r="A1911" s="1">
        <v>44784.6327662037</v>
      </c>
      <c r="B1911" s="1">
        <v>44784.631840277776</v>
      </c>
      <c r="C1911">
        <v>1202</v>
      </c>
      <c r="D1911" t="s">
        <v>58</v>
      </c>
      <c r="E1911" t="s">
        <v>35</v>
      </c>
      <c r="F1911" t="s">
        <v>57</v>
      </c>
      <c r="G1911">
        <v>42.936554000000001</v>
      </c>
      <c r="H1911">
        <v>-72.271019999999993</v>
      </c>
      <c r="I1911">
        <v>488</v>
      </c>
      <c r="J1911">
        <v>0</v>
      </c>
      <c r="K1911">
        <v>0</v>
      </c>
      <c r="L1911" s="1">
        <v>44784.632673611108</v>
      </c>
      <c r="M1911">
        <v>5.2</v>
      </c>
      <c r="N1911">
        <v>4.5999999999999996</v>
      </c>
      <c r="O1911">
        <v>0.6</v>
      </c>
      <c r="P1911">
        <v>12</v>
      </c>
      <c r="Q1911">
        <v>0</v>
      </c>
      <c r="R1911">
        <v>0.1</v>
      </c>
      <c r="S1911">
        <v>0.05</v>
      </c>
      <c r="T1911" t="s">
        <v>33</v>
      </c>
      <c r="U1911">
        <v>4.9000000000000004</v>
      </c>
      <c r="V1911">
        <v>0</v>
      </c>
      <c r="W1911">
        <v>0</v>
      </c>
      <c r="X1911">
        <v>0</v>
      </c>
      <c r="Y1911">
        <v>0</v>
      </c>
      <c r="Z1911">
        <v>0</v>
      </c>
      <c r="AA1911">
        <v>0</v>
      </c>
      <c r="AB1911" t="s">
        <v>38</v>
      </c>
    </row>
    <row r="1912" spans="1:30" x14ac:dyDescent="0.25">
      <c r="A1912" s="1">
        <v>44784.6327662037</v>
      </c>
      <c r="B1912" s="1">
        <v>44612.080023148148</v>
      </c>
      <c r="C1912">
        <v>25985</v>
      </c>
      <c r="D1912" t="s">
        <v>59</v>
      </c>
      <c r="E1912" t="s">
        <v>35</v>
      </c>
      <c r="F1912">
        <v>6.01</v>
      </c>
      <c r="G1912">
        <v>42.927326000000001</v>
      </c>
      <c r="H1912">
        <v>-72.279979999999995</v>
      </c>
      <c r="I1912">
        <v>477</v>
      </c>
      <c r="J1912">
        <v>78</v>
      </c>
      <c r="K1912">
        <v>0</v>
      </c>
      <c r="L1912" s="1">
        <v>44784.632673611108</v>
      </c>
      <c r="M1912">
        <v>1.1000000000000001</v>
      </c>
      <c r="N1912">
        <v>1</v>
      </c>
      <c r="O1912">
        <v>0.1</v>
      </c>
      <c r="P1912">
        <v>10</v>
      </c>
      <c r="Q1912">
        <v>0</v>
      </c>
      <c r="R1912">
        <v>0</v>
      </c>
      <c r="S1912">
        <v>0</v>
      </c>
      <c r="T1912" t="s">
        <v>32</v>
      </c>
      <c r="V1912">
        <v>22</v>
      </c>
      <c r="W1912">
        <v>0</v>
      </c>
      <c r="X1912">
        <v>22</v>
      </c>
      <c r="Y1912">
        <v>0</v>
      </c>
      <c r="Z1912">
        <v>0</v>
      </c>
      <c r="AA1912">
        <v>0</v>
      </c>
      <c r="AB1912" t="s">
        <v>36</v>
      </c>
      <c r="AC1912">
        <v>22</v>
      </c>
    </row>
    <row r="1913" spans="1:30" x14ac:dyDescent="0.25">
      <c r="A1913" s="1">
        <v>44784.639618055553</v>
      </c>
      <c r="B1913" s="1">
        <v>44775.701319444444</v>
      </c>
      <c r="C1913">
        <v>151708</v>
      </c>
      <c r="D1913" t="s">
        <v>30</v>
      </c>
      <c r="E1913" t="s">
        <v>31</v>
      </c>
      <c r="F1913">
        <v>7</v>
      </c>
      <c r="G1913">
        <v>43.192042999999998</v>
      </c>
      <c r="H1913">
        <v>-71.541579999999996</v>
      </c>
      <c r="I1913">
        <v>291</v>
      </c>
      <c r="J1913">
        <v>93</v>
      </c>
      <c r="K1913">
        <v>94</v>
      </c>
      <c r="L1913" s="1">
        <v>44784.639618055553</v>
      </c>
      <c r="M1913">
        <v>7.9</v>
      </c>
      <c r="N1913">
        <v>7.6</v>
      </c>
      <c r="O1913">
        <v>0.3</v>
      </c>
      <c r="P1913">
        <v>4</v>
      </c>
      <c r="Q1913">
        <v>0</v>
      </c>
      <c r="R1913">
        <v>0</v>
      </c>
      <c r="S1913">
        <v>0</v>
      </c>
      <c r="T1913" t="s">
        <v>32</v>
      </c>
      <c r="V1913">
        <v>42</v>
      </c>
      <c r="W1913">
        <v>41</v>
      </c>
      <c r="X1913">
        <v>1</v>
      </c>
      <c r="Y1913">
        <v>0</v>
      </c>
      <c r="Z1913">
        <v>0</v>
      </c>
      <c r="AA1913">
        <v>0</v>
      </c>
      <c r="AB1913" t="s">
        <v>33</v>
      </c>
      <c r="AC1913">
        <v>41.5</v>
      </c>
    </row>
    <row r="1914" spans="1:30" x14ac:dyDescent="0.25">
      <c r="A1914" s="1">
        <v>44784.639618055553</v>
      </c>
      <c r="B1914" s="1">
        <v>44784.637997685182</v>
      </c>
      <c r="C1914">
        <v>143456</v>
      </c>
      <c r="D1914" t="s">
        <v>34</v>
      </c>
      <c r="E1914" t="s">
        <v>35</v>
      </c>
      <c r="F1914">
        <v>7</v>
      </c>
      <c r="G1914">
        <v>43.08963</v>
      </c>
      <c r="H1914">
        <v>-71.502440000000007</v>
      </c>
      <c r="I1914">
        <v>619</v>
      </c>
      <c r="J1914">
        <v>85</v>
      </c>
      <c r="K1914">
        <v>0</v>
      </c>
      <c r="L1914" s="1">
        <v>44784.639618055553</v>
      </c>
      <c r="M1914">
        <v>3.3</v>
      </c>
      <c r="N1914">
        <v>3.9</v>
      </c>
      <c r="O1914">
        <v>0.6</v>
      </c>
      <c r="P1914">
        <v>17</v>
      </c>
      <c r="Q1914">
        <v>0.3</v>
      </c>
      <c r="R1914">
        <v>0.2</v>
      </c>
      <c r="S1914">
        <v>0.25</v>
      </c>
      <c r="T1914" t="s">
        <v>33</v>
      </c>
      <c r="U1914">
        <v>3.6</v>
      </c>
      <c r="V1914">
        <v>49</v>
      </c>
      <c r="W1914">
        <v>0</v>
      </c>
      <c r="X1914">
        <v>49</v>
      </c>
      <c r="Y1914">
        <v>3</v>
      </c>
      <c r="Z1914">
        <v>0</v>
      </c>
      <c r="AA1914">
        <v>3</v>
      </c>
      <c r="AB1914" t="s">
        <v>36</v>
      </c>
      <c r="AC1914">
        <v>49</v>
      </c>
      <c r="AD1914">
        <v>0.93</v>
      </c>
    </row>
    <row r="1915" spans="1:30" x14ac:dyDescent="0.25">
      <c r="A1915" s="1">
        <v>44784.63962962963</v>
      </c>
      <c r="B1915" s="1">
        <v>44784.638148148151</v>
      </c>
      <c r="C1915">
        <v>151702</v>
      </c>
      <c r="D1915" t="s">
        <v>37</v>
      </c>
      <c r="E1915" t="s">
        <v>31</v>
      </c>
      <c r="F1915">
        <v>7</v>
      </c>
      <c r="G1915">
        <v>43.118609999999997</v>
      </c>
      <c r="H1915">
        <v>-71.61618</v>
      </c>
      <c r="I1915">
        <v>885</v>
      </c>
      <c r="J1915">
        <v>0</v>
      </c>
      <c r="K1915">
        <v>0</v>
      </c>
      <c r="L1915" s="1">
        <v>44784.639618055553</v>
      </c>
      <c r="M1915">
        <v>2.2999999999999998</v>
      </c>
      <c r="N1915">
        <v>2.2999999999999998</v>
      </c>
      <c r="O1915">
        <v>0</v>
      </c>
      <c r="P1915">
        <v>0</v>
      </c>
      <c r="Q1915">
        <v>0</v>
      </c>
      <c r="R1915">
        <v>0</v>
      </c>
      <c r="S1915">
        <v>0</v>
      </c>
      <c r="T1915" t="s">
        <v>33</v>
      </c>
      <c r="U1915">
        <v>2.2999999999999998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 t="s">
        <v>38</v>
      </c>
    </row>
    <row r="1916" spans="1:30" x14ac:dyDescent="0.25">
      <c r="A1916" s="1">
        <v>44784.63962962963</v>
      </c>
      <c r="B1916" s="1">
        <v>44784.638043981482</v>
      </c>
      <c r="C1916">
        <v>151700</v>
      </c>
      <c r="D1916" t="s">
        <v>30</v>
      </c>
      <c r="E1916" t="s">
        <v>31</v>
      </c>
      <c r="F1916">
        <v>7</v>
      </c>
      <c r="G1916">
        <v>43.19211</v>
      </c>
      <c r="H1916">
        <v>-71.541460000000001</v>
      </c>
      <c r="I1916">
        <v>286</v>
      </c>
      <c r="J1916">
        <v>85</v>
      </c>
      <c r="K1916">
        <v>0</v>
      </c>
      <c r="L1916" s="1">
        <v>44784.639618055553</v>
      </c>
      <c r="M1916">
        <v>2.2999999999999998</v>
      </c>
      <c r="N1916">
        <v>2.8</v>
      </c>
      <c r="O1916">
        <v>0.5</v>
      </c>
      <c r="P1916">
        <v>20</v>
      </c>
      <c r="Q1916">
        <v>0.1</v>
      </c>
      <c r="R1916">
        <v>0.2</v>
      </c>
      <c r="S1916">
        <v>0.15</v>
      </c>
      <c r="T1916" t="s">
        <v>33</v>
      </c>
      <c r="U1916">
        <v>2.5499999999999998</v>
      </c>
      <c r="V1916">
        <v>41</v>
      </c>
      <c r="W1916">
        <v>0</v>
      </c>
      <c r="X1916">
        <v>41</v>
      </c>
      <c r="Y1916">
        <v>0</v>
      </c>
      <c r="Z1916">
        <v>0</v>
      </c>
      <c r="AA1916">
        <v>0</v>
      </c>
      <c r="AB1916" t="s">
        <v>36</v>
      </c>
      <c r="AC1916">
        <v>41</v>
      </c>
      <c r="AD1916">
        <v>0.85</v>
      </c>
    </row>
    <row r="1917" spans="1:30" x14ac:dyDescent="0.25">
      <c r="A1917" s="1">
        <v>44784.63962962963</v>
      </c>
      <c r="B1917" s="1">
        <v>44784.638472222221</v>
      </c>
      <c r="C1917">
        <v>135984</v>
      </c>
      <c r="D1917" t="s">
        <v>39</v>
      </c>
      <c r="E1917" t="s">
        <v>31</v>
      </c>
      <c r="F1917">
        <v>7</v>
      </c>
      <c r="G1917">
        <v>43.565852999999997</v>
      </c>
      <c r="H1917">
        <v>-71.496129999999994</v>
      </c>
      <c r="I1917">
        <v>708</v>
      </c>
      <c r="J1917">
        <v>88</v>
      </c>
      <c r="K1917">
        <v>0</v>
      </c>
      <c r="L1917" s="1">
        <v>44784.639618055553</v>
      </c>
      <c r="M1917">
        <v>2.9</v>
      </c>
      <c r="N1917">
        <v>2.4</v>
      </c>
      <c r="O1917">
        <v>0.5</v>
      </c>
      <c r="P1917">
        <v>19</v>
      </c>
      <c r="Q1917">
        <v>0.1</v>
      </c>
      <c r="R1917">
        <v>0</v>
      </c>
      <c r="S1917">
        <v>0.05</v>
      </c>
      <c r="T1917" t="s">
        <v>33</v>
      </c>
      <c r="U1917">
        <v>2.65</v>
      </c>
      <c r="V1917">
        <v>46</v>
      </c>
      <c r="W1917">
        <v>0</v>
      </c>
      <c r="X1917">
        <v>46</v>
      </c>
      <c r="Y1917">
        <v>1</v>
      </c>
      <c r="Z1917">
        <v>0</v>
      </c>
      <c r="AA1917">
        <v>1</v>
      </c>
      <c r="AB1917" t="s">
        <v>36</v>
      </c>
      <c r="AC1917">
        <v>46</v>
      </c>
      <c r="AD1917">
        <v>0.56000000000000005</v>
      </c>
    </row>
    <row r="1918" spans="1:30" x14ac:dyDescent="0.25">
      <c r="A1918" s="1">
        <v>44784.639641203707</v>
      </c>
      <c r="B1918" s="1">
        <v>44780.394780092596</v>
      </c>
      <c r="C1918">
        <v>151712</v>
      </c>
      <c r="D1918" t="s">
        <v>40</v>
      </c>
      <c r="E1918" t="s">
        <v>31</v>
      </c>
      <c r="F1918">
        <v>7</v>
      </c>
      <c r="G1918">
        <v>43.289763999999998</v>
      </c>
      <c r="H1918">
        <v>-71.564260000000004</v>
      </c>
      <c r="I1918">
        <v>370</v>
      </c>
      <c r="J1918">
        <v>86</v>
      </c>
      <c r="K1918">
        <v>0</v>
      </c>
      <c r="L1918" s="1">
        <v>44784.639618055553</v>
      </c>
      <c r="M1918">
        <v>14</v>
      </c>
      <c r="N1918">
        <v>13.2</v>
      </c>
      <c r="O1918">
        <v>0.8</v>
      </c>
      <c r="P1918">
        <v>6</v>
      </c>
      <c r="Q1918">
        <v>0</v>
      </c>
      <c r="R1918">
        <v>0</v>
      </c>
      <c r="S1918">
        <v>0</v>
      </c>
      <c r="T1918" t="s">
        <v>32</v>
      </c>
      <c r="V1918">
        <v>59</v>
      </c>
      <c r="W1918">
        <v>0</v>
      </c>
      <c r="X1918">
        <v>59</v>
      </c>
      <c r="Y1918">
        <v>0</v>
      </c>
      <c r="Z1918">
        <v>0</v>
      </c>
      <c r="AA1918">
        <v>0</v>
      </c>
      <c r="AB1918" t="s">
        <v>36</v>
      </c>
      <c r="AC1918">
        <v>59</v>
      </c>
    </row>
    <row r="1919" spans="1:30" x14ac:dyDescent="0.25">
      <c r="A1919" s="1">
        <v>44784.639641203707</v>
      </c>
      <c r="B1919" s="1">
        <v>44784.637789351851</v>
      </c>
      <c r="C1919">
        <v>151710</v>
      </c>
      <c r="D1919" t="s">
        <v>41</v>
      </c>
      <c r="E1919" t="s">
        <v>31</v>
      </c>
      <c r="F1919">
        <v>7</v>
      </c>
      <c r="G1919">
        <v>43.132477000000002</v>
      </c>
      <c r="H1919">
        <v>-71.458374000000006</v>
      </c>
      <c r="I1919">
        <v>230</v>
      </c>
      <c r="J1919">
        <v>91</v>
      </c>
      <c r="K1919">
        <v>0</v>
      </c>
      <c r="L1919" s="1">
        <v>44784.639618055553</v>
      </c>
      <c r="M1919">
        <v>6</v>
      </c>
      <c r="N1919">
        <v>4.4000000000000004</v>
      </c>
      <c r="O1919">
        <v>1.6</v>
      </c>
      <c r="P1919">
        <v>31</v>
      </c>
      <c r="Q1919">
        <v>0.4</v>
      </c>
      <c r="R1919">
        <v>0</v>
      </c>
      <c r="S1919">
        <v>0.2</v>
      </c>
      <c r="T1919" t="s">
        <v>33</v>
      </c>
      <c r="U1919">
        <v>5.2</v>
      </c>
      <c r="V1919">
        <v>32</v>
      </c>
      <c r="W1919">
        <v>0</v>
      </c>
      <c r="X1919">
        <v>32</v>
      </c>
      <c r="Y1919">
        <v>3</v>
      </c>
      <c r="Z1919">
        <v>0</v>
      </c>
      <c r="AA1919">
        <v>3</v>
      </c>
      <c r="AB1919" t="s">
        <v>36</v>
      </c>
      <c r="AC1919">
        <v>32</v>
      </c>
      <c r="AD1919">
        <v>3.09</v>
      </c>
    </row>
    <row r="1920" spans="1:30" x14ac:dyDescent="0.25">
      <c r="A1920" s="1">
        <v>44784.639641203707</v>
      </c>
      <c r="B1920" s="1">
        <v>44784.638819444444</v>
      </c>
      <c r="C1920">
        <v>151706</v>
      </c>
      <c r="D1920" t="s">
        <v>42</v>
      </c>
      <c r="E1920" t="s">
        <v>31</v>
      </c>
      <c r="F1920">
        <v>7</v>
      </c>
      <c r="G1920">
        <v>43.004080000000002</v>
      </c>
      <c r="H1920">
        <v>-71.177040000000005</v>
      </c>
      <c r="I1920">
        <v>194</v>
      </c>
      <c r="J1920">
        <v>88</v>
      </c>
      <c r="K1920">
        <v>0</v>
      </c>
      <c r="L1920" s="1">
        <v>44784.639618055553</v>
      </c>
      <c r="M1920">
        <v>3.6</v>
      </c>
      <c r="N1920">
        <v>0</v>
      </c>
      <c r="O1920">
        <v>3.6</v>
      </c>
      <c r="P1920">
        <v>200</v>
      </c>
      <c r="Q1920">
        <v>0.2</v>
      </c>
      <c r="R1920">
        <v>0</v>
      </c>
      <c r="S1920">
        <v>0.1</v>
      </c>
      <c r="T1920" t="s">
        <v>43</v>
      </c>
      <c r="V1920">
        <v>39</v>
      </c>
      <c r="W1920">
        <v>0</v>
      </c>
      <c r="X1920">
        <v>39</v>
      </c>
      <c r="Y1920">
        <v>1</v>
      </c>
      <c r="Z1920">
        <v>0</v>
      </c>
      <c r="AA1920">
        <v>1</v>
      </c>
      <c r="AB1920" t="s">
        <v>36</v>
      </c>
      <c r="AC1920">
        <v>39</v>
      </c>
    </row>
    <row r="1921" spans="1:30" x14ac:dyDescent="0.25">
      <c r="A1921" s="1">
        <v>44784.639652777776</v>
      </c>
      <c r="B1921" s="1">
        <v>44784.638611111113</v>
      </c>
      <c r="C1921">
        <v>12212</v>
      </c>
      <c r="D1921" t="s">
        <v>44</v>
      </c>
      <c r="E1921" t="s">
        <v>35</v>
      </c>
      <c r="F1921">
        <v>7</v>
      </c>
      <c r="G1921">
        <v>42.930529999999997</v>
      </c>
      <c r="H1921">
        <v>-72.272350000000003</v>
      </c>
      <c r="I1921">
        <v>476</v>
      </c>
      <c r="J1921">
        <v>92</v>
      </c>
      <c r="K1921">
        <v>0</v>
      </c>
      <c r="L1921" s="1">
        <v>44784.639618055553</v>
      </c>
      <c r="M1921">
        <v>5.0999999999999996</v>
      </c>
      <c r="N1921">
        <v>4.5</v>
      </c>
      <c r="O1921">
        <v>0.6</v>
      </c>
      <c r="P1921">
        <v>12</v>
      </c>
      <c r="Q1921">
        <v>0.2</v>
      </c>
      <c r="R1921">
        <v>0.2</v>
      </c>
      <c r="S1921">
        <v>0.2</v>
      </c>
      <c r="T1921" t="s">
        <v>33</v>
      </c>
      <c r="U1921">
        <v>4.8</v>
      </c>
      <c r="V1921">
        <v>29</v>
      </c>
      <c r="W1921">
        <v>0</v>
      </c>
      <c r="X1921">
        <v>29</v>
      </c>
      <c r="Y1921">
        <v>0</v>
      </c>
      <c r="Z1921">
        <v>0</v>
      </c>
      <c r="AA1921">
        <v>0</v>
      </c>
      <c r="AB1921" t="s">
        <v>36</v>
      </c>
      <c r="AC1921">
        <v>29</v>
      </c>
      <c r="AD1921">
        <v>3.06</v>
      </c>
    </row>
    <row r="1922" spans="1:30" x14ac:dyDescent="0.25">
      <c r="A1922" s="1">
        <v>44784.639652777776</v>
      </c>
      <c r="B1922" s="1">
        <v>44769.376736111109</v>
      </c>
      <c r="C1922">
        <v>12178</v>
      </c>
      <c r="D1922" t="s">
        <v>45</v>
      </c>
      <c r="E1922" t="s">
        <v>35</v>
      </c>
      <c r="F1922">
        <v>7</v>
      </c>
      <c r="G1922">
        <v>42.899563000000001</v>
      </c>
      <c r="H1922">
        <v>-71.464650000000006</v>
      </c>
      <c r="I1922">
        <v>301</v>
      </c>
      <c r="J1922">
        <v>85</v>
      </c>
      <c r="K1922">
        <v>0</v>
      </c>
      <c r="L1922" s="1">
        <v>44784.639618055553</v>
      </c>
      <c r="M1922">
        <v>3.8</v>
      </c>
      <c r="N1922">
        <v>3.1</v>
      </c>
      <c r="O1922">
        <v>0.7</v>
      </c>
      <c r="P1922">
        <v>20</v>
      </c>
      <c r="Q1922">
        <v>0</v>
      </c>
      <c r="R1922">
        <v>0</v>
      </c>
      <c r="S1922">
        <v>0</v>
      </c>
      <c r="T1922" t="s">
        <v>32</v>
      </c>
      <c r="V1922">
        <v>35</v>
      </c>
      <c r="W1922">
        <v>0</v>
      </c>
      <c r="X1922">
        <v>35</v>
      </c>
      <c r="Y1922">
        <v>0</v>
      </c>
      <c r="Z1922">
        <v>0</v>
      </c>
      <c r="AA1922">
        <v>0</v>
      </c>
      <c r="AB1922" t="s">
        <v>36</v>
      </c>
      <c r="AC1922">
        <v>35</v>
      </c>
    </row>
    <row r="1923" spans="1:30" x14ac:dyDescent="0.25">
      <c r="A1923" s="1">
        <v>44784.639652777776</v>
      </c>
      <c r="B1923" s="1">
        <v>44784.63789351852</v>
      </c>
      <c r="C1923">
        <v>75981</v>
      </c>
      <c r="D1923" t="s">
        <v>46</v>
      </c>
      <c r="E1923" t="s">
        <v>35</v>
      </c>
      <c r="F1923">
        <v>7</v>
      </c>
      <c r="G1923">
        <v>42.97</v>
      </c>
      <c r="H1923">
        <v>-71.06</v>
      </c>
      <c r="I1923">
        <v>136</v>
      </c>
      <c r="J1923">
        <v>89</v>
      </c>
      <c r="K1923">
        <v>0</v>
      </c>
      <c r="L1923" s="1">
        <v>44784.639618055553</v>
      </c>
      <c r="M1923">
        <v>10.5</v>
      </c>
      <c r="N1923">
        <v>9.6999999999999993</v>
      </c>
      <c r="O1923">
        <v>0.8</v>
      </c>
      <c r="P1923">
        <v>8</v>
      </c>
      <c r="Q1923">
        <v>0</v>
      </c>
      <c r="R1923">
        <v>0.1</v>
      </c>
      <c r="S1923">
        <v>0.05</v>
      </c>
      <c r="T1923" t="s">
        <v>33</v>
      </c>
      <c r="U1923">
        <v>10.1</v>
      </c>
      <c r="V1923">
        <v>43</v>
      </c>
      <c r="W1923">
        <v>0</v>
      </c>
      <c r="X1923">
        <v>43</v>
      </c>
      <c r="Y1923">
        <v>2</v>
      </c>
      <c r="Z1923">
        <v>0</v>
      </c>
      <c r="AA1923">
        <v>2</v>
      </c>
      <c r="AB1923" t="s">
        <v>36</v>
      </c>
      <c r="AC1923">
        <v>43</v>
      </c>
      <c r="AD1923">
        <v>5.31</v>
      </c>
    </row>
    <row r="1924" spans="1:30" x14ac:dyDescent="0.25">
      <c r="A1924" s="1">
        <v>44784.639664351853</v>
      </c>
      <c r="B1924" s="1">
        <v>44784.638425925928</v>
      </c>
      <c r="C1924">
        <v>115703</v>
      </c>
      <c r="D1924" t="s">
        <v>47</v>
      </c>
      <c r="E1924" t="s">
        <v>35</v>
      </c>
      <c r="F1924">
        <v>7</v>
      </c>
      <c r="G1924">
        <v>43.953625000000002</v>
      </c>
      <c r="H1924">
        <v>-71.508859999999999</v>
      </c>
      <c r="I1924">
        <v>1493</v>
      </c>
      <c r="J1924">
        <v>90</v>
      </c>
      <c r="K1924">
        <v>0</v>
      </c>
      <c r="L1924" s="1">
        <v>44784.639618055553</v>
      </c>
      <c r="M1924">
        <v>0</v>
      </c>
      <c r="N1924">
        <v>39.700000000000003</v>
      </c>
      <c r="O1924">
        <v>39.700000000000003</v>
      </c>
      <c r="P1924">
        <v>200</v>
      </c>
      <c r="Q1924">
        <v>0.1</v>
      </c>
      <c r="R1924">
        <v>27.5</v>
      </c>
      <c r="S1924">
        <v>13.8</v>
      </c>
      <c r="T1924" t="s">
        <v>48</v>
      </c>
      <c r="V1924">
        <v>31</v>
      </c>
      <c r="W1924">
        <v>0</v>
      </c>
      <c r="X1924">
        <v>31</v>
      </c>
      <c r="Y1924">
        <v>0</v>
      </c>
      <c r="Z1924">
        <v>0</v>
      </c>
      <c r="AA1924">
        <v>0</v>
      </c>
      <c r="AB1924" t="s">
        <v>36</v>
      </c>
      <c r="AC1924">
        <v>31</v>
      </c>
    </row>
    <row r="1925" spans="1:30" x14ac:dyDescent="0.25">
      <c r="A1925" s="1">
        <v>44784.639664351853</v>
      </c>
      <c r="B1925" s="1">
        <v>44784.63784722222</v>
      </c>
      <c r="C1925">
        <v>12050</v>
      </c>
      <c r="D1925" t="s">
        <v>49</v>
      </c>
      <c r="E1925" t="s">
        <v>35</v>
      </c>
      <c r="F1925">
        <v>7</v>
      </c>
      <c r="G1925">
        <v>44.220573000000002</v>
      </c>
      <c r="H1925">
        <v>-71.732315</v>
      </c>
      <c r="I1925">
        <v>999</v>
      </c>
      <c r="J1925">
        <v>94</v>
      </c>
      <c r="K1925">
        <v>0</v>
      </c>
      <c r="L1925" s="1">
        <v>44784.639618055553</v>
      </c>
      <c r="M1925">
        <v>3.3</v>
      </c>
      <c r="N1925">
        <v>2.9</v>
      </c>
      <c r="O1925">
        <v>0.4</v>
      </c>
      <c r="P1925">
        <v>13</v>
      </c>
      <c r="Q1925">
        <v>0.1</v>
      </c>
      <c r="R1925">
        <v>0</v>
      </c>
      <c r="S1925">
        <v>0.05</v>
      </c>
      <c r="T1925" t="s">
        <v>33</v>
      </c>
      <c r="U1925">
        <v>3.1</v>
      </c>
      <c r="V1925">
        <v>29</v>
      </c>
      <c r="W1925">
        <v>0</v>
      </c>
      <c r="X1925">
        <v>29</v>
      </c>
      <c r="Y1925">
        <v>1</v>
      </c>
      <c r="Z1925">
        <v>0</v>
      </c>
      <c r="AA1925">
        <v>1</v>
      </c>
      <c r="AB1925" t="s">
        <v>36</v>
      </c>
      <c r="AC1925">
        <v>29</v>
      </c>
      <c r="AD1925">
        <v>2.02</v>
      </c>
    </row>
    <row r="1926" spans="1:30" x14ac:dyDescent="0.25">
      <c r="A1926" s="1">
        <v>44784.639664351853</v>
      </c>
      <c r="B1926" s="1">
        <v>44784.637962962966</v>
      </c>
      <c r="C1926">
        <v>23443</v>
      </c>
      <c r="D1926" t="s">
        <v>50</v>
      </c>
      <c r="E1926" t="s">
        <v>35</v>
      </c>
      <c r="F1926">
        <v>7</v>
      </c>
      <c r="G1926">
        <v>43.556139999999999</v>
      </c>
      <c r="H1926">
        <v>-72.370990000000006</v>
      </c>
      <c r="I1926">
        <v>523</v>
      </c>
      <c r="J1926">
        <v>109</v>
      </c>
      <c r="K1926">
        <v>0</v>
      </c>
      <c r="L1926" s="1">
        <v>44784.639618055553</v>
      </c>
      <c r="M1926">
        <v>3</v>
      </c>
      <c r="N1926">
        <v>2.7</v>
      </c>
      <c r="O1926">
        <v>0.3</v>
      </c>
      <c r="P1926">
        <v>11</v>
      </c>
      <c r="Q1926">
        <v>0</v>
      </c>
      <c r="R1926">
        <v>0</v>
      </c>
      <c r="S1926">
        <v>0</v>
      </c>
      <c r="T1926" t="s">
        <v>33</v>
      </c>
      <c r="U1926">
        <v>2.85</v>
      </c>
      <c r="V1926">
        <v>19</v>
      </c>
      <c r="W1926">
        <v>0</v>
      </c>
      <c r="X1926">
        <v>19</v>
      </c>
      <c r="Y1926">
        <v>0</v>
      </c>
      <c r="Z1926">
        <v>0</v>
      </c>
      <c r="AA1926">
        <v>0</v>
      </c>
      <c r="AB1926" t="s">
        <v>36</v>
      </c>
      <c r="AC1926">
        <v>19</v>
      </c>
      <c r="AD1926">
        <v>2.57</v>
      </c>
    </row>
    <row r="1927" spans="1:30" x14ac:dyDescent="0.25">
      <c r="A1927" s="1">
        <v>44784.639675925922</v>
      </c>
      <c r="B1927" s="1">
        <v>44784.638067129628</v>
      </c>
      <c r="C1927">
        <v>58135</v>
      </c>
      <c r="D1927" t="s">
        <v>51</v>
      </c>
      <c r="E1927" t="s">
        <v>35</v>
      </c>
      <c r="F1927">
        <v>7</v>
      </c>
      <c r="G1927">
        <v>42.883873000000001</v>
      </c>
      <c r="H1927">
        <v>-71.972915999999998</v>
      </c>
      <c r="I1927">
        <v>808</v>
      </c>
      <c r="J1927">
        <v>87</v>
      </c>
      <c r="K1927">
        <v>0</v>
      </c>
      <c r="L1927" s="1">
        <v>44784.639618055553</v>
      </c>
      <c r="M1927">
        <v>4.2</v>
      </c>
      <c r="N1927">
        <v>2.6</v>
      </c>
      <c r="O1927">
        <v>1.6</v>
      </c>
      <c r="P1927">
        <v>47</v>
      </c>
      <c r="Q1927">
        <v>0</v>
      </c>
      <c r="R1927">
        <v>0</v>
      </c>
      <c r="S1927">
        <v>0</v>
      </c>
      <c r="T1927" t="s">
        <v>33</v>
      </c>
      <c r="U1927">
        <v>3.4</v>
      </c>
      <c r="V1927">
        <v>34</v>
      </c>
      <c r="W1927">
        <v>0</v>
      </c>
      <c r="X1927">
        <v>34</v>
      </c>
      <c r="Y1927">
        <v>1</v>
      </c>
      <c r="Z1927">
        <v>0</v>
      </c>
      <c r="AA1927">
        <v>1</v>
      </c>
      <c r="AB1927" t="s">
        <v>36</v>
      </c>
      <c r="AC1927">
        <v>34</v>
      </c>
      <c r="AD1927">
        <v>1.85</v>
      </c>
    </row>
    <row r="1928" spans="1:30" x14ac:dyDescent="0.25">
      <c r="A1928" s="1">
        <v>44784.639675925922</v>
      </c>
      <c r="B1928" s="1">
        <v>44784.638067129628</v>
      </c>
      <c r="C1928">
        <v>148555</v>
      </c>
      <c r="D1928" t="s">
        <v>52</v>
      </c>
      <c r="E1928" t="s">
        <v>53</v>
      </c>
      <c r="F1928">
        <v>7</v>
      </c>
      <c r="G1928">
        <v>42.904949999999999</v>
      </c>
      <c r="H1928">
        <v>-71.386764999999997</v>
      </c>
      <c r="I1928">
        <v>363</v>
      </c>
      <c r="J1928">
        <v>0</v>
      </c>
      <c r="K1928">
        <v>0</v>
      </c>
      <c r="L1928" s="1">
        <v>44784.639618055553</v>
      </c>
      <c r="M1928">
        <v>1.6</v>
      </c>
      <c r="N1928">
        <v>1.2</v>
      </c>
      <c r="O1928">
        <v>0.4</v>
      </c>
      <c r="P1928">
        <v>29</v>
      </c>
      <c r="Q1928">
        <v>0.1</v>
      </c>
      <c r="R1928">
        <v>0.1</v>
      </c>
      <c r="S1928">
        <v>0.1</v>
      </c>
      <c r="T1928" t="s">
        <v>33</v>
      </c>
      <c r="U1928">
        <v>1.4</v>
      </c>
      <c r="V1928">
        <v>0</v>
      </c>
      <c r="W1928">
        <v>0</v>
      </c>
      <c r="X1928">
        <v>0</v>
      </c>
      <c r="Y1928">
        <v>0</v>
      </c>
      <c r="Z1928">
        <v>0</v>
      </c>
      <c r="AA1928">
        <v>0</v>
      </c>
      <c r="AB1928" t="s">
        <v>38</v>
      </c>
    </row>
    <row r="1929" spans="1:30" x14ac:dyDescent="0.25">
      <c r="A1929" s="1">
        <v>44784.639687499999</v>
      </c>
      <c r="B1929" s="1">
        <v>44784.638958333337</v>
      </c>
      <c r="C1929">
        <v>146644</v>
      </c>
      <c r="D1929" t="s">
        <v>54</v>
      </c>
      <c r="E1929" t="s">
        <v>53</v>
      </c>
      <c r="F1929">
        <v>7</v>
      </c>
      <c r="G1929">
        <v>43.06015</v>
      </c>
      <c r="H1929">
        <v>-70.758930000000007</v>
      </c>
      <c r="I1929">
        <v>35</v>
      </c>
      <c r="J1929">
        <v>79</v>
      </c>
      <c r="K1929">
        <v>80</v>
      </c>
      <c r="L1929" s="1">
        <v>44784.639618055553</v>
      </c>
      <c r="M1929">
        <v>15.2</v>
      </c>
      <c r="N1929">
        <v>15</v>
      </c>
      <c r="O1929">
        <v>0.2</v>
      </c>
      <c r="P1929">
        <v>1</v>
      </c>
      <c r="Q1929">
        <v>0.4</v>
      </c>
      <c r="R1929">
        <v>0.6</v>
      </c>
      <c r="S1929">
        <v>0.5</v>
      </c>
      <c r="T1929" t="s">
        <v>33</v>
      </c>
      <c r="U1929">
        <v>15.1</v>
      </c>
      <c r="V1929">
        <v>54</v>
      </c>
      <c r="W1929">
        <v>60</v>
      </c>
      <c r="X1929">
        <v>6</v>
      </c>
      <c r="Y1929">
        <v>0</v>
      </c>
      <c r="Z1929">
        <v>1</v>
      </c>
      <c r="AA1929">
        <v>1</v>
      </c>
      <c r="AB1929" t="s">
        <v>33</v>
      </c>
      <c r="AC1929">
        <v>57</v>
      </c>
      <c r="AD1929">
        <v>7.38</v>
      </c>
    </row>
    <row r="1930" spans="1:30" x14ac:dyDescent="0.25">
      <c r="A1930" s="1">
        <v>44784.639687499999</v>
      </c>
      <c r="B1930" s="1">
        <v>43755.283437500002</v>
      </c>
      <c r="C1930">
        <v>12188</v>
      </c>
      <c r="D1930" t="s">
        <v>55</v>
      </c>
      <c r="E1930" t="s">
        <v>35</v>
      </c>
      <c r="F1930">
        <v>4.1100000000000003</v>
      </c>
      <c r="G1930">
        <v>42.927050000000001</v>
      </c>
      <c r="H1930">
        <v>-72.279610000000005</v>
      </c>
      <c r="I1930">
        <v>475</v>
      </c>
      <c r="J1930">
        <v>95</v>
      </c>
      <c r="K1930">
        <v>0</v>
      </c>
      <c r="L1930" s="1">
        <v>44784.639618055553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 t="s">
        <v>32</v>
      </c>
      <c r="V1930">
        <v>77</v>
      </c>
      <c r="W1930">
        <v>0</v>
      </c>
      <c r="X1930">
        <v>77</v>
      </c>
      <c r="Y1930">
        <v>0</v>
      </c>
      <c r="Z1930">
        <v>0</v>
      </c>
      <c r="AA1930">
        <v>0</v>
      </c>
      <c r="AB1930" t="s">
        <v>36</v>
      </c>
      <c r="AC1930">
        <v>77</v>
      </c>
    </row>
    <row r="1931" spans="1:30" x14ac:dyDescent="0.25">
      <c r="A1931" s="1">
        <v>44784.639687499999</v>
      </c>
      <c r="B1931" s="1">
        <v>44784.63795138889</v>
      </c>
      <c r="C1931">
        <v>1224</v>
      </c>
      <c r="D1931" t="s">
        <v>56</v>
      </c>
      <c r="E1931" t="s">
        <v>35</v>
      </c>
      <c r="F1931" t="s">
        <v>57</v>
      </c>
      <c r="G1931">
        <v>42.938034000000002</v>
      </c>
      <c r="H1931">
        <v>-72.259299999999996</v>
      </c>
      <c r="I1931">
        <v>792</v>
      </c>
      <c r="J1931">
        <v>92</v>
      </c>
      <c r="K1931">
        <v>0</v>
      </c>
      <c r="L1931" s="1">
        <v>44784.639618055553</v>
      </c>
      <c r="M1931">
        <v>5.2</v>
      </c>
      <c r="N1931">
        <v>0.1</v>
      </c>
      <c r="O1931">
        <v>5.0999999999999996</v>
      </c>
      <c r="P1931">
        <v>192</v>
      </c>
      <c r="Q1931">
        <v>0.1</v>
      </c>
      <c r="R1931">
        <v>0.1</v>
      </c>
      <c r="S1931">
        <v>0.1</v>
      </c>
      <c r="T1931" t="s">
        <v>33</v>
      </c>
      <c r="U1931">
        <v>2.65</v>
      </c>
      <c r="V1931">
        <v>36</v>
      </c>
      <c r="W1931">
        <v>0</v>
      </c>
      <c r="X1931">
        <v>36</v>
      </c>
      <c r="Y1931">
        <v>0</v>
      </c>
      <c r="Z1931">
        <v>0</v>
      </c>
      <c r="AA1931">
        <v>0</v>
      </c>
      <c r="AB1931" t="s">
        <v>36</v>
      </c>
      <c r="AC1931">
        <v>36</v>
      </c>
      <c r="AD1931">
        <v>1.26</v>
      </c>
    </row>
    <row r="1932" spans="1:30" x14ac:dyDescent="0.25">
      <c r="A1932" s="1">
        <v>44784.639699074076</v>
      </c>
      <c r="B1932" s="1">
        <v>44784.638784722221</v>
      </c>
      <c r="C1932">
        <v>1202</v>
      </c>
      <c r="D1932" t="s">
        <v>58</v>
      </c>
      <c r="E1932" t="s">
        <v>35</v>
      </c>
      <c r="F1932" t="s">
        <v>57</v>
      </c>
      <c r="G1932">
        <v>42.936554000000001</v>
      </c>
      <c r="H1932">
        <v>-72.271019999999993</v>
      </c>
      <c r="I1932">
        <v>488</v>
      </c>
      <c r="J1932">
        <v>0</v>
      </c>
      <c r="K1932">
        <v>0</v>
      </c>
      <c r="L1932" s="1">
        <v>44784.639618055553</v>
      </c>
      <c r="M1932">
        <v>5.3</v>
      </c>
      <c r="N1932">
        <v>4.7</v>
      </c>
      <c r="O1932">
        <v>0.6</v>
      </c>
      <c r="P1932">
        <v>12</v>
      </c>
      <c r="Q1932">
        <v>0.1</v>
      </c>
      <c r="R1932">
        <v>0.1</v>
      </c>
      <c r="S1932">
        <v>0.1</v>
      </c>
      <c r="T1932" t="s">
        <v>33</v>
      </c>
      <c r="U1932">
        <v>5</v>
      </c>
      <c r="V1932">
        <v>0</v>
      </c>
      <c r="W1932">
        <v>0</v>
      </c>
      <c r="X1932">
        <v>0</v>
      </c>
      <c r="Y1932">
        <v>0</v>
      </c>
      <c r="Z1932">
        <v>0</v>
      </c>
      <c r="AA1932">
        <v>0</v>
      </c>
      <c r="AB1932" t="s">
        <v>38</v>
      </c>
    </row>
    <row r="1933" spans="1:30" x14ac:dyDescent="0.25">
      <c r="A1933" s="1">
        <v>44784.639699074076</v>
      </c>
      <c r="B1933" s="1">
        <v>44612.080023148148</v>
      </c>
      <c r="C1933">
        <v>25985</v>
      </c>
      <c r="D1933" t="s">
        <v>59</v>
      </c>
      <c r="E1933" t="s">
        <v>35</v>
      </c>
      <c r="F1933">
        <v>6.01</v>
      </c>
      <c r="G1933">
        <v>42.927326000000001</v>
      </c>
      <c r="H1933">
        <v>-72.279979999999995</v>
      </c>
      <c r="I1933">
        <v>477</v>
      </c>
      <c r="J1933">
        <v>78</v>
      </c>
      <c r="K1933">
        <v>0</v>
      </c>
      <c r="L1933" s="1">
        <v>44784.639618055553</v>
      </c>
      <c r="M1933">
        <v>1.1000000000000001</v>
      </c>
      <c r="N1933">
        <v>1</v>
      </c>
      <c r="O1933">
        <v>0.1</v>
      </c>
      <c r="P1933">
        <v>10</v>
      </c>
      <c r="Q1933">
        <v>0</v>
      </c>
      <c r="R1933">
        <v>0</v>
      </c>
      <c r="S1933">
        <v>0</v>
      </c>
      <c r="T1933" t="s">
        <v>32</v>
      </c>
      <c r="V1933">
        <v>22</v>
      </c>
      <c r="W1933">
        <v>0</v>
      </c>
      <c r="X1933">
        <v>22</v>
      </c>
      <c r="Y1933">
        <v>0</v>
      </c>
      <c r="Z1933">
        <v>0</v>
      </c>
      <c r="AA1933">
        <v>0</v>
      </c>
      <c r="AB1933" t="s">
        <v>36</v>
      </c>
      <c r="AC1933">
        <v>22</v>
      </c>
    </row>
    <row r="1934" spans="1:30" x14ac:dyDescent="0.25">
      <c r="A1934" s="1">
        <v>44784.646562499998</v>
      </c>
      <c r="B1934" s="1">
        <v>44775.701319444444</v>
      </c>
      <c r="C1934">
        <v>151708</v>
      </c>
      <c r="D1934" t="s">
        <v>30</v>
      </c>
      <c r="E1934" t="s">
        <v>31</v>
      </c>
      <c r="F1934">
        <v>7</v>
      </c>
      <c r="G1934">
        <v>43.192042999999998</v>
      </c>
      <c r="H1934">
        <v>-71.541579999999996</v>
      </c>
      <c r="I1934">
        <v>291</v>
      </c>
      <c r="J1934">
        <v>93</v>
      </c>
      <c r="K1934">
        <v>94</v>
      </c>
      <c r="L1934" s="1">
        <v>44784.646562499998</v>
      </c>
      <c r="M1934">
        <v>7.9</v>
      </c>
      <c r="N1934">
        <v>7.6</v>
      </c>
      <c r="O1934">
        <v>0.3</v>
      </c>
      <c r="P1934">
        <v>4</v>
      </c>
      <c r="Q1934">
        <v>0</v>
      </c>
      <c r="R1934">
        <v>0</v>
      </c>
      <c r="S1934">
        <v>0</v>
      </c>
      <c r="T1934" t="s">
        <v>32</v>
      </c>
      <c r="V1934">
        <v>42</v>
      </c>
      <c r="W1934">
        <v>41</v>
      </c>
      <c r="X1934">
        <v>1</v>
      </c>
      <c r="Y1934">
        <v>0</v>
      </c>
      <c r="Z1934">
        <v>0</v>
      </c>
      <c r="AA1934">
        <v>0</v>
      </c>
      <c r="AB1934" t="s">
        <v>33</v>
      </c>
      <c r="AC1934">
        <v>41.5</v>
      </c>
    </row>
    <row r="1935" spans="1:30" x14ac:dyDescent="0.25">
      <c r="A1935" s="1">
        <v>44784.646574074075</v>
      </c>
      <c r="B1935" s="1">
        <v>44784.644942129627</v>
      </c>
      <c r="C1935">
        <v>143456</v>
      </c>
      <c r="D1935" t="s">
        <v>34</v>
      </c>
      <c r="E1935" t="s">
        <v>35</v>
      </c>
      <c r="F1935">
        <v>7</v>
      </c>
      <c r="G1935">
        <v>43.08963</v>
      </c>
      <c r="H1935">
        <v>-71.502440000000007</v>
      </c>
      <c r="I1935">
        <v>619</v>
      </c>
      <c r="J1935">
        <v>85</v>
      </c>
      <c r="K1935">
        <v>0</v>
      </c>
      <c r="L1935" s="1">
        <v>44784.646562499998</v>
      </c>
      <c r="M1935">
        <v>3.2</v>
      </c>
      <c r="N1935">
        <v>3.8</v>
      </c>
      <c r="O1935">
        <v>0.6</v>
      </c>
      <c r="P1935">
        <v>17</v>
      </c>
      <c r="Q1935">
        <v>0.1</v>
      </c>
      <c r="R1935">
        <v>0.1</v>
      </c>
      <c r="S1935">
        <v>0.1</v>
      </c>
      <c r="T1935" t="s">
        <v>33</v>
      </c>
      <c r="U1935">
        <v>3.5</v>
      </c>
      <c r="V1935">
        <v>44</v>
      </c>
      <c r="W1935">
        <v>0</v>
      </c>
      <c r="X1935">
        <v>44</v>
      </c>
      <c r="Y1935">
        <v>5</v>
      </c>
      <c r="Z1935">
        <v>0</v>
      </c>
      <c r="AA1935">
        <v>5</v>
      </c>
      <c r="AB1935" t="s">
        <v>36</v>
      </c>
      <c r="AC1935">
        <v>44</v>
      </c>
      <c r="AD1935">
        <v>1.21</v>
      </c>
    </row>
    <row r="1936" spans="1:30" x14ac:dyDescent="0.25">
      <c r="A1936" s="1">
        <v>44784.646574074075</v>
      </c>
      <c r="B1936" s="1">
        <v>44784.646481481483</v>
      </c>
      <c r="C1936">
        <v>151702</v>
      </c>
      <c r="D1936" t="s">
        <v>37</v>
      </c>
      <c r="E1936" t="s">
        <v>31</v>
      </c>
      <c r="F1936">
        <v>7</v>
      </c>
      <c r="G1936">
        <v>43.118609999999997</v>
      </c>
      <c r="H1936">
        <v>-71.61618</v>
      </c>
      <c r="I1936">
        <v>885</v>
      </c>
      <c r="J1936">
        <v>0</v>
      </c>
      <c r="K1936">
        <v>0</v>
      </c>
      <c r="L1936" s="1">
        <v>44784.646562499998</v>
      </c>
      <c r="M1936">
        <v>2.2999999999999998</v>
      </c>
      <c r="N1936">
        <v>2.2999999999999998</v>
      </c>
      <c r="O1936">
        <v>0</v>
      </c>
      <c r="P1936">
        <v>0</v>
      </c>
      <c r="Q1936">
        <v>0</v>
      </c>
      <c r="R1936">
        <v>0</v>
      </c>
      <c r="S1936">
        <v>0</v>
      </c>
      <c r="T1936" t="s">
        <v>33</v>
      </c>
      <c r="U1936">
        <v>2.2999999999999998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 t="s">
        <v>38</v>
      </c>
    </row>
    <row r="1937" spans="1:30" x14ac:dyDescent="0.25">
      <c r="A1937" s="1">
        <v>44784.646574074075</v>
      </c>
      <c r="B1937" s="1">
        <v>44784.646377314813</v>
      </c>
      <c r="C1937">
        <v>151700</v>
      </c>
      <c r="D1937" t="s">
        <v>30</v>
      </c>
      <c r="E1937" t="s">
        <v>31</v>
      </c>
      <c r="F1937">
        <v>7</v>
      </c>
      <c r="G1937">
        <v>43.19211</v>
      </c>
      <c r="H1937">
        <v>-71.541460000000001</v>
      </c>
      <c r="I1937">
        <v>286</v>
      </c>
      <c r="J1937">
        <v>85</v>
      </c>
      <c r="K1937">
        <v>0</v>
      </c>
      <c r="L1937" s="1">
        <v>44784.646562499998</v>
      </c>
      <c r="M1937">
        <v>2.5</v>
      </c>
      <c r="N1937">
        <v>3</v>
      </c>
      <c r="O1937">
        <v>0.5</v>
      </c>
      <c r="P1937">
        <v>18</v>
      </c>
      <c r="Q1937">
        <v>0.2</v>
      </c>
      <c r="R1937">
        <v>0.2</v>
      </c>
      <c r="S1937">
        <v>0.2</v>
      </c>
      <c r="T1937" t="s">
        <v>33</v>
      </c>
      <c r="U1937">
        <v>2.75</v>
      </c>
      <c r="V1937">
        <v>41</v>
      </c>
      <c r="W1937">
        <v>0</v>
      </c>
      <c r="X1937">
        <v>41</v>
      </c>
      <c r="Y1937">
        <v>0</v>
      </c>
      <c r="Z1937">
        <v>0</v>
      </c>
      <c r="AA1937">
        <v>0</v>
      </c>
      <c r="AB1937" t="s">
        <v>36</v>
      </c>
      <c r="AC1937">
        <v>41</v>
      </c>
      <c r="AD1937">
        <v>0.97</v>
      </c>
    </row>
    <row r="1938" spans="1:30" x14ac:dyDescent="0.25">
      <c r="A1938" s="1">
        <v>44784.646585648145</v>
      </c>
      <c r="B1938" s="1">
        <v>44784.645416666666</v>
      </c>
      <c r="C1938">
        <v>135984</v>
      </c>
      <c r="D1938" t="s">
        <v>39</v>
      </c>
      <c r="E1938" t="s">
        <v>31</v>
      </c>
      <c r="F1938">
        <v>7</v>
      </c>
      <c r="G1938">
        <v>43.565852999999997</v>
      </c>
      <c r="H1938">
        <v>-71.496129999999994</v>
      </c>
      <c r="I1938">
        <v>708</v>
      </c>
      <c r="J1938">
        <v>87</v>
      </c>
      <c r="K1938">
        <v>0</v>
      </c>
      <c r="L1938" s="1">
        <v>44784.646562499998</v>
      </c>
      <c r="M1938">
        <v>3</v>
      </c>
      <c r="N1938">
        <v>2.5</v>
      </c>
      <c r="O1938">
        <v>0.5</v>
      </c>
      <c r="P1938">
        <v>18</v>
      </c>
      <c r="Q1938">
        <v>0.1</v>
      </c>
      <c r="R1938">
        <v>0.1</v>
      </c>
      <c r="S1938">
        <v>0.1</v>
      </c>
      <c r="T1938" t="s">
        <v>33</v>
      </c>
      <c r="U1938">
        <v>2.75</v>
      </c>
      <c r="V1938">
        <v>47</v>
      </c>
      <c r="W1938">
        <v>0</v>
      </c>
      <c r="X1938">
        <v>47</v>
      </c>
      <c r="Y1938">
        <v>1</v>
      </c>
      <c r="Z1938">
        <v>0</v>
      </c>
      <c r="AA1938">
        <v>1</v>
      </c>
      <c r="AB1938" t="s">
        <v>36</v>
      </c>
      <c r="AC1938">
        <v>47</v>
      </c>
      <c r="AD1938">
        <v>0.55000000000000004</v>
      </c>
    </row>
    <row r="1939" spans="1:30" x14ac:dyDescent="0.25">
      <c r="A1939" s="1">
        <v>44784.646585648145</v>
      </c>
      <c r="B1939" s="1">
        <v>44780.394780092596</v>
      </c>
      <c r="C1939">
        <v>151712</v>
      </c>
      <c r="D1939" t="s">
        <v>40</v>
      </c>
      <c r="E1939" t="s">
        <v>31</v>
      </c>
      <c r="F1939">
        <v>7</v>
      </c>
      <c r="G1939">
        <v>43.289763999999998</v>
      </c>
      <c r="H1939">
        <v>-71.564260000000004</v>
      </c>
      <c r="I1939">
        <v>370</v>
      </c>
      <c r="J1939">
        <v>86</v>
      </c>
      <c r="K1939">
        <v>0</v>
      </c>
      <c r="L1939" s="1">
        <v>44784.646562499998</v>
      </c>
      <c r="M1939">
        <v>14</v>
      </c>
      <c r="N1939">
        <v>13.2</v>
      </c>
      <c r="O1939">
        <v>0.8</v>
      </c>
      <c r="P1939">
        <v>6</v>
      </c>
      <c r="Q1939">
        <v>0</v>
      </c>
      <c r="R1939">
        <v>0</v>
      </c>
      <c r="S1939">
        <v>0</v>
      </c>
      <c r="T1939" t="s">
        <v>32</v>
      </c>
      <c r="V1939">
        <v>59</v>
      </c>
      <c r="W1939">
        <v>0</v>
      </c>
      <c r="X1939">
        <v>59</v>
      </c>
      <c r="Y1939">
        <v>0</v>
      </c>
      <c r="Z1939">
        <v>0</v>
      </c>
      <c r="AA1939">
        <v>0</v>
      </c>
      <c r="AB1939" t="s">
        <v>36</v>
      </c>
      <c r="AC1939">
        <v>59</v>
      </c>
    </row>
    <row r="1940" spans="1:30" x14ac:dyDescent="0.25">
      <c r="A1940" s="1">
        <v>44784.646597222221</v>
      </c>
      <c r="B1940" s="1">
        <v>44784.646122685182</v>
      </c>
      <c r="C1940">
        <v>151710</v>
      </c>
      <c r="D1940" t="s">
        <v>41</v>
      </c>
      <c r="E1940" t="s">
        <v>31</v>
      </c>
      <c r="F1940">
        <v>7</v>
      </c>
      <c r="G1940">
        <v>43.132477000000002</v>
      </c>
      <c r="H1940">
        <v>-71.458374000000006</v>
      </c>
      <c r="I1940">
        <v>230</v>
      </c>
      <c r="J1940">
        <v>91</v>
      </c>
      <c r="K1940">
        <v>0</v>
      </c>
      <c r="L1940" s="1">
        <v>44784.646562499998</v>
      </c>
      <c r="M1940">
        <v>5.9</v>
      </c>
      <c r="N1940">
        <v>4.4000000000000004</v>
      </c>
      <c r="O1940">
        <v>1.5</v>
      </c>
      <c r="P1940">
        <v>29</v>
      </c>
      <c r="Q1940">
        <v>0.1</v>
      </c>
      <c r="R1940">
        <v>0</v>
      </c>
      <c r="S1940">
        <v>0.05</v>
      </c>
      <c r="T1940" t="s">
        <v>33</v>
      </c>
      <c r="U1940">
        <v>5.15</v>
      </c>
      <c r="V1940">
        <v>33</v>
      </c>
      <c r="W1940">
        <v>0</v>
      </c>
      <c r="X1940">
        <v>33</v>
      </c>
      <c r="Y1940">
        <v>1</v>
      </c>
      <c r="Z1940">
        <v>0</v>
      </c>
      <c r="AA1940">
        <v>1</v>
      </c>
      <c r="AB1940" t="s">
        <v>36</v>
      </c>
      <c r="AC1940">
        <v>33</v>
      </c>
      <c r="AD1940">
        <v>2.99</v>
      </c>
    </row>
    <row r="1941" spans="1:30" x14ac:dyDescent="0.25">
      <c r="A1941" s="1">
        <v>44784.646597222221</v>
      </c>
      <c r="B1941" s="1">
        <v>44784.645775462966</v>
      </c>
      <c r="C1941">
        <v>151706</v>
      </c>
      <c r="D1941" t="s">
        <v>42</v>
      </c>
      <c r="E1941" t="s">
        <v>31</v>
      </c>
      <c r="F1941">
        <v>7</v>
      </c>
      <c r="G1941">
        <v>43.004080000000002</v>
      </c>
      <c r="H1941">
        <v>-71.177040000000005</v>
      </c>
      <c r="I1941">
        <v>194</v>
      </c>
      <c r="J1941">
        <v>89</v>
      </c>
      <c r="K1941">
        <v>0</v>
      </c>
      <c r="L1941" s="1">
        <v>44784.646562499998</v>
      </c>
      <c r="M1941">
        <v>3.4</v>
      </c>
      <c r="N1941">
        <v>0</v>
      </c>
      <c r="O1941">
        <v>3.4</v>
      </c>
      <c r="P1941">
        <v>200</v>
      </c>
      <c r="Q1941">
        <v>0.2</v>
      </c>
      <c r="R1941">
        <v>0</v>
      </c>
      <c r="S1941">
        <v>0.1</v>
      </c>
      <c r="T1941" t="s">
        <v>43</v>
      </c>
      <c r="V1941">
        <v>38</v>
      </c>
      <c r="W1941">
        <v>0</v>
      </c>
      <c r="X1941">
        <v>38</v>
      </c>
      <c r="Y1941">
        <v>1</v>
      </c>
      <c r="Z1941">
        <v>0</v>
      </c>
      <c r="AA1941">
        <v>1</v>
      </c>
      <c r="AB1941" t="s">
        <v>36</v>
      </c>
      <c r="AC1941">
        <v>38</v>
      </c>
    </row>
    <row r="1942" spans="1:30" x14ac:dyDescent="0.25">
      <c r="A1942" s="1">
        <v>44784.646597222221</v>
      </c>
      <c r="B1942" s="1">
        <v>44784.645555555559</v>
      </c>
      <c r="C1942">
        <v>12212</v>
      </c>
      <c r="D1942" t="s">
        <v>44</v>
      </c>
      <c r="E1942" t="s">
        <v>35</v>
      </c>
      <c r="F1942">
        <v>7</v>
      </c>
      <c r="G1942">
        <v>42.930529999999997</v>
      </c>
      <c r="H1942">
        <v>-72.272350000000003</v>
      </c>
      <c r="I1942">
        <v>476</v>
      </c>
      <c r="J1942">
        <v>92</v>
      </c>
      <c r="K1942">
        <v>0</v>
      </c>
      <c r="L1942" s="1">
        <v>44784.646562499998</v>
      </c>
      <c r="M1942">
        <v>5.0999999999999996</v>
      </c>
      <c r="N1942">
        <v>4.5</v>
      </c>
      <c r="O1942">
        <v>0.6</v>
      </c>
      <c r="P1942">
        <v>12</v>
      </c>
      <c r="Q1942">
        <v>0</v>
      </c>
      <c r="R1942">
        <v>0</v>
      </c>
      <c r="S1942">
        <v>0</v>
      </c>
      <c r="T1942" t="s">
        <v>33</v>
      </c>
      <c r="U1942">
        <v>4.8</v>
      </c>
      <c r="V1942">
        <v>30</v>
      </c>
      <c r="W1942">
        <v>0</v>
      </c>
      <c r="X1942">
        <v>30</v>
      </c>
      <c r="Y1942">
        <v>1</v>
      </c>
      <c r="Z1942">
        <v>0</v>
      </c>
      <c r="AA1942">
        <v>1</v>
      </c>
      <c r="AB1942" t="s">
        <v>36</v>
      </c>
      <c r="AC1942">
        <v>30</v>
      </c>
      <c r="AD1942">
        <v>2.99</v>
      </c>
    </row>
    <row r="1943" spans="1:30" x14ac:dyDescent="0.25">
      <c r="A1943" s="1">
        <v>44784.646608796298</v>
      </c>
      <c r="B1943" s="1">
        <v>44769.376736111109</v>
      </c>
      <c r="C1943">
        <v>12178</v>
      </c>
      <c r="D1943" t="s">
        <v>45</v>
      </c>
      <c r="E1943" t="s">
        <v>35</v>
      </c>
      <c r="F1943">
        <v>7</v>
      </c>
      <c r="G1943">
        <v>42.899563000000001</v>
      </c>
      <c r="H1943">
        <v>-71.464650000000006</v>
      </c>
      <c r="I1943">
        <v>301</v>
      </c>
      <c r="J1943">
        <v>85</v>
      </c>
      <c r="K1943">
        <v>0</v>
      </c>
      <c r="L1943" s="1">
        <v>44784.646562499998</v>
      </c>
      <c r="M1943">
        <v>3.8</v>
      </c>
      <c r="N1943">
        <v>3.1</v>
      </c>
      <c r="O1943">
        <v>0.7</v>
      </c>
      <c r="P1943">
        <v>20</v>
      </c>
      <c r="Q1943">
        <v>0</v>
      </c>
      <c r="R1943">
        <v>0</v>
      </c>
      <c r="S1943">
        <v>0</v>
      </c>
      <c r="T1943" t="s">
        <v>32</v>
      </c>
      <c r="V1943">
        <v>35</v>
      </c>
      <c r="W1943">
        <v>0</v>
      </c>
      <c r="X1943">
        <v>35</v>
      </c>
      <c r="Y1943">
        <v>0</v>
      </c>
      <c r="Z1943">
        <v>0</v>
      </c>
      <c r="AA1943">
        <v>0</v>
      </c>
      <c r="AB1943" t="s">
        <v>36</v>
      </c>
      <c r="AC1943">
        <v>35</v>
      </c>
    </row>
    <row r="1944" spans="1:30" x14ac:dyDescent="0.25">
      <c r="A1944" s="1">
        <v>44784.646608796298</v>
      </c>
      <c r="B1944" s="1">
        <v>44784.644837962966</v>
      </c>
      <c r="C1944">
        <v>75981</v>
      </c>
      <c r="D1944" t="s">
        <v>46</v>
      </c>
      <c r="E1944" t="s">
        <v>35</v>
      </c>
      <c r="F1944">
        <v>7</v>
      </c>
      <c r="G1944">
        <v>42.97</v>
      </c>
      <c r="H1944">
        <v>-71.06</v>
      </c>
      <c r="I1944">
        <v>136</v>
      </c>
      <c r="J1944">
        <v>90</v>
      </c>
      <c r="K1944">
        <v>0</v>
      </c>
      <c r="L1944" s="1">
        <v>44784.646562499998</v>
      </c>
      <c r="M1944">
        <v>10.4</v>
      </c>
      <c r="N1944">
        <v>9.6</v>
      </c>
      <c r="O1944">
        <v>0.8</v>
      </c>
      <c r="P1944">
        <v>8</v>
      </c>
      <c r="Q1944">
        <v>0.1</v>
      </c>
      <c r="R1944">
        <v>0.1</v>
      </c>
      <c r="S1944">
        <v>0.1</v>
      </c>
      <c r="T1944" t="s">
        <v>33</v>
      </c>
      <c r="U1944">
        <v>10</v>
      </c>
      <c r="V1944">
        <v>43</v>
      </c>
      <c r="W1944">
        <v>0</v>
      </c>
      <c r="X1944">
        <v>43</v>
      </c>
      <c r="Y1944">
        <v>0</v>
      </c>
      <c r="Z1944">
        <v>0</v>
      </c>
      <c r="AA1944">
        <v>0</v>
      </c>
      <c r="AB1944" t="s">
        <v>36</v>
      </c>
      <c r="AC1944">
        <v>43</v>
      </c>
      <c r="AD1944">
        <v>5.25</v>
      </c>
    </row>
    <row r="1945" spans="1:30" x14ac:dyDescent="0.25">
      <c r="A1945" s="1">
        <v>44784.646620370368</v>
      </c>
      <c r="B1945" s="1">
        <v>44784.645370370374</v>
      </c>
      <c r="C1945">
        <v>115703</v>
      </c>
      <c r="D1945" t="s">
        <v>47</v>
      </c>
      <c r="E1945" t="s">
        <v>35</v>
      </c>
      <c r="F1945">
        <v>7</v>
      </c>
      <c r="G1945">
        <v>43.953625000000002</v>
      </c>
      <c r="H1945">
        <v>-71.508859999999999</v>
      </c>
      <c r="I1945">
        <v>1493</v>
      </c>
      <c r="J1945">
        <v>93</v>
      </c>
      <c r="K1945">
        <v>0</v>
      </c>
      <c r="L1945" s="1">
        <v>44784.646562499998</v>
      </c>
      <c r="M1945">
        <v>0</v>
      </c>
      <c r="N1945">
        <v>23.4</v>
      </c>
      <c r="O1945">
        <v>23.4</v>
      </c>
      <c r="P1945">
        <v>200</v>
      </c>
      <c r="Q1945">
        <v>0</v>
      </c>
      <c r="R1945">
        <v>16.3</v>
      </c>
      <c r="S1945">
        <v>8.15</v>
      </c>
      <c r="T1945" t="s">
        <v>48</v>
      </c>
      <c r="V1945">
        <v>29</v>
      </c>
      <c r="W1945">
        <v>0</v>
      </c>
      <c r="X1945">
        <v>29</v>
      </c>
      <c r="Y1945">
        <v>2</v>
      </c>
      <c r="Z1945">
        <v>0</v>
      </c>
      <c r="AA1945">
        <v>2</v>
      </c>
      <c r="AB1945" t="s">
        <v>36</v>
      </c>
      <c r="AC1945">
        <v>29</v>
      </c>
    </row>
    <row r="1946" spans="1:30" x14ac:dyDescent="0.25">
      <c r="A1946" s="1">
        <v>44784.646620370368</v>
      </c>
      <c r="B1946" s="1">
        <v>44784.644791666666</v>
      </c>
      <c r="C1946">
        <v>12050</v>
      </c>
      <c r="D1946" t="s">
        <v>49</v>
      </c>
      <c r="E1946" t="s">
        <v>35</v>
      </c>
      <c r="F1946">
        <v>7</v>
      </c>
      <c r="G1946">
        <v>44.220573000000002</v>
      </c>
      <c r="H1946">
        <v>-71.732315</v>
      </c>
      <c r="I1946">
        <v>999</v>
      </c>
      <c r="J1946">
        <v>93</v>
      </c>
      <c r="K1946">
        <v>0</v>
      </c>
      <c r="L1946" s="1">
        <v>44784.646562499998</v>
      </c>
      <c r="M1946">
        <v>3.4</v>
      </c>
      <c r="N1946">
        <v>3</v>
      </c>
      <c r="O1946">
        <v>0.4</v>
      </c>
      <c r="P1946">
        <v>12</v>
      </c>
      <c r="Q1946">
        <v>0.1</v>
      </c>
      <c r="R1946">
        <v>0.1</v>
      </c>
      <c r="S1946">
        <v>0.1</v>
      </c>
      <c r="T1946" t="s">
        <v>33</v>
      </c>
      <c r="U1946">
        <v>3.2</v>
      </c>
      <c r="V1946">
        <v>30</v>
      </c>
      <c r="W1946">
        <v>0</v>
      </c>
      <c r="X1946">
        <v>30</v>
      </c>
      <c r="Y1946">
        <v>1</v>
      </c>
      <c r="Z1946">
        <v>0</v>
      </c>
      <c r="AA1946">
        <v>1</v>
      </c>
      <c r="AB1946" t="s">
        <v>36</v>
      </c>
      <c r="AC1946">
        <v>30</v>
      </c>
      <c r="AD1946">
        <v>2.0099999999999998</v>
      </c>
    </row>
    <row r="1947" spans="1:30" x14ac:dyDescent="0.25">
      <c r="A1947" s="1">
        <v>44784.646620370368</v>
      </c>
      <c r="B1947" s="1">
        <v>44784.646296296298</v>
      </c>
      <c r="C1947">
        <v>23443</v>
      </c>
      <c r="D1947" t="s">
        <v>50</v>
      </c>
      <c r="E1947" t="s">
        <v>35</v>
      </c>
      <c r="F1947">
        <v>7</v>
      </c>
      <c r="G1947">
        <v>43.556139999999999</v>
      </c>
      <c r="H1947">
        <v>-72.370990000000006</v>
      </c>
      <c r="I1947">
        <v>523</v>
      </c>
      <c r="J1947">
        <v>106</v>
      </c>
      <c r="K1947">
        <v>0</v>
      </c>
      <c r="L1947" s="1">
        <v>44784.646562499998</v>
      </c>
      <c r="M1947">
        <v>3</v>
      </c>
      <c r="N1947">
        <v>2.6</v>
      </c>
      <c r="O1947">
        <v>0.4</v>
      </c>
      <c r="P1947">
        <v>14</v>
      </c>
      <c r="Q1947">
        <v>0</v>
      </c>
      <c r="R1947">
        <v>0.1</v>
      </c>
      <c r="S1947">
        <v>0.05</v>
      </c>
      <c r="T1947" t="s">
        <v>33</v>
      </c>
      <c r="U1947">
        <v>2.8</v>
      </c>
      <c r="V1947">
        <v>19</v>
      </c>
      <c r="W1947">
        <v>0</v>
      </c>
      <c r="X1947">
        <v>19</v>
      </c>
      <c r="Y1947">
        <v>0</v>
      </c>
      <c r="Z1947">
        <v>0</v>
      </c>
      <c r="AA1947">
        <v>0</v>
      </c>
      <c r="AB1947" t="s">
        <v>36</v>
      </c>
      <c r="AC1947">
        <v>19</v>
      </c>
      <c r="AD1947">
        <v>2.54</v>
      </c>
    </row>
    <row r="1948" spans="1:30" x14ac:dyDescent="0.25">
      <c r="A1948" s="1">
        <v>44784.646631944444</v>
      </c>
      <c r="B1948" s="1">
        <v>44784.645011574074</v>
      </c>
      <c r="C1948">
        <v>58135</v>
      </c>
      <c r="D1948" t="s">
        <v>51</v>
      </c>
      <c r="E1948" t="s">
        <v>35</v>
      </c>
      <c r="F1948">
        <v>7</v>
      </c>
      <c r="G1948">
        <v>42.883873000000001</v>
      </c>
      <c r="H1948">
        <v>-71.972915999999998</v>
      </c>
      <c r="I1948">
        <v>808</v>
      </c>
      <c r="J1948">
        <v>88</v>
      </c>
      <c r="K1948">
        <v>0</v>
      </c>
      <c r="L1948" s="1">
        <v>44784.646562499998</v>
      </c>
      <c r="M1948">
        <v>4.4000000000000004</v>
      </c>
      <c r="N1948">
        <v>2.7</v>
      </c>
      <c r="O1948">
        <v>1.7</v>
      </c>
      <c r="P1948">
        <v>48</v>
      </c>
      <c r="Q1948">
        <v>0.2</v>
      </c>
      <c r="R1948">
        <v>0.1</v>
      </c>
      <c r="S1948">
        <v>0.15</v>
      </c>
      <c r="T1948" t="s">
        <v>33</v>
      </c>
      <c r="U1948">
        <v>3.55</v>
      </c>
      <c r="V1948">
        <v>33</v>
      </c>
      <c r="W1948">
        <v>0</v>
      </c>
      <c r="X1948">
        <v>33</v>
      </c>
      <c r="Y1948">
        <v>1</v>
      </c>
      <c r="Z1948">
        <v>0</v>
      </c>
      <c r="AA1948">
        <v>1</v>
      </c>
      <c r="AB1948" t="s">
        <v>36</v>
      </c>
      <c r="AC1948">
        <v>33</v>
      </c>
      <c r="AD1948">
        <v>2.02</v>
      </c>
    </row>
    <row r="1949" spans="1:30" x14ac:dyDescent="0.25">
      <c r="A1949" s="1">
        <v>44784.646631944444</v>
      </c>
      <c r="B1949" s="1">
        <v>44784.645011574074</v>
      </c>
      <c r="C1949">
        <v>148555</v>
      </c>
      <c r="D1949" t="s">
        <v>52</v>
      </c>
      <c r="E1949" t="s">
        <v>53</v>
      </c>
      <c r="F1949">
        <v>7</v>
      </c>
      <c r="G1949">
        <v>42.904949999999999</v>
      </c>
      <c r="H1949">
        <v>-71.386764999999997</v>
      </c>
      <c r="I1949">
        <v>363</v>
      </c>
      <c r="J1949">
        <v>0</v>
      </c>
      <c r="K1949">
        <v>0</v>
      </c>
      <c r="L1949" s="1">
        <v>44784.646562499998</v>
      </c>
      <c r="M1949">
        <v>1.5</v>
      </c>
      <c r="N1949">
        <v>1.1000000000000001</v>
      </c>
      <c r="O1949">
        <v>0.4</v>
      </c>
      <c r="P1949">
        <v>31</v>
      </c>
      <c r="Q1949">
        <v>0.1</v>
      </c>
      <c r="R1949">
        <v>0.1</v>
      </c>
      <c r="S1949">
        <v>0.1</v>
      </c>
      <c r="T1949" t="s">
        <v>33</v>
      </c>
      <c r="U1949">
        <v>1.3</v>
      </c>
      <c r="V1949">
        <v>0</v>
      </c>
      <c r="W1949">
        <v>0</v>
      </c>
      <c r="X1949">
        <v>0</v>
      </c>
      <c r="Y1949">
        <v>0</v>
      </c>
      <c r="Z1949">
        <v>0</v>
      </c>
      <c r="AA1949">
        <v>0</v>
      </c>
      <c r="AB1949" t="s">
        <v>38</v>
      </c>
    </row>
    <row r="1950" spans="1:30" x14ac:dyDescent="0.25">
      <c r="A1950" s="1">
        <v>44784.646631944444</v>
      </c>
      <c r="B1950" s="1">
        <v>44784.645902777775</v>
      </c>
      <c r="C1950">
        <v>146644</v>
      </c>
      <c r="D1950" t="s">
        <v>54</v>
      </c>
      <c r="E1950" t="s">
        <v>53</v>
      </c>
      <c r="F1950">
        <v>7</v>
      </c>
      <c r="G1950">
        <v>43.06015</v>
      </c>
      <c r="H1950">
        <v>-70.758930000000007</v>
      </c>
      <c r="I1950">
        <v>35</v>
      </c>
      <c r="J1950">
        <v>78</v>
      </c>
      <c r="K1950">
        <v>80</v>
      </c>
      <c r="L1950" s="1">
        <v>44784.646562499998</v>
      </c>
      <c r="M1950">
        <v>15.4</v>
      </c>
      <c r="N1950">
        <v>15</v>
      </c>
      <c r="O1950">
        <v>0.4</v>
      </c>
      <c r="P1950">
        <v>3</v>
      </c>
      <c r="Q1950">
        <v>0.2</v>
      </c>
      <c r="R1950">
        <v>0</v>
      </c>
      <c r="S1950">
        <v>0.1</v>
      </c>
      <c r="T1950" t="s">
        <v>33</v>
      </c>
      <c r="U1950">
        <v>15.2</v>
      </c>
      <c r="V1950">
        <v>55</v>
      </c>
      <c r="W1950">
        <v>60</v>
      </c>
      <c r="X1950">
        <v>5</v>
      </c>
      <c r="Y1950">
        <v>1</v>
      </c>
      <c r="Z1950">
        <v>0</v>
      </c>
      <c r="AA1950">
        <v>1</v>
      </c>
      <c r="AB1950" t="s">
        <v>33</v>
      </c>
      <c r="AC1950">
        <v>57.5</v>
      </c>
      <c r="AD1950">
        <v>7.41</v>
      </c>
    </row>
    <row r="1951" spans="1:30" x14ac:dyDescent="0.25">
      <c r="A1951" s="1">
        <v>44784.646643518521</v>
      </c>
      <c r="B1951" s="1">
        <v>43755.283437500002</v>
      </c>
      <c r="C1951">
        <v>12188</v>
      </c>
      <c r="D1951" t="s">
        <v>55</v>
      </c>
      <c r="E1951" t="s">
        <v>35</v>
      </c>
      <c r="F1951">
        <v>4.1100000000000003</v>
      </c>
      <c r="G1951">
        <v>42.927050000000001</v>
      </c>
      <c r="H1951">
        <v>-72.279610000000005</v>
      </c>
      <c r="I1951">
        <v>475</v>
      </c>
      <c r="J1951">
        <v>95</v>
      </c>
      <c r="K1951">
        <v>0</v>
      </c>
      <c r="L1951" s="1">
        <v>44784.646562499998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 t="s">
        <v>32</v>
      </c>
      <c r="V1951">
        <v>77</v>
      </c>
      <c r="W1951">
        <v>0</v>
      </c>
      <c r="X1951">
        <v>77</v>
      </c>
      <c r="Y1951">
        <v>0</v>
      </c>
      <c r="Z1951">
        <v>0</v>
      </c>
      <c r="AA1951">
        <v>0</v>
      </c>
      <c r="AB1951" t="s">
        <v>36</v>
      </c>
      <c r="AC1951">
        <v>77</v>
      </c>
    </row>
    <row r="1952" spans="1:30" x14ac:dyDescent="0.25">
      <c r="A1952" s="1">
        <v>44784.646643518521</v>
      </c>
      <c r="B1952" s="1">
        <v>44784.646284722221</v>
      </c>
      <c r="C1952">
        <v>1224</v>
      </c>
      <c r="D1952" t="s">
        <v>56</v>
      </c>
      <c r="E1952" t="s">
        <v>35</v>
      </c>
      <c r="F1952" t="s">
        <v>57</v>
      </c>
      <c r="G1952">
        <v>42.938034000000002</v>
      </c>
      <c r="H1952">
        <v>-72.259299999999996</v>
      </c>
      <c r="I1952">
        <v>792</v>
      </c>
      <c r="J1952">
        <v>93</v>
      </c>
      <c r="K1952">
        <v>0</v>
      </c>
      <c r="L1952" s="1">
        <v>44784.646562499998</v>
      </c>
      <c r="M1952">
        <v>5.3</v>
      </c>
      <c r="N1952">
        <v>0.1</v>
      </c>
      <c r="O1952">
        <v>5.2</v>
      </c>
      <c r="P1952">
        <v>193</v>
      </c>
      <c r="Q1952">
        <v>0.1</v>
      </c>
      <c r="R1952">
        <v>0</v>
      </c>
      <c r="S1952">
        <v>0.05</v>
      </c>
      <c r="T1952" t="s">
        <v>33</v>
      </c>
      <c r="U1952">
        <v>2.7</v>
      </c>
      <c r="V1952">
        <v>36</v>
      </c>
      <c r="W1952">
        <v>0</v>
      </c>
      <c r="X1952">
        <v>36</v>
      </c>
      <c r="Y1952">
        <v>0</v>
      </c>
      <c r="Z1952">
        <v>0</v>
      </c>
      <c r="AA1952">
        <v>0</v>
      </c>
      <c r="AB1952" t="s">
        <v>36</v>
      </c>
      <c r="AC1952">
        <v>36</v>
      </c>
      <c r="AD1952">
        <v>1.29</v>
      </c>
    </row>
    <row r="1953" spans="1:30" x14ac:dyDescent="0.25">
      <c r="A1953" s="1">
        <v>44784.646655092591</v>
      </c>
      <c r="B1953" s="1">
        <v>44784.645740740743</v>
      </c>
      <c r="C1953">
        <v>1202</v>
      </c>
      <c r="D1953" t="s">
        <v>58</v>
      </c>
      <c r="E1953" t="s">
        <v>35</v>
      </c>
      <c r="F1953" t="s">
        <v>57</v>
      </c>
      <c r="G1953">
        <v>42.936554000000001</v>
      </c>
      <c r="H1953">
        <v>-72.271019999999993</v>
      </c>
      <c r="I1953">
        <v>488</v>
      </c>
      <c r="J1953">
        <v>0</v>
      </c>
      <c r="K1953">
        <v>0</v>
      </c>
      <c r="L1953" s="1">
        <v>44784.646562499998</v>
      </c>
      <c r="M1953">
        <v>5.5</v>
      </c>
      <c r="N1953">
        <v>4.8</v>
      </c>
      <c r="O1953">
        <v>0.7</v>
      </c>
      <c r="P1953">
        <v>14</v>
      </c>
      <c r="Q1953">
        <v>0.2</v>
      </c>
      <c r="R1953">
        <v>0.1</v>
      </c>
      <c r="S1953">
        <v>0.15</v>
      </c>
      <c r="T1953" t="s">
        <v>33</v>
      </c>
      <c r="U1953">
        <v>5.15</v>
      </c>
      <c r="V1953">
        <v>0</v>
      </c>
      <c r="W1953">
        <v>0</v>
      </c>
      <c r="X1953">
        <v>0</v>
      </c>
      <c r="Y1953">
        <v>0</v>
      </c>
      <c r="Z1953">
        <v>0</v>
      </c>
      <c r="AA1953">
        <v>0</v>
      </c>
      <c r="AB1953" t="s">
        <v>38</v>
      </c>
    </row>
    <row r="1954" spans="1:30" x14ac:dyDescent="0.25">
      <c r="A1954" s="1">
        <v>44784.646655092591</v>
      </c>
      <c r="B1954" s="1">
        <v>44612.080023148148</v>
      </c>
      <c r="C1954">
        <v>25985</v>
      </c>
      <c r="D1954" t="s">
        <v>59</v>
      </c>
      <c r="E1954" t="s">
        <v>35</v>
      </c>
      <c r="F1954">
        <v>6.01</v>
      </c>
      <c r="G1954">
        <v>42.927326000000001</v>
      </c>
      <c r="H1954">
        <v>-72.279979999999995</v>
      </c>
      <c r="I1954">
        <v>477</v>
      </c>
      <c r="J1954">
        <v>78</v>
      </c>
      <c r="K1954">
        <v>0</v>
      </c>
      <c r="L1954" s="1">
        <v>44784.646562499998</v>
      </c>
      <c r="M1954">
        <v>1.1000000000000001</v>
      </c>
      <c r="N1954">
        <v>1</v>
      </c>
      <c r="O1954">
        <v>0.1</v>
      </c>
      <c r="P1954">
        <v>10</v>
      </c>
      <c r="Q1954">
        <v>0</v>
      </c>
      <c r="R1954">
        <v>0</v>
      </c>
      <c r="S1954">
        <v>0</v>
      </c>
      <c r="T1954" t="s">
        <v>32</v>
      </c>
      <c r="V1954">
        <v>22</v>
      </c>
      <c r="W1954">
        <v>0</v>
      </c>
      <c r="X1954">
        <v>22</v>
      </c>
      <c r="Y1954">
        <v>0</v>
      </c>
      <c r="Z1954">
        <v>0</v>
      </c>
      <c r="AA1954">
        <v>0</v>
      </c>
      <c r="AB1954" t="s">
        <v>36</v>
      </c>
      <c r="AC1954">
        <v>22</v>
      </c>
    </row>
    <row r="1955" spans="1:30" x14ac:dyDescent="0.25">
      <c r="A1955" s="1">
        <v>44784.653506944444</v>
      </c>
      <c r="B1955" s="1">
        <v>44775.701319444444</v>
      </c>
      <c r="C1955">
        <v>151708</v>
      </c>
      <c r="D1955" t="s">
        <v>30</v>
      </c>
      <c r="E1955" t="s">
        <v>31</v>
      </c>
      <c r="F1955">
        <v>7</v>
      </c>
      <c r="G1955">
        <v>43.192042999999998</v>
      </c>
      <c r="H1955">
        <v>-71.541579999999996</v>
      </c>
      <c r="I1955">
        <v>291</v>
      </c>
      <c r="J1955">
        <v>93</v>
      </c>
      <c r="K1955">
        <v>94</v>
      </c>
      <c r="L1955" s="1">
        <v>44784.653506944444</v>
      </c>
      <c r="M1955">
        <v>7.9</v>
      </c>
      <c r="N1955">
        <v>7.6</v>
      </c>
      <c r="O1955">
        <v>0.3</v>
      </c>
      <c r="P1955">
        <v>4</v>
      </c>
      <c r="Q1955">
        <v>0</v>
      </c>
      <c r="R1955">
        <v>0</v>
      </c>
      <c r="S1955">
        <v>0</v>
      </c>
      <c r="T1955" t="s">
        <v>32</v>
      </c>
      <c r="V1955">
        <v>42</v>
      </c>
      <c r="W1955">
        <v>41</v>
      </c>
      <c r="X1955">
        <v>1</v>
      </c>
      <c r="Y1955">
        <v>0</v>
      </c>
      <c r="Z1955">
        <v>0</v>
      </c>
      <c r="AA1955">
        <v>0</v>
      </c>
      <c r="AB1955" t="s">
        <v>33</v>
      </c>
      <c r="AC1955">
        <v>41.5</v>
      </c>
    </row>
    <row r="1956" spans="1:30" x14ac:dyDescent="0.25">
      <c r="A1956" s="1">
        <v>44784.65351851852</v>
      </c>
      <c r="B1956" s="1">
        <v>44784.651886574073</v>
      </c>
      <c r="C1956">
        <v>143456</v>
      </c>
      <c r="D1956" t="s">
        <v>34</v>
      </c>
      <c r="E1956" t="s">
        <v>35</v>
      </c>
      <c r="F1956">
        <v>7</v>
      </c>
      <c r="G1956">
        <v>43.08963</v>
      </c>
      <c r="H1956">
        <v>-71.502440000000007</v>
      </c>
      <c r="I1956">
        <v>619</v>
      </c>
      <c r="J1956">
        <v>86</v>
      </c>
      <c r="K1956">
        <v>0</v>
      </c>
      <c r="L1956" s="1">
        <v>44784.653506944444</v>
      </c>
      <c r="M1956">
        <v>3.2</v>
      </c>
      <c r="N1956">
        <v>3.6</v>
      </c>
      <c r="O1956">
        <v>0.4</v>
      </c>
      <c r="P1956">
        <v>12</v>
      </c>
      <c r="Q1956">
        <v>0</v>
      </c>
      <c r="R1956">
        <v>0.2</v>
      </c>
      <c r="S1956">
        <v>0.1</v>
      </c>
      <c r="T1956" t="s">
        <v>33</v>
      </c>
      <c r="U1956">
        <v>3.4</v>
      </c>
      <c r="V1956">
        <v>43</v>
      </c>
      <c r="W1956">
        <v>0</v>
      </c>
      <c r="X1956">
        <v>43</v>
      </c>
      <c r="Y1956">
        <v>1</v>
      </c>
      <c r="Z1956">
        <v>0</v>
      </c>
      <c r="AA1956">
        <v>1</v>
      </c>
      <c r="AB1956" t="s">
        <v>36</v>
      </c>
      <c r="AC1956">
        <v>43</v>
      </c>
      <c r="AD1956">
        <v>1.22</v>
      </c>
    </row>
    <row r="1957" spans="1:30" x14ac:dyDescent="0.25">
      <c r="A1957" s="1">
        <v>44784.65351851852</v>
      </c>
      <c r="B1957" s="1">
        <v>44784.652037037034</v>
      </c>
      <c r="C1957">
        <v>151702</v>
      </c>
      <c r="D1957" t="s">
        <v>37</v>
      </c>
      <c r="E1957" t="s">
        <v>31</v>
      </c>
      <c r="F1957">
        <v>7</v>
      </c>
      <c r="G1957">
        <v>43.118609999999997</v>
      </c>
      <c r="H1957">
        <v>-71.61618</v>
      </c>
      <c r="I1957">
        <v>885</v>
      </c>
      <c r="J1957">
        <v>0</v>
      </c>
      <c r="K1957">
        <v>0</v>
      </c>
      <c r="L1957" s="1">
        <v>44784.653506944444</v>
      </c>
      <c r="M1957">
        <v>2.2999999999999998</v>
      </c>
      <c r="N1957">
        <v>2.2999999999999998</v>
      </c>
      <c r="O1957">
        <v>0</v>
      </c>
      <c r="P1957">
        <v>0</v>
      </c>
      <c r="Q1957">
        <v>0</v>
      </c>
      <c r="R1957">
        <v>0</v>
      </c>
      <c r="S1957">
        <v>0</v>
      </c>
      <c r="T1957" t="s">
        <v>33</v>
      </c>
      <c r="U1957">
        <v>2.2999999999999998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 t="s">
        <v>38</v>
      </c>
    </row>
    <row r="1958" spans="1:30" x14ac:dyDescent="0.25">
      <c r="A1958" s="1">
        <v>44784.65351851852</v>
      </c>
      <c r="B1958" s="1">
        <v>44784.651932870373</v>
      </c>
      <c r="C1958">
        <v>151700</v>
      </c>
      <c r="D1958" t="s">
        <v>30</v>
      </c>
      <c r="E1958" t="s">
        <v>31</v>
      </c>
      <c r="F1958">
        <v>7</v>
      </c>
      <c r="G1958">
        <v>43.19211</v>
      </c>
      <c r="H1958">
        <v>-71.541460000000001</v>
      </c>
      <c r="I1958">
        <v>286</v>
      </c>
      <c r="J1958">
        <v>85</v>
      </c>
      <c r="K1958">
        <v>0</v>
      </c>
      <c r="L1958" s="1">
        <v>44784.653506944444</v>
      </c>
      <c r="M1958">
        <v>2.6</v>
      </c>
      <c r="N1958">
        <v>2.9</v>
      </c>
      <c r="O1958">
        <v>0.3</v>
      </c>
      <c r="P1958">
        <v>11</v>
      </c>
      <c r="Q1958">
        <v>0.1</v>
      </c>
      <c r="R1958">
        <v>0.1</v>
      </c>
      <c r="S1958">
        <v>0.1</v>
      </c>
      <c r="T1958" t="s">
        <v>33</v>
      </c>
      <c r="U1958">
        <v>2.75</v>
      </c>
      <c r="V1958">
        <v>42</v>
      </c>
      <c r="W1958">
        <v>0</v>
      </c>
      <c r="X1958">
        <v>42</v>
      </c>
      <c r="Y1958">
        <v>1</v>
      </c>
      <c r="Z1958">
        <v>0</v>
      </c>
      <c r="AA1958">
        <v>1</v>
      </c>
      <c r="AB1958" t="s">
        <v>36</v>
      </c>
      <c r="AC1958">
        <v>42</v>
      </c>
      <c r="AD1958">
        <v>0.9</v>
      </c>
    </row>
    <row r="1959" spans="1:30" x14ac:dyDescent="0.25">
      <c r="A1959" s="1">
        <v>44784.65353009259</v>
      </c>
      <c r="B1959" s="1">
        <v>44784.652361111112</v>
      </c>
      <c r="C1959">
        <v>135984</v>
      </c>
      <c r="D1959" t="s">
        <v>39</v>
      </c>
      <c r="E1959" t="s">
        <v>31</v>
      </c>
      <c r="F1959">
        <v>7</v>
      </c>
      <c r="G1959">
        <v>43.565852999999997</v>
      </c>
      <c r="H1959">
        <v>-71.496129999999994</v>
      </c>
      <c r="I1959">
        <v>708</v>
      </c>
      <c r="J1959">
        <v>88</v>
      </c>
      <c r="K1959">
        <v>0</v>
      </c>
      <c r="L1959" s="1">
        <v>44784.653506944444</v>
      </c>
      <c r="M1959">
        <v>3.2</v>
      </c>
      <c r="N1959">
        <v>2.6</v>
      </c>
      <c r="O1959">
        <v>0.6</v>
      </c>
      <c r="P1959">
        <v>21</v>
      </c>
      <c r="Q1959">
        <v>0.2</v>
      </c>
      <c r="R1959">
        <v>0.1</v>
      </c>
      <c r="S1959">
        <v>0.15</v>
      </c>
      <c r="T1959" t="s">
        <v>33</v>
      </c>
      <c r="U1959">
        <v>2.9</v>
      </c>
      <c r="V1959">
        <v>49</v>
      </c>
      <c r="W1959">
        <v>0</v>
      </c>
      <c r="X1959">
        <v>49</v>
      </c>
      <c r="Y1959">
        <v>2</v>
      </c>
      <c r="Z1959">
        <v>0</v>
      </c>
      <c r="AA1959">
        <v>2</v>
      </c>
      <c r="AB1959" t="s">
        <v>36</v>
      </c>
      <c r="AC1959">
        <v>49</v>
      </c>
      <c r="AD1959">
        <v>0.5</v>
      </c>
    </row>
    <row r="1960" spans="1:30" x14ac:dyDescent="0.25">
      <c r="A1960" s="1">
        <v>44784.65353009259</v>
      </c>
      <c r="B1960" s="1">
        <v>44780.394780092596</v>
      </c>
      <c r="C1960">
        <v>151712</v>
      </c>
      <c r="D1960" t="s">
        <v>40</v>
      </c>
      <c r="E1960" t="s">
        <v>31</v>
      </c>
      <c r="F1960">
        <v>7</v>
      </c>
      <c r="G1960">
        <v>43.289763999999998</v>
      </c>
      <c r="H1960">
        <v>-71.564260000000004</v>
      </c>
      <c r="I1960">
        <v>370</v>
      </c>
      <c r="J1960">
        <v>86</v>
      </c>
      <c r="K1960">
        <v>0</v>
      </c>
      <c r="L1960" s="1">
        <v>44784.653506944444</v>
      </c>
      <c r="M1960">
        <v>14</v>
      </c>
      <c r="N1960">
        <v>13.2</v>
      </c>
      <c r="O1960">
        <v>0.8</v>
      </c>
      <c r="P1960">
        <v>6</v>
      </c>
      <c r="Q1960">
        <v>0</v>
      </c>
      <c r="R1960">
        <v>0</v>
      </c>
      <c r="S1960">
        <v>0</v>
      </c>
      <c r="T1960" t="s">
        <v>32</v>
      </c>
      <c r="V1960">
        <v>59</v>
      </c>
      <c r="W1960">
        <v>0</v>
      </c>
      <c r="X1960">
        <v>59</v>
      </c>
      <c r="Y1960">
        <v>0</v>
      </c>
      <c r="Z1960">
        <v>0</v>
      </c>
      <c r="AA1960">
        <v>0</v>
      </c>
      <c r="AB1960" t="s">
        <v>36</v>
      </c>
      <c r="AC1960">
        <v>59</v>
      </c>
    </row>
    <row r="1961" spans="1:30" x14ac:dyDescent="0.25">
      <c r="A1961" s="1">
        <v>44784.65353009259</v>
      </c>
      <c r="B1961" s="1">
        <v>44784.653067129628</v>
      </c>
      <c r="C1961">
        <v>151710</v>
      </c>
      <c r="D1961" t="s">
        <v>41</v>
      </c>
      <c r="E1961" t="s">
        <v>31</v>
      </c>
      <c r="F1961">
        <v>7</v>
      </c>
      <c r="G1961">
        <v>43.132477000000002</v>
      </c>
      <c r="H1961">
        <v>-71.458374000000006</v>
      </c>
      <c r="I1961">
        <v>230</v>
      </c>
      <c r="J1961">
        <v>90</v>
      </c>
      <c r="K1961">
        <v>0</v>
      </c>
      <c r="L1961" s="1">
        <v>44784.653506944444</v>
      </c>
      <c r="M1961">
        <v>5.7</v>
      </c>
      <c r="N1961">
        <v>4.2</v>
      </c>
      <c r="O1961">
        <v>1.5</v>
      </c>
      <c r="P1961">
        <v>30</v>
      </c>
      <c r="Q1961">
        <v>0.2</v>
      </c>
      <c r="R1961">
        <v>0.2</v>
      </c>
      <c r="S1961">
        <v>0.2</v>
      </c>
      <c r="T1961" t="s">
        <v>33</v>
      </c>
      <c r="U1961">
        <v>4.95</v>
      </c>
      <c r="V1961">
        <v>32</v>
      </c>
      <c r="W1961">
        <v>0</v>
      </c>
      <c r="X1961">
        <v>32</v>
      </c>
      <c r="Y1961">
        <v>1</v>
      </c>
      <c r="Z1961">
        <v>0</v>
      </c>
      <c r="AA1961">
        <v>1</v>
      </c>
      <c r="AB1961" t="s">
        <v>36</v>
      </c>
      <c r="AC1961">
        <v>32</v>
      </c>
      <c r="AD1961">
        <v>2.94</v>
      </c>
    </row>
    <row r="1962" spans="1:30" x14ac:dyDescent="0.25">
      <c r="A1962" s="1">
        <v>44784.653541666667</v>
      </c>
      <c r="B1962" s="1">
        <v>44784.652719907404</v>
      </c>
      <c r="C1962">
        <v>151706</v>
      </c>
      <c r="D1962" t="s">
        <v>42</v>
      </c>
      <c r="E1962" t="s">
        <v>31</v>
      </c>
      <c r="F1962">
        <v>7</v>
      </c>
      <c r="G1962">
        <v>43.004080000000002</v>
      </c>
      <c r="H1962">
        <v>-71.177040000000005</v>
      </c>
      <c r="I1962">
        <v>194</v>
      </c>
      <c r="J1962">
        <v>89</v>
      </c>
      <c r="K1962">
        <v>0</v>
      </c>
      <c r="L1962" s="1">
        <v>44784.653506944444</v>
      </c>
      <c r="M1962">
        <v>3.2</v>
      </c>
      <c r="N1962">
        <v>0</v>
      </c>
      <c r="O1962">
        <v>3.2</v>
      </c>
      <c r="P1962">
        <v>200</v>
      </c>
      <c r="Q1962">
        <v>0.2</v>
      </c>
      <c r="R1962">
        <v>0</v>
      </c>
      <c r="S1962">
        <v>0.1</v>
      </c>
      <c r="T1962" t="s">
        <v>43</v>
      </c>
      <c r="V1962">
        <v>39</v>
      </c>
      <c r="W1962">
        <v>0</v>
      </c>
      <c r="X1962">
        <v>39</v>
      </c>
      <c r="Y1962">
        <v>1</v>
      </c>
      <c r="Z1962">
        <v>0</v>
      </c>
      <c r="AA1962">
        <v>1</v>
      </c>
      <c r="AB1962" t="s">
        <v>36</v>
      </c>
      <c r="AC1962">
        <v>39</v>
      </c>
    </row>
    <row r="1963" spans="1:30" x14ac:dyDescent="0.25">
      <c r="A1963" s="1">
        <v>44784.653541666667</v>
      </c>
      <c r="B1963" s="1">
        <v>44784.652511574073</v>
      </c>
      <c r="C1963">
        <v>12212</v>
      </c>
      <c r="D1963" t="s">
        <v>44</v>
      </c>
      <c r="E1963" t="s">
        <v>35</v>
      </c>
      <c r="F1963">
        <v>7</v>
      </c>
      <c r="G1963">
        <v>42.930529999999997</v>
      </c>
      <c r="H1963">
        <v>-72.272350000000003</v>
      </c>
      <c r="I1963">
        <v>476</v>
      </c>
      <c r="J1963">
        <v>92</v>
      </c>
      <c r="K1963">
        <v>0</v>
      </c>
      <c r="L1963" s="1">
        <v>44784.653506944444</v>
      </c>
      <c r="M1963">
        <v>5.0999999999999996</v>
      </c>
      <c r="N1963">
        <v>4.7</v>
      </c>
      <c r="O1963">
        <v>0.4</v>
      </c>
      <c r="P1963">
        <v>8</v>
      </c>
      <c r="Q1963">
        <v>0</v>
      </c>
      <c r="R1963">
        <v>0.2</v>
      </c>
      <c r="S1963">
        <v>0.1</v>
      </c>
      <c r="T1963" t="s">
        <v>33</v>
      </c>
      <c r="U1963">
        <v>4.9000000000000004</v>
      </c>
      <c r="V1963">
        <v>31</v>
      </c>
      <c r="W1963">
        <v>0</v>
      </c>
      <c r="X1963">
        <v>31</v>
      </c>
      <c r="Y1963">
        <v>1</v>
      </c>
      <c r="Z1963">
        <v>0</v>
      </c>
      <c r="AA1963">
        <v>1</v>
      </c>
      <c r="AB1963" t="s">
        <v>36</v>
      </c>
      <c r="AC1963">
        <v>31</v>
      </c>
      <c r="AD1963">
        <v>2.98</v>
      </c>
    </row>
    <row r="1964" spans="1:30" x14ac:dyDescent="0.25">
      <c r="A1964" s="1">
        <v>44784.653541666667</v>
      </c>
      <c r="B1964" s="1">
        <v>44769.376736111109</v>
      </c>
      <c r="C1964">
        <v>12178</v>
      </c>
      <c r="D1964" t="s">
        <v>45</v>
      </c>
      <c r="E1964" t="s">
        <v>35</v>
      </c>
      <c r="F1964">
        <v>7</v>
      </c>
      <c r="G1964">
        <v>42.899563000000001</v>
      </c>
      <c r="H1964">
        <v>-71.464650000000006</v>
      </c>
      <c r="I1964">
        <v>301</v>
      </c>
      <c r="J1964">
        <v>85</v>
      </c>
      <c r="K1964">
        <v>0</v>
      </c>
      <c r="L1964" s="1">
        <v>44784.653506944444</v>
      </c>
      <c r="M1964">
        <v>3.8</v>
      </c>
      <c r="N1964">
        <v>3.1</v>
      </c>
      <c r="O1964">
        <v>0.7</v>
      </c>
      <c r="P1964">
        <v>20</v>
      </c>
      <c r="Q1964">
        <v>0</v>
      </c>
      <c r="R1964">
        <v>0</v>
      </c>
      <c r="S1964">
        <v>0</v>
      </c>
      <c r="T1964" t="s">
        <v>32</v>
      </c>
      <c r="V1964">
        <v>35</v>
      </c>
      <c r="W1964">
        <v>0</v>
      </c>
      <c r="X1964">
        <v>35</v>
      </c>
      <c r="Y1964">
        <v>0</v>
      </c>
      <c r="Z1964">
        <v>0</v>
      </c>
      <c r="AA1964">
        <v>0</v>
      </c>
      <c r="AB1964" t="s">
        <v>36</v>
      </c>
      <c r="AC1964">
        <v>35</v>
      </c>
    </row>
    <row r="1965" spans="1:30" x14ac:dyDescent="0.25">
      <c r="A1965" s="1">
        <v>44784.653553240743</v>
      </c>
      <c r="B1965" s="1">
        <v>44784.653171296297</v>
      </c>
      <c r="C1965">
        <v>75981</v>
      </c>
      <c r="D1965" t="s">
        <v>46</v>
      </c>
      <c r="E1965" t="s">
        <v>35</v>
      </c>
      <c r="F1965">
        <v>7</v>
      </c>
      <c r="G1965">
        <v>42.97</v>
      </c>
      <c r="H1965">
        <v>-71.06</v>
      </c>
      <c r="I1965">
        <v>136</v>
      </c>
      <c r="J1965">
        <v>90</v>
      </c>
      <c r="K1965">
        <v>0</v>
      </c>
      <c r="L1965" s="1">
        <v>44784.653506944444</v>
      </c>
      <c r="M1965">
        <v>10.6</v>
      </c>
      <c r="N1965">
        <v>10.1</v>
      </c>
      <c r="O1965">
        <v>0.5</v>
      </c>
      <c r="P1965">
        <v>5</v>
      </c>
      <c r="Q1965">
        <v>0.2</v>
      </c>
      <c r="R1965">
        <v>0.5</v>
      </c>
      <c r="S1965">
        <v>0.35</v>
      </c>
      <c r="T1965" t="s">
        <v>33</v>
      </c>
      <c r="U1965">
        <v>10.35</v>
      </c>
      <c r="V1965">
        <v>44</v>
      </c>
      <c r="W1965">
        <v>0</v>
      </c>
      <c r="X1965">
        <v>44</v>
      </c>
      <c r="Y1965">
        <v>1</v>
      </c>
      <c r="Z1965">
        <v>0</v>
      </c>
      <c r="AA1965">
        <v>1</v>
      </c>
      <c r="AB1965" t="s">
        <v>36</v>
      </c>
      <c r="AC1965">
        <v>44</v>
      </c>
      <c r="AD1965">
        <v>5.39</v>
      </c>
    </row>
    <row r="1966" spans="1:30" x14ac:dyDescent="0.25">
      <c r="A1966" s="1">
        <v>44784.653553240743</v>
      </c>
      <c r="B1966" s="1">
        <v>44784.652326388888</v>
      </c>
      <c r="C1966">
        <v>115703</v>
      </c>
      <c r="D1966" t="s">
        <v>47</v>
      </c>
      <c r="E1966" t="s">
        <v>35</v>
      </c>
      <c r="F1966">
        <v>7</v>
      </c>
      <c r="G1966">
        <v>43.953625000000002</v>
      </c>
      <c r="H1966">
        <v>-71.508859999999999</v>
      </c>
      <c r="I1966">
        <v>1493</v>
      </c>
      <c r="J1966">
        <v>92</v>
      </c>
      <c r="K1966">
        <v>0</v>
      </c>
      <c r="L1966" s="1">
        <v>44784.653506944444</v>
      </c>
      <c r="M1966">
        <v>0</v>
      </c>
      <c r="N1966">
        <v>13.8</v>
      </c>
      <c r="O1966">
        <v>13.8</v>
      </c>
      <c r="P1966">
        <v>200</v>
      </c>
      <c r="Q1966">
        <v>0</v>
      </c>
      <c r="R1966">
        <v>9.6</v>
      </c>
      <c r="S1966">
        <v>4.8</v>
      </c>
      <c r="T1966" t="s">
        <v>48</v>
      </c>
      <c r="V1966">
        <v>29</v>
      </c>
      <c r="W1966">
        <v>0</v>
      </c>
      <c r="X1966">
        <v>29</v>
      </c>
      <c r="Y1966">
        <v>0</v>
      </c>
      <c r="Z1966">
        <v>0</v>
      </c>
      <c r="AA1966">
        <v>0</v>
      </c>
      <c r="AB1966" t="s">
        <v>36</v>
      </c>
      <c r="AC1966">
        <v>29</v>
      </c>
    </row>
    <row r="1967" spans="1:30" x14ac:dyDescent="0.25">
      <c r="A1967" s="1">
        <v>44784.653553240743</v>
      </c>
      <c r="B1967" s="1">
        <v>44784.653124999997</v>
      </c>
      <c r="C1967">
        <v>12050</v>
      </c>
      <c r="D1967" t="s">
        <v>49</v>
      </c>
      <c r="E1967" t="s">
        <v>35</v>
      </c>
      <c r="F1967">
        <v>7</v>
      </c>
      <c r="G1967">
        <v>44.220573000000002</v>
      </c>
      <c r="H1967">
        <v>-71.732315</v>
      </c>
      <c r="I1967">
        <v>999</v>
      </c>
      <c r="J1967">
        <v>93</v>
      </c>
      <c r="K1967">
        <v>0</v>
      </c>
      <c r="L1967" s="1">
        <v>44784.653506944444</v>
      </c>
      <c r="M1967">
        <v>3.5</v>
      </c>
      <c r="N1967">
        <v>3</v>
      </c>
      <c r="O1967">
        <v>0.5</v>
      </c>
      <c r="P1967">
        <v>15</v>
      </c>
      <c r="Q1967">
        <v>0.1</v>
      </c>
      <c r="R1967">
        <v>0</v>
      </c>
      <c r="S1967">
        <v>0.05</v>
      </c>
      <c r="T1967" t="s">
        <v>33</v>
      </c>
      <c r="U1967">
        <v>3.25</v>
      </c>
      <c r="V1967">
        <v>30</v>
      </c>
      <c r="W1967">
        <v>0</v>
      </c>
      <c r="X1967">
        <v>30</v>
      </c>
      <c r="Y1967">
        <v>0</v>
      </c>
      <c r="Z1967">
        <v>0</v>
      </c>
      <c r="AA1967">
        <v>0</v>
      </c>
      <c r="AB1967" t="s">
        <v>36</v>
      </c>
      <c r="AC1967">
        <v>30</v>
      </c>
      <c r="AD1967">
        <v>2.04</v>
      </c>
    </row>
    <row r="1968" spans="1:30" x14ac:dyDescent="0.25">
      <c r="A1968" s="1">
        <v>44784.653564814813</v>
      </c>
      <c r="B1968" s="1">
        <v>44784.65185185185</v>
      </c>
      <c r="C1968">
        <v>23443</v>
      </c>
      <c r="D1968" t="s">
        <v>50</v>
      </c>
      <c r="E1968" t="s">
        <v>35</v>
      </c>
      <c r="F1968">
        <v>7</v>
      </c>
      <c r="G1968">
        <v>43.556139999999999</v>
      </c>
      <c r="H1968">
        <v>-72.370990000000006</v>
      </c>
      <c r="I1968">
        <v>523</v>
      </c>
      <c r="J1968">
        <v>103</v>
      </c>
      <c r="K1968">
        <v>0</v>
      </c>
      <c r="L1968" s="1">
        <v>44784.653506944444</v>
      </c>
      <c r="M1968">
        <v>3</v>
      </c>
      <c r="N1968">
        <v>2.7</v>
      </c>
      <c r="O1968">
        <v>0.3</v>
      </c>
      <c r="P1968">
        <v>11</v>
      </c>
      <c r="Q1968">
        <v>0</v>
      </c>
      <c r="R1968">
        <v>0.1</v>
      </c>
      <c r="S1968">
        <v>0.05</v>
      </c>
      <c r="T1968" t="s">
        <v>33</v>
      </c>
      <c r="U1968">
        <v>2.85</v>
      </c>
      <c r="V1968">
        <v>20</v>
      </c>
      <c r="W1968">
        <v>0</v>
      </c>
      <c r="X1968">
        <v>20</v>
      </c>
      <c r="Y1968">
        <v>1</v>
      </c>
      <c r="Z1968">
        <v>0</v>
      </c>
      <c r="AA1968">
        <v>1</v>
      </c>
      <c r="AB1968" t="s">
        <v>36</v>
      </c>
      <c r="AC1968">
        <v>20</v>
      </c>
      <c r="AD1968">
        <v>2.5</v>
      </c>
    </row>
    <row r="1969" spans="1:30" x14ac:dyDescent="0.25">
      <c r="A1969" s="1">
        <v>44784.653564814813</v>
      </c>
      <c r="B1969" s="1">
        <v>44784.651967592596</v>
      </c>
      <c r="C1969">
        <v>58135</v>
      </c>
      <c r="D1969" t="s">
        <v>51</v>
      </c>
      <c r="E1969" t="s">
        <v>35</v>
      </c>
      <c r="F1969">
        <v>7</v>
      </c>
      <c r="G1969">
        <v>42.883873000000001</v>
      </c>
      <c r="H1969">
        <v>-71.972915999999998</v>
      </c>
      <c r="I1969">
        <v>808</v>
      </c>
      <c r="J1969">
        <v>88</v>
      </c>
      <c r="K1969">
        <v>0</v>
      </c>
      <c r="L1969" s="1">
        <v>44784.653506944444</v>
      </c>
      <c r="M1969">
        <v>4.4000000000000004</v>
      </c>
      <c r="N1969">
        <v>2.7</v>
      </c>
      <c r="O1969">
        <v>1.7</v>
      </c>
      <c r="P1969">
        <v>48</v>
      </c>
      <c r="Q1969">
        <v>0</v>
      </c>
      <c r="R1969">
        <v>0</v>
      </c>
      <c r="S1969">
        <v>0</v>
      </c>
      <c r="T1969" t="s">
        <v>33</v>
      </c>
      <c r="U1969">
        <v>3.55</v>
      </c>
      <c r="V1969">
        <v>34</v>
      </c>
      <c r="W1969">
        <v>0</v>
      </c>
      <c r="X1969">
        <v>34</v>
      </c>
      <c r="Y1969">
        <v>1</v>
      </c>
      <c r="Z1969">
        <v>0</v>
      </c>
      <c r="AA1969">
        <v>1</v>
      </c>
      <c r="AB1969" t="s">
        <v>36</v>
      </c>
      <c r="AC1969">
        <v>34</v>
      </c>
      <c r="AD1969">
        <v>1.95</v>
      </c>
    </row>
    <row r="1970" spans="1:30" x14ac:dyDescent="0.25">
      <c r="A1970" s="1">
        <v>44784.65357638889</v>
      </c>
      <c r="B1970" s="1">
        <v>44784.651956018519</v>
      </c>
      <c r="C1970">
        <v>148555</v>
      </c>
      <c r="D1970" t="s">
        <v>52</v>
      </c>
      <c r="E1970" t="s">
        <v>53</v>
      </c>
      <c r="F1970">
        <v>7</v>
      </c>
      <c r="G1970">
        <v>42.904949999999999</v>
      </c>
      <c r="H1970">
        <v>-71.386764999999997</v>
      </c>
      <c r="I1970">
        <v>363</v>
      </c>
      <c r="J1970">
        <v>0</v>
      </c>
      <c r="K1970">
        <v>0</v>
      </c>
      <c r="L1970" s="1">
        <v>44784.653506944444</v>
      </c>
      <c r="M1970">
        <v>1.5</v>
      </c>
      <c r="N1970">
        <v>1.1000000000000001</v>
      </c>
      <c r="O1970">
        <v>0.4</v>
      </c>
      <c r="P1970">
        <v>31</v>
      </c>
      <c r="Q1970">
        <v>0</v>
      </c>
      <c r="R1970">
        <v>0</v>
      </c>
      <c r="S1970">
        <v>0</v>
      </c>
      <c r="T1970" t="s">
        <v>33</v>
      </c>
      <c r="U1970">
        <v>1.3</v>
      </c>
      <c r="V1970">
        <v>0</v>
      </c>
      <c r="W1970">
        <v>0</v>
      </c>
      <c r="X1970">
        <v>0</v>
      </c>
      <c r="Y1970">
        <v>0</v>
      </c>
      <c r="Z1970">
        <v>0</v>
      </c>
      <c r="AA1970">
        <v>0</v>
      </c>
      <c r="AB1970" t="s">
        <v>38</v>
      </c>
    </row>
    <row r="1971" spans="1:30" x14ac:dyDescent="0.25">
      <c r="A1971" s="1">
        <v>44784.65357638889</v>
      </c>
      <c r="B1971" s="1">
        <v>44784.65284722222</v>
      </c>
      <c r="C1971">
        <v>146644</v>
      </c>
      <c r="D1971" t="s">
        <v>54</v>
      </c>
      <c r="E1971" t="s">
        <v>53</v>
      </c>
      <c r="F1971">
        <v>7</v>
      </c>
      <c r="G1971">
        <v>43.06015</v>
      </c>
      <c r="H1971">
        <v>-70.758930000000007</v>
      </c>
      <c r="I1971">
        <v>35</v>
      </c>
      <c r="J1971">
        <v>79</v>
      </c>
      <c r="K1971">
        <v>81</v>
      </c>
      <c r="L1971" s="1">
        <v>44784.653506944444</v>
      </c>
      <c r="M1971">
        <v>15.5</v>
      </c>
      <c r="N1971">
        <v>15</v>
      </c>
      <c r="O1971">
        <v>0.5</v>
      </c>
      <c r="P1971">
        <v>3</v>
      </c>
      <c r="Q1971">
        <v>0.1</v>
      </c>
      <c r="R1971">
        <v>0</v>
      </c>
      <c r="S1971">
        <v>0.05</v>
      </c>
      <c r="T1971" t="s">
        <v>33</v>
      </c>
      <c r="U1971">
        <v>15.25</v>
      </c>
      <c r="V1971">
        <v>55</v>
      </c>
      <c r="W1971">
        <v>60</v>
      </c>
      <c r="X1971">
        <v>5</v>
      </c>
      <c r="Y1971">
        <v>0</v>
      </c>
      <c r="Z1971">
        <v>0</v>
      </c>
      <c r="AA1971">
        <v>0</v>
      </c>
      <c r="AB1971" t="s">
        <v>33</v>
      </c>
      <c r="AC1971">
        <v>57.5</v>
      </c>
      <c r="AD1971">
        <v>7.44</v>
      </c>
    </row>
    <row r="1972" spans="1:30" x14ac:dyDescent="0.25">
      <c r="A1972" s="1">
        <v>44784.65357638889</v>
      </c>
      <c r="B1972" s="1">
        <v>43755.283437500002</v>
      </c>
      <c r="C1972">
        <v>12188</v>
      </c>
      <c r="D1972" t="s">
        <v>55</v>
      </c>
      <c r="E1972" t="s">
        <v>35</v>
      </c>
      <c r="F1972">
        <v>4.1100000000000003</v>
      </c>
      <c r="G1972">
        <v>42.927050000000001</v>
      </c>
      <c r="H1972">
        <v>-72.279610000000005</v>
      </c>
      <c r="I1972">
        <v>475</v>
      </c>
      <c r="J1972">
        <v>95</v>
      </c>
      <c r="K1972">
        <v>0</v>
      </c>
      <c r="L1972" s="1">
        <v>44784.653506944444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 t="s">
        <v>32</v>
      </c>
      <c r="V1972">
        <v>77</v>
      </c>
      <c r="W1972">
        <v>0</v>
      </c>
      <c r="X1972">
        <v>77</v>
      </c>
      <c r="Y1972">
        <v>0</v>
      </c>
      <c r="Z1972">
        <v>0</v>
      </c>
      <c r="AA1972">
        <v>0</v>
      </c>
      <c r="AB1972" t="s">
        <v>36</v>
      </c>
      <c r="AC1972">
        <v>77</v>
      </c>
    </row>
    <row r="1973" spans="1:30" x14ac:dyDescent="0.25">
      <c r="A1973" s="1">
        <v>44784.653587962966</v>
      </c>
      <c r="B1973" s="1">
        <v>44784.653229166666</v>
      </c>
      <c r="C1973">
        <v>1224</v>
      </c>
      <c r="D1973" t="s">
        <v>56</v>
      </c>
      <c r="E1973" t="s">
        <v>35</v>
      </c>
      <c r="F1973" t="s">
        <v>57</v>
      </c>
      <c r="G1973">
        <v>42.938034000000002</v>
      </c>
      <c r="H1973">
        <v>-72.259299999999996</v>
      </c>
      <c r="I1973">
        <v>792</v>
      </c>
      <c r="J1973">
        <v>95</v>
      </c>
      <c r="K1973">
        <v>0</v>
      </c>
      <c r="L1973" s="1">
        <v>44784.653506944444</v>
      </c>
      <c r="M1973">
        <v>5.3</v>
      </c>
      <c r="N1973">
        <v>0.1</v>
      </c>
      <c r="O1973">
        <v>5.2</v>
      </c>
      <c r="P1973">
        <v>193</v>
      </c>
      <c r="Q1973">
        <v>0</v>
      </c>
      <c r="R1973">
        <v>0</v>
      </c>
      <c r="S1973">
        <v>0</v>
      </c>
      <c r="T1973" t="s">
        <v>33</v>
      </c>
      <c r="U1973">
        <v>2.7</v>
      </c>
      <c r="V1973">
        <v>34</v>
      </c>
      <c r="W1973">
        <v>0</v>
      </c>
      <c r="X1973">
        <v>34</v>
      </c>
      <c r="Y1973">
        <v>2</v>
      </c>
      <c r="Z1973">
        <v>0</v>
      </c>
      <c r="AA1973">
        <v>2</v>
      </c>
      <c r="AB1973" t="s">
        <v>36</v>
      </c>
      <c r="AC1973">
        <v>34</v>
      </c>
      <c r="AD1973">
        <v>1.43</v>
      </c>
    </row>
    <row r="1974" spans="1:30" x14ac:dyDescent="0.25">
      <c r="A1974" s="1">
        <v>44784.653587962966</v>
      </c>
      <c r="B1974" s="1">
        <v>44784.652673611112</v>
      </c>
      <c r="C1974">
        <v>1202</v>
      </c>
      <c r="D1974" t="s">
        <v>58</v>
      </c>
      <c r="E1974" t="s">
        <v>35</v>
      </c>
      <c r="F1974" t="s">
        <v>57</v>
      </c>
      <c r="G1974">
        <v>42.936554000000001</v>
      </c>
      <c r="H1974">
        <v>-72.271019999999993</v>
      </c>
      <c r="I1974">
        <v>488</v>
      </c>
      <c r="J1974">
        <v>0</v>
      </c>
      <c r="K1974">
        <v>0</v>
      </c>
      <c r="L1974" s="1">
        <v>44784.653506944444</v>
      </c>
      <c r="M1974">
        <v>5.5</v>
      </c>
      <c r="N1974">
        <v>4.9000000000000004</v>
      </c>
      <c r="O1974">
        <v>0.6</v>
      </c>
      <c r="P1974">
        <v>12</v>
      </c>
      <c r="Q1974">
        <v>0</v>
      </c>
      <c r="R1974">
        <v>0.1</v>
      </c>
      <c r="S1974">
        <v>0.05</v>
      </c>
      <c r="T1974" t="s">
        <v>33</v>
      </c>
      <c r="U1974">
        <v>5.2</v>
      </c>
      <c r="V1974">
        <v>0</v>
      </c>
      <c r="W1974">
        <v>0</v>
      </c>
      <c r="X1974">
        <v>0</v>
      </c>
      <c r="Y1974">
        <v>0</v>
      </c>
      <c r="Z1974">
        <v>0</v>
      </c>
      <c r="AA1974">
        <v>0</v>
      </c>
      <c r="AB1974" t="s">
        <v>38</v>
      </c>
    </row>
    <row r="1975" spans="1:30" x14ac:dyDescent="0.25">
      <c r="A1975" s="1">
        <v>44784.653587962966</v>
      </c>
      <c r="B1975" s="1">
        <v>44612.080023148148</v>
      </c>
      <c r="C1975">
        <v>25985</v>
      </c>
      <c r="D1975" t="s">
        <v>59</v>
      </c>
      <c r="E1975" t="s">
        <v>35</v>
      </c>
      <c r="F1975">
        <v>6.01</v>
      </c>
      <c r="G1975">
        <v>42.927326000000001</v>
      </c>
      <c r="H1975">
        <v>-72.279979999999995</v>
      </c>
      <c r="I1975">
        <v>477</v>
      </c>
      <c r="J1975">
        <v>78</v>
      </c>
      <c r="K1975">
        <v>0</v>
      </c>
      <c r="L1975" s="1">
        <v>44784.653506944444</v>
      </c>
      <c r="M1975">
        <v>1.1000000000000001</v>
      </c>
      <c r="N1975">
        <v>1</v>
      </c>
      <c r="O1975">
        <v>0.1</v>
      </c>
      <c r="P1975">
        <v>10</v>
      </c>
      <c r="Q1975">
        <v>0</v>
      </c>
      <c r="R1975">
        <v>0</v>
      </c>
      <c r="S1975">
        <v>0</v>
      </c>
      <c r="T1975" t="s">
        <v>32</v>
      </c>
      <c r="V1975">
        <v>22</v>
      </c>
      <c r="W1975">
        <v>0</v>
      </c>
      <c r="X1975">
        <v>22</v>
      </c>
      <c r="Y1975">
        <v>0</v>
      </c>
      <c r="Z1975">
        <v>0</v>
      </c>
      <c r="AA1975">
        <v>0</v>
      </c>
      <c r="AB1975" t="s">
        <v>36</v>
      </c>
      <c r="AC1975">
        <v>22</v>
      </c>
    </row>
    <row r="1976" spans="1:30" x14ac:dyDescent="0.25">
      <c r="A1976" s="1">
        <v>44784.660451388889</v>
      </c>
      <c r="B1976" s="1">
        <v>44775.701319444444</v>
      </c>
      <c r="C1976">
        <v>151708</v>
      </c>
      <c r="D1976" t="s">
        <v>30</v>
      </c>
      <c r="E1976" t="s">
        <v>31</v>
      </c>
      <c r="F1976">
        <v>7</v>
      </c>
      <c r="G1976">
        <v>43.192042999999998</v>
      </c>
      <c r="H1976">
        <v>-71.541579999999996</v>
      </c>
      <c r="I1976">
        <v>291</v>
      </c>
      <c r="J1976">
        <v>93</v>
      </c>
      <c r="K1976">
        <v>94</v>
      </c>
      <c r="L1976" s="1">
        <v>44784.660451388889</v>
      </c>
      <c r="M1976">
        <v>7.9</v>
      </c>
      <c r="N1976">
        <v>7.6</v>
      </c>
      <c r="O1976">
        <v>0.3</v>
      </c>
      <c r="P1976">
        <v>4</v>
      </c>
      <c r="Q1976">
        <v>0</v>
      </c>
      <c r="R1976">
        <v>0</v>
      </c>
      <c r="S1976">
        <v>0</v>
      </c>
      <c r="T1976" t="s">
        <v>32</v>
      </c>
      <c r="V1976">
        <v>42</v>
      </c>
      <c r="W1976">
        <v>41</v>
      </c>
      <c r="X1976">
        <v>1</v>
      </c>
      <c r="Y1976">
        <v>0</v>
      </c>
      <c r="Z1976">
        <v>0</v>
      </c>
      <c r="AA1976">
        <v>0</v>
      </c>
      <c r="AB1976" t="s">
        <v>33</v>
      </c>
      <c r="AC1976">
        <v>41.5</v>
      </c>
    </row>
    <row r="1977" spans="1:30" x14ac:dyDescent="0.25">
      <c r="A1977" s="1">
        <v>44784.660451388889</v>
      </c>
      <c r="B1977" s="1">
        <v>44784.658831018518</v>
      </c>
      <c r="C1977">
        <v>143456</v>
      </c>
      <c r="D1977" t="s">
        <v>34</v>
      </c>
      <c r="E1977" t="s">
        <v>35</v>
      </c>
      <c r="F1977">
        <v>7</v>
      </c>
      <c r="G1977">
        <v>43.08963</v>
      </c>
      <c r="H1977">
        <v>-71.502440000000007</v>
      </c>
      <c r="I1977">
        <v>619</v>
      </c>
      <c r="J1977">
        <v>86</v>
      </c>
      <c r="K1977">
        <v>0</v>
      </c>
      <c r="L1977" s="1">
        <v>44784.660451388889</v>
      </c>
      <c r="M1977">
        <v>3.2</v>
      </c>
      <c r="N1977">
        <v>3.5</v>
      </c>
      <c r="O1977">
        <v>0.3</v>
      </c>
      <c r="P1977">
        <v>9</v>
      </c>
      <c r="Q1977">
        <v>0</v>
      </c>
      <c r="R1977">
        <v>0.1</v>
      </c>
      <c r="S1977">
        <v>0.05</v>
      </c>
      <c r="T1977" t="s">
        <v>33</v>
      </c>
      <c r="U1977">
        <v>3.35</v>
      </c>
      <c r="V1977">
        <v>45</v>
      </c>
      <c r="W1977">
        <v>0</v>
      </c>
      <c r="X1977">
        <v>45</v>
      </c>
      <c r="Y1977">
        <v>2</v>
      </c>
      <c r="Z1977">
        <v>0</v>
      </c>
      <c r="AA1977">
        <v>2</v>
      </c>
      <c r="AB1977" t="s">
        <v>36</v>
      </c>
      <c r="AC1977">
        <v>45</v>
      </c>
      <c r="AD1977">
        <v>1.05</v>
      </c>
    </row>
    <row r="1978" spans="1:30" x14ac:dyDescent="0.25">
      <c r="A1978" s="1">
        <v>44784.660462962966</v>
      </c>
      <c r="B1978" s="1">
        <v>44784.65898148148</v>
      </c>
      <c r="C1978">
        <v>151702</v>
      </c>
      <c r="D1978" t="s">
        <v>37</v>
      </c>
      <c r="E1978" t="s">
        <v>31</v>
      </c>
      <c r="F1978">
        <v>7</v>
      </c>
      <c r="G1978">
        <v>43.118609999999997</v>
      </c>
      <c r="H1978">
        <v>-71.61618</v>
      </c>
      <c r="I1978">
        <v>885</v>
      </c>
      <c r="J1978">
        <v>0</v>
      </c>
      <c r="K1978">
        <v>0</v>
      </c>
      <c r="L1978" s="1">
        <v>44784.660451388889</v>
      </c>
      <c r="M1978">
        <v>2.4</v>
      </c>
      <c r="N1978">
        <v>2.2000000000000002</v>
      </c>
      <c r="O1978">
        <v>0.2</v>
      </c>
      <c r="P1978">
        <v>9</v>
      </c>
      <c r="Q1978">
        <v>0.1</v>
      </c>
      <c r="R1978">
        <v>0.1</v>
      </c>
      <c r="S1978">
        <v>0.1</v>
      </c>
      <c r="T1978" t="s">
        <v>33</v>
      </c>
      <c r="U1978">
        <v>2.2999999999999998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 t="s">
        <v>38</v>
      </c>
    </row>
    <row r="1979" spans="1:30" x14ac:dyDescent="0.25">
      <c r="A1979" s="1">
        <v>44784.660462962966</v>
      </c>
      <c r="B1979" s="1">
        <v>44784.658877314818</v>
      </c>
      <c r="C1979">
        <v>151700</v>
      </c>
      <c r="D1979" t="s">
        <v>30</v>
      </c>
      <c r="E1979" t="s">
        <v>31</v>
      </c>
      <c r="F1979">
        <v>7</v>
      </c>
      <c r="G1979">
        <v>43.19211</v>
      </c>
      <c r="H1979">
        <v>-71.541460000000001</v>
      </c>
      <c r="I1979">
        <v>286</v>
      </c>
      <c r="J1979">
        <v>85</v>
      </c>
      <c r="K1979">
        <v>0</v>
      </c>
      <c r="L1979" s="1">
        <v>44784.660451388889</v>
      </c>
      <c r="M1979">
        <v>2.7</v>
      </c>
      <c r="N1979">
        <v>3.1</v>
      </c>
      <c r="O1979">
        <v>0.4</v>
      </c>
      <c r="P1979">
        <v>14</v>
      </c>
      <c r="Q1979">
        <v>0.1</v>
      </c>
      <c r="R1979">
        <v>0.2</v>
      </c>
      <c r="S1979">
        <v>0.15</v>
      </c>
      <c r="T1979" t="s">
        <v>33</v>
      </c>
      <c r="U1979">
        <v>2.9</v>
      </c>
      <c r="V1979">
        <v>42</v>
      </c>
      <c r="W1979">
        <v>0</v>
      </c>
      <c r="X1979">
        <v>42</v>
      </c>
      <c r="Y1979">
        <v>0</v>
      </c>
      <c r="Z1979">
        <v>0</v>
      </c>
      <c r="AA1979">
        <v>0</v>
      </c>
      <c r="AB1979" t="s">
        <v>36</v>
      </c>
      <c r="AC1979">
        <v>42</v>
      </c>
      <c r="AD1979">
        <v>0.99</v>
      </c>
    </row>
    <row r="1980" spans="1:30" x14ac:dyDescent="0.25">
      <c r="A1980" s="1">
        <v>44784.660474537035</v>
      </c>
      <c r="B1980" s="1">
        <v>44784.659305555557</v>
      </c>
      <c r="C1980">
        <v>135984</v>
      </c>
      <c r="D1980" t="s">
        <v>39</v>
      </c>
      <c r="E1980" t="s">
        <v>31</v>
      </c>
      <c r="F1980">
        <v>7</v>
      </c>
      <c r="G1980">
        <v>43.565852999999997</v>
      </c>
      <c r="H1980">
        <v>-71.496129999999994</v>
      </c>
      <c r="I1980">
        <v>708</v>
      </c>
      <c r="J1980">
        <v>87</v>
      </c>
      <c r="K1980">
        <v>0</v>
      </c>
      <c r="L1980" s="1">
        <v>44784.660451388889</v>
      </c>
      <c r="M1980">
        <v>3.4</v>
      </c>
      <c r="N1980">
        <v>2.9</v>
      </c>
      <c r="O1980">
        <v>0.5</v>
      </c>
      <c r="P1980">
        <v>16</v>
      </c>
      <c r="Q1980">
        <v>0.2</v>
      </c>
      <c r="R1980">
        <v>0.3</v>
      </c>
      <c r="S1980">
        <v>0.25</v>
      </c>
      <c r="T1980" t="s">
        <v>33</v>
      </c>
      <c r="U1980">
        <v>3.15</v>
      </c>
      <c r="V1980">
        <v>48</v>
      </c>
      <c r="W1980">
        <v>0</v>
      </c>
      <c r="X1980">
        <v>48</v>
      </c>
      <c r="Y1980">
        <v>1</v>
      </c>
      <c r="Z1980">
        <v>0</v>
      </c>
      <c r="AA1980">
        <v>1</v>
      </c>
      <c r="AB1980" t="s">
        <v>36</v>
      </c>
      <c r="AC1980">
        <v>48</v>
      </c>
      <c r="AD1980">
        <v>0.72</v>
      </c>
    </row>
    <row r="1981" spans="1:30" x14ac:dyDescent="0.25">
      <c r="A1981" s="1">
        <v>44784.660474537035</v>
      </c>
      <c r="B1981" s="1">
        <v>44780.394780092596</v>
      </c>
      <c r="C1981">
        <v>151712</v>
      </c>
      <c r="D1981" t="s">
        <v>40</v>
      </c>
      <c r="E1981" t="s">
        <v>31</v>
      </c>
      <c r="F1981">
        <v>7</v>
      </c>
      <c r="G1981">
        <v>43.289763999999998</v>
      </c>
      <c r="H1981">
        <v>-71.564260000000004</v>
      </c>
      <c r="I1981">
        <v>370</v>
      </c>
      <c r="J1981">
        <v>86</v>
      </c>
      <c r="K1981">
        <v>0</v>
      </c>
      <c r="L1981" s="1">
        <v>44784.660451388889</v>
      </c>
      <c r="M1981">
        <v>14</v>
      </c>
      <c r="N1981">
        <v>13.2</v>
      </c>
      <c r="O1981">
        <v>0.8</v>
      </c>
      <c r="P1981">
        <v>6</v>
      </c>
      <c r="Q1981">
        <v>0</v>
      </c>
      <c r="R1981">
        <v>0</v>
      </c>
      <c r="S1981">
        <v>0</v>
      </c>
      <c r="T1981" t="s">
        <v>32</v>
      </c>
      <c r="V1981">
        <v>59</v>
      </c>
      <c r="W1981">
        <v>0</v>
      </c>
      <c r="X1981">
        <v>59</v>
      </c>
      <c r="Y1981">
        <v>0</v>
      </c>
      <c r="Z1981">
        <v>0</v>
      </c>
      <c r="AA1981">
        <v>0</v>
      </c>
      <c r="AB1981" t="s">
        <v>36</v>
      </c>
      <c r="AC1981">
        <v>59</v>
      </c>
    </row>
    <row r="1982" spans="1:30" x14ac:dyDescent="0.25">
      <c r="A1982" s="1">
        <v>44784.660474537035</v>
      </c>
      <c r="B1982" s="1">
        <v>44784.658634259256</v>
      </c>
      <c r="C1982">
        <v>151710</v>
      </c>
      <c r="D1982" t="s">
        <v>41</v>
      </c>
      <c r="E1982" t="s">
        <v>31</v>
      </c>
      <c r="F1982">
        <v>7</v>
      </c>
      <c r="G1982">
        <v>43.132477000000002</v>
      </c>
      <c r="H1982">
        <v>-71.458374000000006</v>
      </c>
      <c r="I1982">
        <v>230</v>
      </c>
      <c r="J1982">
        <v>92</v>
      </c>
      <c r="K1982">
        <v>0</v>
      </c>
      <c r="L1982" s="1">
        <v>44784.660451388889</v>
      </c>
      <c r="M1982">
        <v>5.5</v>
      </c>
      <c r="N1982">
        <v>4.0999999999999996</v>
      </c>
      <c r="O1982">
        <v>1.4</v>
      </c>
      <c r="P1982">
        <v>29</v>
      </c>
      <c r="Q1982">
        <v>0.2</v>
      </c>
      <c r="R1982">
        <v>0.1</v>
      </c>
      <c r="S1982">
        <v>0.15</v>
      </c>
      <c r="T1982" t="s">
        <v>33</v>
      </c>
      <c r="U1982">
        <v>4.8</v>
      </c>
      <c r="V1982">
        <v>32</v>
      </c>
      <c r="W1982">
        <v>0</v>
      </c>
      <c r="X1982">
        <v>32</v>
      </c>
      <c r="Y1982">
        <v>0</v>
      </c>
      <c r="Z1982">
        <v>0</v>
      </c>
      <c r="AA1982">
        <v>0</v>
      </c>
      <c r="AB1982" t="s">
        <v>36</v>
      </c>
      <c r="AC1982">
        <v>32</v>
      </c>
      <c r="AD1982">
        <v>2.85</v>
      </c>
    </row>
    <row r="1983" spans="1:30" x14ac:dyDescent="0.25">
      <c r="A1983" s="1">
        <v>44784.660486111112</v>
      </c>
      <c r="B1983" s="1">
        <v>44784.65966435185</v>
      </c>
      <c r="C1983">
        <v>151706</v>
      </c>
      <c r="D1983" t="s">
        <v>42</v>
      </c>
      <c r="E1983" t="s">
        <v>31</v>
      </c>
      <c r="F1983">
        <v>7</v>
      </c>
      <c r="G1983">
        <v>43.004080000000002</v>
      </c>
      <c r="H1983">
        <v>-71.177040000000005</v>
      </c>
      <c r="I1983">
        <v>194</v>
      </c>
      <c r="J1983">
        <v>89</v>
      </c>
      <c r="K1983">
        <v>0</v>
      </c>
      <c r="L1983" s="1">
        <v>44784.660451388889</v>
      </c>
      <c r="M1983">
        <v>2.9</v>
      </c>
      <c r="N1983">
        <v>0</v>
      </c>
      <c r="O1983">
        <v>2.9</v>
      </c>
      <c r="P1983">
        <v>200</v>
      </c>
      <c r="Q1983">
        <v>0.3</v>
      </c>
      <c r="R1983">
        <v>0</v>
      </c>
      <c r="S1983">
        <v>0.15</v>
      </c>
      <c r="T1983" t="s">
        <v>43</v>
      </c>
      <c r="V1983">
        <v>37</v>
      </c>
      <c r="W1983">
        <v>0</v>
      </c>
      <c r="X1983">
        <v>37</v>
      </c>
      <c r="Y1983">
        <v>2</v>
      </c>
      <c r="Z1983">
        <v>0</v>
      </c>
      <c r="AA1983">
        <v>2</v>
      </c>
      <c r="AB1983" t="s">
        <v>36</v>
      </c>
      <c r="AC1983">
        <v>37</v>
      </c>
    </row>
    <row r="1984" spans="1:30" x14ac:dyDescent="0.25">
      <c r="A1984" s="1">
        <v>44784.660486111112</v>
      </c>
      <c r="B1984" s="1">
        <v>44784.659444444442</v>
      </c>
      <c r="C1984">
        <v>12212</v>
      </c>
      <c r="D1984" t="s">
        <v>44</v>
      </c>
      <c r="E1984" t="s">
        <v>35</v>
      </c>
      <c r="F1984">
        <v>7</v>
      </c>
      <c r="G1984">
        <v>42.930529999999997</v>
      </c>
      <c r="H1984">
        <v>-72.272350000000003</v>
      </c>
      <c r="I1984">
        <v>476</v>
      </c>
      <c r="J1984">
        <v>88</v>
      </c>
      <c r="K1984">
        <v>0</v>
      </c>
      <c r="L1984" s="1">
        <v>44784.660451388889</v>
      </c>
      <c r="M1984">
        <v>5.2</v>
      </c>
      <c r="N1984">
        <v>4.7</v>
      </c>
      <c r="O1984">
        <v>0.5</v>
      </c>
      <c r="P1984">
        <v>10</v>
      </c>
      <c r="Q1984">
        <v>0.1</v>
      </c>
      <c r="R1984">
        <v>0</v>
      </c>
      <c r="S1984">
        <v>0.05</v>
      </c>
      <c r="T1984" t="s">
        <v>33</v>
      </c>
      <c r="U1984">
        <v>4.95</v>
      </c>
      <c r="V1984">
        <v>32</v>
      </c>
      <c r="W1984">
        <v>0</v>
      </c>
      <c r="X1984">
        <v>32</v>
      </c>
      <c r="Y1984">
        <v>1</v>
      </c>
      <c r="Z1984">
        <v>0</v>
      </c>
      <c r="AA1984">
        <v>1</v>
      </c>
      <c r="AB1984" t="s">
        <v>36</v>
      </c>
      <c r="AC1984">
        <v>32</v>
      </c>
      <c r="AD1984">
        <v>2.94</v>
      </c>
    </row>
    <row r="1985" spans="1:30" x14ac:dyDescent="0.25">
      <c r="A1985" s="1">
        <v>44784.660497685189</v>
      </c>
      <c r="B1985" s="1">
        <v>44769.376736111109</v>
      </c>
      <c r="C1985">
        <v>12178</v>
      </c>
      <c r="D1985" t="s">
        <v>45</v>
      </c>
      <c r="E1985" t="s">
        <v>35</v>
      </c>
      <c r="F1985">
        <v>7</v>
      </c>
      <c r="G1985">
        <v>42.899563000000001</v>
      </c>
      <c r="H1985">
        <v>-71.464650000000006</v>
      </c>
      <c r="I1985">
        <v>301</v>
      </c>
      <c r="J1985">
        <v>85</v>
      </c>
      <c r="K1985">
        <v>0</v>
      </c>
      <c r="L1985" s="1">
        <v>44784.660451388889</v>
      </c>
      <c r="M1985">
        <v>3.8</v>
      </c>
      <c r="N1985">
        <v>3.1</v>
      </c>
      <c r="O1985">
        <v>0.7</v>
      </c>
      <c r="P1985">
        <v>20</v>
      </c>
      <c r="Q1985">
        <v>0</v>
      </c>
      <c r="R1985">
        <v>0</v>
      </c>
      <c r="S1985">
        <v>0</v>
      </c>
      <c r="T1985" t="s">
        <v>32</v>
      </c>
      <c r="V1985">
        <v>35</v>
      </c>
      <c r="W1985">
        <v>0</v>
      </c>
      <c r="X1985">
        <v>35</v>
      </c>
      <c r="Y1985">
        <v>0</v>
      </c>
      <c r="Z1985">
        <v>0</v>
      </c>
      <c r="AA1985">
        <v>0</v>
      </c>
      <c r="AB1985" t="s">
        <v>36</v>
      </c>
      <c r="AC1985">
        <v>35</v>
      </c>
    </row>
    <row r="1986" spans="1:30" x14ac:dyDescent="0.25">
      <c r="A1986" s="1">
        <v>44784.660497685189</v>
      </c>
      <c r="B1986" s="1">
        <v>44784.658726851849</v>
      </c>
      <c r="C1986">
        <v>75981</v>
      </c>
      <c r="D1986" t="s">
        <v>46</v>
      </c>
      <c r="E1986" t="s">
        <v>35</v>
      </c>
      <c r="F1986">
        <v>7</v>
      </c>
      <c r="G1986">
        <v>42.97</v>
      </c>
      <c r="H1986">
        <v>-71.06</v>
      </c>
      <c r="I1986">
        <v>136</v>
      </c>
      <c r="J1986">
        <v>89</v>
      </c>
      <c r="K1986">
        <v>0</v>
      </c>
      <c r="L1986" s="1">
        <v>44784.660451388889</v>
      </c>
      <c r="M1986">
        <v>11.2</v>
      </c>
      <c r="N1986">
        <v>10.6</v>
      </c>
      <c r="O1986">
        <v>0.6</v>
      </c>
      <c r="P1986">
        <v>6</v>
      </c>
      <c r="Q1986">
        <v>0.6</v>
      </c>
      <c r="R1986">
        <v>0.5</v>
      </c>
      <c r="S1986">
        <v>0.55000000000000004</v>
      </c>
      <c r="T1986" t="s">
        <v>33</v>
      </c>
      <c r="U1986">
        <v>10.9</v>
      </c>
      <c r="V1986">
        <v>45</v>
      </c>
      <c r="W1986">
        <v>0</v>
      </c>
      <c r="X1986">
        <v>45</v>
      </c>
      <c r="Y1986">
        <v>1</v>
      </c>
      <c r="Z1986">
        <v>0</v>
      </c>
      <c r="AA1986">
        <v>1</v>
      </c>
      <c r="AB1986" t="s">
        <v>36</v>
      </c>
      <c r="AC1986">
        <v>45</v>
      </c>
      <c r="AD1986">
        <v>5.66</v>
      </c>
    </row>
    <row r="1987" spans="1:30" x14ac:dyDescent="0.25">
      <c r="A1987" s="1">
        <v>44784.660497685189</v>
      </c>
      <c r="B1987" s="1">
        <v>44784.659270833334</v>
      </c>
      <c r="C1987">
        <v>115703</v>
      </c>
      <c r="D1987" t="s">
        <v>47</v>
      </c>
      <c r="E1987" t="s">
        <v>35</v>
      </c>
      <c r="F1987">
        <v>7</v>
      </c>
      <c r="G1987">
        <v>43.953625000000002</v>
      </c>
      <c r="H1987">
        <v>-71.508859999999999</v>
      </c>
      <c r="I1987">
        <v>1493</v>
      </c>
      <c r="J1987">
        <v>91</v>
      </c>
      <c r="K1987">
        <v>0</v>
      </c>
      <c r="L1987" s="1">
        <v>44784.660451388889</v>
      </c>
      <c r="M1987">
        <v>0</v>
      </c>
      <c r="N1987">
        <v>8.1999999999999993</v>
      </c>
      <c r="O1987">
        <v>8.1999999999999993</v>
      </c>
      <c r="P1987">
        <v>200</v>
      </c>
      <c r="Q1987">
        <v>0</v>
      </c>
      <c r="R1987">
        <v>5.6</v>
      </c>
      <c r="S1987">
        <v>2.8</v>
      </c>
      <c r="T1987" t="s">
        <v>48</v>
      </c>
      <c r="V1987">
        <v>30</v>
      </c>
      <c r="W1987">
        <v>0</v>
      </c>
      <c r="X1987">
        <v>30</v>
      </c>
      <c r="Y1987">
        <v>1</v>
      </c>
      <c r="Z1987">
        <v>0</v>
      </c>
      <c r="AA1987">
        <v>1</v>
      </c>
      <c r="AB1987" t="s">
        <v>36</v>
      </c>
      <c r="AC1987">
        <v>30</v>
      </c>
    </row>
    <row r="1988" spans="1:30" x14ac:dyDescent="0.25">
      <c r="A1988" s="1">
        <v>44784.660509259258</v>
      </c>
      <c r="B1988" s="1">
        <v>44784.658680555556</v>
      </c>
      <c r="C1988">
        <v>12050</v>
      </c>
      <c r="D1988" t="s">
        <v>49</v>
      </c>
      <c r="E1988" t="s">
        <v>35</v>
      </c>
      <c r="F1988">
        <v>7</v>
      </c>
      <c r="G1988">
        <v>44.220573000000002</v>
      </c>
      <c r="H1988">
        <v>-71.732315</v>
      </c>
      <c r="I1988">
        <v>999</v>
      </c>
      <c r="J1988">
        <v>93</v>
      </c>
      <c r="K1988">
        <v>0</v>
      </c>
      <c r="L1988" s="1">
        <v>44784.660451388889</v>
      </c>
      <c r="M1988">
        <v>3.5</v>
      </c>
      <c r="N1988">
        <v>3</v>
      </c>
      <c r="O1988">
        <v>0.5</v>
      </c>
      <c r="P1988">
        <v>15</v>
      </c>
      <c r="Q1988">
        <v>0</v>
      </c>
      <c r="R1988">
        <v>0</v>
      </c>
      <c r="S1988">
        <v>0</v>
      </c>
      <c r="T1988" t="s">
        <v>33</v>
      </c>
      <c r="U1988">
        <v>3.25</v>
      </c>
      <c r="V1988">
        <v>31</v>
      </c>
      <c r="W1988">
        <v>0</v>
      </c>
      <c r="X1988">
        <v>31</v>
      </c>
      <c r="Y1988">
        <v>1</v>
      </c>
      <c r="Z1988">
        <v>0</v>
      </c>
      <c r="AA1988">
        <v>1</v>
      </c>
      <c r="AB1988" t="s">
        <v>36</v>
      </c>
      <c r="AC1988">
        <v>31</v>
      </c>
      <c r="AD1988">
        <v>1.97</v>
      </c>
    </row>
    <row r="1989" spans="1:30" x14ac:dyDescent="0.25">
      <c r="A1989" s="1">
        <v>44784.660509259258</v>
      </c>
      <c r="B1989" s="1">
        <v>44784.658796296295</v>
      </c>
      <c r="C1989">
        <v>23443</v>
      </c>
      <c r="D1989" t="s">
        <v>50</v>
      </c>
      <c r="E1989" t="s">
        <v>35</v>
      </c>
      <c r="F1989">
        <v>7</v>
      </c>
      <c r="G1989">
        <v>43.556139999999999</v>
      </c>
      <c r="H1989">
        <v>-72.370990000000006</v>
      </c>
      <c r="I1989">
        <v>523</v>
      </c>
      <c r="J1989">
        <v>104</v>
      </c>
      <c r="K1989">
        <v>0</v>
      </c>
      <c r="L1989" s="1">
        <v>44784.660451388889</v>
      </c>
      <c r="M1989">
        <v>2.9</v>
      </c>
      <c r="N1989">
        <v>2.7</v>
      </c>
      <c r="O1989">
        <v>0.2</v>
      </c>
      <c r="P1989">
        <v>7</v>
      </c>
      <c r="Q1989">
        <v>0.1</v>
      </c>
      <c r="R1989">
        <v>0</v>
      </c>
      <c r="S1989">
        <v>0.05</v>
      </c>
      <c r="T1989" t="s">
        <v>33</v>
      </c>
      <c r="U1989">
        <v>2.8</v>
      </c>
      <c r="V1989">
        <v>21</v>
      </c>
      <c r="W1989">
        <v>0</v>
      </c>
      <c r="X1989">
        <v>21</v>
      </c>
      <c r="Y1989">
        <v>1</v>
      </c>
      <c r="Z1989">
        <v>0</v>
      </c>
      <c r="AA1989">
        <v>1</v>
      </c>
      <c r="AB1989" t="s">
        <v>36</v>
      </c>
      <c r="AC1989">
        <v>21</v>
      </c>
      <c r="AD1989">
        <v>2.4</v>
      </c>
    </row>
    <row r="1990" spans="1:30" x14ac:dyDescent="0.25">
      <c r="A1990" s="1">
        <v>44784.660509259258</v>
      </c>
      <c r="B1990" s="1">
        <v>44784.658912037034</v>
      </c>
      <c r="C1990">
        <v>58135</v>
      </c>
      <c r="D1990" t="s">
        <v>51</v>
      </c>
      <c r="E1990" t="s">
        <v>35</v>
      </c>
      <c r="F1990">
        <v>7</v>
      </c>
      <c r="G1990">
        <v>42.883873000000001</v>
      </c>
      <c r="H1990">
        <v>-71.972915999999998</v>
      </c>
      <c r="I1990">
        <v>808</v>
      </c>
      <c r="J1990">
        <v>89</v>
      </c>
      <c r="K1990">
        <v>0</v>
      </c>
      <c r="L1990" s="1">
        <v>44784.660451388889</v>
      </c>
      <c r="M1990">
        <v>4.4000000000000004</v>
      </c>
      <c r="N1990">
        <v>2.8</v>
      </c>
      <c r="O1990">
        <v>1.6</v>
      </c>
      <c r="P1990">
        <v>44</v>
      </c>
      <c r="Q1990">
        <v>0</v>
      </c>
      <c r="R1990">
        <v>0.1</v>
      </c>
      <c r="S1990">
        <v>0.05</v>
      </c>
      <c r="T1990" t="s">
        <v>33</v>
      </c>
      <c r="U1990">
        <v>3.6</v>
      </c>
      <c r="V1990">
        <v>33</v>
      </c>
      <c r="W1990">
        <v>0</v>
      </c>
      <c r="X1990">
        <v>33</v>
      </c>
      <c r="Y1990">
        <v>1</v>
      </c>
      <c r="Z1990">
        <v>0</v>
      </c>
      <c r="AA1990">
        <v>1</v>
      </c>
      <c r="AB1990" t="s">
        <v>36</v>
      </c>
      <c r="AC1990">
        <v>33</v>
      </c>
      <c r="AD1990">
        <v>2.0499999999999998</v>
      </c>
    </row>
    <row r="1991" spans="1:30" x14ac:dyDescent="0.25">
      <c r="A1991" s="1">
        <v>44784.660520833335</v>
      </c>
      <c r="B1991" s="1">
        <v>44784.658912037034</v>
      </c>
      <c r="C1991">
        <v>148555</v>
      </c>
      <c r="D1991" t="s">
        <v>52</v>
      </c>
      <c r="E1991" t="s">
        <v>53</v>
      </c>
      <c r="F1991">
        <v>7</v>
      </c>
      <c r="G1991">
        <v>42.904949999999999</v>
      </c>
      <c r="H1991">
        <v>-71.386764999999997</v>
      </c>
      <c r="I1991">
        <v>363</v>
      </c>
      <c r="J1991">
        <v>0</v>
      </c>
      <c r="K1991">
        <v>0</v>
      </c>
      <c r="L1991" s="1">
        <v>44784.660451388889</v>
      </c>
      <c r="M1991">
        <v>1.5</v>
      </c>
      <c r="N1991">
        <v>1.1000000000000001</v>
      </c>
      <c r="O1991">
        <v>0.4</v>
      </c>
      <c r="P1991">
        <v>31</v>
      </c>
      <c r="Q1991">
        <v>0</v>
      </c>
      <c r="R1991">
        <v>0</v>
      </c>
      <c r="S1991">
        <v>0</v>
      </c>
      <c r="T1991" t="s">
        <v>33</v>
      </c>
      <c r="U1991">
        <v>1.3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 t="s">
        <v>38</v>
      </c>
    </row>
    <row r="1992" spans="1:30" x14ac:dyDescent="0.25">
      <c r="A1992" s="1">
        <v>44784.660520833335</v>
      </c>
      <c r="B1992" s="1">
        <v>44784.659791666665</v>
      </c>
      <c r="C1992">
        <v>146644</v>
      </c>
      <c r="D1992" t="s">
        <v>54</v>
      </c>
      <c r="E1992" t="s">
        <v>53</v>
      </c>
      <c r="F1992">
        <v>7</v>
      </c>
      <c r="G1992">
        <v>43.06015</v>
      </c>
      <c r="H1992">
        <v>-70.758930000000007</v>
      </c>
      <c r="I1992">
        <v>35</v>
      </c>
      <c r="J1992">
        <v>78</v>
      </c>
      <c r="K1992">
        <v>80</v>
      </c>
      <c r="L1992" s="1">
        <v>44784.660451388889</v>
      </c>
      <c r="M1992">
        <v>15.7</v>
      </c>
      <c r="N1992">
        <v>15.1</v>
      </c>
      <c r="O1992">
        <v>0.6</v>
      </c>
      <c r="P1992">
        <v>4</v>
      </c>
      <c r="Q1992">
        <v>0.2</v>
      </c>
      <c r="R1992">
        <v>0.1</v>
      </c>
      <c r="S1992">
        <v>0.15</v>
      </c>
      <c r="T1992" t="s">
        <v>33</v>
      </c>
      <c r="U1992">
        <v>15.4</v>
      </c>
      <c r="V1992">
        <v>54</v>
      </c>
      <c r="W1992">
        <v>59</v>
      </c>
      <c r="X1992">
        <v>5</v>
      </c>
      <c r="Y1992">
        <v>1</v>
      </c>
      <c r="Z1992">
        <v>1</v>
      </c>
      <c r="AA1992">
        <v>0</v>
      </c>
      <c r="AB1992" t="s">
        <v>33</v>
      </c>
      <c r="AC1992">
        <v>56.5</v>
      </c>
      <c r="AD1992">
        <v>7.6</v>
      </c>
    </row>
    <row r="1993" spans="1:30" x14ac:dyDescent="0.25">
      <c r="A1993" s="1">
        <v>44784.660532407404</v>
      </c>
      <c r="B1993" s="1">
        <v>43755.283437500002</v>
      </c>
      <c r="C1993">
        <v>12188</v>
      </c>
      <c r="D1993" t="s">
        <v>55</v>
      </c>
      <c r="E1993" t="s">
        <v>35</v>
      </c>
      <c r="F1993">
        <v>4.1100000000000003</v>
      </c>
      <c r="G1993">
        <v>42.927050000000001</v>
      </c>
      <c r="H1993">
        <v>-72.279610000000005</v>
      </c>
      <c r="I1993">
        <v>475</v>
      </c>
      <c r="J1993">
        <v>95</v>
      </c>
      <c r="K1993">
        <v>0</v>
      </c>
      <c r="L1993" s="1">
        <v>44784.660451388889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 t="s">
        <v>32</v>
      </c>
      <c r="V1993">
        <v>77</v>
      </c>
      <c r="W1993">
        <v>0</v>
      </c>
      <c r="X1993">
        <v>77</v>
      </c>
      <c r="Y1993">
        <v>0</v>
      </c>
      <c r="Z1993">
        <v>0</v>
      </c>
      <c r="AA1993">
        <v>0</v>
      </c>
      <c r="AB1993" t="s">
        <v>36</v>
      </c>
      <c r="AC1993">
        <v>77</v>
      </c>
    </row>
    <row r="1994" spans="1:30" x14ac:dyDescent="0.25">
      <c r="A1994" s="1">
        <v>44784.660532407404</v>
      </c>
      <c r="B1994" s="1">
        <v>44784.658784722225</v>
      </c>
      <c r="C1994">
        <v>1224</v>
      </c>
      <c r="D1994" t="s">
        <v>56</v>
      </c>
      <c r="E1994" t="s">
        <v>35</v>
      </c>
      <c r="F1994" t="s">
        <v>57</v>
      </c>
      <c r="G1994">
        <v>42.938034000000002</v>
      </c>
      <c r="H1994">
        <v>-72.259299999999996</v>
      </c>
      <c r="I1994">
        <v>792</v>
      </c>
      <c r="J1994">
        <v>93</v>
      </c>
      <c r="K1994">
        <v>0</v>
      </c>
      <c r="L1994" s="1">
        <v>44784.660451388889</v>
      </c>
      <c r="M1994">
        <v>5.2</v>
      </c>
      <c r="N1994">
        <v>0.1</v>
      </c>
      <c r="O1994">
        <v>5.0999999999999996</v>
      </c>
      <c r="P1994">
        <v>192</v>
      </c>
      <c r="Q1994">
        <v>0.1</v>
      </c>
      <c r="R1994">
        <v>0</v>
      </c>
      <c r="S1994">
        <v>0.05</v>
      </c>
      <c r="T1994" t="s">
        <v>33</v>
      </c>
      <c r="U1994">
        <v>2.65</v>
      </c>
      <c r="V1994">
        <v>36</v>
      </c>
      <c r="W1994">
        <v>0</v>
      </c>
      <c r="X1994">
        <v>36</v>
      </c>
      <c r="Y1994">
        <v>2</v>
      </c>
      <c r="Z1994">
        <v>0</v>
      </c>
      <c r="AA1994">
        <v>2</v>
      </c>
      <c r="AB1994" t="s">
        <v>36</v>
      </c>
      <c r="AC1994">
        <v>36</v>
      </c>
      <c r="AD1994">
        <v>1.26</v>
      </c>
    </row>
    <row r="1995" spans="1:30" x14ac:dyDescent="0.25">
      <c r="A1995" s="1">
        <v>44784.660532407404</v>
      </c>
      <c r="B1995" s="1">
        <v>44784.659618055557</v>
      </c>
      <c r="C1995">
        <v>1202</v>
      </c>
      <c r="D1995" t="s">
        <v>58</v>
      </c>
      <c r="E1995" t="s">
        <v>35</v>
      </c>
      <c r="F1995" t="s">
        <v>57</v>
      </c>
      <c r="G1995">
        <v>42.936554000000001</v>
      </c>
      <c r="H1995">
        <v>-72.271019999999993</v>
      </c>
      <c r="I1995">
        <v>488</v>
      </c>
      <c r="J1995">
        <v>0</v>
      </c>
      <c r="K1995">
        <v>0</v>
      </c>
      <c r="L1995" s="1">
        <v>44784.660451388889</v>
      </c>
      <c r="M1995">
        <v>5.5</v>
      </c>
      <c r="N1995">
        <v>4.9000000000000004</v>
      </c>
      <c r="O1995">
        <v>0.6</v>
      </c>
      <c r="P1995">
        <v>12</v>
      </c>
      <c r="Q1995">
        <v>0</v>
      </c>
      <c r="R1995">
        <v>0</v>
      </c>
      <c r="S1995">
        <v>0</v>
      </c>
      <c r="T1995" t="s">
        <v>33</v>
      </c>
      <c r="U1995">
        <v>5.2</v>
      </c>
      <c r="V1995">
        <v>0</v>
      </c>
      <c r="W1995">
        <v>0</v>
      </c>
      <c r="X1995">
        <v>0</v>
      </c>
      <c r="Y1995">
        <v>0</v>
      </c>
      <c r="Z1995">
        <v>0</v>
      </c>
      <c r="AA1995">
        <v>0</v>
      </c>
      <c r="AB1995" t="s">
        <v>38</v>
      </c>
    </row>
    <row r="1996" spans="1:30" x14ac:dyDescent="0.25">
      <c r="A1996" s="1">
        <v>44784.660543981481</v>
      </c>
      <c r="B1996" s="1">
        <v>44612.080023148148</v>
      </c>
      <c r="C1996">
        <v>25985</v>
      </c>
      <c r="D1996" t="s">
        <v>59</v>
      </c>
      <c r="E1996" t="s">
        <v>35</v>
      </c>
      <c r="F1996">
        <v>6.01</v>
      </c>
      <c r="G1996">
        <v>42.927326000000001</v>
      </c>
      <c r="H1996">
        <v>-72.279979999999995</v>
      </c>
      <c r="I1996">
        <v>477</v>
      </c>
      <c r="J1996">
        <v>78</v>
      </c>
      <c r="K1996">
        <v>0</v>
      </c>
      <c r="L1996" s="1">
        <v>44784.660451388889</v>
      </c>
      <c r="M1996">
        <v>1.1000000000000001</v>
      </c>
      <c r="N1996">
        <v>1</v>
      </c>
      <c r="O1996">
        <v>0.1</v>
      </c>
      <c r="P1996">
        <v>10</v>
      </c>
      <c r="Q1996">
        <v>0</v>
      </c>
      <c r="R1996">
        <v>0</v>
      </c>
      <c r="S1996">
        <v>0</v>
      </c>
      <c r="T1996" t="s">
        <v>32</v>
      </c>
      <c r="V1996">
        <v>22</v>
      </c>
      <c r="W1996">
        <v>0</v>
      </c>
      <c r="X1996">
        <v>22</v>
      </c>
      <c r="Y1996">
        <v>0</v>
      </c>
      <c r="Z1996">
        <v>0</v>
      </c>
      <c r="AA1996">
        <v>0</v>
      </c>
      <c r="AB1996" t="s">
        <v>36</v>
      </c>
      <c r="AC1996">
        <v>22</v>
      </c>
    </row>
    <row r="1997" spans="1:30" x14ac:dyDescent="0.25">
      <c r="A1997" s="1">
        <v>44784.667395833334</v>
      </c>
      <c r="B1997" s="1">
        <v>44775.701319444444</v>
      </c>
      <c r="C1997">
        <v>151708</v>
      </c>
      <c r="D1997" t="s">
        <v>30</v>
      </c>
      <c r="E1997" t="s">
        <v>31</v>
      </c>
      <c r="F1997">
        <v>7</v>
      </c>
      <c r="G1997">
        <v>43.192042999999998</v>
      </c>
      <c r="H1997">
        <v>-71.541579999999996</v>
      </c>
      <c r="I1997">
        <v>291</v>
      </c>
      <c r="J1997">
        <v>93</v>
      </c>
      <c r="K1997">
        <v>94</v>
      </c>
      <c r="L1997" s="1">
        <v>44784.667395833334</v>
      </c>
      <c r="M1997">
        <v>7.9</v>
      </c>
      <c r="N1997">
        <v>7.6</v>
      </c>
      <c r="O1997">
        <v>0.3</v>
      </c>
      <c r="P1997">
        <v>4</v>
      </c>
      <c r="Q1997">
        <v>0</v>
      </c>
      <c r="R1997">
        <v>0</v>
      </c>
      <c r="S1997">
        <v>0</v>
      </c>
      <c r="T1997" t="s">
        <v>32</v>
      </c>
      <c r="V1997">
        <v>42</v>
      </c>
      <c r="W1997">
        <v>41</v>
      </c>
      <c r="X1997">
        <v>1</v>
      </c>
      <c r="Y1997">
        <v>0</v>
      </c>
      <c r="Z1997">
        <v>0</v>
      </c>
      <c r="AA1997">
        <v>0</v>
      </c>
      <c r="AB1997" t="s">
        <v>33</v>
      </c>
      <c r="AC1997">
        <v>41.5</v>
      </c>
    </row>
    <row r="1998" spans="1:30" x14ac:dyDescent="0.25">
      <c r="A1998" s="1">
        <v>44784.667407407411</v>
      </c>
      <c r="B1998" s="1">
        <v>44784.667164351849</v>
      </c>
      <c r="C1998">
        <v>143456</v>
      </c>
      <c r="D1998" t="s">
        <v>34</v>
      </c>
      <c r="E1998" t="s">
        <v>35</v>
      </c>
      <c r="F1998">
        <v>7</v>
      </c>
      <c r="G1998">
        <v>43.08963</v>
      </c>
      <c r="H1998">
        <v>-71.502440000000007</v>
      </c>
      <c r="I1998">
        <v>619</v>
      </c>
      <c r="J1998">
        <v>85</v>
      </c>
      <c r="K1998">
        <v>0</v>
      </c>
      <c r="L1998" s="1">
        <v>44784.667395833334</v>
      </c>
      <c r="M1998">
        <v>3</v>
      </c>
      <c r="N1998">
        <v>3.5</v>
      </c>
      <c r="O1998">
        <v>0.5</v>
      </c>
      <c r="P1998">
        <v>15</v>
      </c>
      <c r="Q1998">
        <v>0.2</v>
      </c>
      <c r="R1998">
        <v>0</v>
      </c>
      <c r="S1998">
        <v>0.1</v>
      </c>
      <c r="T1998" t="s">
        <v>33</v>
      </c>
      <c r="U1998">
        <v>3.25</v>
      </c>
      <c r="V1998">
        <v>47</v>
      </c>
      <c r="W1998">
        <v>0</v>
      </c>
      <c r="X1998">
        <v>47</v>
      </c>
      <c r="Y1998">
        <v>2</v>
      </c>
      <c r="Z1998">
        <v>0</v>
      </c>
      <c r="AA1998">
        <v>2</v>
      </c>
      <c r="AB1998" t="s">
        <v>36</v>
      </c>
      <c r="AC1998">
        <v>47</v>
      </c>
      <c r="AD1998">
        <v>0.85</v>
      </c>
    </row>
    <row r="1999" spans="1:30" x14ac:dyDescent="0.25">
      <c r="A1999" s="1">
        <v>44784.667407407411</v>
      </c>
      <c r="B1999" s="1">
        <v>44784.667314814818</v>
      </c>
      <c r="C1999">
        <v>151702</v>
      </c>
      <c r="D1999" t="s">
        <v>37</v>
      </c>
      <c r="E1999" t="s">
        <v>31</v>
      </c>
      <c r="F1999">
        <v>7</v>
      </c>
      <c r="G1999">
        <v>43.118609999999997</v>
      </c>
      <c r="H1999">
        <v>-71.61618</v>
      </c>
      <c r="I1999">
        <v>885</v>
      </c>
      <c r="J1999">
        <v>0</v>
      </c>
      <c r="K1999">
        <v>0</v>
      </c>
      <c r="L1999" s="1">
        <v>44784.667395833334</v>
      </c>
      <c r="M1999">
        <v>2.4</v>
      </c>
      <c r="N1999">
        <v>2.2000000000000002</v>
      </c>
      <c r="O1999">
        <v>0.2</v>
      </c>
      <c r="P1999">
        <v>9</v>
      </c>
      <c r="Q1999">
        <v>0</v>
      </c>
      <c r="R1999">
        <v>0</v>
      </c>
      <c r="S1999">
        <v>0</v>
      </c>
      <c r="T1999" t="s">
        <v>33</v>
      </c>
      <c r="U1999">
        <v>2.2999999999999998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 t="s">
        <v>38</v>
      </c>
    </row>
    <row r="2000" spans="1:30" x14ac:dyDescent="0.25">
      <c r="A2000" s="1">
        <v>44784.667407407411</v>
      </c>
      <c r="B2000" s="1">
        <v>44784.665821759256</v>
      </c>
      <c r="C2000">
        <v>151700</v>
      </c>
      <c r="D2000" t="s">
        <v>30</v>
      </c>
      <c r="E2000" t="s">
        <v>31</v>
      </c>
      <c r="F2000">
        <v>7</v>
      </c>
      <c r="G2000">
        <v>43.19211</v>
      </c>
      <c r="H2000">
        <v>-71.541460000000001</v>
      </c>
      <c r="I2000">
        <v>286</v>
      </c>
      <c r="J2000">
        <v>85</v>
      </c>
      <c r="K2000">
        <v>0</v>
      </c>
      <c r="L2000" s="1">
        <v>44784.667395833334</v>
      </c>
      <c r="M2000">
        <v>2.7</v>
      </c>
      <c r="N2000">
        <v>3.1</v>
      </c>
      <c r="O2000">
        <v>0.4</v>
      </c>
      <c r="P2000">
        <v>14</v>
      </c>
      <c r="Q2000">
        <v>0</v>
      </c>
      <c r="R2000">
        <v>0</v>
      </c>
      <c r="S2000">
        <v>0</v>
      </c>
      <c r="T2000" t="s">
        <v>33</v>
      </c>
      <c r="U2000">
        <v>2.9</v>
      </c>
      <c r="V2000">
        <v>42</v>
      </c>
      <c r="W2000">
        <v>0</v>
      </c>
      <c r="X2000">
        <v>42</v>
      </c>
      <c r="Y2000">
        <v>0</v>
      </c>
      <c r="Z2000">
        <v>0</v>
      </c>
      <c r="AA2000">
        <v>0</v>
      </c>
      <c r="AB2000" t="s">
        <v>36</v>
      </c>
      <c r="AC2000">
        <v>42</v>
      </c>
      <c r="AD2000">
        <v>0.99</v>
      </c>
    </row>
    <row r="2001" spans="1:30" x14ac:dyDescent="0.25">
      <c r="A2001" s="1">
        <v>44784.66741898148</v>
      </c>
      <c r="B2001" s="1">
        <v>44784.666250000002</v>
      </c>
      <c r="C2001">
        <v>135984</v>
      </c>
      <c r="D2001" t="s">
        <v>39</v>
      </c>
      <c r="E2001" t="s">
        <v>31</v>
      </c>
      <c r="F2001">
        <v>7</v>
      </c>
      <c r="G2001">
        <v>43.565852999999997</v>
      </c>
      <c r="H2001">
        <v>-71.496129999999994</v>
      </c>
      <c r="I2001">
        <v>708</v>
      </c>
      <c r="J2001">
        <v>87</v>
      </c>
      <c r="K2001">
        <v>0</v>
      </c>
      <c r="L2001" s="1">
        <v>44784.667395833334</v>
      </c>
      <c r="M2001">
        <v>3.4</v>
      </c>
      <c r="N2001">
        <v>3</v>
      </c>
      <c r="O2001">
        <v>0.4</v>
      </c>
      <c r="P2001">
        <v>12</v>
      </c>
      <c r="Q2001">
        <v>0</v>
      </c>
      <c r="R2001">
        <v>0.1</v>
      </c>
      <c r="S2001">
        <v>0.05</v>
      </c>
      <c r="T2001" t="s">
        <v>33</v>
      </c>
      <c r="U2001">
        <v>3.2</v>
      </c>
      <c r="V2001">
        <v>48</v>
      </c>
      <c r="W2001">
        <v>0</v>
      </c>
      <c r="X2001">
        <v>48</v>
      </c>
      <c r="Y2001">
        <v>0</v>
      </c>
      <c r="Z2001">
        <v>0</v>
      </c>
      <c r="AA2001">
        <v>0</v>
      </c>
      <c r="AB2001" t="s">
        <v>36</v>
      </c>
      <c r="AC2001">
        <v>48</v>
      </c>
      <c r="AD2001">
        <v>0.75</v>
      </c>
    </row>
    <row r="2002" spans="1:30" x14ac:dyDescent="0.25">
      <c r="A2002" s="1">
        <v>44784.66741898148</v>
      </c>
      <c r="B2002" s="1">
        <v>44780.394780092596</v>
      </c>
      <c r="C2002">
        <v>151712</v>
      </c>
      <c r="D2002" t="s">
        <v>40</v>
      </c>
      <c r="E2002" t="s">
        <v>31</v>
      </c>
      <c r="F2002">
        <v>7</v>
      </c>
      <c r="G2002">
        <v>43.289763999999998</v>
      </c>
      <c r="H2002">
        <v>-71.564260000000004</v>
      </c>
      <c r="I2002">
        <v>370</v>
      </c>
      <c r="J2002">
        <v>86</v>
      </c>
      <c r="K2002">
        <v>0</v>
      </c>
      <c r="L2002" s="1">
        <v>44784.667395833334</v>
      </c>
      <c r="M2002">
        <v>14</v>
      </c>
      <c r="N2002">
        <v>13.2</v>
      </c>
      <c r="O2002">
        <v>0.8</v>
      </c>
      <c r="P2002">
        <v>6</v>
      </c>
      <c r="Q2002">
        <v>0</v>
      </c>
      <c r="R2002">
        <v>0</v>
      </c>
      <c r="S2002">
        <v>0</v>
      </c>
      <c r="T2002" t="s">
        <v>32</v>
      </c>
      <c r="V2002">
        <v>59</v>
      </c>
      <c r="W2002">
        <v>0</v>
      </c>
      <c r="X2002">
        <v>59</v>
      </c>
      <c r="Y2002">
        <v>0</v>
      </c>
      <c r="Z2002">
        <v>0</v>
      </c>
      <c r="AA2002">
        <v>0</v>
      </c>
      <c r="AB2002" t="s">
        <v>36</v>
      </c>
      <c r="AC2002">
        <v>59</v>
      </c>
    </row>
    <row r="2003" spans="1:30" x14ac:dyDescent="0.25">
      <c r="A2003" s="1">
        <v>44784.667430555557</v>
      </c>
      <c r="B2003" s="1">
        <v>44784.666967592595</v>
      </c>
      <c r="C2003">
        <v>151710</v>
      </c>
      <c r="D2003" t="s">
        <v>41</v>
      </c>
      <c r="E2003" t="s">
        <v>31</v>
      </c>
      <c r="F2003">
        <v>7</v>
      </c>
      <c r="G2003">
        <v>43.132477000000002</v>
      </c>
      <c r="H2003">
        <v>-71.458374000000006</v>
      </c>
      <c r="I2003">
        <v>230</v>
      </c>
      <c r="J2003">
        <v>92</v>
      </c>
      <c r="K2003">
        <v>0</v>
      </c>
      <c r="L2003" s="1">
        <v>44784.667395833334</v>
      </c>
      <c r="M2003">
        <v>5.7</v>
      </c>
      <c r="N2003">
        <v>4</v>
      </c>
      <c r="O2003">
        <v>1.7</v>
      </c>
      <c r="P2003">
        <v>35</v>
      </c>
      <c r="Q2003">
        <v>0.2</v>
      </c>
      <c r="R2003">
        <v>0.1</v>
      </c>
      <c r="S2003">
        <v>0.15</v>
      </c>
      <c r="T2003" t="s">
        <v>33</v>
      </c>
      <c r="U2003">
        <v>4.8499999999999996</v>
      </c>
      <c r="V2003">
        <v>32</v>
      </c>
      <c r="W2003">
        <v>0</v>
      </c>
      <c r="X2003">
        <v>32</v>
      </c>
      <c r="Y2003">
        <v>0</v>
      </c>
      <c r="Z2003">
        <v>0</v>
      </c>
      <c r="AA2003">
        <v>0</v>
      </c>
      <c r="AB2003" t="s">
        <v>36</v>
      </c>
      <c r="AC2003">
        <v>32</v>
      </c>
      <c r="AD2003">
        <v>2.88</v>
      </c>
    </row>
    <row r="2004" spans="1:30" x14ac:dyDescent="0.25">
      <c r="A2004" s="1">
        <v>44784.667430555557</v>
      </c>
      <c r="B2004" s="1">
        <v>44784.666608796295</v>
      </c>
      <c r="C2004">
        <v>151706</v>
      </c>
      <c r="D2004" t="s">
        <v>42</v>
      </c>
      <c r="E2004" t="s">
        <v>31</v>
      </c>
      <c r="F2004">
        <v>7</v>
      </c>
      <c r="G2004">
        <v>43.004080000000002</v>
      </c>
      <c r="H2004">
        <v>-71.177040000000005</v>
      </c>
      <c r="I2004">
        <v>194</v>
      </c>
      <c r="J2004">
        <v>89</v>
      </c>
      <c r="K2004">
        <v>0</v>
      </c>
      <c r="L2004" s="1">
        <v>44784.667395833334</v>
      </c>
      <c r="M2004">
        <v>2.9</v>
      </c>
      <c r="N2004">
        <v>0</v>
      </c>
      <c r="O2004">
        <v>2.9</v>
      </c>
      <c r="P2004">
        <v>200</v>
      </c>
      <c r="Q2004">
        <v>0</v>
      </c>
      <c r="R2004">
        <v>0</v>
      </c>
      <c r="S2004">
        <v>0</v>
      </c>
      <c r="T2004" t="s">
        <v>43</v>
      </c>
      <c r="V2004">
        <v>38</v>
      </c>
      <c r="W2004">
        <v>0</v>
      </c>
      <c r="X2004">
        <v>38</v>
      </c>
      <c r="Y2004">
        <v>1</v>
      </c>
      <c r="Z2004">
        <v>0</v>
      </c>
      <c r="AA2004">
        <v>1</v>
      </c>
      <c r="AB2004" t="s">
        <v>36</v>
      </c>
      <c r="AC2004">
        <v>38</v>
      </c>
    </row>
    <row r="2005" spans="1:30" x14ac:dyDescent="0.25">
      <c r="A2005" s="1">
        <v>44784.667430555557</v>
      </c>
      <c r="B2005" s="1">
        <v>44784.666388888887</v>
      </c>
      <c r="C2005">
        <v>12212</v>
      </c>
      <c r="D2005" t="s">
        <v>44</v>
      </c>
      <c r="E2005" t="s">
        <v>35</v>
      </c>
      <c r="F2005">
        <v>7</v>
      </c>
      <c r="G2005">
        <v>42.930529999999997</v>
      </c>
      <c r="H2005">
        <v>-72.272350000000003</v>
      </c>
      <c r="I2005">
        <v>476</v>
      </c>
      <c r="J2005">
        <v>93</v>
      </c>
      <c r="K2005">
        <v>0</v>
      </c>
      <c r="L2005" s="1">
        <v>44784.667395833334</v>
      </c>
      <c r="M2005">
        <v>5.3</v>
      </c>
      <c r="N2005">
        <v>4.5999999999999996</v>
      </c>
      <c r="O2005">
        <v>0.7</v>
      </c>
      <c r="P2005">
        <v>14</v>
      </c>
      <c r="Q2005">
        <v>0.1</v>
      </c>
      <c r="R2005">
        <v>0.1</v>
      </c>
      <c r="S2005">
        <v>0.1</v>
      </c>
      <c r="T2005" t="s">
        <v>33</v>
      </c>
      <c r="U2005">
        <v>4.95</v>
      </c>
      <c r="V2005">
        <v>31</v>
      </c>
      <c r="W2005">
        <v>0</v>
      </c>
      <c r="X2005">
        <v>31</v>
      </c>
      <c r="Y2005">
        <v>1</v>
      </c>
      <c r="Z2005">
        <v>0</v>
      </c>
      <c r="AA2005">
        <v>1</v>
      </c>
      <c r="AB2005" t="s">
        <v>36</v>
      </c>
      <c r="AC2005">
        <v>31</v>
      </c>
      <c r="AD2005">
        <v>3.01</v>
      </c>
    </row>
    <row r="2006" spans="1:30" x14ac:dyDescent="0.25">
      <c r="A2006" s="1">
        <v>44784.667442129627</v>
      </c>
      <c r="B2006" s="1">
        <v>44769.376736111109</v>
      </c>
      <c r="C2006">
        <v>12178</v>
      </c>
      <c r="D2006" t="s">
        <v>45</v>
      </c>
      <c r="E2006" t="s">
        <v>35</v>
      </c>
      <c r="F2006">
        <v>7</v>
      </c>
      <c r="G2006">
        <v>42.899563000000001</v>
      </c>
      <c r="H2006">
        <v>-71.464650000000006</v>
      </c>
      <c r="I2006">
        <v>301</v>
      </c>
      <c r="J2006">
        <v>85</v>
      </c>
      <c r="K2006">
        <v>0</v>
      </c>
      <c r="L2006" s="1">
        <v>44784.667395833334</v>
      </c>
      <c r="M2006">
        <v>3.8</v>
      </c>
      <c r="N2006">
        <v>3.1</v>
      </c>
      <c r="O2006">
        <v>0.7</v>
      </c>
      <c r="P2006">
        <v>20</v>
      </c>
      <c r="Q2006">
        <v>0</v>
      </c>
      <c r="R2006">
        <v>0</v>
      </c>
      <c r="S2006">
        <v>0</v>
      </c>
      <c r="T2006" t="s">
        <v>32</v>
      </c>
      <c r="V2006">
        <v>35</v>
      </c>
      <c r="W2006">
        <v>0</v>
      </c>
      <c r="X2006">
        <v>35</v>
      </c>
      <c r="Y2006">
        <v>0</v>
      </c>
      <c r="Z2006">
        <v>0</v>
      </c>
      <c r="AA2006">
        <v>0</v>
      </c>
      <c r="AB2006" t="s">
        <v>36</v>
      </c>
      <c r="AC2006">
        <v>35</v>
      </c>
    </row>
    <row r="2007" spans="1:30" x14ac:dyDescent="0.25">
      <c r="A2007" s="1">
        <v>44784.667442129627</v>
      </c>
      <c r="B2007" s="1">
        <v>44784.665671296294</v>
      </c>
      <c r="C2007">
        <v>75981</v>
      </c>
      <c r="D2007" t="s">
        <v>46</v>
      </c>
      <c r="E2007" t="s">
        <v>35</v>
      </c>
      <c r="F2007">
        <v>7</v>
      </c>
      <c r="G2007">
        <v>42.97</v>
      </c>
      <c r="H2007">
        <v>-71.06</v>
      </c>
      <c r="I2007">
        <v>136</v>
      </c>
      <c r="J2007">
        <v>89</v>
      </c>
      <c r="K2007">
        <v>0</v>
      </c>
      <c r="L2007" s="1">
        <v>44784.667395833334</v>
      </c>
      <c r="M2007">
        <v>11.7</v>
      </c>
      <c r="N2007">
        <v>11.1</v>
      </c>
      <c r="O2007">
        <v>0.6</v>
      </c>
      <c r="P2007">
        <v>5</v>
      </c>
      <c r="Q2007">
        <v>0.5</v>
      </c>
      <c r="R2007">
        <v>0.5</v>
      </c>
      <c r="S2007">
        <v>0.5</v>
      </c>
      <c r="T2007" t="s">
        <v>33</v>
      </c>
      <c r="U2007">
        <v>11.4</v>
      </c>
      <c r="V2007">
        <v>45</v>
      </c>
      <c r="W2007">
        <v>0</v>
      </c>
      <c r="X2007">
        <v>45</v>
      </c>
      <c r="Y2007">
        <v>0</v>
      </c>
      <c r="Z2007">
        <v>0</v>
      </c>
      <c r="AA2007">
        <v>0</v>
      </c>
      <c r="AB2007" t="s">
        <v>36</v>
      </c>
      <c r="AC2007">
        <v>45</v>
      </c>
      <c r="AD2007">
        <v>5.96</v>
      </c>
    </row>
    <row r="2008" spans="1:30" x14ac:dyDescent="0.25">
      <c r="A2008" s="1">
        <v>44784.667453703703</v>
      </c>
      <c r="B2008" s="1">
        <v>44784.666215277779</v>
      </c>
      <c r="C2008">
        <v>115703</v>
      </c>
      <c r="D2008" t="s">
        <v>47</v>
      </c>
      <c r="E2008" t="s">
        <v>35</v>
      </c>
      <c r="F2008">
        <v>7</v>
      </c>
      <c r="G2008">
        <v>43.953625000000002</v>
      </c>
      <c r="H2008">
        <v>-71.508859999999999</v>
      </c>
      <c r="I2008">
        <v>1493</v>
      </c>
      <c r="J2008">
        <v>92</v>
      </c>
      <c r="K2008">
        <v>0</v>
      </c>
      <c r="L2008" s="1">
        <v>44784.667395833334</v>
      </c>
      <c r="M2008">
        <v>0</v>
      </c>
      <c r="N2008">
        <v>4.8</v>
      </c>
      <c r="O2008">
        <v>4.8</v>
      </c>
      <c r="P2008">
        <v>200</v>
      </c>
      <c r="Q2008">
        <v>0</v>
      </c>
      <c r="R2008">
        <v>3.4</v>
      </c>
      <c r="S2008">
        <v>1.7</v>
      </c>
      <c r="T2008" t="s">
        <v>48</v>
      </c>
      <c r="V2008">
        <v>29</v>
      </c>
      <c r="W2008">
        <v>0</v>
      </c>
      <c r="X2008">
        <v>29</v>
      </c>
      <c r="Y2008">
        <v>1</v>
      </c>
      <c r="Z2008">
        <v>0</v>
      </c>
      <c r="AA2008">
        <v>1</v>
      </c>
      <c r="AB2008" t="s">
        <v>36</v>
      </c>
      <c r="AC2008">
        <v>29</v>
      </c>
    </row>
    <row r="2009" spans="1:30" x14ac:dyDescent="0.25">
      <c r="A2009" s="1">
        <v>44784.667453703703</v>
      </c>
      <c r="B2009" s="1">
        <v>44784.665636574071</v>
      </c>
      <c r="C2009">
        <v>12050</v>
      </c>
      <c r="D2009" t="s">
        <v>49</v>
      </c>
      <c r="E2009" t="s">
        <v>35</v>
      </c>
      <c r="F2009">
        <v>7</v>
      </c>
      <c r="G2009">
        <v>44.220573000000002</v>
      </c>
      <c r="H2009">
        <v>-71.732315</v>
      </c>
      <c r="I2009">
        <v>999</v>
      </c>
      <c r="J2009">
        <v>93</v>
      </c>
      <c r="K2009">
        <v>0</v>
      </c>
      <c r="L2009" s="1">
        <v>44784.667395833334</v>
      </c>
      <c r="M2009">
        <v>3.5</v>
      </c>
      <c r="N2009">
        <v>3.2</v>
      </c>
      <c r="O2009">
        <v>0.3</v>
      </c>
      <c r="P2009">
        <v>9</v>
      </c>
      <c r="Q2009">
        <v>0</v>
      </c>
      <c r="R2009">
        <v>0.2</v>
      </c>
      <c r="S2009">
        <v>0.1</v>
      </c>
      <c r="T2009" t="s">
        <v>33</v>
      </c>
      <c r="U2009">
        <v>3.35</v>
      </c>
      <c r="V2009">
        <v>28</v>
      </c>
      <c r="W2009">
        <v>0</v>
      </c>
      <c r="X2009">
        <v>28</v>
      </c>
      <c r="Y2009">
        <v>3</v>
      </c>
      <c r="Z2009">
        <v>0</v>
      </c>
      <c r="AA2009">
        <v>3</v>
      </c>
      <c r="AB2009" t="s">
        <v>36</v>
      </c>
      <c r="AC2009">
        <v>28</v>
      </c>
      <c r="AD2009">
        <v>2.2400000000000002</v>
      </c>
    </row>
    <row r="2010" spans="1:30" x14ac:dyDescent="0.25">
      <c r="A2010" s="1">
        <v>44784.667453703703</v>
      </c>
      <c r="B2010" s="1">
        <v>44784.667129629626</v>
      </c>
      <c r="C2010">
        <v>23443</v>
      </c>
      <c r="D2010" t="s">
        <v>50</v>
      </c>
      <c r="E2010" t="s">
        <v>35</v>
      </c>
      <c r="F2010">
        <v>7</v>
      </c>
      <c r="G2010">
        <v>43.556139999999999</v>
      </c>
      <c r="H2010">
        <v>-72.370990000000006</v>
      </c>
      <c r="I2010">
        <v>523</v>
      </c>
      <c r="J2010">
        <v>105</v>
      </c>
      <c r="K2010">
        <v>0</v>
      </c>
      <c r="L2010" s="1">
        <v>44784.667395833334</v>
      </c>
      <c r="M2010">
        <v>2.9</v>
      </c>
      <c r="N2010">
        <v>2.7</v>
      </c>
      <c r="O2010">
        <v>0.2</v>
      </c>
      <c r="P2010">
        <v>7</v>
      </c>
      <c r="Q2010">
        <v>0</v>
      </c>
      <c r="R2010">
        <v>0</v>
      </c>
      <c r="S2010">
        <v>0</v>
      </c>
      <c r="T2010" t="s">
        <v>33</v>
      </c>
      <c r="U2010">
        <v>2.8</v>
      </c>
      <c r="V2010">
        <v>20</v>
      </c>
      <c r="W2010">
        <v>0</v>
      </c>
      <c r="X2010">
        <v>20</v>
      </c>
      <c r="Y2010">
        <v>1</v>
      </c>
      <c r="Z2010">
        <v>0</v>
      </c>
      <c r="AA2010">
        <v>1</v>
      </c>
      <c r="AB2010" t="s">
        <v>36</v>
      </c>
      <c r="AC2010">
        <v>20</v>
      </c>
      <c r="AD2010">
        <v>2.4700000000000002</v>
      </c>
    </row>
    <row r="2011" spans="1:30" x14ac:dyDescent="0.25">
      <c r="A2011" s="1">
        <v>44784.66746527778</v>
      </c>
      <c r="B2011" s="1">
        <v>44784.665856481479</v>
      </c>
      <c r="C2011">
        <v>58135</v>
      </c>
      <c r="D2011" t="s">
        <v>51</v>
      </c>
      <c r="E2011" t="s">
        <v>35</v>
      </c>
      <c r="F2011">
        <v>7</v>
      </c>
      <c r="G2011">
        <v>42.883873000000001</v>
      </c>
      <c r="H2011">
        <v>-71.972915999999998</v>
      </c>
      <c r="I2011">
        <v>808</v>
      </c>
      <c r="J2011">
        <v>88</v>
      </c>
      <c r="K2011">
        <v>0</v>
      </c>
      <c r="L2011" s="1">
        <v>44784.667395833334</v>
      </c>
      <c r="M2011">
        <v>4.5999999999999996</v>
      </c>
      <c r="N2011">
        <v>2.9</v>
      </c>
      <c r="O2011">
        <v>1.7</v>
      </c>
      <c r="P2011">
        <v>45</v>
      </c>
      <c r="Q2011">
        <v>0.2</v>
      </c>
      <c r="R2011">
        <v>0.1</v>
      </c>
      <c r="S2011">
        <v>0.15</v>
      </c>
      <c r="T2011" t="s">
        <v>33</v>
      </c>
      <c r="U2011">
        <v>3.75</v>
      </c>
      <c r="V2011">
        <v>33</v>
      </c>
      <c r="W2011">
        <v>0</v>
      </c>
      <c r="X2011">
        <v>33</v>
      </c>
      <c r="Y2011">
        <v>0</v>
      </c>
      <c r="Z2011">
        <v>0</v>
      </c>
      <c r="AA2011">
        <v>0</v>
      </c>
      <c r="AB2011" t="s">
        <v>36</v>
      </c>
      <c r="AC2011">
        <v>33</v>
      </c>
      <c r="AD2011">
        <v>2.14</v>
      </c>
    </row>
    <row r="2012" spans="1:30" x14ac:dyDescent="0.25">
      <c r="A2012" s="1">
        <v>44784.66746527778</v>
      </c>
      <c r="B2012" s="1">
        <v>44784.665844907409</v>
      </c>
      <c r="C2012">
        <v>148555</v>
      </c>
      <c r="D2012" t="s">
        <v>52</v>
      </c>
      <c r="E2012" t="s">
        <v>53</v>
      </c>
      <c r="F2012">
        <v>7</v>
      </c>
      <c r="G2012">
        <v>42.904949999999999</v>
      </c>
      <c r="H2012">
        <v>-71.386764999999997</v>
      </c>
      <c r="I2012">
        <v>363</v>
      </c>
      <c r="J2012">
        <v>0</v>
      </c>
      <c r="K2012">
        <v>0</v>
      </c>
      <c r="L2012" s="1">
        <v>44784.667395833334</v>
      </c>
      <c r="M2012">
        <v>1.4</v>
      </c>
      <c r="N2012">
        <v>1.1000000000000001</v>
      </c>
      <c r="O2012">
        <v>0.3</v>
      </c>
      <c r="P2012">
        <v>24</v>
      </c>
      <c r="Q2012">
        <v>0.1</v>
      </c>
      <c r="R2012">
        <v>0</v>
      </c>
      <c r="S2012">
        <v>0.05</v>
      </c>
      <c r="T2012" t="s">
        <v>33</v>
      </c>
      <c r="U2012">
        <v>1.25</v>
      </c>
      <c r="V2012">
        <v>0</v>
      </c>
      <c r="W2012">
        <v>0</v>
      </c>
      <c r="X2012">
        <v>0</v>
      </c>
      <c r="Y2012">
        <v>0</v>
      </c>
      <c r="Z2012">
        <v>0</v>
      </c>
      <c r="AA2012">
        <v>0</v>
      </c>
      <c r="AB2012" t="s">
        <v>38</v>
      </c>
    </row>
    <row r="2013" spans="1:30" x14ac:dyDescent="0.25">
      <c r="A2013" s="1">
        <v>44784.66746527778</v>
      </c>
      <c r="B2013" s="1">
        <v>44784.66673611111</v>
      </c>
      <c r="C2013">
        <v>146644</v>
      </c>
      <c r="D2013" t="s">
        <v>54</v>
      </c>
      <c r="E2013" t="s">
        <v>53</v>
      </c>
      <c r="F2013">
        <v>7</v>
      </c>
      <c r="G2013">
        <v>43.06015</v>
      </c>
      <c r="H2013">
        <v>-70.758930000000007</v>
      </c>
      <c r="I2013">
        <v>35</v>
      </c>
      <c r="J2013">
        <v>79</v>
      </c>
      <c r="K2013">
        <v>80</v>
      </c>
      <c r="L2013" s="1">
        <v>44784.667395833334</v>
      </c>
      <c r="M2013">
        <v>16.399999999999999</v>
      </c>
      <c r="N2013">
        <v>15.3</v>
      </c>
      <c r="O2013">
        <v>1.1000000000000001</v>
      </c>
      <c r="P2013">
        <v>7</v>
      </c>
      <c r="Q2013">
        <v>0.7</v>
      </c>
      <c r="R2013">
        <v>0.2</v>
      </c>
      <c r="S2013">
        <v>0.44999999999999901</v>
      </c>
      <c r="T2013" t="s">
        <v>33</v>
      </c>
      <c r="U2013">
        <v>15.85</v>
      </c>
      <c r="V2013">
        <v>56</v>
      </c>
      <c r="W2013">
        <v>61</v>
      </c>
      <c r="X2013">
        <v>5</v>
      </c>
      <c r="Y2013">
        <v>2</v>
      </c>
      <c r="Z2013">
        <v>2</v>
      </c>
      <c r="AA2013">
        <v>0</v>
      </c>
      <c r="AB2013" t="s">
        <v>33</v>
      </c>
      <c r="AC2013">
        <v>58.5</v>
      </c>
      <c r="AD2013">
        <v>7.73</v>
      </c>
    </row>
    <row r="2014" spans="1:30" x14ac:dyDescent="0.25">
      <c r="A2014" s="1">
        <v>44784.66747685185</v>
      </c>
      <c r="B2014" s="1">
        <v>43755.283437500002</v>
      </c>
      <c r="C2014">
        <v>12188</v>
      </c>
      <c r="D2014" t="s">
        <v>55</v>
      </c>
      <c r="E2014" t="s">
        <v>35</v>
      </c>
      <c r="F2014">
        <v>4.1100000000000003</v>
      </c>
      <c r="G2014">
        <v>42.927050000000001</v>
      </c>
      <c r="H2014">
        <v>-72.279610000000005</v>
      </c>
      <c r="I2014">
        <v>475</v>
      </c>
      <c r="J2014">
        <v>95</v>
      </c>
      <c r="K2014">
        <v>0</v>
      </c>
      <c r="L2014" s="1">
        <v>44784.667395833334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 t="s">
        <v>32</v>
      </c>
      <c r="V2014">
        <v>77</v>
      </c>
      <c r="W2014">
        <v>0</v>
      </c>
      <c r="X2014">
        <v>77</v>
      </c>
      <c r="Y2014">
        <v>0</v>
      </c>
      <c r="Z2014">
        <v>0</v>
      </c>
      <c r="AA2014">
        <v>0</v>
      </c>
      <c r="AB2014" t="s">
        <v>36</v>
      </c>
      <c r="AC2014">
        <v>77</v>
      </c>
    </row>
    <row r="2015" spans="1:30" x14ac:dyDescent="0.25">
      <c r="A2015" s="1">
        <v>44784.66747685185</v>
      </c>
      <c r="B2015" s="1">
        <v>44784.667118055557</v>
      </c>
      <c r="C2015">
        <v>1224</v>
      </c>
      <c r="D2015" t="s">
        <v>56</v>
      </c>
      <c r="E2015" t="s">
        <v>35</v>
      </c>
      <c r="F2015" t="s">
        <v>57</v>
      </c>
      <c r="G2015">
        <v>42.938034000000002</v>
      </c>
      <c r="H2015">
        <v>-72.259299999999996</v>
      </c>
      <c r="I2015">
        <v>792</v>
      </c>
      <c r="J2015">
        <v>91</v>
      </c>
      <c r="K2015">
        <v>0</v>
      </c>
      <c r="L2015" s="1">
        <v>44784.667395833334</v>
      </c>
      <c r="M2015">
        <v>5.4</v>
      </c>
      <c r="N2015">
        <v>0.1</v>
      </c>
      <c r="O2015">
        <v>5.3</v>
      </c>
      <c r="P2015">
        <v>193</v>
      </c>
      <c r="Q2015">
        <v>0.2</v>
      </c>
      <c r="R2015">
        <v>0</v>
      </c>
      <c r="S2015">
        <v>0.1</v>
      </c>
      <c r="T2015" t="s">
        <v>33</v>
      </c>
      <c r="U2015">
        <v>2.75</v>
      </c>
      <c r="V2015">
        <v>37</v>
      </c>
      <c r="W2015">
        <v>0</v>
      </c>
      <c r="X2015">
        <v>37</v>
      </c>
      <c r="Y2015">
        <v>1</v>
      </c>
      <c r="Z2015">
        <v>0</v>
      </c>
      <c r="AA2015">
        <v>1</v>
      </c>
      <c r="AB2015" t="s">
        <v>36</v>
      </c>
      <c r="AC2015">
        <v>37</v>
      </c>
      <c r="AD2015">
        <v>1.25</v>
      </c>
    </row>
    <row r="2016" spans="1:30" x14ac:dyDescent="0.25">
      <c r="A2016" s="1">
        <v>44784.66747685185</v>
      </c>
      <c r="B2016" s="1">
        <v>44784.666562500002</v>
      </c>
      <c r="C2016">
        <v>1202</v>
      </c>
      <c r="D2016" t="s">
        <v>58</v>
      </c>
      <c r="E2016" t="s">
        <v>35</v>
      </c>
      <c r="F2016" t="s">
        <v>57</v>
      </c>
      <c r="G2016">
        <v>42.936554000000001</v>
      </c>
      <c r="H2016">
        <v>-72.271019999999993</v>
      </c>
      <c r="I2016">
        <v>488</v>
      </c>
      <c r="J2016">
        <v>0</v>
      </c>
      <c r="K2016">
        <v>0</v>
      </c>
      <c r="L2016" s="1">
        <v>44784.667395833334</v>
      </c>
      <c r="M2016">
        <v>5.6</v>
      </c>
      <c r="N2016">
        <v>5</v>
      </c>
      <c r="O2016">
        <v>0.6</v>
      </c>
      <c r="P2016">
        <v>11</v>
      </c>
      <c r="Q2016">
        <v>0.1</v>
      </c>
      <c r="R2016">
        <v>0.1</v>
      </c>
      <c r="S2016">
        <v>0.1</v>
      </c>
      <c r="T2016" t="s">
        <v>33</v>
      </c>
      <c r="U2016">
        <v>5.3</v>
      </c>
      <c r="V2016">
        <v>0</v>
      </c>
      <c r="W2016">
        <v>0</v>
      </c>
      <c r="X2016">
        <v>0</v>
      </c>
      <c r="Y2016">
        <v>0</v>
      </c>
      <c r="Z2016">
        <v>0</v>
      </c>
      <c r="AA2016">
        <v>0</v>
      </c>
      <c r="AB2016" t="s">
        <v>38</v>
      </c>
    </row>
    <row r="2017" spans="1:30" x14ac:dyDescent="0.25">
      <c r="A2017" s="1">
        <v>44784.667488425926</v>
      </c>
      <c r="B2017" s="1">
        <v>44612.080023148148</v>
      </c>
      <c r="C2017">
        <v>25985</v>
      </c>
      <c r="D2017" t="s">
        <v>59</v>
      </c>
      <c r="E2017" t="s">
        <v>35</v>
      </c>
      <c r="F2017">
        <v>6.01</v>
      </c>
      <c r="G2017">
        <v>42.927326000000001</v>
      </c>
      <c r="H2017">
        <v>-72.279979999999995</v>
      </c>
      <c r="I2017">
        <v>477</v>
      </c>
      <c r="J2017">
        <v>78</v>
      </c>
      <c r="K2017">
        <v>0</v>
      </c>
      <c r="L2017" s="1">
        <v>44784.667395833334</v>
      </c>
      <c r="M2017">
        <v>1.1000000000000001</v>
      </c>
      <c r="N2017">
        <v>1</v>
      </c>
      <c r="O2017">
        <v>0.1</v>
      </c>
      <c r="P2017">
        <v>10</v>
      </c>
      <c r="Q2017">
        <v>0</v>
      </c>
      <c r="R2017">
        <v>0</v>
      </c>
      <c r="S2017">
        <v>0</v>
      </c>
      <c r="T2017" t="s">
        <v>32</v>
      </c>
      <c r="V2017">
        <v>22</v>
      </c>
      <c r="W2017">
        <v>0</v>
      </c>
      <c r="X2017">
        <v>22</v>
      </c>
      <c r="Y2017">
        <v>0</v>
      </c>
      <c r="Z2017">
        <v>0</v>
      </c>
      <c r="AA2017">
        <v>0</v>
      </c>
      <c r="AB2017" t="s">
        <v>36</v>
      </c>
      <c r="AC2017">
        <v>22</v>
      </c>
    </row>
    <row r="2018" spans="1:30" x14ac:dyDescent="0.25">
      <c r="A2018" s="1">
        <v>44784.674328703702</v>
      </c>
      <c r="B2018" s="1">
        <v>44775.701319444444</v>
      </c>
      <c r="C2018">
        <v>151708</v>
      </c>
      <c r="D2018" t="s">
        <v>30</v>
      </c>
      <c r="E2018" t="s">
        <v>31</v>
      </c>
      <c r="F2018">
        <v>7</v>
      </c>
      <c r="G2018">
        <v>43.192042999999998</v>
      </c>
      <c r="H2018">
        <v>-71.541579999999996</v>
      </c>
      <c r="I2018">
        <v>291</v>
      </c>
      <c r="J2018">
        <v>93</v>
      </c>
      <c r="K2018">
        <v>94</v>
      </c>
      <c r="L2018" s="1">
        <v>44784.674328703702</v>
      </c>
      <c r="M2018">
        <v>7.9</v>
      </c>
      <c r="N2018">
        <v>7.6</v>
      </c>
      <c r="O2018">
        <v>0.3</v>
      </c>
      <c r="P2018">
        <v>4</v>
      </c>
      <c r="Q2018">
        <v>0</v>
      </c>
      <c r="R2018">
        <v>0</v>
      </c>
      <c r="S2018">
        <v>0</v>
      </c>
      <c r="T2018" t="s">
        <v>32</v>
      </c>
      <c r="V2018">
        <v>42</v>
      </c>
      <c r="W2018">
        <v>41</v>
      </c>
      <c r="X2018">
        <v>1</v>
      </c>
      <c r="Y2018">
        <v>0</v>
      </c>
      <c r="Z2018">
        <v>0</v>
      </c>
      <c r="AA2018">
        <v>0</v>
      </c>
      <c r="AB2018" t="s">
        <v>33</v>
      </c>
      <c r="AC2018">
        <v>41.5</v>
      </c>
    </row>
    <row r="2019" spans="1:30" x14ac:dyDescent="0.25">
      <c r="A2019" s="1">
        <v>44784.674340277779</v>
      </c>
      <c r="B2019" s="1">
        <v>44784.672731481478</v>
      </c>
      <c r="C2019">
        <v>143456</v>
      </c>
      <c r="D2019" t="s">
        <v>34</v>
      </c>
      <c r="E2019" t="s">
        <v>35</v>
      </c>
      <c r="F2019">
        <v>7</v>
      </c>
      <c r="G2019">
        <v>43.08963</v>
      </c>
      <c r="H2019">
        <v>-71.502440000000007</v>
      </c>
      <c r="I2019">
        <v>619</v>
      </c>
      <c r="J2019">
        <v>86</v>
      </c>
      <c r="K2019">
        <v>0</v>
      </c>
      <c r="L2019" s="1">
        <v>44784.674328703702</v>
      </c>
      <c r="M2019">
        <v>2.9</v>
      </c>
      <c r="N2019">
        <v>3.5</v>
      </c>
      <c r="O2019">
        <v>0.6</v>
      </c>
      <c r="P2019">
        <v>19</v>
      </c>
      <c r="Q2019">
        <v>0.1</v>
      </c>
      <c r="R2019">
        <v>0</v>
      </c>
      <c r="S2019">
        <v>0.05</v>
      </c>
      <c r="T2019" t="s">
        <v>33</v>
      </c>
      <c r="U2019">
        <v>3.2</v>
      </c>
      <c r="V2019">
        <v>45</v>
      </c>
      <c r="W2019">
        <v>0</v>
      </c>
      <c r="X2019">
        <v>45</v>
      </c>
      <c r="Y2019">
        <v>2</v>
      </c>
      <c r="Z2019">
        <v>0</v>
      </c>
      <c r="AA2019">
        <v>2</v>
      </c>
      <c r="AB2019" t="s">
        <v>36</v>
      </c>
      <c r="AC2019">
        <v>45</v>
      </c>
      <c r="AD2019">
        <v>0.96</v>
      </c>
    </row>
    <row r="2020" spans="1:30" x14ac:dyDescent="0.25">
      <c r="A2020" s="1">
        <v>44784.674340277779</v>
      </c>
      <c r="B2020" s="1">
        <v>44784.67287037037</v>
      </c>
      <c r="C2020">
        <v>151702</v>
      </c>
      <c r="D2020" t="s">
        <v>37</v>
      </c>
      <c r="E2020" t="s">
        <v>31</v>
      </c>
      <c r="F2020">
        <v>7</v>
      </c>
      <c r="G2020">
        <v>43.118609999999997</v>
      </c>
      <c r="H2020">
        <v>-71.61618</v>
      </c>
      <c r="I2020">
        <v>885</v>
      </c>
      <c r="J2020">
        <v>0</v>
      </c>
      <c r="K2020">
        <v>0</v>
      </c>
      <c r="L2020" s="1">
        <v>44784.674328703702</v>
      </c>
      <c r="M2020">
        <v>2.6</v>
      </c>
      <c r="N2020">
        <v>2.2999999999999998</v>
      </c>
      <c r="O2020">
        <v>0.3</v>
      </c>
      <c r="P2020">
        <v>12</v>
      </c>
      <c r="Q2020">
        <v>0.2</v>
      </c>
      <c r="R2020">
        <v>0.1</v>
      </c>
      <c r="S2020">
        <v>0.15</v>
      </c>
      <c r="T2020" t="s">
        <v>33</v>
      </c>
      <c r="U2020">
        <v>2.4500000000000002</v>
      </c>
      <c r="V2020">
        <v>0</v>
      </c>
      <c r="W2020">
        <v>0</v>
      </c>
      <c r="X2020">
        <v>0</v>
      </c>
      <c r="Y2020">
        <v>0</v>
      </c>
      <c r="Z2020">
        <v>0</v>
      </c>
      <c r="AA2020">
        <v>0</v>
      </c>
      <c r="AB2020" t="s">
        <v>38</v>
      </c>
    </row>
    <row r="2021" spans="1:30" x14ac:dyDescent="0.25">
      <c r="A2021" s="1">
        <v>44784.674351851849</v>
      </c>
      <c r="B2021" s="1">
        <v>44784.672766203701</v>
      </c>
      <c r="C2021">
        <v>151700</v>
      </c>
      <c r="D2021" t="s">
        <v>30</v>
      </c>
      <c r="E2021" t="s">
        <v>31</v>
      </c>
      <c r="F2021">
        <v>7</v>
      </c>
      <c r="G2021">
        <v>43.19211</v>
      </c>
      <c r="H2021">
        <v>-71.541460000000001</v>
      </c>
      <c r="I2021">
        <v>286</v>
      </c>
      <c r="J2021">
        <v>85</v>
      </c>
      <c r="K2021">
        <v>0</v>
      </c>
      <c r="L2021" s="1">
        <v>44784.674328703702</v>
      </c>
      <c r="M2021">
        <v>2.6</v>
      </c>
      <c r="N2021">
        <v>3.3</v>
      </c>
      <c r="O2021">
        <v>0.7</v>
      </c>
      <c r="P2021">
        <v>24</v>
      </c>
      <c r="Q2021">
        <v>0.1</v>
      </c>
      <c r="R2021">
        <v>0.2</v>
      </c>
      <c r="S2021">
        <v>0.15</v>
      </c>
      <c r="T2021" t="s">
        <v>33</v>
      </c>
      <c r="U2021">
        <v>2.95</v>
      </c>
      <c r="V2021">
        <v>42</v>
      </c>
      <c r="W2021">
        <v>0</v>
      </c>
      <c r="X2021">
        <v>42</v>
      </c>
      <c r="Y2021">
        <v>0</v>
      </c>
      <c r="Z2021">
        <v>0</v>
      </c>
      <c r="AA2021">
        <v>0</v>
      </c>
      <c r="AB2021" t="s">
        <v>36</v>
      </c>
      <c r="AC2021">
        <v>42</v>
      </c>
      <c r="AD2021">
        <v>1.02</v>
      </c>
    </row>
    <row r="2022" spans="1:30" x14ac:dyDescent="0.25">
      <c r="A2022" s="1">
        <v>44784.674351851849</v>
      </c>
      <c r="B2022" s="1">
        <v>44784.673206018517</v>
      </c>
      <c r="C2022">
        <v>135984</v>
      </c>
      <c r="D2022" t="s">
        <v>39</v>
      </c>
      <c r="E2022" t="s">
        <v>31</v>
      </c>
      <c r="F2022">
        <v>7</v>
      </c>
      <c r="G2022">
        <v>43.565852999999997</v>
      </c>
      <c r="H2022">
        <v>-71.496129999999994</v>
      </c>
      <c r="I2022">
        <v>708</v>
      </c>
      <c r="J2022">
        <v>87</v>
      </c>
      <c r="K2022">
        <v>0</v>
      </c>
      <c r="L2022" s="1">
        <v>44784.674328703702</v>
      </c>
      <c r="M2022">
        <v>3.4</v>
      </c>
      <c r="N2022">
        <v>3.1</v>
      </c>
      <c r="O2022">
        <v>0.3</v>
      </c>
      <c r="P2022">
        <v>9</v>
      </c>
      <c r="Q2022">
        <v>0</v>
      </c>
      <c r="R2022">
        <v>0.1</v>
      </c>
      <c r="S2022">
        <v>0.05</v>
      </c>
      <c r="T2022" t="s">
        <v>33</v>
      </c>
      <c r="U2022">
        <v>3.25</v>
      </c>
      <c r="V2022">
        <v>48</v>
      </c>
      <c r="W2022">
        <v>0</v>
      </c>
      <c r="X2022">
        <v>48</v>
      </c>
      <c r="Y2022">
        <v>0</v>
      </c>
      <c r="Z2022">
        <v>0</v>
      </c>
      <c r="AA2022">
        <v>0</v>
      </c>
      <c r="AB2022" t="s">
        <v>36</v>
      </c>
      <c r="AC2022">
        <v>48</v>
      </c>
      <c r="AD2022">
        <v>0.78</v>
      </c>
    </row>
    <row r="2023" spans="1:30" x14ac:dyDescent="0.25">
      <c r="A2023" s="1">
        <v>44784.674351851849</v>
      </c>
      <c r="B2023" s="1">
        <v>44780.394780092596</v>
      </c>
      <c r="C2023">
        <v>151712</v>
      </c>
      <c r="D2023" t="s">
        <v>40</v>
      </c>
      <c r="E2023" t="s">
        <v>31</v>
      </c>
      <c r="F2023">
        <v>7</v>
      </c>
      <c r="G2023">
        <v>43.289763999999998</v>
      </c>
      <c r="H2023">
        <v>-71.564260000000004</v>
      </c>
      <c r="I2023">
        <v>370</v>
      </c>
      <c r="J2023">
        <v>86</v>
      </c>
      <c r="K2023">
        <v>0</v>
      </c>
      <c r="L2023" s="1">
        <v>44784.674328703702</v>
      </c>
      <c r="M2023">
        <v>14</v>
      </c>
      <c r="N2023">
        <v>13.2</v>
      </c>
      <c r="O2023">
        <v>0.8</v>
      </c>
      <c r="P2023">
        <v>6</v>
      </c>
      <c r="Q2023">
        <v>0</v>
      </c>
      <c r="R2023">
        <v>0</v>
      </c>
      <c r="S2023">
        <v>0</v>
      </c>
      <c r="T2023" t="s">
        <v>32</v>
      </c>
      <c r="V2023">
        <v>59</v>
      </c>
      <c r="W2023">
        <v>0</v>
      </c>
      <c r="X2023">
        <v>59</v>
      </c>
      <c r="Y2023">
        <v>0</v>
      </c>
      <c r="Z2023">
        <v>0</v>
      </c>
      <c r="AA2023">
        <v>0</v>
      </c>
      <c r="AB2023" t="s">
        <v>36</v>
      </c>
      <c r="AC2023">
        <v>59</v>
      </c>
    </row>
    <row r="2024" spans="1:30" x14ac:dyDescent="0.25">
      <c r="A2024" s="1">
        <v>44784.674363425926</v>
      </c>
      <c r="B2024" s="1">
        <v>44784.67391203704</v>
      </c>
      <c r="C2024">
        <v>151710</v>
      </c>
      <c r="D2024" t="s">
        <v>41</v>
      </c>
      <c r="E2024" t="s">
        <v>31</v>
      </c>
      <c r="F2024">
        <v>7</v>
      </c>
      <c r="G2024">
        <v>43.132477000000002</v>
      </c>
      <c r="H2024">
        <v>-71.458374000000006</v>
      </c>
      <c r="I2024">
        <v>230</v>
      </c>
      <c r="J2024">
        <v>92</v>
      </c>
      <c r="K2024">
        <v>0</v>
      </c>
      <c r="L2024" s="1">
        <v>44784.674328703702</v>
      </c>
      <c r="M2024">
        <v>5.8</v>
      </c>
      <c r="N2024">
        <v>3.8</v>
      </c>
      <c r="O2024">
        <v>2</v>
      </c>
      <c r="P2024">
        <v>42</v>
      </c>
      <c r="Q2024">
        <v>0.1</v>
      </c>
      <c r="R2024">
        <v>0.2</v>
      </c>
      <c r="S2024">
        <v>0.15</v>
      </c>
      <c r="T2024" t="s">
        <v>33</v>
      </c>
      <c r="U2024">
        <v>4.8</v>
      </c>
      <c r="V2024">
        <v>31</v>
      </c>
      <c r="W2024">
        <v>0</v>
      </c>
      <c r="X2024">
        <v>31</v>
      </c>
      <c r="Y2024">
        <v>1</v>
      </c>
      <c r="Z2024">
        <v>0</v>
      </c>
      <c r="AA2024">
        <v>1</v>
      </c>
      <c r="AB2024" t="s">
        <v>36</v>
      </c>
      <c r="AC2024">
        <v>31</v>
      </c>
      <c r="AD2024">
        <v>2.92</v>
      </c>
    </row>
    <row r="2025" spans="1:30" x14ac:dyDescent="0.25">
      <c r="A2025" s="1">
        <v>44784.674363425926</v>
      </c>
      <c r="B2025" s="1">
        <v>44784.67355324074</v>
      </c>
      <c r="C2025">
        <v>151706</v>
      </c>
      <c r="D2025" t="s">
        <v>42</v>
      </c>
      <c r="E2025" t="s">
        <v>31</v>
      </c>
      <c r="F2025">
        <v>7</v>
      </c>
      <c r="G2025">
        <v>43.004080000000002</v>
      </c>
      <c r="H2025">
        <v>-71.177040000000005</v>
      </c>
      <c r="I2025">
        <v>194</v>
      </c>
      <c r="J2025">
        <v>89</v>
      </c>
      <c r="K2025">
        <v>0</v>
      </c>
      <c r="L2025" s="1">
        <v>44784.674328703702</v>
      </c>
      <c r="M2025">
        <v>2.9</v>
      </c>
      <c r="N2025">
        <v>0</v>
      </c>
      <c r="O2025">
        <v>2.9</v>
      </c>
      <c r="P2025">
        <v>200</v>
      </c>
      <c r="Q2025">
        <v>0</v>
      </c>
      <c r="R2025">
        <v>0</v>
      </c>
      <c r="S2025">
        <v>0</v>
      </c>
      <c r="T2025" t="s">
        <v>43</v>
      </c>
      <c r="V2025">
        <v>37</v>
      </c>
      <c r="W2025">
        <v>0</v>
      </c>
      <c r="X2025">
        <v>37</v>
      </c>
      <c r="Y2025">
        <v>1</v>
      </c>
      <c r="Z2025">
        <v>0</v>
      </c>
      <c r="AA2025">
        <v>1</v>
      </c>
      <c r="AB2025" t="s">
        <v>36</v>
      </c>
      <c r="AC2025">
        <v>37</v>
      </c>
    </row>
    <row r="2026" spans="1:30" x14ac:dyDescent="0.25">
      <c r="A2026" s="1">
        <v>44784.674375000002</v>
      </c>
      <c r="B2026" s="1">
        <v>44784.673344907409</v>
      </c>
      <c r="C2026">
        <v>12212</v>
      </c>
      <c r="D2026" t="s">
        <v>44</v>
      </c>
      <c r="E2026" t="s">
        <v>35</v>
      </c>
      <c r="F2026">
        <v>7</v>
      </c>
      <c r="G2026">
        <v>42.930529999999997</v>
      </c>
      <c r="H2026">
        <v>-72.272350000000003</v>
      </c>
      <c r="I2026">
        <v>476</v>
      </c>
      <c r="J2026">
        <v>92</v>
      </c>
      <c r="K2026">
        <v>0</v>
      </c>
      <c r="L2026" s="1">
        <v>44784.674328703702</v>
      </c>
      <c r="M2026">
        <v>5.2</v>
      </c>
      <c r="N2026">
        <v>4.5</v>
      </c>
      <c r="O2026">
        <v>0.7</v>
      </c>
      <c r="P2026">
        <v>14</v>
      </c>
      <c r="Q2026">
        <v>0.1</v>
      </c>
      <c r="R2026">
        <v>0.1</v>
      </c>
      <c r="S2026">
        <v>0.1</v>
      </c>
      <c r="T2026" t="s">
        <v>33</v>
      </c>
      <c r="U2026">
        <v>4.8499999999999996</v>
      </c>
      <c r="V2026">
        <v>31</v>
      </c>
      <c r="W2026">
        <v>0</v>
      </c>
      <c r="X2026">
        <v>31</v>
      </c>
      <c r="Y2026">
        <v>0</v>
      </c>
      <c r="Z2026">
        <v>0</v>
      </c>
      <c r="AA2026">
        <v>0</v>
      </c>
      <c r="AB2026" t="s">
        <v>36</v>
      </c>
      <c r="AC2026">
        <v>31</v>
      </c>
      <c r="AD2026">
        <v>2.95</v>
      </c>
    </row>
    <row r="2027" spans="1:30" x14ac:dyDescent="0.25">
      <c r="A2027" s="1">
        <v>44784.674375000002</v>
      </c>
      <c r="B2027" s="1">
        <v>44769.376736111109</v>
      </c>
      <c r="C2027">
        <v>12178</v>
      </c>
      <c r="D2027" t="s">
        <v>45</v>
      </c>
      <c r="E2027" t="s">
        <v>35</v>
      </c>
      <c r="F2027">
        <v>7</v>
      </c>
      <c r="G2027">
        <v>42.899563000000001</v>
      </c>
      <c r="H2027">
        <v>-71.464650000000006</v>
      </c>
      <c r="I2027">
        <v>301</v>
      </c>
      <c r="J2027">
        <v>85</v>
      </c>
      <c r="K2027">
        <v>0</v>
      </c>
      <c r="L2027" s="1">
        <v>44784.674328703702</v>
      </c>
      <c r="M2027">
        <v>3.8</v>
      </c>
      <c r="N2027">
        <v>3.1</v>
      </c>
      <c r="O2027">
        <v>0.7</v>
      </c>
      <c r="P2027">
        <v>20</v>
      </c>
      <c r="Q2027">
        <v>0</v>
      </c>
      <c r="R2027">
        <v>0</v>
      </c>
      <c r="S2027">
        <v>0</v>
      </c>
      <c r="T2027" t="s">
        <v>32</v>
      </c>
      <c r="V2027">
        <v>35</v>
      </c>
      <c r="W2027">
        <v>0</v>
      </c>
      <c r="X2027">
        <v>35</v>
      </c>
      <c r="Y2027">
        <v>0</v>
      </c>
      <c r="Z2027">
        <v>0</v>
      </c>
      <c r="AA2027">
        <v>0</v>
      </c>
      <c r="AB2027" t="s">
        <v>36</v>
      </c>
      <c r="AC2027">
        <v>35</v>
      </c>
    </row>
    <row r="2028" spans="1:30" x14ac:dyDescent="0.25">
      <c r="A2028" s="1">
        <v>44784.674375000002</v>
      </c>
      <c r="B2028" s="1">
        <v>44784.674004629633</v>
      </c>
      <c r="C2028">
        <v>75981</v>
      </c>
      <c r="D2028" t="s">
        <v>46</v>
      </c>
      <c r="E2028" t="s">
        <v>35</v>
      </c>
      <c r="F2028">
        <v>7</v>
      </c>
      <c r="G2028">
        <v>42.97</v>
      </c>
      <c r="H2028">
        <v>-71.06</v>
      </c>
      <c r="I2028">
        <v>136</v>
      </c>
      <c r="J2028">
        <v>89</v>
      </c>
      <c r="K2028">
        <v>0</v>
      </c>
      <c r="L2028" s="1">
        <v>44784.674328703702</v>
      </c>
      <c r="M2028">
        <v>12.4</v>
      </c>
      <c r="N2028">
        <v>11.5</v>
      </c>
      <c r="O2028">
        <v>0.9</v>
      </c>
      <c r="P2028">
        <v>8</v>
      </c>
      <c r="Q2028">
        <v>0.7</v>
      </c>
      <c r="R2028">
        <v>0.4</v>
      </c>
      <c r="S2028">
        <v>0.55000000000000004</v>
      </c>
      <c r="T2028" t="s">
        <v>33</v>
      </c>
      <c r="U2028">
        <v>11.95</v>
      </c>
      <c r="V2028">
        <v>46</v>
      </c>
      <c r="W2028">
        <v>0</v>
      </c>
      <c r="X2028">
        <v>46</v>
      </c>
      <c r="Y2028">
        <v>1</v>
      </c>
      <c r="Z2028">
        <v>0</v>
      </c>
      <c r="AA2028">
        <v>1</v>
      </c>
      <c r="AB2028" t="s">
        <v>36</v>
      </c>
      <c r="AC2028">
        <v>46</v>
      </c>
      <c r="AD2028">
        <v>6.23</v>
      </c>
    </row>
    <row r="2029" spans="1:30" x14ac:dyDescent="0.25">
      <c r="A2029" s="1">
        <v>44784.674386574072</v>
      </c>
      <c r="B2029" s="1">
        <v>44784.673159722224</v>
      </c>
      <c r="C2029">
        <v>115703</v>
      </c>
      <c r="D2029" t="s">
        <v>47</v>
      </c>
      <c r="E2029" t="s">
        <v>35</v>
      </c>
      <c r="F2029">
        <v>7</v>
      </c>
      <c r="G2029">
        <v>43.953625000000002</v>
      </c>
      <c r="H2029">
        <v>-71.508859999999999</v>
      </c>
      <c r="I2029">
        <v>1493</v>
      </c>
      <c r="J2029">
        <v>91</v>
      </c>
      <c r="K2029">
        <v>0</v>
      </c>
      <c r="L2029" s="1">
        <v>44784.674328703702</v>
      </c>
      <c r="M2029">
        <v>0</v>
      </c>
      <c r="N2029">
        <v>2.8</v>
      </c>
      <c r="O2029">
        <v>2.8</v>
      </c>
      <c r="P2029">
        <v>200</v>
      </c>
      <c r="Q2029">
        <v>0</v>
      </c>
      <c r="R2029">
        <v>2</v>
      </c>
      <c r="S2029">
        <v>1</v>
      </c>
      <c r="T2029" t="s">
        <v>48</v>
      </c>
      <c r="V2029">
        <v>29</v>
      </c>
      <c r="W2029">
        <v>0</v>
      </c>
      <c r="X2029">
        <v>29</v>
      </c>
      <c r="Y2029">
        <v>0</v>
      </c>
      <c r="Z2029">
        <v>0</v>
      </c>
      <c r="AA2029">
        <v>0</v>
      </c>
      <c r="AB2029" t="s">
        <v>36</v>
      </c>
      <c r="AC2029">
        <v>29</v>
      </c>
    </row>
    <row r="2030" spans="1:30" x14ac:dyDescent="0.25">
      <c r="A2030" s="1">
        <v>44784.674386574072</v>
      </c>
      <c r="B2030" s="1">
        <v>44784.67396990741</v>
      </c>
      <c r="C2030">
        <v>12050</v>
      </c>
      <c r="D2030" t="s">
        <v>49</v>
      </c>
      <c r="E2030" t="s">
        <v>35</v>
      </c>
      <c r="F2030">
        <v>7</v>
      </c>
      <c r="G2030">
        <v>44.220573000000002</v>
      </c>
      <c r="H2030">
        <v>-71.732315</v>
      </c>
      <c r="I2030">
        <v>999</v>
      </c>
      <c r="J2030">
        <v>93</v>
      </c>
      <c r="K2030">
        <v>0</v>
      </c>
      <c r="L2030" s="1">
        <v>44784.674328703702</v>
      </c>
      <c r="M2030">
        <v>3.5</v>
      </c>
      <c r="N2030">
        <v>3.1</v>
      </c>
      <c r="O2030">
        <v>0.4</v>
      </c>
      <c r="P2030">
        <v>12</v>
      </c>
      <c r="Q2030">
        <v>0</v>
      </c>
      <c r="R2030">
        <v>0.1</v>
      </c>
      <c r="S2030">
        <v>0.05</v>
      </c>
      <c r="T2030" t="s">
        <v>33</v>
      </c>
      <c r="U2030">
        <v>3.3</v>
      </c>
      <c r="V2030">
        <v>30</v>
      </c>
      <c r="W2030">
        <v>0</v>
      </c>
      <c r="X2030">
        <v>30</v>
      </c>
      <c r="Y2030">
        <v>2</v>
      </c>
      <c r="Z2030">
        <v>0</v>
      </c>
      <c r="AA2030">
        <v>2</v>
      </c>
      <c r="AB2030" t="s">
        <v>36</v>
      </c>
      <c r="AC2030">
        <v>30</v>
      </c>
      <c r="AD2030">
        <v>2.0699999999999998</v>
      </c>
    </row>
    <row r="2031" spans="1:30" x14ac:dyDescent="0.25">
      <c r="A2031" s="1">
        <v>44784.674398148149</v>
      </c>
      <c r="B2031" s="1">
        <v>44784.674074074072</v>
      </c>
      <c r="C2031">
        <v>23443</v>
      </c>
      <c r="D2031" t="s">
        <v>50</v>
      </c>
      <c r="E2031" t="s">
        <v>35</v>
      </c>
      <c r="F2031">
        <v>7</v>
      </c>
      <c r="G2031">
        <v>43.556139999999999</v>
      </c>
      <c r="H2031">
        <v>-72.370990000000006</v>
      </c>
      <c r="I2031">
        <v>523</v>
      </c>
      <c r="J2031">
        <v>104</v>
      </c>
      <c r="K2031">
        <v>0</v>
      </c>
      <c r="L2031" s="1">
        <v>44784.674328703702</v>
      </c>
      <c r="M2031">
        <v>3.1</v>
      </c>
      <c r="N2031">
        <v>2.8</v>
      </c>
      <c r="O2031">
        <v>0.3</v>
      </c>
      <c r="P2031">
        <v>10</v>
      </c>
      <c r="Q2031">
        <v>0.2</v>
      </c>
      <c r="R2031">
        <v>0.1</v>
      </c>
      <c r="S2031">
        <v>0.15</v>
      </c>
      <c r="T2031" t="s">
        <v>33</v>
      </c>
      <c r="U2031">
        <v>2.95</v>
      </c>
      <c r="V2031">
        <v>20</v>
      </c>
      <c r="W2031">
        <v>0</v>
      </c>
      <c r="X2031">
        <v>20</v>
      </c>
      <c r="Y2031">
        <v>0</v>
      </c>
      <c r="Z2031">
        <v>0</v>
      </c>
      <c r="AA2031">
        <v>0</v>
      </c>
      <c r="AB2031" t="s">
        <v>36</v>
      </c>
      <c r="AC2031">
        <v>20</v>
      </c>
      <c r="AD2031">
        <v>2.56</v>
      </c>
    </row>
    <row r="2032" spans="1:30" x14ac:dyDescent="0.25">
      <c r="A2032" s="1">
        <v>44784.674398148149</v>
      </c>
      <c r="B2032" s="1">
        <v>44784.672881944447</v>
      </c>
      <c r="C2032">
        <v>58135</v>
      </c>
      <c r="D2032" t="s">
        <v>51</v>
      </c>
      <c r="E2032" t="s">
        <v>35</v>
      </c>
      <c r="F2032">
        <v>7</v>
      </c>
      <c r="G2032">
        <v>42.883873000000001</v>
      </c>
      <c r="H2032">
        <v>-71.972915999999998</v>
      </c>
      <c r="I2032">
        <v>808</v>
      </c>
      <c r="J2032">
        <v>87</v>
      </c>
      <c r="K2032">
        <v>0</v>
      </c>
      <c r="L2032" s="1">
        <v>44784.674328703702</v>
      </c>
      <c r="M2032">
        <v>4.5999999999999996</v>
      </c>
      <c r="N2032">
        <v>2.9</v>
      </c>
      <c r="O2032">
        <v>1.7</v>
      </c>
      <c r="P2032">
        <v>45</v>
      </c>
      <c r="Q2032">
        <v>0</v>
      </c>
      <c r="R2032">
        <v>0</v>
      </c>
      <c r="S2032">
        <v>0</v>
      </c>
      <c r="T2032" t="s">
        <v>33</v>
      </c>
      <c r="U2032">
        <v>3.75</v>
      </c>
      <c r="V2032">
        <v>34</v>
      </c>
      <c r="W2032">
        <v>0</v>
      </c>
      <c r="X2032">
        <v>34</v>
      </c>
      <c r="Y2032">
        <v>1</v>
      </c>
      <c r="Z2032">
        <v>0</v>
      </c>
      <c r="AA2032">
        <v>1</v>
      </c>
      <c r="AB2032" t="s">
        <v>36</v>
      </c>
      <c r="AC2032">
        <v>34</v>
      </c>
      <c r="AD2032">
        <v>2.0699999999999998</v>
      </c>
    </row>
    <row r="2033" spans="1:30" x14ac:dyDescent="0.25">
      <c r="A2033" s="1">
        <v>44784.674409722225</v>
      </c>
      <c r="B2033" s="1">
        <v>44784.672789351855</v>
      </c>
      <c r="C2033">
        <v>148555</v>
      </c>
      <c r="D2033" t="s">
        <v>52</v>
      </c>
      <c r="E2033" t="s">
        <v>53</v>
      </c>
      <c r="F2033">
        <v>7</v>
      </c>
      <c r="G2033">
        <v>42.904949999999999</v>
      </c>
      <c r="H2033">
        <v>-71.386764999999997</v>
      </c>
      <c r="I2033">
        <v>363</v>
      </c>
      <c r="J2033">
        <v>0</v>
      </c>
      <c r="K2033">
        <v>0</v>
      </c>
      <c r="L2033" s="1">
        <v>44784.674328703702</v>
      </c>
      <c r="M2033">
        <v>1.2</v>
      </c>
      <c r="N2033">
        <v>1</v>
      </c>
      <c r="O2033">
        <v>0.2</v>
      </c>
      <c r="P2033">
        <v>18</v>
      </c>
      <c r="Q2033">
        <v>0.2</v>
      </c>
      <c r="R2033">
        <v>0.1</v>
      </c>
      <c r="S2033">
        <v>0.15</v>
      </c>
      <c r="T2033" t="s">
        <v>33</v>
      </c>
      <c r="U2033">
        <v>1.1000000000000001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 t="s">
        <v>38</v>
      </c>
    </row>
    <row r="2034" spans="1:30" x14ac:dyDescent="0.25">
      <c r="A2034" s="1">
        <v>44784.674409722225</v>
      </c>
      <c r="B2034" s="1">
        <v>44784.673680555556</v>
      </c>
      <c r="C2034">
        <v>146644</v>
      </c>
      <c r="D2034" t="s">
        <v>54</v>
      </c>
      <c r="E2034" t="s">
        <v>53</v>
      </c>
      <c r="F2034">
        <v>7</v>
      </c>
      <c r="G2034">
        <v>43.06015</v>
      </c>
      <c r="H2034">
        <v>-70.758930000000007</v>
      </c>
      <c r="I2034">
        <v>35</v>
      </c>
      <c r="J2034">
        <v>78</v>
      </c>
      <c r="K2034">
        <v>80</v>
      </c>
      <c r="L2034" s="1">
        <v>44784.674328703702</v>
      </c>
      <c r="M2034">
        <v>16.100000000000001</v>
      </c>
      <c r="N2034">
        <v>15.2</v>
      </c>
      <c r="O2034">
        <v>0.9</v>
      </c>
      <c r="P2034">
        <v>6</v>
      </c>
      <c r="Q2034">
        <v>0.3</v>
      </c>
      <c r="R2034">
        <v>0.1</v>
      </c>
      <c r="S2034">
        <v>0.2</v>
      </c>
      <c r="T2034" t="s">
        <v>33</v>
      </c>
      <c r="U2034">
        <v>15.65</v>
      </c>
      <c r="V2034">
        <v>56</v>
      </c>
      <c r="W2034">
        <v>62</v>
      </c>
      <c r="X2034">
        <v>6</v>
      </c>
      <c r="Y2034">
        <v>0</v>
      </c>
      <c r="Z2034">
        <v>1</v>
      </c>
      <c r="AA2034">
        <v>1</v>
      </c>
      <c r="AB2034" t="s">
        <v>33</v>
      </c>
      <c r="AC2034">
        <v>59</v>
      </c>
      <c r="AD2034">
        <v>7.58</v>
      </c>
    </row>
    <row r="2035" spans="1:30" x14ac:dyDescent="0.25">
      <c r="A2035" s="1">
        <v>44784.674409722225</v>
      </c>
      <c r="B2035" s="1">
        <v>43755.283437500002</v>
      </c>
      <c r="C2035">
        <v>12188</v>
      </c>
      <c r="D2035" t="s">
        <v>55</v>
      </c>
      <c r="E2035" t="s">
        <v>35</v>
      </c>
      <c r="F2035">
        <v>4.1100000000000003</v>
      </c>
      <c r="G2035">
        <v>42.927050000000001</v>
      </c>
      <c r="H2035">
        <v>-72.279610000000005</v>
      </c>
      <c r="I2035">
        <v>475</v>
      </c>
      <c r="J2035">
        <v>95</v>
      </c>
      <c r="K2035">
        <v>0</v>
      </c>
      <c r="L2035" s="1">
        <v>44784.674328703702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 t="s">
        <v>32</v>
      </c>
      <c r="V2035">
        <v>77</v>
      </c>
      <c r="W2035">
        <v>0</v>
      </c>
      <c r="X2035">
        <v>77</v>
      </c>
      <c r="Y2035">
        <v>0</v>
      </c>
      <c r="Z2035">
        <v>0</v>
      </c>
      <c r="AA2035">
        <v>0</v>
      </c>
      <c r="AB2035" t="s">
        <v>36</v>
      </c>
      <c r="AC2035">
        <v>77</v>
      </c>
    </row>
    <row r="2036" spans="1:30" x14ac:dyDescent="0.25">
      <c r="A2036" s="1">
        <v>44784.674421296295</v>
      </c>
      <c r="B2036" s="1">
        <v>44784.674062500002</v>
      </c>
      <c r="C2036">
        <v>1224</v>
      </c>
      <c r="D2036" t="s">
        <v>56</v>
      </c>
      <c r="E2036" t="s">
        <v>35</v>
      </c>
      <c r="F2036" t="s">
        <v>57</v>
      </c>
      <c r="G2036">
        <v>42.938034000000002</v>
      </c>
      <c r="H2036">
        <v>-72.259299999999996</v>
      </c>
      <c r="I2036">
        <v>792</v>
      </c>
      <c r="J2036">
        <v>90</v>
      </c>
      <c r="K2036">
        <v>0</v>
      </c>
      <c r="L2036" s="1">
        <v>44784.674328703702</v>
      </c>
      <c r="M2036">
        <v>5.4</v>
      </c>
      <c r="N2036">
        <v>0.1</v>
      </c>
      <c r="O2036">
        <v>5.3</v>
      </c>
      <c r="P2036">
        <v>193</v>
      </c>
      <c r="Q2036">
        <v>0</v>
      </c>
      <c r="R2036">
        <v>0</v>
      </c>
      <c r="S2036">
        <v>0</v>
      </c>
      <c r="T2036" t="s">
        <v>33</v>
      </c>
      <c r="U2036">
        <v>2.75</v>
      </c>
      <c r="V2036">
        <v>38</v>
      </c>
      <c r="W2036">
        <v>0</v>
      </c>
      <c r="X2036">
        <v>38</v>
      </c>
      <c r="Y2036">
        <v>1</v>
      </c>
      <c r="Z2036">
        <v>0</v>
      </c>
      <c r="AA2036">
        <v>1</v>
      </c>
      <c r="AB2036" t="s">
        <v>36</v>
      </c>
      <c r="AC2036">
        <v>38</v>
      </c>
      <c r="AD2036">
        <v>1.18</v>
      </c>
    </row>
    <row r="2037" spans="1:30" x14ac:dyDescent="0.25">
      <c r="A2037" s="1">
        <v>44784.674421296295</v>
      </c>
      <c r="B2037" s="1">
        <v>44784.673518518517</v>
      </c>
      <c r="C2037">
        <v>1202</v>
      </c>
      <c r="D2037" t="s">
        <v>58</v>
      </c>
      <c r="E2037" t="s">
        <v>35</v>
      </c>
      <c r="F2037" t="s">
        <v>57</v>
      </c>
      <c r="G2037">
        <v>42.936554000000001</v>
      </c>
      <c r="H2037">
        <v>-72.271019999999993</v>
      </c>
      <c r="I2037">
        <v>488</v>
      </c>
      <c r="J2037">
        <v>0</v>
      </c>
      <c r="K2037">
        <v>0</v>
      </c>
      <c r="L2037" s="1">
        <v>44784.674328703702</v>
      </c>
      <c r="M2037">
        <v>5.7</v>
      </c>
      <c r="N2037">
        <v>5</v>
      </c>
      <c r="O2037">
        <v>0.7</v>
      </c>
      <c r="P2037">
        <v>13</v>
      </c>
      <c r="Q2037">
        <v>0.1</v>
      </c>
      <c r="R2037">
        <v>0</v>
      </c>
      <c r="S2037">
        <v>0.05</v>
      </c>
      <c r="T2037" t="s">
        <v>33</v>
      </c>
      <c r="U2037">
        <v>5.35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 t="s">
        <v>38</v>
      </c>
    </row>
    <row r="2038" spans="1:30" x14ac:dyDescent="0.25">
      <c r="A2038" s="1">
        <v>44784.674432870372</v>
      </c>
      <c r="B2038" s="1">
        <v>44612.080023148148</v>
      </c>
      <c r="C2038">
        <v>25985</v>
      </c>
      <c r="D2038" t="s">
        <v>59</v>
      </c>
      <c r="E2038" t="s">
        <v>35</v>
      </c>
      <c r="F2038">
        <v>6.01</v>
      </c>
      <c r="G2038">
        <v>42.927326000000001</v>
      </c>
      <c r="H2038">
        <v>-72.279979999999995</v>
      </c>
      <c r="I2038">
        <v>477</v>
      </c>
      <c r="J2038">
        <v>78</v>
      </c>
      <c r="K2038">
        <v>0</v>
      </c>
      <c r="L2038" s="1">
        <v>44784.674328703702</v>
      </c>
      <c r="M2038">
        <v>1.1000000000000001</v>
      </c>
      <c r="N2038">
        <v>1</v>
      </c>
      <c r="O2038">
        <v>0.1</v>
      </c>
      <c r="P2038">
        <v>10</v>
      </c>
      <c r="Q2038">
        <v>0</v>
      </c>
      <c r="R2038">
        <v>0</v>
      </c>
      <c r="S2038">
        <v>0</v>
      </c>
      <c r="T2038" t="s">
        <v>32</v>
      </c>
      <c r="V2038">
        <v>22</v>
      </c>
      <c r="W2038">
        <v>0</v>
      </c>
      <c r="X2038">
        <v>22</v>
      </c>
      <c r="Y2038">
        <v>0</v>
      </c>
      <c r="Z2038">
        <v>0</v>
      </c>
      <c r="AA2038">
        <v>0</v>
      </c>
      <c r="AB2038" t="s">
        <v>36</v>
      </c>
      <c r="AC2038">
        <v>22</v>
      </c>
    </row>
    <row r="2039" spans="1:30" x14ac:dyDescent="0.25">
      <c r="A2039" s="1">
        <v>44784.681284722225</v>
      </c>
      <c r="B2039" s="1">
        <v>44775.701319444444</v>
      </c>
      <c r="C2039">
        <v>151708</v>
      </c>
      <c r="D2039" t="s">
        <v>30</v>
      </c>
      <c r="E2039" t="s">
        <v>31</v>
      </c>
      <c r="F2039">
        <v>7</v>
      </c>
      <c r="G2039">
        <v>43.192042999999998</v>
      </c>
      <c r="H2039">
        <v>-71.541579999999996</v>
      </c>
      <c r="I2039">
        <v>291</v>
      </c>
      <c r="J2039">
        <v>93</v>
      </c>
      <c r="K2039">
        <v>94</v>
      </c>
      <c r="L2039" s="1">
        <v>44784.681273148148</v>
      </c>
      <c r="M2039">
        <v>7.9</v>
      </c>
      <c r="N2039">
        <v>7.6</v>
      </c>
      <c r="O2039">
        <v>0.3</v>
      </c>
      <c r="P2039">
        <v>4</v>
      </c>
      <c r="Q2039">
        <v>0</v>
      </c>
      <c r="R2039">
        <v>0</v>
      </c>
      <c r="S2039">
        <v>0</v>
      </c>
      <c r="T2039" t="s">
        <v>32</v>
      </c>
      <c r="V2039">
        <v>42</v>
      </c>
      <c r="W2039">
        <v>41</v>
      </c>
      <c r="X2039">
        <v>1</v>
      </c>
      <c r="Y2039">
        <v>0</v>
      </c>
      <c r="Z2039">
        <v>0</v>
      </c>
      <c r="AA2039">
        <v>0</v>
      </c>
      <c r="AB2039" t="s">
        <v>33</v>
      </c>
      <c r="AC2039">
        <v>41.5</v>
      </c>
    </row>
    <row r="2040" spans="1:30" x14ac:dyDescent="0.25">
      <c r="A2040" s="1">
        <v>44784.681284722225</v>
      </c>
      <c r="B2040" s="1">
        <v>44784.68105324074</v>
      </c>
      <c r="C2040">
        <v>143456</v>
      </c>
      <c r="D2040" t="s">
        <v>34</v>
      </c>
      <c r="E2040" t="s">
        <v>35</v>
      </c>
      <c r="F2040">
        <v>7</v>
      </c>
      <c r="G2040">
        <v>43.08963</v>
      </c>
      <c r="H2040">
        <v>-71.502440000000007</v>
      </c>
      <c r="I2040">
        <v>619</v>
      </c>
      <c r="J2040">
        <v>85</v>
      </c>
      <c r="K2040">
        <v>0</v>
      </c>
      <c r="L2040" s="1">
        <v>44784.681273148148</v>
      </c>
      <c r="M2040">
        <v>3.1</v>
      </c>
      <c r="N2040">
        <v>3.4</v>
      </c>
      <c r="O2040">
        <v>0.3</v>
      </c>
      <c r="P2040">
        <v>9</v>
      </c>
      <c r="Q2040">
        <v>0.2</v>
      </c>
      <c r="R2040">
        <v>0.1</v>
      </c>
      <c r="S2040">
        <v>0.15</v>
      </c>
      <c r="T2040" t="s">
        <v>33</v>
      </c>
      <c r="U2040">
        <v>3.25</v>
      </c>
      <c r="V2040">
        <v>48</v>
      </c>
      <c r="W2040">
        <v>0</v>
      </c>
      <c r="X2040">
        <v>48</v>
      </c>
      <c r="Y2040">
        <v>3</v>
      </c>
      <c r="Z2040">
        <v>0</v>
      </c>
      <c r="AA2040">
        <v>3</v>
      </c>
      <c r="AB2040" t="s">
        <v>36</v>
      </c>
      <c r="AC2040">
        <v>48</v>
      </c>
      <c r="AD2040">
        <v>0.78</v>
      </c>
    </row>
    <row r="2041" spans="1:30" x14ac:dyDescent="0.25">
      <c r="A2041" s="1">
        <v>44784.681284722225</v>
      </c>
      <c r="B2041" s="1">
        <v>44784.679814814815</v>
      </c>
      <c r="C2041">
        <v>151702</v>
      </c>
      <c r="D2041" t="s">
        <v>37</v>
      </c>
      <c r="E2041" t="s">
        <v>31</v>
      </c>
      <c r="F2041">
        <v>7</v>
      </c>
      <c r="G2041">
        <v>43.118609999999997</v>
      </c>
      <c r="H2041">
        <v>-71.61618</v>
      </c>
      <c r="I2041">
        <v>885</v>
      </c>
      <c r="J2041">
        <v>0</v>
      </c>
      <c r="K2041">
        <v>0</v>
      </c>
      <c r="L2041" s="1">
        <v>44784.681273148148</v>
      </c>
      <c r="M2041">
        <v>2.6</v>
      </c>
      <c r="N2041">
        <v>2.5</v>
      </c>
      <c r="O2041">
        <v>0.1</v>
      </c>
      <c r="P2041">
        <v>4</v>
      </c>
      <c r="Q2041">
        <v>0</v>
      </c>
      <c r="R2041">
        <v>0.2</v>
      </c>
      <c r="S2041">
        <v>0.1</v>
      </c>
      <c r="T2041" t="s">
        <v>33</v>
      </c>
      <c r="U2041">
        <v>2.5499999999999998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 t="s">
        <v>38</v>
      </c>
    </row>
    <row r="2042" spans="1:30" x14ac:dyDescent="0.25">
      <c r="A2042" s="1">
        <v>44784.681296296294</v>
      </c>
      <c r="B2042" s="1">
        <v>44784.679710648146</v>
      </c>
      <c r="C2042">
        <v>151700</v>
      </c>
      <c r="D2042" t="s">
        <v>30</v>
      </c>
      <c r="E2042" t="s">
        <v>31</v>
      </c>
      <c r="F2042">
        <v>7</v>
      </c>
      <c r="G2042">
        <v>43.19211</v>
      </c>
      <c r="H2042">
        <v>-71.541460000000001</v>
      </c>
      <c r="I2042">
        <v>286</v>
      </c>
      <c r="J2042">
        <v>85</v>
      </c>
      <c r="K2042">
        <v>0</v>
      </c>
      <c r="L2042" s="1">
        <v>44784.681273148148</v>
      </c>
      <c r="M2042">
        <v>2.5</v>
      </c>
      <c r="N2042">
        <v>3.2</v>
      </c>
      <c r="O2042">
        <v>0.7</v>
      </c>
      <c r="P2042">
        <v>25</v>
      </c>
      <c r="Q2042">
        <v>0.1</v>
      </c>
      <c r="R2042">
        <v>0.1</v>
      </c>
      <c r="S2042">
        <v>0.1</v>
      </c>
      <c r="T2042" t="s">
        <v>33</v>
      </c>
      <c r="U2042">
        <v>2.85</v>
      </c>
      <c r="V2042">
        <v>42</v>
      </c>
      <c r="W2042">
        <v>0</v>
      </c>
      <c r="X2042">
        <v>42</v>
      </c>
      <c r="Y2042">
        <v>0</v>
      </c>
      <c r="Z2042">
        <v>0</v>
      </c>
      <c r="AA2042">
        <v>0</v>
      </c>
      <c r="AB2042" t="s">
        <v>36</v>
      </c>
      <c r="AC2042">
        <v>42</v>
      </c>
      <c r="AD2042">
        <v>0.96</v>
      </c>
    </row>
    <row r="2043" spans="1:30" x14ac:dyDescent="0.25">
      <c r="A2043" s="1">
        <v>44784.681296296294</v>
      </c>
      <c r="B2043" s="1">
        <v>44784.680150462962</v>
      </c>
      <c r="C2043">
        <v>135984</v>
      </c>
      <c r="D2043" t="s">
        <v>39</v>
      </c>
      <c r="E2043" t="s">
        <v>31</v>
      </c>
      <c r="F2043">
        <v>7</v>
      </c>
      <c r="G2043">
        <v>43.565852999999997</v>
      </c>
      <c r="H2043">
        <v>-71.496129999999994</v>
      </c>
      <c r="I2043">
        <v>708</v>
      </c>
      <c r="J2043">
        <v>87</v>
      </c>
      <c r="K2043">
        <v>0</v>
      </c>
      <c r="L2043" s="1">
        <v>44784.681273148148</v>
      </c>
      <c r="M2043">
        <v>3.6</v>
      </c>
      <c r="N2043">
        <v>3.2</v>
      </c>
      <c r="O2043">
        <v>0.4</v>
      </c>
      <c r="P2043">
        <v>12</v>
      </c>
      <c r="Q2043">
        <v>0.2</v>
      </c>
      <c r="R2043">
        <v>0.1</v>
      </c>
      <c r="S2043">
        <v>0.15</v>
      </c>
      <c r="T2043" t="s">
        <v>33</v>
      </c>
      <c r="U2043">
        <v>3.4</v>
      </c>
      <c r="V2043">
        <v>48</v>
      </c>
      <c r="W2043">
        <v>0</v>
      </c>
      <c r="X2043">
        <v>48</v>
      </c>
      <c r="Y2043">
        <v>0</v>
      </c>
      <c r="Z2043">
        <v>0</v>
      </c>
      <c r="AA2043">
        <v>0</v>
      </c>
      <c r="AB2043" t="s">
        <v>36</v>
      </c>
      <c r="AC2043">
        <v>48</v>
      </c>
      <c r="AD2043">
        <v>0.87</v>
      </c>
    </row>
    <row r="2044" spans="1:30" x14ac:dyDescent="0.25">
      <c r="A2044" s="1">
        <v>44784.681296296294</v>
      </c>
      <c r="B2044" s="1">
        <v>44780.394780092596</v>
      </c>
      <c r="C2044">
        <v>151712</v>
      </c>
      <c r="D2044" t="s">
        <v>40</v>
      </c>
      <c r="E2044" t="s">
        <v>31</v>
      </c>
      <c r="F2044">
        <v>7</v>
      </c>
      <c r="G2044">
        <v>43.289763999999998</v>
      </c>
      <c r="H2044">
        <v>-71.564260000000004</v>
      </c>
      <c r="I2044">
        <v>370</v>
      </c>
      <c r="J2044">
        <v>86</v>
      </c>
      <c r="K2044">
        <v>0</v>
      </c>
      <c r="L2044" s="1">
        <v>44784.681273148148</v>
      </c>
      <c r="M2044">
        <v>14</v>
      </c>
      <c r="N2044">
        <v>13.2</v>
      </c>
      <c r="O2044">
        <v>0.8</v>
      </c>
      <c r="P2044">
        <v>6</v>
      </c>
      <c r="Q2044">
        <v>0</v>
      </c>
      <c r="R2044">
        <v>0</v>
      </c>
      <c r="S2044">
        <v>0</v>
      </c>
      <c r="T2044" t="s">
        <v>32</v>
      </c>
      <c r="V2044">
        <v>59</v>
      </c>
      <c r="W2044">
        <v>0</v>
      </c>
      <c r="X2044">
        <v>59</v>
      </c>
      <c r="Y2044">
        <v>0</v>
      </c>
      <c r="Z2044">
        <v>0</v>
      </c>
      <c r="AA2044">
        <v>0</v>
      </c>
      <c r="AB2044" t="s">
        <v>36</v>
      </c>
      <c r="AC2044">
        <v>59</v>
      </c>
    </row>
    <row r="2045" spans="1:30" x14ac:dyDescent="0.25">
      <c r="A2045" s="1">
        <v>44784.681307870371</v>
      </c>
      <c r="B2045" s="1">
        <v>44784.680856481478</v>
      </c>
      <c r="C2045">
        <v>151710</v>
      </c>
      <c r="D2045" t="s">
        <v>41</v>
      </c>
      <c r="E2045" t="s">
        <v>31</v>
      </c>
      <c r="F2045">
        <v>7</v>
      </c>
      <c r="G2045">
        <v>43.132477000000002</v>
      </c>
      <c r="H2045">
        <v>-71.458374000000006</v>
      </c>
      <c r="I2045">
        <v>230</v>
      </c>
      <c r="J2045">
        <v>92</v>
      </c>
      <c r="K2045">
        <v>0</v>
      </c>
      <c r="L2045" s="1">
        <v>44784.681273148148</v>
      </c>
      <c r="M2045">
        <v>5.5</v>
      </c>
      <c r="N2045">
        <v>3.7</v>
      </c>
      <c r="O2045">
        <v>1.8</v>
      </c>
      <c r="P2045">
        <v>39</v>
      </c>
      <c r="Q2045">
        <v>0.3</v>
      </c>
      <c r="R2045">
        <v>0.1</v>
      </c>
      <c r="S2045">
        <v>0.2</v>
      </c>
      <c r="T2045" t="s">
        <v>33</v>
      </c>
      <c r="U2045">
        <v>4.5999999999999996</v>
      </c>
      <c r="V2045">
        <v>32</v>
      </c>
      <c r="W2045">
        <v>0</v>
      </c>
      <c r="X2045">
        <v>32</v>
      </c>
      <c r="Y2045">
        <v>1</v>
      </c>
      <c r="Z2045">
        <v>0</v>
      </c>
      <c r="AA2045">
        <v>1</v>
      </c>
      <c r="AB2045" t="s">
        <v>36</v>
      </c>
      <c r="AC2045">
        <v>32</v>
      </c>
      <c r="AD2045">
        <v>2.73</v>
      </c>
    </row>
    <row r="2046" spans="1:30" x14ac:dyDescent="0.25">
      <c r="A2046" s="1">
        <v>44784.681307870371</v>
      </c>
      <c r="B2046" s="1">
        <v>44784.680497685185</v>
      </c>
      <c r="C2046">
        <v>151706</v>
      </c>
      <c r="D2046" t="s">
        <v>42</v>
      </c>
      <c r="E2046" t="s">
        <v>31</v>
      </c>
      <c r="F2046">
        <v>7</v>
      </c>
      <c r="G2046">
        <v>43.004080000000002</v>
      </c>
      <c r="H2046">
        <v>-71.177040000000005</v>
      </c>
      <c r="I2046">
        <v>194</v>
      </c>
      <c r="J2046">
        <v>88</v>
      </c>
      <c r="K2046">
        <v>0</v>
      </c>
      <c r="L2046" s="1">
        <v>44784.681273148148</v>
      </c>
      <c r="M2046">
        <v>2.8</v>
      </c>
      <c r="N2046">
        <v>0</v>
      </c>
      <c r="O2046">
        <v>2.8</v>
      </c>
      <c r="P2046">
        <v>200</v>
      </c>
      <c r="Q2046">
        <v>0.1</v>
      </c>
      <c r="R2046">
        <v>0</v>
      </c>
      <c r="S2046">
        <v>0.05</v>
      </c>
      <c r="T2046" t="s">
        <v>43</v>
      </c>
      <c r="V2046">
        <v>36</v>
      </c>
      <c r="W2046">
        <v>0</v>
      </c>
      <c r="X2046">
        <v>36</v>
      </c>
      <c r="Y2046">
        <v>1</v>
      </c>
      <c r="Z2046">
        <v>0</v>
      </c>
      <c r="AA2046">
        <v>1</v>
      </c>
      <c r="AB2046" t="s">
        <v>36</v>
      </c>
      <c r="AC2046">
        <v>36</v>
      </c>
    </row>
    <row r="2047" spans="1:30" x14ac:dyDescent="0.25">
      <c r="A2047" s="1">
        <v>44784.681307870371</v>
      </c>
      <c r="B2047" s="1">
        <v>44784.680277777778</v>
      </c>
      <c r="C2047">
        <v>12212</v>
      </c>
      <c r="D2047" t="s">
        <v>44</v>
      </c>
      <c r="E2047" t="s">
        <v>35</v>
      </c>
      <c r="F2047">
        <v>7</v>
      </c>
      <c r="G2047">
        <v>42.930529999999997</v>
      </c>
      <c r="H2047">
        <v>-72.272350000000003</v>
      </c>
      <c r="I2047">
        <v>476</v>
      </c>
      <c r="J2047">
        <v>92</v>
      </c>
      <c r="K2047">
        <v>0</v>
      </c>
      <c r="L2047" s="1">
        <v>44784.681273148148</v>
      </c>
      <c r="M2047">
        <v>5.0999999999999996</v>
      </c>
      <c r="N2047">
        <v>4.5999999999999996</v>
      </c>
      <c r="O2047">
        <v>0.5</v>
      </c>
      <c r="P2047">
        <v>10</v>
      </c>
      <c r="Q2047">
        <v>0.1</v>
      </c>
      <c r="R2047">
        <v>0.1</v>
      </c>
      <c r="S2047">
        <v>0.1</v>
      </c>
      <c r="T2047" t="s">
        <v>33</v>
      </c>
      <c r="U2047">
        <v>4.8499999999999996</v>
      </c>
      <c r="V2047">
        <v>31</v>
      </c>
      <c r="W2047">
        <v>0</v>
      </c>
      <c r="X2047">
        <v>31</v>
      </c>
      <c r="Y2047">
        <v>0</v>
      </c>
      <c r="Z2047">
        <v>0</v>
      </c>
      <c r="AA2047">
        <v>0</v>
      </c>
      <c r="AB2047" t="s">
        <v>36</v>
      </c>
      <c r="AC2047">
        <v>31</v>
      </c>
      <c r="AD2047">
        <v>2.95</v>
      </c>
    </row>
    <row r="2048" spans="1:30" x14ac:dyDescent="0.25">
      <c r="A2048" s="1">
        <v>44784.681319444448</v>
      </c>
      <c r="B2048" s="1">
        <v>44769.376736111109</v>
      </c>
      <c r="C2048">
        <v>12178</v>
      </c>
      <c r="D2048" t="s">
        <v>45</v>
      </c>
      <c r="E2048" t="s">
        <v>35</v>
      </c>
      <c r="F2048">
        <v>7</v>
      </c>
      <c r="G2048">
        <v>42.899563000000001</v>
      </c>
      <c r="H2048">
        <v>-71.464650000000006</v>
      </c>
      <c r="I2048">
        <v>301</v>
      </c>
      <c r="J2048">
        <v>85</v>
      </c>
      <c r="K2048">
        <v>0</v>
      </c>
      <c r="L2048" s="1">
        <v>44784.681273148148</v>
      </c>
      <c r="M2048">
        <v>3.8</v>
      </c>
      <c r="N2048">
        <v>3.1</v>
      </c>
      <c r="O2048">
        <v>0.7</v>
      </c>
      <c r="P2048">
        <v>20</v>
      </c>
      <c r="Q2048">
        <v>0</v>
      </c>
      <c r="R2048">
        <v>0</v>
      </c>
      <c r="S2048">
        <v>0</v>
      </c>
      <c r="T2048" t="s">
        <v>32</v>
      </c>
      <c r="V2048">
        <v>35</v>
      </c>
      <c r="W2048">
        <v>0</v>
      </c>
      <c r="X2048">
        <v>35</v>
      </c>
      <c r="Y2048">
        <v>0</v>
      </c>
      <c r="Z2048">
        <v>0</v>
      </c>
      <c r="AA2048">
        <v>0</v>
      </c>
      <c r="AB2048" t="s">
        <v>36</v>
      </c>
      <c r="AC2048">
        <v>35</v>
      </c>
    </row>
    <row r="2049" spans="1:30" x14ac:dyDescent="0.25">
      <c r="A2049" s="1">
        <v>44784.681319444448</v>
      </c>
      <c r="B2049" s="1">
        <v>44784.680949074071</v>
      </c>
      <c r="C2049">
        <v>75981</v>
      </c>
      <c r="D2049" t="s">
        <v>46</v>
      </c>
      <c r="E2049" t="s">
        <v>35</v>
      </c>
      <c r="F2049">
        <v>7</v>
      </c>
      <c r="G2049">
        <v>42.97</v>
      </c>
      <c r="H2049">
        <v>-71.06</v>
      </c>
      <c r="I2049">
        <v>136</v>
      </c>
      <c r="J2049">
        <v>89</v>
      </c>
      <c r="K2049">
        <v>0</v>
      </c>
      <c r="L2049" s="1">
        <v>44784.681273148148</v>
      </c>
      <c r="M2049">
        <v>12.3</v>
      </c>
      <c r="N2049">
        <v>11.8</v>
      </c>
      <c r="O2049">
        <v>0.5</v>
      </c>
      <c r="P2049">
        <v>4</v>
      </c>
      <c r="Q2049">
        <v>0.1</v>
      </c>
      <c r="R2049">
        <v>0.3</v>
      </c>
      <c r="S2049">
        <v>0.2</v>
      </c>
      <c r="T2049" t="s">
        <v>33</v>
      </c>
      <c r="U2049">
        <v>12.05</v>
      </c>
      <c r="V2049">
        <v>46</v>
      </c>
      <c r="W2049">
        <v>0</v>
      </c>
      <c r="X2049">
        <v>46</v>
      </c>
      <c r="Y2049">
        <v>0</v>
      </c>
      <c r="Z2049">
        <v>0</v>
      </c>
      <c r="AA2049">
        <v>0</v>
      </c>
      <c r="AB2049" t="s">
        <v>36</v>
      </c>
      <c r="AC2049">
        <v>46</v>
      </c>
      <c r="AD2049">
        <v>6.29</v>
      </c>
    </row>
    <row r="2050" spans="1:30" x14ac:dyDescent="0.25">
      <c r="A2050" s="1">
        <v>44784.681331018517</v>
      </c>
      <c r="B2050" s="1">
        <v>44784.680104166669</v>
      </c>
      <c r="C2050">
        <v>115703</v>
      </c>
      <c r="D2050" t="s">
        <v>47</v>
      </c>
      <c r="E2050" t="s">
        <v>35</v>
      </c>
      <c r="F2050">
        <v>7</v>
      </c>
      <c r="G2050">
        <v>43.953625000000002</v>
      </c>
      <c r="H2050">
        <v>-71.508859999999999</v>
      </c>
      <c r="I2050">
        <v>1493</v>
      </c>
      <c r="J2050">
        <v>90</v>
      </c>
      <c r="K2050">
        <v>0</v>
      </c>
      <c r="L2050" s="1">
        <v>44784.681273148148</v>
      </c>
      <c r="M2050">
        <v>0</v>
      </c>
      <c r="N2050">
        <v>1.7</v>
      </c>
      <c r="O2050">
        <v>1.7</v>
      </c>
      <c r="P2050">
        <v>200</v>
      </c>
      <c r="Q2050">
        <v>0</v>
      </c>
      <c r="R2050">
        <v>1.1000000000000001</v>
      </c>
      <c r="S2050">
        <v>0.55000000000000004</v>
      </c>
      <c r="T2050" t="s">
        <v>48</v>
      </c>
      <c r="V2050">
        <v>31</v>
      </c>
      <c r="W2050">
        <v>0</v>
      </c>
      <c r="X2050">
        <v>31</v>
      </c>
      <c r="Y2050">
        <v>2</v>
      </c>
      <c r="Z2050">
        <v>0</v>
      </c>
      <c r="AA2050">
        <v>2</v>
      </c>
      <c r="AB2050" t="s">
        <v>36</v>
      </c>
      <c r="AC2050">
        <v>31</v>
      </c>
    </row>
    <row r="2051" spans="1:30" x14ac:dyDescent="0.25">
      <c r="A2051" s="1">
        <v>44784.681331018517</v>
      </c>
      <c r="B2051" s="1">
        <v>44784.679525462961</v>
      </c>
      <c r="C2051">
        <v>12050</v>
      </c>
      <c r="D2051" t="s">
        <v>49</v>
      </c>
      <c r="E2051" t="s">
        <v>35</v>
      </c>
      <c r="F2051">
        <v>7</v>
      </c>
      <c r="G2051">
        <v>44.220573000000002</v>
      </c>
      <c r="H2051">
        <v>-71.732315</v>
      </c>
      <c r="I2051">
        <v>999</v>
      </c>
      <c r="J2051">
        <v>92</v>
      </c>
      <c r="K2051">
        <v>0</v>
      </c>
      <c r="L2051" s="1">
        <v>44784.681273148148</v>
      </c>
      <c r="M2051">
        <v>3.5</v>
      </c>
      <c r="N2051">
        <v>3.2</v>
      </c>
      <c r="O2051">
        <v>0.3</v>
      </c>
      <c r="P2051">
        <v>9</v>
      </c>
      <c r="Q2051">
        <v>0</v>
      </c>
      <c r="R2051">
        <v>0.1</v>
      </c>
      <c r="S2051">
        <v>0.05</v>
      </c>
      <c r="T2051" t="s">
        <v>33</v>
      </c>
      <c r="U2051">
        <v>3.35</v>
      </c>
      <c r="V2051">
        <v>28</v>
      </c>
      <c r="W2051">
        <v>0</v>
      </c>
      <c r="X2051">
        <v>28</v>
      </c>
      <c r="Y2051">
        <v>2</v>
      </c>
      <c r="Z2051">
        <v>0</v>
      </c>
      <c r="AA2051">
        <v>2</v>
      </c>
      <c r="AB2051" t="s">
        <v>36</v>
      </c>
      <c r="AC2051">
        <v>28</v>
      </c>
      <c r="AD2051">
        <v>2.2400000000000002</v>
      </c>
    </row>
    <row r="2052" spans="1:30" x14ac:dyDescent="0.25">
      <c r="A2052" s="1">
        <v>44784.681331018517</v>
      </c>
      <c r="B2052" s="1">
        <v>44784.681018518517</v>
      </c>
      <c r="C2052">
        <v>23443</v>
      </c>
      <c r="D2052" t="s">
        <v>50</v>
      </c>
      <c r="E2052" t="s">
        <v>35</v>
      </c>
      <c r="F2052">
        <v>7</v>
      </c>
      <c r="G2052">
        <v>43.556139999999999</v>
      </c>
      <c r="H2052">
        <v>-72.370990000000006</v>
      </c>
      <c r="I2052">
        <v>523</v>
      </c>
      <c r="J2052">
        <v>105</v>
      </c>
      <c r="K2052">
        <v>0</v>
      </c>
      <c r="L2052" s="1">
        <v>44784.681273148148</v>
      </c>
      <c r="M2052">
        <v>3</v>
      </c>
      <c r="N2052">
        <v>2.8</v>
      </c>
      <c r="O2052">
        <v>0.2</v>
      </c>
      <c r="P2052">
        <v>7</v>
      </c>
      <c r="Q2052">
        <v>0.1</v>
      </c>
      <c r="R2052">
        <v>0</v>
      </c>
      <c r="S2052">
        <v>0.05</v>
      </c>
      <c r="T2052" t="s">
        <v>33</v>
      </c>
      <c r="U2052">
        <v>2.9</v>
      </c>
      <c r="V2052">
        <v>20</v>
      </c>
      <c r="W2052">
        <v>0</v>
      </c>
      <c r="X2052">
        <v>20</v>
      </c>
      <c r="Y2052">
        <v>0</v>
      </c>
      <c r="Z2052">
        <v>0</v>
      </c>
      <c r="AA2052">
        <v>0</v>
      </c>
      <c r="AB2052" t="s">
        <v>36</v>
      </c>
      <c r="AC2052">
        <v>20</v>
      </c>
      <c r="AD2052">
        <v>2.5299999999999998</v>
      </c>
    </row>
    <row r="2053" spans="1:30" x14ac:dyDescent="0.25">
      <c r="A2053" s="1">
        <v>44784.681342592594</v>
      </c>
      <c r="B2053" s="1">
        <v>44784.679745370369</v>
      </c>
      <c r="C2053">
        <v>58135</v>
      </c>
      <c r="D2053" t="s">
        <v>51</v>
      </c>
      <c r="E2053" t="s">
        <v>35</v>
      </c>
      <c r="F2053">
        <v>7</v>
      </c>
      <c r="G2053">
        <v>42.883873000000001</v>
      </c>
      <c r="H2053">
        <v>-71.972915999999998</v>
      </c>
      <c r="I2053">
        <v>808</v>
      </c>
      <c r="J2053">
        <v>88</v>
      </c>
      <c r="K2053">
        <v>0</v>
      </c>
      <c r="L2053" s="1">
        <v>44784.681273148148</v>
      </c>
      <c r="M2053">
        <v>4.7</v>
      </c>
      <c r="N2053">
        <v>3</v>
      </c>
      <c r="O2053">
        <v>1.7</v>
      </c>
      <c r="P2053">
        <v>44</v>
      </c>
      <c r="Q2053">
        <v>0.1</v>
      </c>
      <c r="R2053">
        <v>0.1</v>
      </c>
      <c r="S2053">
        <v>0.1</v>
      </c>
      <c r="T2053" t="s">
        <v>33</v>
      </c>
      <c r="U2053">
        <v>3.85</v>
      </c>
      <c r="V2053">
        <v>34</v>
      </c>
      <c r="W2053">
        <v>0</v>
      </c>
      <c r="X2053">
        <v>34</v>
      </c>
      <c r="Y2053">
        <v>0</v>
      </c>
      <c r="Z2053">
        <v>0</v>
      </c>
      <c r="AA2053">
        <v>0</v>
      </c>
      <c r="AB2053" t="s">
        <v>36</v>
      </c>
      <c r="AC2053">
        <v>34</v>
      </c>
      <c r="AD2053">
        <v>2.13</v>
      </c>
    </row>
    <row r="2054" spans="1:30" x14ac:dyDescent="0.25">
      <c r="A2054" s="1">
        <v>44784.681342592594</v>
      </c>
      <c r="B2054" s="1">
        <v>44784.679745370369</v>
      </c>
      <c r="C2054">
        <v>148555</v>
      </c>
      <c r="D2054" t="s">
        <v>52</v>
      </c>
      <c r="E2054" t="s">
        <v>53</v>
      </c>
      <c r="F2054">
        <v>7</v>
      </c>
      <c r="G2054">
        <v>42.904949999999999</v>
      </c>
      <c r="H2054">
        <v>-71.386764999999997</v>
      </c>
      <c r="I2054">
        <v>363</v>
      </c>
      <c r="J2054">
        <v>0</v>
      </c>
      <c r="K2054">
        <v>0</v>
      </c>
      <c r="L2054" s="1">
        <v>44784.681273148148</v>
      </c>
      <c r="M2054">
        <v>1.1000000000000001</v>
      </c>
      <c r="N2054">
        <v>1.3</v>
      </c>
      <c r="O2054">
        <v>0.2</v>
      </c>
      <c r="P2054">
        <v>17</v>
      </c>
      <c r="Q2054">
        <v>0.1</v>
      </c>
      <c r="R2054">
        <v>0.3</v>
      </c>
      <c r="S2054">
        <v>0.2</v>
      </c>
      <c r="T2054" t="s">
        <v>33</v>
      </c>
      <c r="U2054">
        <v>1.2</v>
      </c>
      <c r="V2054">
        <v>0</v>
      </c>
      <c r="W2054">
        <v>0</v>
      </c>
      <c r="X2054">
        <v>0</v>
      </c>
      <c r="Y2054">
        <v>0</v>
      </c>
      <c r="Z2054">
        <v>0</v>
      </c>
      <c r="AA2054">
        <v>0</v>
      </c>
      <c r="AB2054" t="s">
        <v>38</v>
      </c>
    </row>
    <row r="2055" spans="1:30" x14ac:dyDescent="0.25">
      <c r="A2055" s="1">
        <v>44784.681342592594</v>
      </c>
      <c r="B2055" s="1">
        <v>44784.680625000001</v>
      </c>
      <c r="C2055">
        <v>146644</v>
      </c>
      <c r="D2055" t="s">
        <v>54</v>
      </c>
      <c r="E2055" t="s">
        <v>53</v>
      </c>
      <c r="F2055">
        <v>7</v>
      </c>
      <c r="G2055">
        <v>43.06015</v>
      </c>
      <c r="H2055">
        <v>-70.758930000000007</v>
      </c>
      <c r="I2055">
        <v>35</v>
      </c>
      <c r="J2055">
        <v>78</v>
      </c>
      <c r="K2055">
        <v>79</v>
      </c>
      <c r="L2055" s="1">
        <v>44784.681273148148</v>
      </c>
      <c r="M2055">
        <v>15.5</v>
      </c>
      <c r="N2055">
        <v>14.6</v>
      </c>
      <c r="O2055">
        <v>0.9</v>
      </c>
      <c r="P2055">
        <v>6</v>
      </c>
      <c r="Q2055">
        <v>0.6</v>
      </c>
      <c r="R2055">
        <v>0.6</v>
      </c>
      <c r="S2055">
        <v>0.6</v>
      </c>
      <c r="T2055" t="s">
        <v>33</v>
      </c>
      <c r="U2055">
        <v>15.05</v>
      </c>
      <c r="V2055">
        <v>58</v>
      </c>
      <c r="W2055">
        <v>63</v>
      </c>
      <c r="X2055">
        <v>5</v>
      </c>
      <c r="Y2055">
        <v>2</v>
      </c>
      <c r="Z2055">
        <v>1</v>
      </c>
      <c r="AA2055">
        <v>1</v>
      </c>
      <c r="AB2055" t="s">
        <v>33</v>
      </c>
      <c r="AC2055">
        <v>60.5</v>
      </c>
      <c r="AD2055">
        <v>7.11</v>
      </c>
    </row>
    <row r="2056" spans="1:30" x14ac:dyDescent="0.25">
      <c r="A2056" s="1">
        <v>44784.681354166663</v>
      </c>
      <c r="B2056" s="1">
        <v>43755.283437500002</v>
      </c>
      <c r="C2056">
        <v>12188</v>
      </c>
      <c r="D2056" t="s">
        <v>55</v>
      </c>
      <c r="E2056" t="s">
        <v>35</v>
      </c>
      <c r="F2056">
        <v>4.1100000000000003</v>
      </c>
      <c r="G2056">
        <v>42.927050000000001</v>
      </c>
      <c r="H2056">
        <v>-72.279610000000005</v>
      </c>
      <c r="I2056">
        <v>475</v>
      </c>
      <c r="J2056">
        <v>95</v>
      </c>
      <c r="K2056">
        <v>0</v>
      </c>
      <c r="L2056" s="1">
        <v>44784.681273148148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 t="s">
        <v>32</v>
      </c>
      <c r="V2056">
        <v>77</v>
      </c>
      <c r="W2056">
        <v>0</v>
      </c>
      <c r="X2056">
        <v>77</v>
      </c>
      <c r="Y2056">
        <v>0</v>
      </c>
      <c r="Z2056">
        <v>0</v>
      </c>
      <c r="AA2056">
        <v>0</v>
      </c>
      <c r="AB2056" t="s">
        <v>36</v>
      </c>
      <c r="AC2056">
        <v>77</v>
      </c>
    </row>
    <row r="2057" spans="1:30" x14ac:dyDescent="0.25">
      <c r="A2057" s="1">
        <v>44784.681354166663</v>
      </c>
      <c r="B2057" s="1">
        <v>44784.681018518517</v>
      </c>
      <c r="C2057">
        <v>1224</v>
      </c>
      <c r="D2057" t="s">
        <v>56</v>
      </c>
      <c r="E2057" t="s">
        <v>35</v>
      </c>
      <c r="F2057" t="s">
        <v>57</v>
      </c>
      <c r="G2057">
        <v>42.938034000000002</v>
      </c>
      <c r="H2057">
        <v>-72.259299999999996</v>
      </c>
      <c r="I2057">
        <v>792</v>
      </c>
      <c r="J2057">
        <v>89</v>
      </c>
      <c r="K2057">
        <v>0</v>
      </c>
      <c r="L2057" s="1">
        <v>44784.681273148148</v>
      </c>
      <c r="M2057">
        <v>5.3</v>
      </c>
      <c r="N2057">
        <v>0.1</v>
      </c>
      <c r="O2057">
        <v>5.2</v>
      </c>
      <c r="P2057">
        <v>193</v>
      </c>
      <c r="Q2057">
        <v>0.1</v>
      </c>
      <c r="R2057">
        <v>0</v>
      </c>
      <c r="S2057">
        <v>0.05</v>
      </c>
      <c r="T2057" t="s">
        <v>33</v>
      </c>
      <c r="U2057">
        <v>2.7</v>
      </c>
      <c r="V2057">
        <v>39</v>
      </c>
      <c r="W2057">
        <v>0</v>
      </c>
      <c r="X2057">
        <v>39</v>
      </c>
      <c r="Y2057">
        <v>1</v>
      </c>
      <c r="Z2057">
        <v>0</v>
      </c>
      <c r="AA2057">
        <v>1</v>
      </c>
      <c r="AB2057" t="s">
        <v>36</v>
      </c>
      <c r="AC2057">
        <v>39</v>
      </c>
      <c r="AD2057">
        <v>1.08</v>
      </c>
    </row>
    <row r="2058" spans="1:30" x14ac:dyDescent="0.25">
      <c r="A2058" s="1">
        <v>44784.681354166663</v>
      </c>
      <c r="B2058" s="1">
        <v>44784.680462962962</v>
      </c>
      <c r="C2058">
        <v>1202</v>
      </c>
      <c r="D2058" t="s">
        <v>58</v>
      </c>
      <c r="E2058" t="s">
        <v>35</v>
      </c>
      <c r="F2058" t="s">
        <v>57</v>
      </c>
      <c r="G2058">
        <v>42.936554000000001</v>
      </c>
      <c r="H2058">
        <v>-72.271019999999993</v>
      </c>
      <c r="I2058">
        <v>488</v>
      </c>
      <c r="J2058">
        <v>0</v>
      </c>
      <c r="K2058">
        <v>0</v>
      </c>
      <c r="L2058" s="1">
        <v>44784.681273148148</v>
      </c>
      <c r="M2058">
        <v>5.7</v>
      </c>
      <c r="N2058">
        <v>5</v>
      </c>
      <c r="O2058">
        <v>0.7</v>
      </c>
      <c r="P2058">
        <v>13</v>
      </c>
      <c r="Q2058">
        <v>0</v>
      </c>
      <c r="R2058">
        <v>0</v>
      </c>
      <c r="S2058">
        <v>0</v>
      </c>
      <c r="T2058" t="s">
        <v>33</v>
      </c>
      <c r="U2058">
        <v>5.35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 t="s">
        <v>38</v>
      </c>
    </row>
    <row r="2059" spans="1:30" x14ac:dyDescent="0.25">
      <c r="A2059" s="1">
        <v>44784.68136574074</v>
      </c>
      <c r="B2059" s="1">
        <v>44612.080023148148</v>
      </c>
      <c r="C2059">
        <v>25985</v>
      </c>
      <c r="D2059" t="s">
        <v>59</v>
      </c>
      <c r="E2059" t="s">
        <v>35</v>
      </c>
      <c r="F2059">
        <v>6.01</v>
      </c>
      <c r="G2059">
        <v>42.927326000000001</v>
      </c>
      <c r="H2059">
        <v>-72.279979999999995</v>
      </c>
      <c r="I2059">
        <v>477</v>
      </c>
      <c r="J2059">
        <v>78</v>
      </c>
      <c r="K2059">
        <v>0</v>
      </c>
      <c r="L2059" s="1">
        <v>44784.681273148148</v>
      </c>
      <c r="M2059">
        <v>1.1000000000000001</v>
      </c>
      <c r="N2059">
        <v>1</v>
      </c>
      <c r="O2059">
        <v>0.1</v>
      </c>
      <c r="P2059">
        <v>10</v>
      </c>
      <c r="Q2059">
        <v>0</v>
      </c>
      <c r="R2059">
        <v>0</v>
      </c>
      <c r="S2059">
        <v>0</v>
      </c>
      <c r="T2059" t="s">
        <v>32</v>
      </c>
      <c r="V2059">
        <v>22</v>
      </c>
      <c r="W2059">
        <v>0</v>
      </c>
      <c r="X2059">
        <v>22</v>
      </c>
      <c r="Y2059">
        <v>0</v>
      </c>
      <c r="Z2059">
        <v>0</v>
      </c>
      <c r="AA2059">
        <v>0</v>
      </c>
      <c r="AB2059" t="s">
        <v>36</v>
      </c>
      <c r="AC2059">
        <v>22</v>
      </c>
    </row>
    <row r="2060" spans="1:30" x14ac:dyDescent="0.25">
      <c r="A2060" s="1">
        <v>44784.688217592593</v>
      </c>
      <c r="B2060" s="1">
        <v>44775.701319444444</v>
      </c>
      <c r="C2060">
        <v>151708</v>
      </c>
      <c r="D2060" t="s">
        <v>30</v>
      </c>
      <c r="E2060" t="s">
        <v>31</v>
      </c>
      <c r="F2060">
        <v>7</v>
      </c>
      <c r="G2060">
        <v>43.192042999999998</v>
      </c>
      <c r="H2060">
        <v>-71.541579999999996</v>
      </c>
      <c r="I2060">
        <v>291</v>
      </c>
      <c r="J2060">
        <v>93</v>
      </c>
      <c r="K2060">
        <v>94</v>
      </c>
      <c r="L2060" s="1">
        <v>44784.688217592593</v>
      </c>
      <c r="M2060">
        <v>7.9</v>
      </c>
      <c r="N2060">
        <v>7.6</v>
      </c>
      <c r="O2060">
        <v>0.3</v>
      </c>
      <c r="P2060">
        <v>4</v>
      </c>
      <c r="Q2060">
        <v>0</v>
      </c>
      <c r="R2060">
        <v>0</v>
      </c>
      <c r="S2060">
        <v>0</v>
      </c>
      <c r="T2060" t="s">
        <v>32</v>
      </c>
      <c r="V2060">
        <v>42</v>
      </c>
      <c r="W2060">
        <v>41</v>
      </c>
      <c r="X2060">
        <v>1</v>
      </c>
      <c r="Y2060">
        <v>0</v>
      </c>
      <c r="Z2060">
        <v>0</v>
      </c>
      <c r="AA2060">
        <v>0</v>
      </c>
      <c r="AB2060" t="s">
        <v>33</v>
      </c>
      <c r="AC2060">
        <v>41.5</v>
      </c>
    </row>
    <row r="2061" spans="1:30" x14ac:dyDescent="0.25">
      <c r="A2061" s="1">
        <v>44784.68822916667</v>
      </c>
      <c r="B2061" s="1">
        <v>44784.686620370368</v>
      </c>
      <c r="C2061">
        <v>143456</v>
      </c>
      <c r="D2061" t="s">
        <v>34</v>
      </c>
      <c r="E2061" t="s">
        <v>35</v>
      </c>
      <c r="F2061">
        <v>7</v>
      </c>
      <c r="G2061">
        <v>43.08963</v>
      </c>
      <c r="H2061">
        <v>-71.502440000000007</v>
      </c>
      <c r="I2061">
        <v>619</v>
      </c>
      <c r="J2061">
        <v>85</v>
      </c>
      <c r="K2061">
        <v>0</v>
      </c>
      <c r="L2061" s="1">
        <v>44784.688217592593</v>
      </c>
      <c r="M2061">
        <v>3.1</v>
      </c>
      <c r="N2061">
        <v>3.5</v>
      </c>
      <c r="O2061">
        <v>0.4</v>
      </c>
      <c r="P2061">
        <v>12</v>
      </c>
      <c r="Q2061">
        <v>0</v>
      </c>
      <c r="R2061">
        <v>0.1</v>
      </c>
      <c r="S2061">
        <v>0.05</v>
      </c>
      <c r="T2061" t="s">
        <v>33</v>
      </c>
      <c r="U2061">
        <v>3.3</v>
      </c>
      <c r="V2061">
        <v>46</v>
      </c>
      <c r="W2061">
        <v>0</v>
      </c>
      <c r="X2061">
        <v>46</v>
      </c>
      <c r="Y2061">
        <v>2</v>
      </c>
      <c r="Z2061">
        <v>0</v>
      </c>
      <c r="AA2061">
        <v>2</v>
      </c>
      <c r="AB2061" t="s">
        <v>36</v>
      </c>
      <c r="AC2061">
        <v>46</v>
      </c>
      <c r="AD2061">
        <v>0.95</v>
      </c>
    </row>
    <row r="2062" spans="1:30" x14ac:dyDescent="0.25">
      <c r="A2062" s="1">
        <v>44784.68822916667</v>
      </c>
      <c r="B2062" s="1">
        <v>44784.686759259261</v>
      </c>
      <c r="C2062">
        <v>151702</v>
      </c>
      <c r="D2062" t="s">
        <v>37</v>
      </c>
      <c r="E2062" t="s">
        <v>31</v>
      </c>
      <c r="F2062">
        <v>7</v>
      </c>
      <c r="G2062">
        <v>43.118609999999997</v>
      </c>
      <c r="H2062">
        <v>-71.61618</v>
      </c>
      <c r="I2062">
        <v>885</v>
      </c>
      <c r="J2062">
        <v>0</v>
      </c>
      <c r="K2062">
        <v>0</v>
      </c>
      <c r="L2062" s="1">
        <v>44784.688217592593</v>
      </c>
      <c r="M2062">
        <v>2.6</v>
      </c>
      <c r="N2062">
        <v>2.6</v>
      </c>
      <c r="O2062">
        <v>0</v>
      </c>
      <c r="P2062">
        <v>0</v>
      </c>
      <c r="Q2062">
        <v>0</v>
      </c>
      <c r="R2062">
        <v>0.1</v>
      </c>
      <c r="S2062">
        <v>0.05</v>
      </c>
      <c r="T2062" t="s">
        <v>33</v>
      </c>
      <c r="U2062">
        <v>2.6</v>
      </c>
      <c r="V2062">
        <v>0</v>
      </c>
      <c r="W2062">
        <v>0</v>
      </c>
      <c r="X2062">
        <v>0</v>
      </c>
      <c r="Y2062">
        <v>0</v>
      </c>
      <c r="Z2062">
        <v>0</v>
      </c>
      <c r="AA2062">
        <v>0</v>
      </c>
      <c r="AB2062" t="s">
        <v>38</v>
      </c>
    </row>
    <row r="2063" spans="1:30" x14ac:dyDescent="0.25">
      <c r="A2063" s="1">
        <v>44784.68822916667</v>
      </c>
      <c r="B2063" s="1">
        <v>44784.686655092592</v>
      </c>
      <c r="C2063">
        <v>151700</v>
      </c>
      <c r="D2063" t="s">
        <v>30</v>
      </c>
      <c r="E2063" t="s">
        <v>31</v>
      </c>
      <c r="F2063">
        <v>7</v>
      </c>
      <c r="G2063">
        <v>43.19211</v>
      </c>
      <c r="H2063">
        <v>-71.541460000000001</v>
      </c>
      <c r="I2063">
        <v>286</v>
      </c>
      <c r="J2063">
        <v>85</v>
      </c>
      <c r="K2063">
        <v>0</v>
      </c>
      <c r="L2063" s="1">
        <v>44784.688217592593</v>
      </c>
      <c r="M2063">
        <v>2.7</v>
      </c>
      <c r="N2063">
        <v>3.2</v>
      </c>
      <c r="O2063">
        <v>0.5</v>
      </c>
      <c r="P2063">
        <v>17</v>
      </c>
      <c r="Q2063">
        <v>0.2</v>
      </c>
      <c r="R2063">
        <v>0</v>
      </c>
      <c r="S2063">
        <v>0.1</v>
      </c>
      <c r="T2063" t="s">
        <v>33</v>
      </c>
      <c r="U2063">
        <v>2.95</v>
      </c>
      <c r="V2063">
        <v>43</v>
      </c>
      <c r="W2063">
        <v>0</v>
      </c>
      <c r="X2063">
        <v>43</v>
      </c>
      <c r="Y2063">
        <v>1</v>
      </c>
      <c r="Z2063">
        <v>0</v>
      </c>
      <c r="AA2063">
        <v>1</v>
      </c>
      <c r="AB2063" t="s">
        <v>36</v>
      </c>
      <c r="AC2063">
        <v>43</v>
      </c>
      <c r="AD2063">
        <v>0.95</v>
      </c>
    </row>
    <row r="2064" spans="1:30" x14ac:dyDescent="0.25">
      <c r="A2064" s="1">
        <v>44784.688275462962</v>
      </c>
      <c r="B2064" s="1">
        <v>44784.687094907407</v>
      </c>
      <c r="C2064">
        <v>135984</v>
      </c>
      <c r="D2064" t="s">
        <v>39</v>
      </c>
      <c r="E2064" t="s">
        <v>31</v>
      </c>
      <c r="F2064">
        <v>7</v>
      </c>
      <c r="G2064">
        <v>43.565852999999997</v>
      </c>
      <c r="H2064">
        <v>-71.496129999999994</v>
      </c>
      <c r="I2064">
        <v>708</v>
      </c>
      <c r="J2064">
        <v>87</v>
      </c>
      <c r="K2064">
        <v>0</v>
      </c>
      <c r="L2064" s="1">
        <v>44784.688217592593</v>
      </c>
      <c r="M2064">
        <v>3.5</v>
      </c>
      <c r="N2064">
        <v>3.1</v>
      </c>
      <c r="O2064">
        <v>0.4</v>
      </c>
      <c r="P2064">
        <v>12</v>
      </c>
      <c r="Q2064">
        <v>0.1</v>
      </c>
      <c r="R2064">
        <v>0.1</v>
      </c>
      <c r="S2064">
        <v>0.1</v>
      </c>
      <c r="T2064" t="s">
        <v>33</v>
      </c>
      <c r="U2064">
        <v>3.3</v>
      </c>
      <c r="V2064">
        <v>50</v>
      </c>
      <c r="W2064">
        <v>0</v>
      </c>
      <c r="X2064">
        <v>50</v>
      </c>
      <c r="Y2064">
        <v>2</v>
      </c>
      <c r="Z2064">
        <v>0</v>
      </c>
      <c r="AA2064">
        <v>2</v>
      </c>
      <c r="AB2064" t="s">
        <v>36</v>
      </c>
      <c r="AC2064">
        <v>50</v>
      </c>
      <c r="AD2064">
        <v>0.67</v>
      </c>
    </row>
    <row r="2065" spans="1:30" x14ac:dyDescent="0.25">
      <c r="A2065" s="1">
        <v>44784.688287037039</v>
      </c>
      <c r="B2065" s="1">
        <v>44780.394780092596</v>
      </c>
      <c r="C2065">
        <v>151712</v>
      </c>
      <c r="D2065" t="s">
        <v>40</v>
      </c>
      <c r="E2065" t="s">
        <v>31</v>
      </c>
      <c r="F2065">
        <v>7</v>
      </c>
      <c r="G2065">
        <v>43.289763999999998</v>
      </c>
      <c r="H2065">
        <v>-71.564260000000004</v>
      </c>
      <c r="I2065">
        <v>370</v>
      </c>
      <c r="J2065">
        <v>86</v>
      </c>
      <c r="K2065">
        <v>0</v>
      </c>
      <c r="L2065" s="1">
        <v>44784.688217592593</v>
      </c>
      <c r="M2065">
        <v>14</v>
      </c>
      <c r="N2065">
        <v>13.2</v>
      </c>
      <c r="O2065">
        <v>0.8</v>
      </c>
      <c r="P2065">
        <v>6</v>
      </c>
      <c r="Q2065">
        <v>0</v>
      </c>
      <c r="R2065">
        <v>0</v>
      </c>
      <c r="S2065">
        <v>0</v>
      </c>
      <c r="T2065" t="s">
        <v>32</v>
      </c>
      <c r="V2065">
        <v>59</v>
      </c>
      <c r="W2065">
        <v>0</v>
      </c>
      <c r="X2065">
        <v>59</v>
      </c>
      <c r="Y2065">
        <v>0</v>
      </c>
      <c r="Z2065">
        <v>0</v>
      </c>
      <c r="AA2065">
        <v>0</v>
      </c>
      <c r="AB2065" t="s">
        <v>36</v>
      </c>
      <c r="AC2065">
        <v>59</v>
      </c>
    </row>
    <row r="2066" spans="1:30" x14ac:dyDescent="0.25">
      <c r="A2066" s="1">
        <v>44784.688287037039</v>
      </c>
      <c r="B2066" s="1">
        <v>44784.687800925924</v>
      </c>
      <c r="C2066">
        <v>151710</v>
      </c>
      <c r="D2066" t="s">
        <v>41</v>
      </c>
      <c r="E2066" t="s">
        <v>31</v>
      </c>
      <c r="F2066">
        <v>7</v>
      </c>
      <c r="G2066">
        <v>43.132477000000002</v>
      </c>
      <c r="H2066">
        <v>-71.458374000000006</v>
      </c>
      <c r="I2066">
        <v>230</v>
      </c>
      <c r="J2066">
        <v>91</v>
      </c>
      <c r="K2066">
        <v>0</v>
      </c>
      <c r="L2066" s="1">
        <v>44784.688217592593</v>
      </c>
      <c r="M2066">
        <v>5.5</v>
      </c>
      <c r="N2066">
        <v>3.6</v>
      </c>
      <c r="O2066">
        <v>1.9</v>
      </c>
      <c r="P2066">
        <v>42</v>
      </c>
      <c r="Q2066">
        <v>0</v>
      </c>
      <c r="R2066">
        <v>0.1</v>
      </c>
      <c r="S2066">
        <v>0.05</v>
      </c>
      <c r="T2066" t="s">
        <v>33</v>
      </c>
      <c r="U2066">
        <v>4.55</v>
      </c>
      <c r="V2066">
        <v>31</v>
      </c>
      <c r="W2066">
        <v>0</v>
      </c>
      <c r="X2066">
        <v>31</v>
      </c>
      <c r="Y2066">
        <v>1</v>
      </c>
      <c r="Z2066">
        <v>0</v>
      </c>
      <c r="AA2066">
        <v>1</v>
      </c>
      <c r="AB2066" t="s">
        <v>36</v>
      </c>
      <c r="AC2066">
        <v>31</v>
      </c>
      <c r="AD2066">
        <v>2.77</v>
      </c>
    </row>
    <row r="2067" spans="1:30" x14ac:dyDescent="0.25">
      <c r="A2067" s="1">
        <v>44784.688287037039</v>
      </c>
      <c r="B2067" s="1">
        <v>44784.687442129631</v>
      </c>
      <c r="C2067">
        <v>151706</v>
      </c>
      <c r="D2067" t="s">
        <v>42</v>
      </c>
      <c r="E2067" t="s">
        <v>31</v>
      </c>
      <c r="F2067">
        <v>7</v>
      </c>
      <c r="G2067">
        <v>43.004080000000002</v>
      </c>
      <c r="H2067">
        <v>-71.177040000000005</v>
      </c>
      <c r="I2067">
        <v>194</v>
      </c>
      <c r="J2067">
        <v>88</v>
      </c>
      <c r="K2067">
        <v>0</v>
      </c>
      <c r="L2067" s="1">
        <v>44784.688217592593</v>
      </c>
      <c r="M2067">
        <v>2.9</v>
      </c>
      <c r="N2067">
        <v>0</v>
      </c>
      <c r="O2067">
        <v>2.9</v>
      </c>
      <c r="P2067">
        <v>200</v>
      </c>
      <c r="Q2067">
        <v>0.1</v>
      </c>
      <c r="R2067">
        <v>0</v>
      </c>
      <c r="S2067">
        <v>0.05</v>
      </c>
      <c r="T2067" t="s">
        <v>43</v>
      </c>
      <c r="V2067">
        <v>38</v>
      </c>
      <c r="W2067">
        <v>0</v>
      </c>
      <c r="X2067">
        <v>38</v>
      </c>
      <c r="Y2067">
        <v>2</v>
      </c>
      <c r="Z2067">
        <v>0</v>
      </c>
      <c r="AA2067">
        <v>2</v>
      </c>
      <c r="AB2067" t="s">
        <v>36</v>
      </c>
      <c r="AC2067">
        <v>38</v>
      </c>
    </row>
    <row r="2068" spans="1:30" x14ac:dyDescent="0.25">
      <c r="A2068" s="1">
        <v>44784.688298611109</v>
      </c>
      <c r="B2068" s="1">
        <v>44784.6872337963</v>
      </c>
      <c r="C2068">
        <v>12212</v>
      </c>
      <c r="D2068" t="s">
        <v>44</v>
      </c>
      <c r="E2068" t="s">
        <v>35</v>
      </c>
      <c r="F2068">
        <v>7</v>
      </c>
      <c r="G2068">
        <v>42.930529999999997</v>
      </c>
      <c r="H2068">
        <v>-72.272350000000003</v>
      </c>
      <c r="I2068">
        <v>476</v>
      </c>
      <c r="J2068">
        <v>92</v>
      </c>
      <c r="K2068">
        <v>0</v>
      </c>
      <c r="L2068" s="1">
        <v>44784.688217592593</v>
      </c>
      <c r="M2068">
        <v>5</v>
      </c>
      <c r="N2068">
        <v>4.5</v>
      </c>
      <c r="O2068">
        <v>0.5</v>
      </c>
      <c r="P2068">
        <v>11</v>
      </c>
      <c r="Q2068">
        <v>0.1</v>
      </c>
      <c r="R2068">
        <v>0.1</v>
      </c>
      <c r="S2068">
        <v>0.1</v>
      </c>
      <c r="T2068" t="s">
        <v>33</v>
      </c>
      <c r="U2068">
        <v>4.75</v>
      </c>
      <c r="V2068">
        <v>30</v>
      </c>
      <c r="W2068">
        <v>0</v>
      </c>
      <c r="X2068">
        <v>30</v>
      </c>
      <c r="Y2068">
        <v>1</v>
      </c>
      <c r="Z2068">
        <v>0</v>
      </c>
      <c r="AA2068">
        <v>1</v>
      </c>
      <c r="AB2068" t="s">
        <v>36</v>
      </c>
      <c r="AC2068">
        <v>30</v>
      </c>
      <c r="AD2068">
        <v>2.96</v>
      </c>
    </row>
    <row r="2069" spans="1:30" x14ac:dyDescent="0.25">
      <c r="A2069" s="1">
        <v>44784.688298611109</v>
      </c>
      <c r="B2069" s="1">
        <v>44769.376736111109</v>
      </c>
      <c r="C2069">
        <v>12178</v>
      </c>
      <c r="D2069" t="s">
        <v>45</v>
      </c>
      <c r="E2069" t="s">
        <v>35</v>
      </c>
      <c r="F2069">
        <v>7</v>
      </c>
      <c r="G2069">
        <v>42.899563000000001</v>
      </c>
      <c r="H2069">
        <v>-71.464650000000006</v>
      </c>
      <c r="I2069">
        <v>301</v>
      </c>
      <c r="J2069">
        <v>85</v>
      </c>
      <c r="K2069">
        <v>0</v>
      </c>
      <c r="L2069" s="1">
        <v>44784.688217592593</v>
      </c>
      <c r="M2069">
        <v>3.8</v>
      </c>
      <c r="N2069">
        <v>3.1</v>
      </c>
      <c r="O2069">
        <v>0.7</v>
      </c>
      <c r="P2069">
        <v>20</v>
      </c>
      <c r="Q2069">
        <v>0</v>
      </c>
      <c r="R2069">
        <v>0</v>
      </c>
      <c r="S2069">
        <v>0</v>
      </c>
      <c r="T2069" t="s">
        <v>32</v>
      </c>
      <c r="V2069">
        <v>35</v>
      </c>
      <c r="W2069">
        <v>0</v>
      </c>
      <c r="X2069">
        <v>35</v>
      </c>
      <c r="Y2069">
        <v>0</v>
      </c>
      <c r="Z2069">
        <v>0</v>
      </c>
      <c r="AA2069">
        <v>0</v>
      </c>
      <c r="AB2069" t="s">
        <v>36</v>
      </c>
      <c r="AC2069">
        <v>35</v>
      </c>
    </row>
    <row r="2070" spans="1:30" x14ac:dyDescent="0.25">
      <c r="A2070" s="1">
        <v>44784.688310185185</v>
      </c>
      <c r="B2070" s="1">
        <v>44784.687893518516</v>
      </c>
      <c r="C2070">
        <v>75981</v>
      </c>
      <c r="D2070" t="s">
        <v>46</v>
      </c>
      <c r="E2070" t="s">
        <v>35</v>
      </c>
      <c r="F2070">
        <v>7</v>
      </c>
      <c r="G2070">
        <v>42.97</v>
      </c>
      <c r="H2070">
        <v>-71.06</v>
      </c>
      <c r="I2070">
        <v>136</v>
      </c>
      <c r="J2070">
        <v>89</v>
      </c>
      <c r="K2070">
        <v>0</v>
      </c>
      <c r="L2070" s="1">
        <v>44784.688217592593</v>
      </c>
      <c r="M2070">
        <v>12.6</v>
      </c>
      <c r="N2070">
        <v>11.8</v>
      </c>
      <c r="O2070">
        <v>0.8</v>
      </c>
      <c r="P2070">
        <v>7</v>
      </c>
      <c r="Q2070">
        <v>0.3</v>
      </c>
      <c r="R2070">
        <v>0</v>
      </c>
      <c r="S2070">
        <v>0.15</v>
      </c>
      <c r="T2070" t="s">
        <v>33</v>
      </c>
      <c r="U2070">
        <v>12.2</v>
      </c>
      <c r="V2070">
        <v>46</v>
      </c>
      <c r="W2070">
        <v>0</v>
      </c>
      <c r="X2070">
        <v>46</v>
      </c>
      <c r="Y2070">
        <v>0</v>
      </c>
      <c r="Z2070">
        <v>0</v>
      </c>
      <c r="AA2070">
        <v>0</v>
      </c>
      <c r="AB2070" t="s">
        <v>36</v>
      </c>
      <c r="AC2070">
        <v>46</v>
      </c>
      <c r="AD2070">
        <v>6.38</v>
      </c>
    </row>
    <row r="2071" spans="1:30" x14ac:dyDescent="0.25">
      <c r="A2071" s="1">
        <v>44784.688310185185</v>
      </c>
      <c r="B2071" s="1">
        <v>44784.687048611115</v>
      </c>
      <c r="C2071">
        <v>115703</v>
      </c>
      <c r="D2071" t="s">
        <v>47</v>
      </c>
      <c r="E2071" t="s">
        <v>35</v>
      </c>
      <c r="F2071">
        <v>7</v>
      </c>
      <c r="G2071">
        <v>43.953625000000002</v>
      </c>
      <c r="H2071">
        <v>-71.508859999999999</v>
      </c>
      <c r="I2071">
        <v>1493</v>
      </c>
      <c r="J2071">
        <v>87</v>
      </c>
      <c r="K2071">
        <v>0</v>
      </c>
      <c r="L2071" s="1">
        <v>44784.688217592593</v>
      </c>
      <c r="M2071">
        <v>0</v>
      </c>
      <c r="N2071">
        <v>15.6</v>
      </c>
      <c r="O2071">
        <v>15.6</v>
      </c>
      <c r="P2071">
        <v>200</v>
      </c>
      <c r="Q2071">
        <v>0</v>
      </c>
      <c r="R2071">
        <v>13.9</v>
      </c>
      <c r="S2071">
        <v>6.95</v>
      </c>
      <c r="T2071" t="s">
        <v>48</v>
      </c>
      <c r="V2071">
        <v>32</v>
      </c>
      <c r="W2071">
        <v>0</v>
      </c>
      <c r="X2071">
        <v>32</v>
      </c>
      <c r="Y2071">
        <v>1</v>
      </c>
      <c r="Z2071">
        <v>0</v>
      </c>
      <c r="AA2071">
        <v>1</v>
      </c>
      <c r="AB2071" t="s">
        <v>36</v>
      </c>
      <c r="AC2071">
        <v>32</v>
      </c>
    </row>
    <row r="2072" spans="1:30" x14ac:dyDescent="0.25">
      <c r="A2072" s="1">
        <v>44784.688310185185</v>
      </c>
      <c r="B2072" s="1">
        <v>44784.687858796293</v>
      </c>
      <c r="C2072">
        <v>12050</v>
      </c>
      <c r="D2072" t="s">
        <v>49</v>
      </c>
      <c r="E2072" t="s">
        <v>35</v>
      </c>
      <c r="F2072">
        <v>7</v>
      </c>
      <c r="G2072">
        <v>44.220573000000002</v>
      </c>
      <c r="H2072">
        <v>-71.732315</v>
      </c>
      <c r="I2072">
        <v>999</v>
      </c>
      <c r="J2072">
        <v>92</v>
      </c>
      <c r="K2072">
        <v>0</v>
      </c>
      <c r="L2072" s="1">
        <v>44784.688217592593</v>
      </c>
      <c r="M2072">
        <v>3.5</v>
      </c>
      <c r="N2072">
        <v>3.2</v>
      </c>
      <c r="O2072">
        <v>0.3</v>
      </c>
      <c r="P2072">
        <v>9</v>
      </c>
      <c r="Q2072">
        <v>0</v>
      </c>
      <c r="R2072">
        <v>0</v>
      </c>
      <c r="S2072">
        <v>0</v>
      </c>
      <c r="T2072" t="s">
        <v>33</v>
      </c>
      <c r="U2072">
        <v>3.35</v>
      </c>
      <c r="V2072">
        <v>29</v>
      </c>
      <c r="W2072">
        <v>0</v>
      </c>
      <c r="X2072">
        <v>29</v>
      </c>
      <c r="Y2072">
        <v>1</v>
      </c>
      <c r="Z2072">
        <v>0</v>
      </c>
      <c r="AA2072">
        <v>1</v>
      </c>
      <c r="AB2072" t="s">
        <v>36</v>
      </c>
      <c r="AC2072">
        <v>29</v>
      </c>
      <c r="AD2072">
        <v>2.17</v>
      </c>
    </row>
    <row r="2073" spans="1:30" x14ac:dyDescent="0.25">
      <c r="A2073" s="1">
        <v>44784.688321759262</v>
      </c>
      <c r="B2073" s="1">
        <v>44784.687962962962</v>
      </c>
      <c r="C2073">
        <v>23443</v>
      </c>
      <c r="D2073" t="s">
        <v>50</v>
      </c>
      <c r="E2073" t="s">
        <v>35</v>
      </c>
      <c r="F2073">
        <v>7</v>
      </c>
      <c r="G2073">
        <v>43.556139999999999</v>
      </c>
      <c r="H2073">
        <v>-72.370990000000006</v>
      </c>
      <c r="I2073">
        <v>523</v>
      </c>
      <c r="J2073">
        <v>103</v>
      </c>
      <c r="K2073">
        <v>0</v>
      </c>
      <c r="L2073" s="1">
        <v>44784.688217592593</v>
      </c>
      <c r="M2073">
        <v>3.1</v>
      </c>
      <c r="N2073">
        <v>2.9</v>
      </c>
      <c r="O2073">
        <v>0.2</v>
      </c>
      <c r="P2073">
        <v>7</v>
      </c>
      <c r="Q2073">
        <v>0.1</v>
      </c>
      <c r="R2073">
        <v>0.1</v>
      </c>
      <c r="S2073">
        <v>0.1</v>
      </c>
      <c r="T2073" t="s">
        <v>33</v>
      </c>
      <c r="U2073">
        <v>3</v>
      </c>
      <c r="V2073">
        <v>21</v>
      </c>
      <c r="W2073">
        <v>0</v>
      </c>
      <c r="X2073">
        <v>21</v>
      </c>
      <c r="Y2073">
        <v>1</v>
      </c>
      <c r="Z2073">
        <v>0</v>
      </c>
      <c r="AA2073">
        <v>1</v>
      </c>
      <c r="AB2073" t="s">
        <v>36</v>
      </c>
      <c r="AC2073">
        <v>21</v>
      </c>
      <c r="AD2073">
        <v>2.52</v>
      </c>
    </row>
    <row r="2074" spans="1:30" x14ac:dyDescent="0.25">
      <c r="A2074" s="1">
        <v>44784.688321759262</v>
      </c>
      <c r="B2074" s="1">
        <v>44784.688078703701</v>
      </c>
      <c r="C2074">
        <v>58135</v>
      </c>
      <c r="D2074" t="s">
        <v>51</v>
      </c>
      <c r="E2074" t="s">
        <v>35</v>
      </c>
      <c r="F2074">
        <v>7</v>
      </c>
      <c r="G2074">
        <v>42.883873000000001</v>
      </c>
      <c r="H2074">
        <v>-71.972915999999998</v>
      </c>
      <c r="I2074">
        <v>808</v>
      </c>
      <c r="J2074">
        <v>87</v>
      </c>
      <c r="K2074">
        <v>0</v>
      </c>
      <c r="L2074" s="1">
        <v>44784.688217592593</v>
      </c>
      <c r="M2074">
        <v>4.9000000000000004</v>
      </c>
      <c r="N2074">
        <v>3.1</v>
      </c>
      <c r="O2074">
        <v>1.8</v>
      </c>
      <c r="P2074">
        <v>45</v>
      </c>
      <c r="Q2074">
        <v>0.2</v>
      </c>
      <c r="R2074">
        <v>0.1</v>
      </c>
      <c r="S2074">
        <v>0.15</v>
      </c>
      <c r="T2074" t="s">
        <v>33</v>
      </c>
      <c r="U2074">
        <v>4</v>
      </c>
      <c r="V2074">
        <v>35</v>
      </c>
      <c r="W2074">
        <v>0</v>
      </c>
      <c r="X2074">
        <v>35</v>
      </c>
      <c r="Y2074">
        <v>1</v>
      </c>
      <c r="Z2074">
        <v>0</v>
      </c>
      <c r="AA2074">
        <v>1</v>
      </c>
      <c r="AB2074" t="s">
        <v>36</v>
      </c>
      <c r="AC2074">
        <v>35</v>
      </c>
      <c r="AD2074">
        <v>2.15</v>
      </c>
    </row>
    <row r="2075" spans="1:30" x14ac:dyDescent="0.25">
      <c r="A2075" s="1">
        <v>44784.688333333332</v>
      </c>
      <c r="B2075" s="1">
        <v>44784.688078703701</v>
      </c>
      <c r="C2075">
        <v>148555</v>
      </c>
      <c r="D2075" t="s">
        <v>52</v>
      </c>
      <c r="E2075" t="s">
        <v>53</v>
      </c>
      <c r="F2075">
        <v>7</v>
      </c>
      <c r="G2075">
        <v>42.904949999999999</v>
      </c>
      <c r="H2075">
        <v>-71.386764999999997</v>
      </c>
      <c r="I2075">
        <v>363</v>
      </c>
      <c r="J2075">
        <v>0</v>
      </c>
      <c r="K2075">
        <v>0</v>
      </c>
      <c r="L2075" s="1">
        <v>44784.688217592593</v>
      </c>
      <c r="M2075">
        <v>1.2</v>
      </c>
      <c r="N2075">
        <v>1.5</v>
      </c>
      <c r="O2075">
        <v>0.3</v>
      </c>
      <c r="P2075">
        <v>22</v>
      </c>
      <c r="Q2075">
        <v>0.1</v>
      </c>
      <c r="R2075">
        <v>0.2</v>
      </c>
      <c r="S2075">
        <v>0.15</v>
      </c>
      <c r="T2075" t="s">
        <v>33</v>
      </c>
      <c r="U2075">
        <v>1.35</v>
      </c>
      <c r="V2075">
        <v>0</v>
      </c>
      <c r="W2075">
        <v>0</v>
      </c>
      <c r="X2075">
        <v>0</v>
      </c>
      <c r="Y2075">
        <v>0</v>
      </c>
      <c r="Z2075">
        <v>0</v>
      </c>
      <c r="AA2075">
        <v>0</v>
      </c>
      <c r="AB2075" t="s">
        <v>38</v>
      </c>
    </row>
    <row r="2076" spans="1:30" x14ac:dyDescent="0.25">
      <c r="A2076" s="1">
        <v>44784.688333333332</v>
      </c>
      <c r="B2076" s="1">
        <v>44784.687569444446</v>
      </c>
      <c r="C2076">
        <v>146644</v>
      </c>
      <c r="D2076" t="s">
        <v>54</v>
      </c>
      <c r="E2076" t="s">
        <v>53</v>
      </c>
      <c r="F2076">
        <v>7</v>
      </c>
      <c r="G2076">
        <v>43.06015</v>
      </c>
      <c r="H2076">
        <v>-70.758930000000007</v>
      </c>
      <c r="I2076">
        <v>35</v>
      </c>
      <c r="J2076">
        <v>78</v>
      </c>
      <c r="K2076">
        <v>80</v>
      </c>
      <c r="L2076" s="1">
        <v>44784.688217592593</v>
      </c>
      <c r="M2076">
        <v>14.4</v>
      </c>
      <c r="N2076">
        <v>13.3</v>
      </c>
      <c r="O2076">
        <v>1.1000000000000001</v>
      </c>
      <c r="P2076">
        <v>8</v>
      </c>
      <c r="Q2076">
        <v>1.1000000000000001</v>
      </c>
      <c r="R2076">
        <v>1.3</v>
      </c>
      <c r="S2076">
        <v>1.2</v>
      </c>
      <c r="T2076" t="s">
        <v>33</v>
      </c>
      <c r="U2076">
        <v>13.85</v>
      </c>
      <c r="V2076">
        <v>58</v>
      </c>
      <c r="W2076">
        <v>63</v>
      </c>
      <c r="X2076">
        <v>5</v>
      </c>
      <c r="Y2076">
        <v>0</v>
      </c>
      <c r="Z2076">
        <v>0</v>
      </c>
      <c r="AA2076">
        <v>0</v>
      </c>
      <c r="AB2076" t="s">
        <v>33</v>
      </c>
      <c r="AC2076">
        <v>60.5</v>
      </c>
      <c r="AD2076">
        <v>6.37</v>
      </c>
    </row>
    <row r="2077" spans="1:30" x14ac:dyDescent="0.25">
      <c r="A2077" s="1">
        <v>44784.688333333332</v>
      </c>
      <c r="B2077" s="1">
        <v>43755.283437500002</v>
      </c>
      <c r="C2077">
        <v>12188</v>
      </c>
      <c r="D2077" t="s">
        <v>55</v>
      </c>
      <c r="E2077" t="s">
        <v>35</v>
      </c>
      <c r="F2077">
        <v>4.1100000000000003</v>
      </c>
      <c r="G2077">
        <v>42.927050000000001</v>
      </c>
      <c r="H2077">
        <v>-72.279610000000005</v>
      </c>
      <c r="I2077">
        <v>475</v>
      </c>
      <c r="J2077">
        <v>95</v>
      </c>
      <c r="K2077">
        <v>0</v>
      </c>
      <c r="L2077" s="1">
        <v>44784.688217592593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 t="s">
        <v>32</v>
      </c>
      <c r="V2077">
        <v>77</v>
      </c>
      <c r="W2077">
        <v>0</v>
      </c>
      <c r="X2077">
        <v>77</v>
      </c>
      <c r="Y2077">
        <v>0</v>
      </c>
      <c r="Z2077">
        <v>0</v>
      </c>
      <c r="AA2077">
        <v>0</v>
      </c>
      <c r="AB2077" t="s">
        <v>36</v>
      </c>
      <c r="AC2077">
        <v>77</v>
      </c>
    </row>
    <row r="2078" spans="1:30" x14ac:dyDescent="0.25">
      <c r="A2078" s="1">
        <v>44784.688344907408</v>
      </c>
      <c r="B2078" s="1">
        <v>44784.687951388885</v>
      </c>
      <c r="C2078">
        <v>1224</v>
      </c>
      <c r="D2078" t="s">
        <v>56</v>
      </c>
      <c r="E2078" t="s">
        <v>35</v>
      </c>
      <c r="F2078" t="s">
        <v>57</v>
      </c>
      <c r="G2078">
        <v>42.938034000000002</v>
      </c>
      <c r="H2078">
        <v>-72.259299999999996</v>
      </c>
      <c r="I2078">
        <v>792</v>
      </c>
      <c r="J2078">
        <v>90</v>
      </c>
      <c r="K2078">
        <v>0</v>
      </c>
      <c r="L2078" s="1">
        <v>44784.688217592593</v>
      </c>
      <c r="M2078">
        <v>5.3</v>
      </c>
      <c r="N2078">
        <v>0.1</v>
      </c>
      <c r="O2078">
        <v>5.2</v>
      </c>
      <c r="P2078">
        <v>193</v>
      </c>
      <c r="Q2078">
        <v>0</v>
      </c>
      <c r="R2078">
        <v>0</v>
      </c>
      <c r="S2078">
        <v>0</v>
      </c>
      <c r="T2078" t="s">
        <v>33</v>
      </c>
      <c r="U2078">
        <v>2.7</v>
      </c>
      <c r="V2078">
        <v>39</v>
      </c>
      <c r="W2078">
        <v>0</v>
      </c>
      <c r="X2078">
        <v>39</v>
      </c>
      <c r="Y2078">
        <v>0</v>
      </c>
      <c r="Z2078">
        <v>0</v>
      </c>
      <c r="AA2078">
        <v>0</v>
      </c>
      <c r="AB2078" t="s">
        <v>36</v>
      </c>
      <c r="AC2078">
        <v>39</v>
      </c>
      <c r="AD2078">
        <v>1.08</v>
      </c>
    </row>
    <row r="2079" spans="1:30" x14ac:dyDescent="0.25">
      <c r="A2079" s="1">
        <v>44784.688344907408</v>
      </c>
      <c r="B2079" s="1">
        <v>44784.687407407408</v>
      </c>
      <c r="C2079">
        <v>1202</v>
      </c>
      <c r="D2079" t="s">
        <v>58</v>
      </c>
      <c r="E2079" t="s">
        <v>35</v>
      </c>
      <c r="F2079" t="s">
        <v>57</v>
      </c>
      <c r="G2079">
        <v>42.936554000000001</v>
      </c>
      <c r="H2079">
        <v>-72.271019999999993</v>
      </c>
      <c r="I2079">
        <v>488</v>
      </c>
      <c r="J2079">
        <v>0</v>
      </c>
      <c r="K2079">
        <v>0</v>
      </c>
      <c r="L2079" s="1">
        <v>44784.688217592593</v>
      </c>
      <c r="M2079">
        <v>5.8</v>
      </c>
      <c r="N2079">
        <v>5.0999999999999996</v>
      </c>
      <c r="O2079">
        <v>0.7</v>
      </c>
      <c r="P2079">
        <v>13</v>
      </c>
      <c r="Q2079">
        <v>0.1</v>
      </c>
      <c r="R2079">
        <v>0.1</v>
      </c>
      <c r="S2079">
        <v>0.1</v>
      </c>
      <c r="T2079" t="s">
        <v>33</v>
      </c>
      <c r="U2079">
        <v>5.45</v>
      </c>
      <c r="V2079">
        <v>0</v>
      </c>
      <c r="W2079">
        <v>0</v>
      </c>
      <c r="X2079">
        <v>0</v>
      </c>
      <c r="Y2079">
        <v>0</v>
      </c>
      <c r="Z2079">
        <v>0</v>
      </c>
      <c r="AA2079">
        <v>0</v>
      </c>
      <c r="AB2079" t="s">
        <v>38</v>
      </c>
    </row>
    <row r="2080" spans="1:30" x14ac:dyDescent="0.25">
      <c r="A2080" s="1">
        <v>44784.688356481478</v>
      </c>
      <c r="B2080" s="1">
        <v>44612.080023148148</v>
      </c>
      <c r="C2080">
        <v>25985</v>
      </c>
      <c r="D2080" t="s">
        <v>59</v>
      </c>
      <c r="E2080" t="s">
        <v>35</v>
      </c>
      <c r="F2080">
        <v>6.01</v>
      </c>
      <c r="G2080">
        <v>42.927326000000001</v>
      </c>
      <c r="H2080">
        <v>-72.279979999999995</v>
      </c>
      <c r="I2080">
        <v>477</v>
      </c>
      <c r="J2080">
        <v>78</v>
      </c>
      <c r="K2080">
        <v>0</v>
      </c>
      <c r="L2080" s="1">
        <v>44784.688217592593</v>
      </c>
      <c r="M2080">
        <v>1.1000000000000001</v>
      </c>
      <c r="N2080">
        <v>1</v>
      </c>
      <c r="O2080">
        <v>0.1</v>
      </c>
      <c r="P2080">
        <v>10</v>
      </c>
      <c r="Q2080">
        <v>0</v>
      </c>
      <c r="R2080">
        <v>0</v>
      </c>
      <c r="S2080">
        <v>0</v>
      </c>
      <c r="T2080" t="s">
        <v>32</v>
      </c>
      <c r="V2080">
        <v>22</v>
      </c>
      <c r="W2080">
        <v>0</v>
      </c>
      <c r="X2080">
        <v>22</v>
      </c>
      <c r="Y2080">
        <v>0</v>
      </c>
      <c r="Z2080">
        <v>0</v>
      </c>
      <c r="AA2080">
        <v>0</v>
      </c>
      <c r="AB2080" t="s">
        <v>36</v>
      </c>
      <c r="AC2080">
        <v>22</v>
      </c>
    </row>
    <row r="2081" spans="1:30" x14ac:dyDescent="0.25">
      <c r="A2081" s="1">
        <v>44784.695162037038</v>
      </c>
      <c r="B2081" s="1">
        <v>44775.701319444444</v>
      </c>
      <c r="C2081">
        <v>151708</v>
      </c>
      <c r="D2081" t="s">
        <v>30</v>
      </c>
      <c r="E2081" t="s">
        <v>31</v>
      </c>
      <c r="F2081">
        <v>7</v>
      </c>
      <c r="G2081">
        <v>43.192042999999998</v>
      </c>
      <c r="H2081">
        <v>-71.541579999999996</v>
      </c>
      <c r="I2081">
        <v>291</v>
      </c>
      <c r="J2081">
        <v>93</v>
      </c>
      <c r="K2081">
        <v>94</v>
      </c>
      <c r="L2081" s="1">
        <v>44784.695162037038</v>
      </c>
      <c r="M2081">
        <v>7.9</v>
      </c>
      <c r="N2081">
        <v>7.6</v>
      </c>
      <c r="O2081">
        <v>0.3</v>
      </c>
      <c r="P2081">
        <v>4</v>
      </c>
      <c r="Q2081">
        <v>0</v>
      </c>
      <c r="R2081">
        <v>0</v>
      </c>
      <c r="S2081">
        <v>0</v>
      </c>
      <c r="T2081" t="s">
        <v>32</v>
      </c>
      <c r="V2081">
        <v>42</v>
      </c>
      <c r="W2081">
        <v>41</v>
      </c>
      <c r="X2081">
        <v>1</v>
      </c>
      <c r="Y2081">
        <v>0</v>
      </c>
      <c r="Z2081">
        <v>0</v>
      </c>
      <c r="AA2081">
        <v>0</v>
      </c>
      <c r="AB2081" t="s">
        <v>33</v>
      </c>
      <c r="AC2081">
        <v>41.5</v>
      </c>
    </row>
    <row r="2082" spans="1:30" x14ac:dyDescent="0.25">
      <c r="A2082" s="1">
        <v>44784.695173611108</v>
      </c>
      <c r="B2082" s="1">
        <v>44784.693564814814</v>
      </c>
      <c r="C2082">
        <v>143456</v>
      </c>
      <c r="D2082" t="s">
        <v>34</v>
      </c>
      <c r="E2082" t="s">
        <v>35</v>
      </c>
      <c r="F2082">
        <v>7</v>
      </c>
      <c r="G2082">
        <v>43.08963</v>
      </c>
      <c r="H2082">
        <v>-71.502440000000007</v>
      </c>
      <c r="I2082">
        <v>619</v>
      </c>
      <c r="J2082">
        <v>84</v>
      </c>
      <c r="K2082">
        <v>0</v>
      </c>
      <c r="L2082" s="1">
        <v>44784.695162037038</v>
      </c>
      <c r="M2082">
        <v>3</v>
      </c>
      <c r="N2082">
        <v>3.5</v>
      </c>
      <c r="O2082">
        <v>0.5</v>
      </c>
      <c r="P2082">
        <v>15</v>
      </c>
      <c r="Q2082">
        <v>0.1</v>
      </c>
      <c r="R2082">
        <v>0</v>
      </c>
      <c r="S2082">
        <v>0.05</v>
      </c>
      <c r="T2082" t="s">
        <v>33</v>
      </c>
      <c r="U2082">
        <v>3.25</v>
      </c>
      <c r="V2082">
        <v>49</v>
      </c>
      <c r="W2082">
        <v>0</v>
      </c>
      <c r="X2082">
        <v>49</v>
      </c>
      <c r="Y2082">
        <v>3</v>
      </c>
      <c r="Z2082">
        <v>0</v>
      </c>
      <c r="AA2082">
        <v>3</v>
      </c>
      <c r="AB2082" t="s">
        <v>36</v>
      </c>
      <c r="AC2082">
        <v>49</v>
      </c>
      <c r="AD2082">
        <v>0.71</v>
      </c>
    </row>
    <row r="2083" spans="1:30" x14ac:dyDescent="0.25">
      <c r="A2083" s="1">
        <v>44784.695173611108</v>
      </c>
      <c r="B2083" s="1">
        <v>44784.693703703706</v>
      </c>
      <c r="C2083">
        <v>151702</v>
      </c>
      <c r="D2083" t="s">
        <v>37</v>
      </c>
      <c r="E2083" t="s">
        <v>31</v>
      </c>
      <c r="F2083">
        <v>7</v>
      </c>
      <c r="G2083">
        <v>43.118609999999997</v>
      </c>
      <c r="H2083">
        <v>-71.61618</v>
      </c>
      <c r="I2083">
        <v>885</v>
      </c>
      <c r="J2083">
        <v>0</v>
      </c>
      <c r="K2083">
        <v>0</v>
      </c>
      <c r="L2083" s="1">
        <v>44784.695162037038</v>
      </c>
      <c r="M2083">
        <v>2.7</v>
      </c>
      <c r="N2083">
        <v>2.7</v>
      </c>
      <c r="O2083">
        <v>0</v>
      </c>
      <c r="P2083">
        <v>0</v>
      </c>
      <c r="Q2083">
        <v>0.1</v>
      </c>
      <c r="R2083">
        <v>0.1</v>
      </c>
      <c r="S2083">
        <v>0.1</v>
      </c>
      <c r="T2083" t="s">
        <v>33</v>
      </c>
      <c r="U2083">
        <v>2.7</v>
      </c>
      <c r="V2083">
        <v>0</v>
      </c>
      <c r="W2083">
        <v>0</v>
      </c>
      <c r="X2083">
        <v>0</v>
      </c>
      <c r="Y2083">
        <v>0</v>
      </c>
      <c r="Z2083">
        <v>0</v>
      </c>
      <c r="AA2083">
        <v>0</v>
      </c>
      <c r="AB2083" t="s">
        <v>38</v>
      </c>
    </row>
    <row r="2084" spans="1:30" x14ac:dyDescent="0.25">
      <c r="A2084" s="1">
        <v>44784.695173611108</v>
      </c>
      <c r="B2084" s="1">
        <v>44784.693599537037</v>
      </c>
      <c r="C2084">
        <v>151700</v>
      </c>
      <c r="D2084" t="s">
        <v>30</v>
      </c>
      <c r="E2084" t="s">
        <v>31</v>
      </c>
      <c r="F2084">
        <v>7</v>
      </c>
      <c r="G2084">
        <v>43.19211</v>
      </c>
      <c r="H2084">
        <v>-71.541460000000001</v>
      </c>
      <c r="I2084">
        <v>286</v>
      </c>
      <c r="J2084">
        <v>86</v>
      </c>
      <c r="K2084">
        <v>0</v>
      </c>
      <c r="L2084" s="1">
        <v>44784.695162037038</v>
      </c>
      <c r="M2084">
        <v>2.7</v>
      </c>
      <c r="N2084">
        <v>3.2</v>
      </c>
      <c r="O2084">
        <v>0.5</v>
      </c>
      <c r="P2084">
        <v>17</v>
      </c>
      <c r="Q2084">
        <v>0</v>
      </c>
      <c r="R2084">
        <v>0</v>
      </c>
      <c r="S2084">
        <v>0</v>
      </c>
      <c r="T2084" t="s">
        <v>33</v>
      </c>
      <c r="U2084">
        <v>2.95</v>
      </c>
      <c r="V2084">
        <v>42</v>
      </c>
      <c r="W2084">
        <v>0</v>
      </c>
      <c r="X2084">
        <v>42</v>
      </c>
      <c r="Y2084">
        <v>1</v>
      </c>
      <c r="Z2084">
        <v>0</v>
      </c>
      <c r="AA2084">
        <v>1</v>
      </c>
      <c r="AB2084" t="s">
        <v>36</v>
      </c>
      <c r="AC2084">
        <v>42</v>
      </c>
      <c r="AD2084">
        <v>1.02</v>
      </c>
    </row>
    <row r="2085" spans="1:30" x14ac:dyDescent="0.25">
      <c r="A2085" s="1">
        <v>44784.695185185185</v>
      </c>
      <c r="B2085" s="1">
        <v>44784.694039351853</v>
      </c>
      <c r="C2085">
        <v>135984</v>
      </c>
      <c r="D2085" t="s">
        <v>39</v>
      </c>
      <c r="E2085" t="s">
        <v>31</v>
      </c>
      <c r="F2085">
        <v>7</v>
      </c>
      <c r="G2085">
        <v>43.565852999999997</v>
      </c>
      <c r="H2085">
        <v>-71.496129999999994</v>
      </c>
      <c r="I2085">
        <v>708</v>
      </c>
      <c r="J2085">
        <v>87</v>
      </c>
      <c r="K2085">
        <v>0</v>
      </c>
      <c r="L2085" s="1">
        <v>44784.695162037038</v>
      </c>
      <c r="M2085">
        <v>3.6</v>
      </c>
      <c r="N2085">
        <v>3.3</v>
      </c>
      <c r="O2085">
        <v>0.3</v>
      </c>
      <c r="P2085">
        <v>9</v>
      </c>
      <c r="Q2085">
        <v>0.1</v>
      </c>
      <c r="R2085">
        <v>0.2</v>
      </c>
      <c r="S2085">
        <v>0.15</v>
      </c>
      <c r="T2085" t="s">
        <v>33</v>
      </c>
      <c r="U2085">
        <v>3.45</v>
      </c>
      <c r="V2085">
        <v>48</v>
      </c>
      <c r="W2085">
        <v>0</v>
      </c>
      <c r="X2085">
        <v>48</v>
      </c>
      <c r="Y2085">
        <v>2</v>
      </c>
      <c r="Z2085">
        <v>0</v>
      </c>
      <c r="AA2085">
        <v>2</v>
      </c>
      <c r="AB2085" t="s">
        <v>36</v>
      </c>
      <c r="AC2085">
        <v>48</v>
      </c>
      <c r="AD2085">
        <v>0.9</v>
      </c>
    </row>
    <row r="2086" spans="1:30" x14ac:dyDescent="0.25">
      <c r="A2086" s="1">
        <v>44784.695185185185</v>
      </c>
      <c r="B2086" s="1">
        <v>44780.394780092596</v>
      </c>
      <c r="C2086">
        <v>151712</v>
      </c>
      <c r="D2086" t="s">
        <v>40</v>
      </c>
      <c r="E2086" t="s">
        <v>31</v>
      </c>
      <c r="F2086">
        <v>7</v>
      </c>
      <c r="G2086">
        <v>43.289763999999998</v>
      </c>
      <c r="H2086">
        <v>-71.564260000000004</v>
      </c>
      <c r="I2086">
        <v>370</v>
      </c>
      <c r="J2086">
        <v>86</v>
      </c>
      <c r="K2086">
        <v>0</v>
      </c>
      <c r="L2086" s="1">
        <v>44784.695162037038</v>
      </c>
      <c r="M2086">
        <v>14</v>
      </c>
      <c r="N2086">
        <v>13.2</v>
      </c>
      <c r="O2086">
        <v>0.8</v>
      </c>
      <c r="P2086">
        <v>6</v>
      </c>
      <c r="Q2086">
        <v>0</v>
      </c>
      <c r="R2086">
        <v>0</v>
      </c>
      <c r="S2086">
        <v>0</v>
      </c>
      <c r="T2086" t="s">
        <v>32</v>
      </c>
      <c r="V2086">
        <v>59</v>
      </c>
      <c r="W2086">
        <v>0</v>
      </c>
      <c r="X2086">
        <v>59</v>
      </c>
      <c r="Y2086">
        <v>0</v>
      </c>
      <c r="Z2086">
        <v>0</v>
      </c>
      <c r="AA2086">
        <v>0</v>
      </c>
      <c r="AB2086" t="s">
        <v>36</v>
      </c>
      <c r="AC2086">
        <v>59</v>
      </c>
    </row>
    <row r="2087" spans="1:30" x14ac:dyDescent="0.25">
      <c r="A2087" s="1">
        <v>44784.695196759261</v>
      </c>
      <c r="B2087" s="1">
        <v>44784.694745370369</v>
      </c>
      <c r="C2087">
        <v>151710</v>
      </c>
      <c r="D2087" t="s">
        <v>41</v>
      </c>
      <c r="E2087" t="s">
        <v>31</v>
      </c>
      <c r="F2087">
        <v>7</v>
      </c>
      <c r="G2087">
        <v>43.132477000000002</v>
      </c>
      <c r="H2087">
        <v>-71.458374000000006</v>
      </c>
      <c r="I2087">
        <v>230</v>
      </c>
      <c r="J2087">
        <v>90</v>
      </c>
      <c r="K2087">
        <v>0</v>
      </c>
      <c r="L2087" s="1">
        <v>44784.695162037038</v>
      </c>
      <c r="M2087">
        <v>5.7</v>
      </c>
      <c r="N2087">
        <v>3.6</v>
      </c>
      <c r="O2087">
        <v>2.1</v>
      </c>
      <c r="P2087">
        <v>45</v>
      </c>
      <c r="Q2087">
        <v>0.2</v>
      </c>
      <c r="R2087">
        <v>0</v>
      </c>
      <c r="S2087">
        <v>0.1</v>
      </c>
      <c r="T2087" t="s">
        <v>33</v>
      </c>
      <c r="U2087">
        <v>4.6500000000000004</v>
      </c>
      <c r="V2087">
        <v>32</v>
      </c>
      <c r="W2087">
        <v>0</v>
      </c>
      <c r="X2087">
        <v>32</v>
      </c>
      <c r="Y2087">
        <v>1</v>
      </c>
      <c r="Z2087">
        <v>0</v>
      </c>
      <c r="AA2087">
        <v>1</v>
      </c>
      <c r="AB2087" t="s">
        <v>36</v>
      </c>
      <c r="AC2087">
        <v>32</v>
      </c>
      <c r="AD2087">
        <v>2.76</v>
      </c>
    </row>
    <row r="2088" spans="1:30" x14ac:dyDescent="0.25">
      <c r="A2088" s="1">
        <v>44784.695196759261</v>
      </c>
      <c r="B2088" s="1">
        <v>44784.694386574076</v>
      </c>
      <c r="C2088">
        <v>151706</v>
      </c>
      <c r="D2088" t="s">
        <v>42</v>
      </c>
      <c r="E2088" t="s">
        <v>31</v>
      </c>
      <c r="F2088">
        <v>7</v>
      </c>
      <c r="G2088">
        <v>43.004080000000002</v>
      </c>
      <c r="H2088">
        <v>-71.177040000000005</v>
      </c>
      <c r="I2088">
        <v>194</v>
      </c>
      <c r="J2088">
        <v>88</v>
      </c>
      <c r="K2088">
        <v>0</v>
      </c>
      <c r="L2088" s="1">
        <v>44784.695162037038</v>
      </c>
      <c r="M2088">
        <v>2.9</v>
      </c>
      <c r="N2088">
        <v>0</v>
      </c>
      <c r="O2088">
        <v>2.9</v>
      </c>
      <c r="P2088">
        <v>200</v>
      </c>
      <c r="Q2088">
        <v>0</v>
      </c>
      <c r="R2088">
        <v>0</v>
      </c>
      <c r="S2088">
        <v>0</v>
      </c>
      <c r="T2088" t="s">
        <v>43</v>
      </c>
      <c r="V2088">
        <v>38</v>
      </c>
      <c r="W2088">
        <v>0</v>
      </c>
      <c r="X2088">
        <v>38</v>
      </c>
      <c r="Y2088">
        <v>0</v>
      </c>
      <c r="Z2088">
        <v>0</v>
      </c>
      <c r="AA2088">
        <v>0</v>
      </c>
      <c r="AB2088" t="s">
        <v>36</v>
      </c>
      <c r="AC2088">
        <v>38</v>
      </c>
    </row>
    <row r="2089" spans="1:30" x14ac:dyDescent="0.25">
      <c r="A2089" s="1">
        <v>44784.695196759261</v>
      </c>
      <c r="B2089" s="1">
        <v>44784.694189814814</v>
      </c>
      <c r="C2089">
        <v>12212</v>
      </c>
      <c r="D2089" t="s">
        <v>44</v>
      </c>
      <c r="E2089" t="s">
        <v>35</v>
      </c>
      <c r="F2089">
        <v>7</v>
      </c>
      <c r="G2089">
        <v>42.930529999999997</v>
      </c>
      <c r="H2089">
        <v>-72.272350000000003</v>
      </c>
      <c r="I2089">
        <v>476</v>
      </c>
      <c r="J2089">
        <v>91</v>
      </c>
      <c r="K2089">
        <v>0</v>
      </c>
      <c r="L2089" s="1">
        <v>44784.695162037038</v>
      </c>
      <c r="M2089">
        <v>4.8</v>
      </c>
      <c r="N2089">
        <v>4.4000000000000004</v>
      </c>
      <c r="O2089">
        <v>0.4</v>
      </c>
      <c r="P2089">
        <v>9</v>
      </c>
      <c r="Q2089">
        <v>0.2</v>
      </c>
      <c r="R2089">
        <v>0.1</v>
      </c>
      <c r="S2089">
        <v>0.15</v>
      </c>
      <c r="T2089" t="s">
        <v>33</v>
      </c>
      <c r="U2089">
        <v>4.5999999999999996</v>
      </c>
      <c r="V2089">
        <v>30</v>
      </c>
      <c r="W2089">
        <v>0</v>
      </c>
      <c r="X2089">
        <v>30</v>
      </c>
      <c r="Y2089">
        <v>0</v>
      </c>
      <c r="Z2089">
        <v>0</v>
      </c>
      <c r="AA2089">
        <v>0</v>
      </c>
      <c r="AB2089" t="s">
        <v>36</v>
      </c>
      <c r="AC2089">
        <v>30</v>
      </c>
      <c r="AD2089">
        <v>2.87</v>
      </c>
    </row>
    <row r="2090" spans="1:30" x14ac:dyDescent="0.25">
      <c r="A2090" s="1">
        <v>44784.695208333331</v>
      </c>
      <c r="B2090" s="1">
        <v>44769.376736111109</v>
      </c>
      <c r="C2090">
        <v>12178</v>
      </c>
      <c r="D2090" t="s">
        <v>45</v>
      </c>
      <c r="E2090" t="s">
        <v>35</v>
      </c>
      <c r="F2090">
        <v>7</v>
      </c>
      <c r="G2090">
        <v>42.899563000000001</v>
      </c>
      <c r="H2090">
        <v>-71.464650000000006</v>
      </c>
      <c r="I2090">
        <v>301</v>
      </c>
      <c r="J2090">
        <v>85</v>
      </c>
      <c r="K2090">
        <v>0</v>
      </c>
      <c r="L2090" s="1">
        <v>44784.695162037038</v>
      </c>
      <c r="M2090">
        <v>3.8</v>
      </c>
      <c r="N2090">
        <v>3.1</v>
      </c>
      <c r="O2090">
        <v>0.7</v>
      </c>
      <c r="P2090">
        <v>20</v>
      </c>
      <c r="Q2090">
        <v>0</v>
      </c>
      <c r="R2090">
        <v>0</v>
      </c>
      <c r="S2090">
        <v>0</v>
      </c>
      <c r="T2090" t="s">
        <v>32</v>
      </c>
      <c r="V2090">
        <v>35</v>
      </c>
      <c r="W2090">
        <v>0</v>
      </c>
      <c r="X2090">
        <v>35</v>
      </c>
      <c r="Y2090">
        <v>0</v>
      </c>
      <c r="Z2090">
        <v>0</v>
      </c>
      <c r="AA2090">
        <v>0</v>
      </c>
      <c r="AB2090" t="s">
        <v>36</v>
      </c>
      <c r="AC2090">
        <v>35</v>
      </c>
    </row>
    <row r="2091" spans="1:30" x14ac:dyDescent="0.25">
      <c r="A2091" s="1">
        <v>44784.695208333331</v>
      </c>
      <c r="B2091" s="1">
        <v>44784.693449074075</v>
      </c>
      <c r="C2091">
        <v>75981</v>
      </c>
      <c r="D2091" t="s">
        <v>46</v>
      </c>
      <c r="E2091" t="s">
        <v>35</v>
      </c>
      <c r="F2091">
        <v>7</v>
      </c>
      <c r="G2091">
        <v>42.97</v>
      </c>
      <c r="H2091">
        <v>-71.06</v>
      </c>
      <c r="I2091">
        <v>136</v>
      </c>
      <c r="J2091">
        <v>89</v>
      </c>
      <c r="K2091">
        <v>0</v>
      </c>
      <c r="L2091" s="1">
        <v>44784.695162037038</v>
      </c>
      <c r="M2091">
        <v>12.6</v>
      </c>
      <c r="N2091">
        <v>11.6</v>
      </c>
      <c r="O2091">
        <v>1</v>
      </c>
      <c r="P2091">
        <v>8</v>
      </c>
      <c r="Q2091">
        <v>0</v>
      </c>
      <c r="R2091">
        <v>0.2</v>
      </c>
      <c r="S2091">
        <v>0.1</v>
      </c>
      <c r="T2091" t="s">
        <v>33</v>
      </c>
      <c r="U2091">
        <v>12.1</v>
      </c>
      <c r="V2091">
        <v>46</v>
      </c>
      <c r="W2091">
        <v>0</v>
      </c>
      <c r="X2091">
        <v>46</v>
      </c>
      <c r="Y2091">
        <v>0</v>
      </c>
      <c r="Z2091">
        <v>0</v>
      </c>
      <c r="AA2091">
        <v>0</v>
      </c>
      <c r="AB2091" t="s">
        <v>36</v>
      </c>
      <c r="AC2091">
        <v>46</v>
      </c>
      <c r="AD2091">
        <v>6.32</v>
      </c>
    </row>
    <row r="2092" spans="1:30" x14ac:dyDescent="0.25">
      <c r="A2092" s="1">
        <v>44784.695219907408</v>
      </c>
      <c r="B2092" s="1">
        <v>44784.693993055553</v>
      </c>
      <c r="C2092">
        <v>115703</v>
      </c>
      <c r="D2092" t="s">
        <v>47</v>
      </c>
      <c r="E2092" t="s">
        <v>35</v>
      </c>
      <c r="F2092">
        <v>7</v>
      </c>
      <c r="G2092">
        <v>43.953625000000002</v>
      </c>
      <c r="H2092">
        <v>-71.508859999999999</v>
      </c>
      <c r="I2092">
        <v>1493</v>
      </c>
      <c r="J2092">
        <v>87</v>
      </c>
      <c r="K2092">
        <v>0</v>
      </c>
      <c r="L2092" s="1">
        <v>44784.695162037038</v>
      </c>
      <c r="M2092">
        <v>0</v>
      </c>
      <c r="N2092">
        <v>203.1</v>
      </c>
      <c r="O2092">
        <v>203.1</v>
      </c>
      <c r="P2092">
        <v>200</v>
      </c>
      <c r="Q2092">
        <v>0</v>
      </c>
      <c r="R2092">
        <v>187.5</v>
      </c>
      <c r="S2092">
        <v>93.75</v>
      </c>
      <c r="T2092" t="s">
        <v>48</v>
      </c>
      <c r="V2092">
        <v>33</v>
      </c>
      <c r="W2092">
        <v>0</v>
      </c>
      <c r="X2092">
        <v>33</v>
      </c>
      <c r="Y2092">
        <v>1</v>
      </c>
      <c r="Z2092">
        <v>0</v>
      </c>
      <c r="AA2092">
        <v>1</v>
      </c>
      <c r="AB2092" t="s">
        <v>36</v>
      </c>
      <c r="AC2092">
        <v>33</v>
      </c>
    </row>
    <row r="2093" spans="1:30" x14ac:dyDescent="0.25">
      <c r="A2093" s="1">
        <v>44784.695219907408</v>
      </c>
      <c r="B2093" s="1">
        <v>44784.693414351852</v>
      </c>
      <c r="C2093">
        <v>12050</v>
      </c>
      <c r="D2093" t="s">
        <v>49</v>
      </c>
      <c r="E2093" t="s">
        <v>35</v>
      </c>
      <c r="F2093">
        <v>7</v>
      </c>
      <c r="G2093">
        <v>44.220573000000002</v>
      </c>
      <c r="H2093">
        <v>-71.732315</v>
      </c>
      <c r="I2093">
        <v>999</v>
      </c>
      <c r="J2093">
        <v>92</v>
      </c>
      <c r="K2093">
        <v>0</v>
      </c>
      <c r="L2093" s="1">
        <v>44784.695162037038</v>
      </c>
      <c r="M2093">
        <v>3.5</v>
      </c>
      <c r="N2093">
        <v>3.2</v>
      </c>
      <c r="O2093">
        <v>0.3</v>
      </c>
      <c r="P2093">
        <v>9</v>
      </c>
      <c r="Q2093">
        <v>0</v>
      </c>
      <c r="R2093">
        <v>0</v>
      </c>
      <c r="S2093">
        <v>0</v>
      </c>
      <c r="T2093" t="s">
        <v>33</v>
      </c>
      <c r="U2093">
        <v>3.35</v>
      </c>
      <c r="V2093">
        <v>28</v>
      </c>
      <c r="W2093">
        <v>0</v>
      </c>
      <c r="X2093">
        <v>28</v>
      </c>
      <c r="Y2093">
        <v>1</v>
      </c>
      <c r="Z2093">
        <v>0</v>
      </c>
      <c r="AA2093">
        <v>1</v>
      </c>
      <c r="AB2093" t="s">
        <v>36</v>
      </c>
      <c r="AC2093">
        <v>28</v>
      </c>
      <c r="AD2093">
        <v>2.2400000000000002</v>
      </c>
    </row>
    <row r="2094" spans="1:30" x14ac:dyDescent="0.25">
      <c r="A2094" s="1">
        <v>44784.695219907408</v>
      </c>
      <c r="B2094" s="1">
        <v>44784.693518518521</v>
      </c>
      <c r="C2094">
        <v>23443</v>
      </c>
      <c r="D2094" t="s">
        <v>50</v>
      </c>
      <c r="E2094" t="s">
        <v>35</v>
      </c>
      <c r="F2094">
        <v>7</v>
      </c>
      <c r="G2094">
        <v>43.556139999999999</v>
      </c>
      <c r="H2094">
        <v>-72.370990000000006</v>
      </c>
      <c r="I2094">
        <v>523</v>
      </c>
      <c r="J2094">
        <v>100</v>
      </c>
      <c r="K2094">
        <v>0</v>
      </c>
      <c r="L2094" s="1">
        <v>44784.695162037038</v>
      </c>
      <c r="M2094">
        <v>3.1</v>
      </c>
      <c r="N2094">
        <v>2.9</v>
      </c>
      <c r="O2094">
        <v>0.2</v>
      </c>
      <c r="P2094">
        <v>7</v>
      </c>
      <c r="Q2094">
        <v>0</v>
      </c>
      <c r="R2094">
        <v>0</v>
      </c>
      <c r="S2094">
        <v>0</v>
      </c>
      <c r="T2094" t="s">
        <v>33</v>
      </c>
      <c r="U2094">
        <v>3</v>
      </c>
      <c r="V2094">
        <v>23</v>
      </c>
      <c r="W2094">
        <v>0</v>
      </c>
      <c r="X2094">
        <v>23</v>
      </c>
      <c r="Y2094">
        <v>2</v>
      </c>
      <c r="Z2094">
        <v>0</v>
      </c>
      <c r="AA2094">
        <v>2</v>
      </c>
      <c r="AB2094" t="s">
        <v>36</v>
      </c>
      <c r="AC2094">
        <v>23</v>
      </c>
      <c r="AD2094">
        <v>2.38</v>
      </c>
    </row>
    <row r="2095" spans="1:30" x14ac:dyDescent="0.25">
      <c r="A2095" s="1">
        <v>44784.695231481484</v>
      </c>
      <c r="B2095" s="1">
        <v>44784.693645833337</v>
      </c>
      <c r="C2095">
        <v>58135</v>
      </c>
      <c r="D2095" t="s">
        <v>51</v>
      </c>
      <c r="E2095" t="s">
        <v>35</v>
      </c>
      <c r="F2095">
        <v>7</v>
      </c>
      <c r="G2095">
        <v>42.883873000000001</v>
      </c>
      <c r="H2095">
        <v>-71.972915999999998</v>
      </c>
      <c r="I2095">
        <v>808</v>
      </c>
      <c r="J2095">
        <v>88</v>
      </c>
      <c r="K2095">
        <v>0</v>
      </c>
      <c r="L2095" s="1">
        <v>44784.695162037038</v>
      </c>
      <c r="M2095">
        <v>4.9000000000000004</v>
      </c>
      <c r="N2095">
        <v>3.1</v>
      </c>
      <c r="O2095">
        <v>1.8</v>
      </c>
      <c r="P2095">
        <v>45</v>
      </c>
      <c r="Q2095">
        <v>0</v>
      </c>
      <c r="R2095">
        <v>0</v>
      </c>
      <c r="S2095">
        <v>0</v>
      </c>
      <c r="T2095" t="s">
        <v>33</v>
      </c>
      <c r="U2095">
        <v>4</v>
      </c>
      <c r="V2095">
        <v>35</v>
      </c>
      <c r="W2095">
        <v>0</v>
      </c>
      <c r="X2095">
        <v>35</v>
      </c>
      <c r="Y2095">
        <v>0</v>
      </c>
      <c r="Z2095">
        <v>0</v>
      </c>
      <c r="AA2095">
        <v>0</v>
      </c>
      <c r="AB2095" t="s">
        <v>36</v>
      </c>
      <c r="AC2095">
        <v>35</v>
      </c>
      <c r="AD2095">
        <v>2.15</v>
      </c>
    </row>
    <row r="2096" spans="1:30" x14ac:dyDescent="0.25">
      <c r="A2096" s="1">
        <v>44784.695231481484</v>
      </c>
      <c r="B2096" s="1">
        <v>44784.69363425926</v>
      </c>
      <c r="C2096">
        <v>148555</v>
      </c>
      <c r="D2096" t="s">
        <v>52</v>
      </c>
      <c r="E2096" t="s">
        <v>53</v>
      </c>
      <c r="F2096">
        <v>7</v>
      </c>
      <c r="G2096">
        <v>42.904949999999999</v>
      </c>
      <c r="H2096">
        <v>-71.386764999999997</v>
      </c>
      <c r="I2096">
        <v>363</v>
      </c>
      <c r="J2096">
        <v>0</v>
      </c>
      <c r="K2096">
        <v>0</v>
      </c>
      <c r="L2096" s="1">
        <v>44784.695162037038</v>
      </c>
      <c r="M2096">
        <v>1.1000000000000001</v>
      </c>
      <c r="N2096">
        <v>1.5</v>
      </c>
      <c r="O2096">
        <v>0.4</v>
      </c>
      <c r="P2096">
        <v>31</v>
      </c>
      <c r="Q2096">
        <v>0.1</v>
      </c>
      <c r="R2096">
        <v>0</v>
      </c>
      <c r="S2096">
        <v>0.05</v>
      </c>
      <c r="T2096" t="s">
        <v>33</v>
      </c>
      <c r="U2096">
        <v>1.3</v>
      </c>
      <c r="V2096">
        <v>0</v>
      </c>
      <c r="W2096">
        <v>0</v>
      </c>
      <c r="X2096">
        <v>0</v>
      </c>
      <c r="Y2096">
        <v>0</v>
      </c>
      <c r="Z2096">
        <v>0</v>
      </c>
      <c r="AA2096">
        <v>0</v>
      </c>
      <c r="AB2096" t="s">
        <v>38</v>
      </c>
    </row>
    <row r="2097" spans="1:30" x14ac:dyDescent="0.25">
      <c r="A2097" s="1">
        <v>44784.695231481484</v>
      </c>
      <c r="B2097" s="1">
        <v>44784.694513888891</v>
      </c>
      <c r="C2097">
        <v>146644</v>
      </c>
      <c r="D2097" t="s">
        <v>54</v>
      </c>
      <c r="E2097" t="s">
        <v>53</v>
      </c>
      <c r="F2097">
        <v>7</v>
      </c>
      <c r="G2097">
        <v>43.06015</v>
      </c>
      <c r="H2097">
        <v>-70.758930000000007</v>
      </c>
      <c r="I2097">
        <v>35</v>
      </c>
      <c r="J2097">
        <v>78</v>
      </c>
      <c r="K2097">
        <v>80</v>
      </c>
      <c r="L2097" s="1">
        <v>44784.695162037038</v>
      </c>
      <c r="M2097">
        <v>13.5</v>
      </c>
      <c r="N2097">
        <v>12.4</v>
      </c>
      <c r="O2097">
        <v>1.1000000000000001</v>
      </c>
      <c r="P2097">
        <v>8</v>
      </c>
      <c r="Q2097">
        <v>0.9</v>
      </c>
      <c r="R2097">
        <v>0.9</v>
      </c>
      <c r="S2097">
        <v>0.9</v>
      </c>
      <c r="T2097" t="s">
        <v>33</v>
      </c>
      <c r="U2097">
        <v>12.95</v>
      </c>
      <c r="V2097">
        <v>56</v>
      </c>
      <c r="W2097">
        <v>62</v>
      </c>
      <c r="X2097">
        <v>6</v>
      </c>
      <c r="Y2097">
        <v>2</v>
      </c>
      <c r="Z2097">
        <v>1</v>
      </c>
      <c r="AA2097">
        <v>1</v>
      </c>
      <c r="AB2097" t="s">
        <v>33</v>
      </c>
      <c r="AC2097">
        <v>59</v>
      </c>
      <c r="AD2097">
        <v>5.93</v>
      </c>
    </row>
    <row r="2098" spans="1:30" x14ac:dyDescent="0.25">
      <c r="A2098" s="1">
        <v>44784.695243055554</v>
      </c>
      <c r="B2098" s="1">
        <v>43755.283437500002</v>
      </c>
      <c r="C2098">
        <v>12188</v>
      </c>
      <c r="D2098" t="s">
        <v>55</v>
      </c>
      <c r="E2098" t="s">
        <v>35</v>
      </c>
      <c r="F2098">
        <v>4.1100000000000003</v>
      </c>
      <c r="G2098">
        <v>42.927050000000001</v>
      </c>
      <c r="H2098">
        <v>-72.279610000000005</v>
      </c>
      <c r="I2098">
        <v>475</v>
      </c>
      <c r="J2098">
        <v>95</v>
      </c>
      <c r="K2098">
        <v>0</v>
      </c>
      <c r="L2098" s="1">
        <v>44784.695162037038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 t="s">
        <v>32</v>
      </c>
      <c r="V2098">
        <v>77</v>
      </c>
      <c r="W2098">
        <v>0</v>
      </c>
      <c r="X2098">
        <v>77</v>
      </c>
      <c r="Y2098">
        <v>0</v>
      </c>
      <c r="Z2098">
        <v>0</v>
      </c>
      <c r="AA2098">
        <v>0</v>
      </c>
      <c r="AB2098" t="s">
        <v>36</v>
      </c>
      <c r="AC2098">
        <v>77</v>
      </c>
    </row>
    <row r="2099" spans="1:30" x14ac:dyDescent="0.25">
      <c r="A2099" s="1">
        <v>44784.695243055554</v>
      </c>
      <c r="B2099" s="1">
        <v>44784.694907407407</v>
      </c>
      <c r="C2099">
        <v>1224</v>
      </c>
      <c r="D2099" t="s">
        <v>56</v>
      </c>
      <c r="E2099" t="s">
        <v>35</v>
      </c>
      <c r="F2099" t="s">
        <v>57</v>
      </c>
      <c r="G2099">
        <v>42.938034000000002</v>
      </c>
      <c r="H2099">
        <v>-72.259299999999996</v>
      </c>
      <c r="I2099">
        <v>792</v>
      </c>
      <c r="J2099">
        <v>90</v>
      </c>
      <c r="K2099">
        <v>0</v>
      </c>
      <c r="L2099" s="1">
        <v>44784.695162037038</v>
      </c>
      <c r="M2099">
        <v>5.0999999999999996</v>
      </c>
      <c r="N2099">
        <v>0</v>
      </c>
      <c r="O2099">
        <v>5.0999999999999996</v>
      </c>
      <c r="P2099">
        <v>200</v>
      </c>
      <c r="Q2099">
        <v>0.2</v>
      </c>
      <c r="R2099">
        <v>0.1</v>
      </c>
      <c r="S2099">
        <v>0.15</v>
      </c>
      <c r="T2099" t="s">
        <v>43</v>
      </c>
      <c r="V2099">
        <v>39</v>
      </c>
      <c r="W2099">
        <v>0</v>
      </c>
      <c r="X2099">
        <v>39</v>
      </c>
      <c r="Y2099">
        <v>0</v>
      </c>
      <c r="Z2099">
        <v>0</v>
      </c>
      <c r="AA2099">
        <v>0</v>
      </c>
      <c r="AB2099" t="s">
        <v>36</v>
      </c>
      <c r="AC2099">
        <v>39</v>
      </c>
    </row>
    <row r="2100" spans="1:30" x14ac:dyDescent="0.25">
      <c r="A2100" s="1">
        <v>44784.695243055554</v>
      </c>
      <c r="B2100" s="1">
        <v>44784.694351851853</v>
      </c>
      <c r="C2100">
        <v>1202</v>
      </c>
      <c r="D2100" t="s">
        <v>58</v>
      </c>
      <c r="E2100" t="s">
        <v>35</v>
      </c>
      <c r="F2100" t="s">
        <v>57</v>
      </c>
      <c r="G2100">
        <v>42.936554000000001</v>
      </c>
      <c r="H2100">
        <v>-72.271019999999993</v>
      </c>
      <c r="I2100">
        <v>488</v>
      </c>
      <c r="J2100">
        <v>0</v>
      </c>
      <c r="K2100">
        <v>0</v>
      </c>
      <c r="L2100" s="1">
        <v>44784.695162037038</v>
      </c>
      <c r="M2100">
        <v>5.6</v>
      </c>
      <c r="N2100">
        <v>5</v>
      </c>
      <c r="O2100">
        <v>0.6</v>
      </c>
      <c r="P2100">
        <v>11</v>
      </c>
      <c r="Q2100">
        <v>0.2</v>
      </c>
      <c r="R2100">
        <v>0.1</v>
      </c>
      <c r="S2100">
        <v>0.15</v>
      </c>
      <c r="T2100" t="s">
        <v>33</v>
      </c>
      <c r="U2100">
        <v>5.3</v>
      </c>
      <c r="V2100">
        <v>0</v>
      </c>
      <c r="W2100">
        <v>0</v>
      </c>
      <c r="X2100">
        <v>0</v>
      </c>
      <c r="Y2100">
        <v>0</v>
      </c>
      <c r="Z2100">
        <v>0</v>
      </c>
      <c r="AA2100">
        <v>0</v>
      </c>
      <c r="AB2100" t="s">
        <v>38</v>
      </c>
    </row>
    <row r="2101" spans="1:30" x14ac:dyDescent="0.25">
      <c r="A2101" s="1">
        <v>44784.695254629631</v>
      </c>
      <c r="B2101" s="1">
        <v>44612.080023148148</v>
      </c>
      <c r="C2101">
        <v>25985</v>
      </c>
      <c r="D2101" t="s">
        <v>59</v>
      </c>
      <c r="E2101" t="s">
        <v>35</v>
      </c>
      <c r="F2101">
        <v>6.01</v>
      </c>
      <c r="G2101">
        <v>42.927326000000001</v>
      </c>
      <c r="H2101">
        <v>-72.279979999999995</v>
      </c>
      <c r="I2101">
        <v>477</v>
      </c>
      <c r="J2101">
        <v>78</v>
      </c>
      <c r="K2101">
        <v>0</v>
      </c>
      <c r="L2101" s="1">
        <v>44784.695162037038</v>
      </c>
      <c r="M2101">
        <v>1.1000000000000001</v>
      </c>
      <c r="N2101">
        <v>1</v>
      </c>
      <c r="O2101">
        <v>0.1</v>
      </c>
      <c r="P2101">
        <v>10</v>
      </c>
      <c r="Q2101">
        <v>0</v>
      </c>
      <c r="R2101">
        <v>0</v>
      </c>
      <c r="S2101">
        <v>0</v>
      </c>
      <c r="T2101" t="s">
        <v>32</v>
      </c>
      <c r="V2101">
        <v>22</v>
      </c>
      <c r="W2101">
        <v>0</v>
      </c>
      <c r="X2101">
        <v>22</v>
      </c>
      <c r="Y2101">
        <v>0</v>
      </c>
      <c r="Z2101">
        <v>0</v>
      </c>
      <c r="AA2101">
        <v>0</v>
      </c>
      <c r="AB2101" t="s">
        <v>36</v>
      </c>
      <c r="AC2101">
        <v>22</v>
      </c>
    </row>
    <row r="2102" spans="1:30" x14ac:dyDescent="0.25">
      <c r="A2102" s="1">
        <v>44784.702106481483</v>
      </c>
      <c r="B2102" s="1">
        <v>44775.701319444444</v>
      </c>
      <c r="C2102">
        <v>151708</v>
      </c>
      <c r="D2102" t="s">
        <v>30</v>
      </c>
      <c r="E2102" t="s">
        <v>31</v>
      </c>
      <c r="F2102">
        <v>7</v>
      </c>
      <c r="G2102">
        <v>43.192042999999998</v>
      </c>
      <c r="H2102">
        <v>-71.541579999999996</v>
      </c>
      <c r="I2102">
        <v>291</v>
      </c>
      <c r="J2102">
        <v>93</v>
      </c>
      <c r="K2102">
        <v>94</v>
      </c>
      <c r="L2102" s="1">
        <v>44784.702106481483</v>
      </c>
      <c r="M2102">
        <v>7.9</v>
      </c>
      <c r="N2102">
        <v>7.6</v>
      </c>
      <c r="O2102">
        <v>0.3</v>
      </c>
      <c r="P2102">
        <v>4</v>
      </c>
      <c r="Q2102">
        <v>0</v>
      </c>
      <c r="R2102">
        <v>0</v>
      </c>
      <c r="S2102">
        <v>0</v>
      </c>
      <c r="T2102" t="s">
        <v>32</v>
      </c>
      <c r="V2102">
        <v>42</v>
      </c>
      <c r="W2102">
        <v>41</v>
      </c>
      <c r="X2102">
        <v>1</v>
      </c>
      <c r="Y2102">
        <v>0</v>
      </c>
      <c r="Z2102">
        <v>0</v>
      </c>
      <c r="AA2102">
        <v>0</v>
      </c>
      <c r="AB2102" t="s">
        <v>33</v>
      </c>
      <c r="AC2102">
        <v>41.5</v>
      </c>
    </row>
    <row r="2103" spans="1:30" x14ac:dyDescent="0.25">
      <c r="A2103" s="1">
        <v>44784.702118055553</v>
      </c>
      <c r="B2103" s="1">
        <v>44784.700497685182</v>
      </c>
      <c r="C2103">
        <v>143456</v>
      </c>
      <c r="D2103" t="s">
        <v>34</v>
      </c>
      <c r="E2103" t="s">
        <v>35</v>
      </c>
      <c r="F2103">
        <v>7</v>
      </c>
      <c r="G2103">
        <v>43.08963</v>
      </c>
      <c r="H2103">
        <v>-71.502440000000007</v>
      </c>
      <c r="I2103">
        <v>619</v>
      </c>
      <c r="J2103">
        <v>84</v>
      </c>
      <c r="K2103">
        <v>0</v>
      </c>
      <c r="L2103" s="1">
        <v>44784.702106481483</v>
      </c>
      <c r="M2103">
        <v>3.2</v>
      </c>
      <c r="N2103">
        <v>3.5</v>
      </c>
      <c r="O2103">
        <v>0.3</v>
      </c>
      <c r="P2103">
        <v>9</v>
      </c>
      <c r="Q2103">
        <v>0.2</v>
      </c>
      <c r="R2103">
        <v>0</v>
      </c>
      <c r="S2103">
        <v>0.1</v>
      </c>
      <c r="T2103" t="s">
        <v>33</v>
      </c>
      <c r="U2103">
        <v>3.35</v>
      </c>
      <c r="V2103">
        <v>50</v>
      </c>
      <c r="W2103">
        <v>0</v>
      </c>
      <c r="X2103">
        <v>50</v>
      </c>
      <c r="Y2103">
        <v>1</v>
      </c>
      <c r="Z2103">
        <v>0</v>
      </c>
      <c r="AA2103">
        <v>1</v>
      </c>
      <c r="AB2103" t="s">
        <v>36</v>
      </c>
      <c r="AC2103">
        <v>50</v>
      </c>
      <c r="AD2103">
        <v>0.7</v>
      </c>
    </row>
    <row r="2104" spans="1:30" x14ac:dyDescent="0.25">
      <c r="A2104" s="1">
        <v>44784.702118055553</v>
      </c>
      <c r="B2104" s="1">
        <v>44784.700648148151</v>
      </c>
      <c r="C2104">
        <v>151702</v>
      </c>
      <c r="D2104" t="s">
        <v>37</v>
      </c>
      <c r="E2104" t="s">
        <v>31</v>
      </c>
      <c r="F2104">
        <v>7</v>
      </c>
      <c r="G2104">
        <v>43.118609999999997</v>
      </c>
      <c r="H2104">
        <v>-71.61618</v>
      </c>
      <c r="I2104">
        <v>885</v>
      </c>
      <c r="J2104">
        <v>0</v>
      </c>
      <c r="K2104">
        <v>0</v>
      </c>
      <c r="L2104" s="1">
        <v>44784.702106481483</v>
      </c>
      <c r="M2104">
        <v>2.7</v>
      </c>
      <c r="N2104">
        <v>2.7</v>
      </c>
      <c r="O2104">
        <v>0</v>
      </c>
      <c r="P2104">
        <v>0</v>
      </c>
      <c r="Q2104">
        <v>0</v>
      </c>
      <c r="R2104">
        <v>0</v>
      </c>
      <c r="S2104">
        <v>0</v>
      </c>
      <c r="T2104" t="s">
        <v>33</v>
      </c>
      <c r="U2104">
        <v>2.7</v>
      </c>
      <c r="V2104">
        <v>0</v>
      </c>
      <c r="W2104">
        <v>0</v>
      </c>
      <c r="X2104">
        <v>0</v>
      </c>
      <c r="Y2104">
        <v>0</v>
      </c>
      <c r="Z2104">
        <v>0</v>
      </c>
      <c r="AA2104">
        <v>0</v>
      </c>
      <c r="AB2104" t="s">
        <v>38</v>
      </c>
    </row>
    <row r="2105" spans="1:30" x14ac:dyDescent="0.25">
      <c r="A2105" s="1">
        <v>44784.702118055553</v>
      </c>
      <c r="B2105" s="1">
        <v>44784.700543981482</v>
      </c>
      <c r="C2105">
        <v>151700</v>
      </c>
      <c r="D2105" t="s">
        <v>30</v>
      </c>
      <c r="E2105" t="s">
        <v>31</v>
      </c>
      <c r="F2105">
        <v>7</v>
      </c>
      <c r="G2105">
        <v>43.19211</v>
      </c>
      <c r="H2105">
        <v>-71.541460000000001</v>
      </c>
      <c r="I2105">
        <v>286</v>
      </c>
      <c r="J2105">
        <v>85</v>
      </c>
      <c r="K2105">
        <v>0</v>
      </c>
      <c r="L2105" s="1">
        <v>44784.702106481483</v>
      </c>
      <c r="M2105">
        <v>2.6</v>
      </c>
      <c r="N2105">
        <v>3.3</v>
      </c>
      <c r="O2105">
        <v>0.7</v>
      </c>
      <c r="P2105">
        <v>24</v>
      </c>
      <c r="Q2105">
        <v>0.1</v>
      </c>
      <c r="R2105">
        <v>0.1</v>
      </c>
      <c r="S2105">
        <v>0.1</v>
      </c>
      <c r="T2105" t="s">
        <v>33</v>
      </c>
      <c r="U2105">
        <v>2.95</v>
      </c>
      <c r="V2105">
        <v>41</v>
      </c>
      <c r="W2105">
        <v>0</v>
      </c>
      <c r="X2105">
        <v>41</v>
      </c>
      <c r="Y2105">
        <v>1</v>
      </c>
      <c r="Z2105">
        <v>0</v>
      </c>
      <c r="AA2105">
        <v>1</v>
      </c>
      <c r="AB2105" t="s">
        <v>36</v>
      </c>
      <c r="AC2105">
        <v>41</v>
      </c>
      <c r="AD2105">
        <v>1.0900000000000001</v>
      </c>
    </row>
    <row r="2106" spans="1:30" x14ac:dyDescent="0.25">
      <c r="A2106" s="1">
        <v>44784.70212962963</v>
      </c>
      <c r="B2106" s="1">
        <v>44784.700983796298</v>
      </c>
      <c r="C2106">
        <v>135984</v>
      </c>
      <c r="D2106" t="s">
        <v>39</v>
      </c>
      <c r="E2106" t="s">
        <v>31</v>
      </c>
      <c r="F2106">
        <v>7</v>
      </c>
      <c r="G2106">
        <v>43.565852999999997</v>
      </c>
      <c r="H2106">
        <v>-71.496129999999994</v>
      </c>
      <c r="I2106">
        <v>708</v>
      </c>
      <c r="J2106">
        <v>86</v>
      </c>
      <c r="K2106">
        <v>0</v>
      </c>
      <c r="L2106" s="1">
        <v>44784.702106481483</v>
      </c>
      <c r="M2106">
        <v>3.8</v>
      </c>
      <c r="N2106">
        <v>3.3</v>
      </c>
      <c r="O2106">
        <v>0.5</v>
      </c>
      <c r="P2106">
        <v>14</v>
      </c>
      <c r="Q2106">
        <v>0.2</v>
      </c>
      <c r="R2106">
        <v>0</v>
      </c>
      <c r="S2106">
        <v>0.1</v>
      </c>
      <c r="T2106" t="s">
        <v>33</v>
      </c>
      <c r="U2106">
        <v>3.55</v>
      </c>
      <c r="V2106">
        <v>49</v>
      </c>
      <c r="W2106">
        <v>0</v>
      </c>
      <c r="X2106">
        <v>49</v>
      </c>
      <c r="Y2106">
        <v>1</v>
      </c>
      <c r="Z2106">
        <v>0</v>
      </c>
      <c r="AA2106">
        <v>1</v>
      </c>
      <c r="AB2106" t="s">
        <v>36</v>
      </c>
      <c r="AC2106">
        <v>49</v>
      </c>
      <c r="AD2106">
        <v>0.9</v>
      </c>
    </row>
    <row r="2107" spans="1:30" x14ac:dyDescent="0.25">
      <c r="A2107" s="1">
        <v>44784.70212962963</v>
      </c>
      <c r="B2107" s="1">
        <v>44780.394780092596</v>
      </c>
      <c r="C2107">
        <v>151712</v>
      </c>
      <c r="D2107" t="s">
        <v>40</v>
      </c>
      <c r="E2107" t="s">
        <v>31</v>
      </c>
      <c r="F2107">
        <v>7</v>
      </c>
      <c r="G2107">
        <v>43.289763999999998</v>
      </c>
      <c r="H2107">
        <v>-71.564260000000004</v>
      </c>
      <c r="I2107">
        <v>370</v>
      </c>
      <c r="J2107">
        <v>86</v>
      </c>
      <c r="K2107">
        <v>0</v>
      </c>
      <c r="L2107" s="1">
        <v>44784.702106481483</v>
      </c>
      <c r="M2107">
        <v>14</v>
      </c>
      <c r="N2107">
        <v>13.2</v>
      </c>
      <c r="O2107">
        <v>0.8</v>
      </c>
      <c r="P2107">
        <v>6</v>
      </c>
      <c r="Q2107">
        <v>0</v>
      </c>
      <c r="R2107">
        <v>0</v>
      </c>
      <c r="S2107">
        <v>0</v>
      </c>
      <c r="T2107" t="s">
        <v>32</v>
      </c>
      <c r="V2107">
        <v>59</v>
      </c>
      <c r="W2107">
        <v>0</v>
      </c>
      <c r="X2107">
        <v>59</v>
      </c>
      <c r="Y2107">
        <v>0</v>
      </c>
      <c r="Z2107">
        <v>0</v>
      </c>
      <c r="AA2107">
        <v>0</v>
      </c>
      <c r="AB2107" t="s">
        <v>36</v>
      </c>
      <c r="AC2107">
        <v>59</v>
      </c>
    </row>
    <row r="2108" spans="1:30" x14ac:dyDescent="0.25">
      <c r="A2108" s="1">
        <v>44784.702141203707</v>
      </c>
      <c r="B2108" s="1">
        <v>44784.700300925928</v>
      </c>
      <c r="C2108">
        <v>151710</v>
      </c>
      <c r="D2108" t="s">
        <v>41</v>
      </c>
      <c r="E2108" t="s">
        <v>31</v>
      </c>
      <c r="F2108">
        <v>7</v>
      </c>
      <c r="G2108">
        <v>43.132477000000002</v>
      </c>
      <c r="H2108">
        <v>-71.458374000000006</v>
      </c>
      <c r="I2108">
        <v>230</v>
      </c>
      <c r="J2108">
        <v>91</v>
      </c>
      <c r="K2108">
        <v>0</v>
      </c>
      <c r="L2108" s="1">
        <v>44784.702106481483</v>
      </c>
      <c r="M2108">
        <v>5.4</v>
      </c>
      <c r="N2108">
        <v>3.5</v>
      </c>
      <c r="O2108">
        <v>1.9</v>
      </c>
      <c r="P2108">
        <v>43</v>
      </c>
      <c r="Q2108">
        <v>0.3</v>
      </c>
      <c r="R2108">
        <v>0.1</v>
      </c>
      <c r="S2108">
        <v>0.2</v>
      </c>
      <c r="T2108" t="s">
        <v>33</v>
      </c>
      <c r="U2108">
        <v>4.45</v>
      </c>
      <c r="V2108">
        <v>31</v>
      </c>
      <c r="W2108">
        <v>0</v>
      </c>
      <c r="X2108">
        <v>31</v>
      </c>
      <c r="Y2108">
        <v>1</v>
      </c>
      <c r="Z2108">
        <v>0</v>
      </c>
      <c r="AA2108">
        <v>1</v>
      </c>
      <c r="AB2108" t="s">
        <v>36</v>
      </c>
      <c r="AC2108">
        <v>31</v>
      </c>
      <c r="AD2108">
        <v>2.7</v>
      </c>
    </row>
    <row r="2109" spans="1:30" x14ac:dyDescent="0.25">
      <c r="A2109" s="1">
        <v>44784.702141203707</v>
      </c>
      <c r="B2109" s="1">
        <v>44784.701331018521</v>
      </c>
      <c r="C2109">
        <v>151706</v>
      </c>
      <c r="D2109" t="s">
        <v>42</v>
      </c>
      <c r="E2109" t="s">
        <v>31</v>
      </c>
      <c r="F2109">
        <v>7</v>
      </c>
      <c r="G2109">
        <v>43.004080000000002</v>
      </c>
      <c r="H2109">
        <v>-71.177040000000005</v>
      </c>
      <c r="I2109">
        <v>194</v>
      </c>
      <c r="J2109">
        <v>88</v>
      </c>
      <c r="K2109">
        <v>0</v>
      </c>
      <c r="L2109" s="1">
        <v>44784.702106481483</v>
      </c>
      <c r="M2109">
        <v>3</v>
      </c>
      <c r="N2109">
        <v>0</v>
      </c>
      <c r="O2109">
        <v>3</v>
      </c>
      <c r="P2109">
        <v>200</v>
      </c>
      <c r="Q2109">
        <v>0.1</v>
      </c>
      <c r="R2109">
        <v>0</v>
      </c>
      <c r="S2109">
        <v>0.05</v>
      </c>
      <c r="T2109" t="s">
        <v>43</v>
      </c>
      <c r="V2109">
        <v>42</v>
      </c>
      <c r="W2109">
        <v>0</v>
      </c>
      <c r="X2109">
        <v>42</v>
      </c>
      <c r="Y2109">
        <v>4</v>
      </c>
      <c r="Z2109">
        <v>0</v>
      </c>
      <c r="AA2109">
        <v>4</v>
      </c>
      <c r="AB2109" t="s">
        <v>36</v>
      </c>
      <c r="AC2109">
        <v>42</v>
      </c>
    </row>
    <row r="2110" spans="1:30" x14ac:dyDescent="0.25">
      <c r="A2110" s="1">
        <v>44784.702141203707</v>
      </c>
      <c r="B2110" s="1">
        <v>44784.70113425926</v>
      </c>
      <c r="C2110">
        <v>12212</v>
      </c>
      <c r="D2110" t="s">
        <v>44</v>
      </c>
      <c r="E2110" t="s">
        <v>35</v>
      </c>
      <c r="F2110">
        <v>7</v>
      </c>
      <c r="G2110">
        <v>42.930529999999997</v>
      </c>
      <c r="H2110">
        <v>-72.272350000000003</v>
      </c>
      <c r="I2110">
        <v>476</v>
      </c>
      <c r="J2110">
        <v>93</v>
      </c>
      <c r="K2110">
        <v>0</v>
      </c>
      <c r="L2110" s="1">
        <v>44784.702106481483</v>
      </c>
      <c r="M2110">
        <v>4.9000000000000004</v>
      </c>
      <c r="N2110">
        <v>4.3</v>
      </c>
      <c r="O2110">
        <v>0.6</v>
      </c>
      <c r="P2110">
        <v>13</v>
      </c>
      <c r="Q2110">
        <v>0.1</v>
      </c>
      <c r="R2110">
        <v>0.1</v>
      </c>
      <c r="S2110">
        <v>0.1</v>
      </c>
      <c r="T2110" t="s">
        <v>33</v>
      </c>
      <c r="U2110">
        <v>4.5999999999999996</v>
      </c>
      <c r="V2110">
        <v>30</v>
      </c>
      <c r="W2110">
        <v>0</v>
      </c>
      <c r="X2110">
        <v>30</v>
      </c>
      <c r="Y2110">
        <v>0</v>
      </c>
      <c r="Z2110">
        <v>0</v>
      </c>
      <c r="AA2110">
        <v>0</v>
      </c>
      <c r="AB2110" t="s">
        <v>36</v>
      </c>
      <c r="AC2110">
        <v>30</v>
      </c>
      <c r="AD2110">
        <v>2.87</v>
      </c>
    </row>
    <row r="2111" spans="1:30" x14ac:dyDescent="0.25">
      <c r="A2111" s="1">
        <v>44784.702152777776</v>
      </c>
      <c r="B2111" s="1">
        <v>44769.376736111109</v>
      </c>
      <c r="C2111">
        <v>12178</v>
      </c>
      <c r="D2111" t="s">
        <v>45</v>
      </c>
      <c r="E2111" t="s">
        <v>35</v>
      </c>
      <c r="F2111">
        <v>7</v>
      </c>
      <c r="G2111">
        <v>42.899563000000001</v>
      </c>
      <c r="H2111">
        <v>-71.464650000000006</v>
      </c>
      <c r="I2111">
        <v>301</v>
      </c>
      <c r="J2111">
        <v>85</v>
      </c>
      <c r="K2111">
        <v>0</v>
      </c>
      <c r="L2111" s="1">
        <v>44784.702106481483</v>
      </c>
      <c r="M2111">
        <v>3.8</v>
      </c>
      <c r="N2111">
        <v>3.1</v>
      </c>
      <c r="O2111">
        <v>0.7</v>
      </c>
      <c r="P2111">
        <v>20</v>
      </c>
      <c r="Q2111">
        <v>0</v>
      </c>
      <c r="R2111">
        <v>0</v>
      </c>
      <c r="S2111">
        <v>0</v>
      </c>
      <c r="T2111" t="s">
        <v>32</v>
      </c>
      <c r="V2111">
        <v>35</v>
      </c>
      <c r="W2111">
        <v>0</v>
      </c>
      <c r="X2111">
        <v>35</v>
      </c>
      <c r="Y2111">
        <v>0</v>
      </c>
      <c r="Z2111">
        <v>0</v>
      </c>
      <c r="AA2111">
        <v>0</v>
      </c>
      <c r="AB2111" t="s">
        <v>36</v>
      </c>
      <c r="AC2111">
        <v>35</v>
      </c>
    </row>
    <row r="2112" spans="1:30" x14ac:dyDescent="0.25">
      <c r="A2112" s="1">
        <v>44784.702152777776</v>
      </c>
      <c r="B2112" s="1">
        <v>44784.701793981483</v>
      </c>
      <c r="C2112">
        <v>75981</v>
      </c>
      <c r="D2112" t="s">
        <v>46</v>
      </c>
      <c r="E2112" t="s">
        <v>35</v>
      </c>
      <c r="F2112">
        <v>7</v>
      </c>
      <c r="G2112">
        <v>42.97</v>
      </c>
      <c r="H2112">
        <v>-71.06</v>
      </c>
      <c r="I2112">
        <v>136</v>
      </c>
      <c r="J2112">
        <v>89</v>
      </c>
      <c r="K2112">
        <v>0</v>
      </c>
      <c r="L2112" s="1">
        <v>44784.702106481483</v>
      </c>
      <c r="M2112">
        <v>12.2</v>
      </c>
      <c r="N2112">
        <v>11.6</v>
      </c>
      <c r="O2112">
        <v>0.6</v>
      </c>
      <c r="P2112">
        <v>5</v>
      </c>
      <c r="Q2112">
        <v>0.4</v>
      </c>
      <c r="R2112">
        <v>0</v>
      </c>
      <c r="S2112">
        <v>0.2</v>
      </c>
      <c r="T2112" t="s">
        <v>33</v>
      </c>
      <c r="U2112">
        <v>11.9</v>
      </c>
      <c r="V2112">
        <v>45</v>
      </c>
      <c r="W2112">
        <v>0</v>
      </c>
      <c r="X2112">
        <v>45</v>
      </c>
      <c r="Y2112">
        <v>1</v>
      </c>
      <c r="Z2112">
        <v>0</v>
      </c>
      <c r="AA2112">
        <v>1</v>
      </c>
      <c r="AB2112" t="s">
        <v>36</v>
      </c>
      <c r="AC2112">
        <v>45</v>
      </c>
      <c r="AD2112">
        <v>6.27</v>
      </c>
    </row>
    <row r="2113" spans="1:30" x14ac:dyDescent="0.25">
      <c r="A2113" s="1">
        <v>44784.702164351853</v>
      </c>
      <c r="B2113" s="1">
        <v>44784.700937499998</v>
      </c>
      <c r="C2113">
        <v>115703</v>
      </c>
      <c r="D2113" t="s">
        <v>47</v>
      </c>
      <c r="E2113" t="s">
        <v>35</v>
      </c>
      <c r="F2113">
        <v>7</v>
      </c>
      <c r="G2113">
        <v>43.953625000000002</v>
      </c>
      <c r="H2113">
        <v>-71.508859999999999</v>
      </c>
      <c r="I2113">
        <v>1493</v>
      </c>
      <c r="J2113">
        <v>87</v>
      </c>
      <c r="K2113">
        <v>0</v>
      </c>
      <c r="L2113" s="1">
        <v>44784.702106481483</v>
      </c>
      <c r="M2113">
        <v>0.1</v>
      </c>
      <c r="N2113">
        <v>203.1</v>
      </c>
      <c r="O2113">
        <v>203</v>
      </c>
      <c r="P2113">
        <v>200</v>
      </c>
      <c r="Q2113">
        <v>0.1</v>
      </c>
      <c r="R2113">
        <v>0</v>
      </c>
      <c r="S2113">
        <v>0.05</v>
      </c>
      <c r="T2113" t="s">
        <v>60</v>
      </c>
      <c r="V2113">
        <v>34</v>
      </c>
      <c r="W2113">
        <v>0</v>
      </c>
      <c r="X2113">
        <v>34</v>
      </c>
      <c r="Y2113">
        <v>1</v>
      </c>
      <c r="Z2113">
        <v>0</v>
      </c>
      <c r="AA2113">
        <v>1</v>
      </c>
      <c r="AB2113" t="s">
        <v>36</v>
      </c>
      <c r="AC2113">
        <v>34</v>
      </c>
    </row>
    <row r="2114" spans="1:30" x14ac:dyDescent="0.25">
      <c r="A2114" s="1">
        <v>44784.702164351853</v>
      </c>
      <c r="B2114" s="1">
        <v>44784.701747685183</v>
      </c>
      <c r="C2114">
        <v>12050</v>
      </c>
      <c r="D2114" t="s">
        <v>49</v>
      </c>
      <c r="E2114" t="s">
        <v>35</v>
      </c>
      <c r="F2114">
        <v>7</v>
      </c>
      <c r="G2114">
        <v>44.220573000000002</v>
      </c>
      <c r="H2114">
        <v>-71.732315</v>
      </c>
      <c r="I2114">
        <v>999</v>
      </c>
      <c r="J2114">
        <v>92</v>
      </c>
      <c r="K2114">
        <v>0</v>
      </c>
      <c r="L2114" s="1">
        <v>44784.702106481483</v>
      </c>
      <c r="M2114">
        <v>3.5</v>
      </c>
      <c r="N2114">
        <v>3.2</v>
      </c>
      <c r="O2114">
        <v>0.3</v>
      </c>
      <c r="P2114">
        <v>9</v>
      </c>
      <c r="Q2114">
        <v>0</v>
      </c>
      <c r="R2114">
        <v>0</v>
      </c>
      <c r="S2114">
        <v>0</v>
      </c>
      <c r="T2114" t="s">
        <v>33</v>
      </c>
      <c r="U2114">
        <v>3.35</v>
      </c>
      <c r="V2114">
        <v>28</v>
      </c>
      <c r="W2114">
        <v>0</v>
      </c>
      <c r="X2114">
        <v>28</v>
      </c>
      <c r="Y2114">
        <v>0</v>
      </c>
      <c r="Z2114">
        <v>0</v>
      </c>
      <c r="AA2114">
        <v>0</v>
      </c>
      <c r="AB2114" t="s">
        <v>36</v>
      </c>
      <c r="AC2114">
        <v>28</v>
      </c>
      <c r="AD2114">
        <v>2.2400000000000002</v>
      </c>
    </row>
    <row r="2115" spans="1:30" x14ac:dyDescent="0.25">
      <c r="A2115" s="1">
        <v>44784.702164351853</v>
      </c>
      <c r="B2115" s="1">
        <v>44784.701863425929</v>
      </c>
      <c r="C2115">
        <v>23443</v>
      </c>
      <c r="D2115" t="s">
        <v>50</v>
      </c>
      <c r="E2115" t="s">
        <v>35</v>
      </c>
      <c r="F2115">
        <v>7</v>
      </c>
      <c r="G2115">
        <v>43.556139999999999</v>
      </c>
      <c r="H2115">
        <v>-72.370990000000006</v>
      </c>
      <c r="I2115">
        <v>523</v>
      </c>
      <c r="J2115">
        <v>97</v>
      </c>
      <c r="K2115">
        <v>0</v>
      </c>
      <c r="L2115" s="1">
        <v>44784.702106481483</v>
      </c>
      <c r="M2115">
        <v>3.3</v>
      </c>
      <c r="N2115">
        <v>2.8</v>
      </c>
      <c r="O2115">
        <v>0.5</v>
      </c>
      <c r="P2115">
        <v>16</v>
      </c>
      <c r="Q2115">
        <v>0.2</v>
      </c>
      <c r="R2115">
        <v>0.1</v>
      </c>
      <c r="S2115">
        <v>0.15</v>
      </c>
      <c r="T2115" t="s">
        <v>33</v>
      </c>
      <c r="U2115">
        <v>3.05</v>
      </c>
      <c r="V2115">
        <v>25</v>
      </c>
      <c r="W2115">
        <v>0</v>
      </c>
      <c r="X2115">
        <v>25</v>
      </c>
      <c r="Y2115">
        <v>2</v>
      </c>
      <c r="Z2115">
        <v>0</v>
      </c>
      <c r="AA2115">
        <v>2</v>
      </c>
      <c r="AB2115" t="s">
        <v>36</v>
      </c>
      <c r="AC2115">
        <v>25</v>
      </c>
      <c r="AD2115">
        <v>2.27</v>
      </c>
    </row>
    <row r="2116" spans="1:30" x14ac:dyDescent="0.25">
      <c r="A2116" s="1">
        <v>44784.702175925922</v>
      </c>
      <c r="B2116" s="1">
        <v>44784.701979166668</v>
      </c>
      <c r="C2116">
        <v>58135</v>
      </c>
      <c r="D2116" t="s">
        <v>51</v>
      </c>
      <c r="E2116" t="s">
        <v>35</v>
      </c>
      <c r="F2116">
        <v>7</v>
      </c>
      <c r="G2116">
        <v>42.883873000000001</v>
      </c>
      <c r="H2116">
        <v>-71.972915999999998</v>
      </c>
      <c r="I2116">
        <v>808</v>
      </c>
      <c r="J2116">
        <v>88</v>
      </c>
      <c r="K2116">
        <v>0</v>
      </c>
      <c r="L2116" s="1">
        <v>44784.702106481483</v>
      </c>
      <c r="M2116">
        <v>5.0999999999999996</v>
      </c>
      <c r="N2116">
        <v>3.1</v>
      </c>
      <c r="O2116">
        <v>2</v>
      </c>
      <c r="P2116">
        <v>49</v>
      </c>
      <c r="Q2116">
        <v>0.2</v>
      </c>
      <c r="R2116">
        <v>0</v>
      </c>
      <c r="S2116">
        <v>0.1</v>
      </c>
      <c r="T2116" t="s">
        <v>33</v>
      </c>
      <c r="U2116">
        <v>4.0999999999999996</v>
      </c>
      <c r="V2116">
        <v>35</v>
      </c>
      <c r="W2116">
        <v>0</v>
      </c>
      <c r="X2116">
        <v>35</v>
      </c>
      <c r="Y2116">
        <v>0</v>
      </c>
      <c r="Z2116">
        <v>0</v>
      </c>
      <c r="AA2116">
        <v>0</v>
      </c>
      <c r="AB2116" t="s">
        <v>36</v>
      </c>
      <c r="AC2116">
        <v>35</v>
      </c>
      <c r="AD2116">
        <v>2.21</v>
      </c>
    </row>
    <row r="2117" spans="1:30" x14ac:dyDescent="0.25">
      <c r="A2117" s="1">
        <v>44784.702175925922</v>
      </c>
      <c r="B2117" s="1">
        <v>44784.701967592591</v>
      </c>
      <c r="C2117">
        <v>148555</v>
      </c>
      <c r="D2117" t="s">
        <v>52</v>
      </c>
      <c r="E2117" t="s">
        <v>53</v>
      </c>
      <c r="F2117">
        <v>7</v>
      </c>
      <c r="G2117">
        <v>42.904949999999999</v>
      </c>
      <c r="H2117">
        <v>-71.386764999999997</v>
      </c>
      <c r="I2117">
        <v>363</v>
      </c>
      <c r="J2117">
        <v>0</v>
      </c>
      <c r="K2117">
        <v>0</v>
      </c>
      <c r="L2117" s="1">
        <v>44784.702106481483</v>
      </c>
      <c r="M2117">
        <v>1.1000000000000001</v>
      </c>
      <c r="N2117">
        <v>1.7</v>
      </c>
      <c r="O2117">
        <v>0.6</v>
      </c>
      <c r="P2117">
        <v>43</v>
      </c>
      <c r="Q2117">
        <v>0</v>
      </c>
      <c r="R2117">
        <v>0.2</v>
      </c>
      <c r="S2117">
        <v>0.1</v>
      </c>
      <c r="T2117" t="s">
        <v>33</v>
      </c>
      <c r="U2117">
        <v>1.4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 t="s">
        <v>38</v>
      </c>
    </row>
    <row r="2118" spans="1:30" x14ac:dyDescent="0.25">
      <c r="A2118" s="1">
        <v>44784.702175925922</v>
      </c>
      <c r="B2118" s="1">
        <v>44784.701458333337</v>
      </c>
      <c r="C2118">
        <v>146644</v>
      </c>
      <c r="D2118" t="s">
        <v>54</v>
      </c>
      <c r="E2118" t="s">
        <v>53</v>
      </c>
      <c r="F2118">
        <v>7</v>
      </c>
      <c r="G2118">
        <v>43.06015</v>
      </c>
      <c r="H2118">
        <v>-70.758930000000007</v>
      </c>
      <c r="I2118">
        <v>35</v>
      </c>
      <c r="J2118">
        <v>78</v>
      </c>
      <c r="K2118">
        <v>80</v>
      </c>
      <c r="L2118" s="1">
        <v>44784.702106481483</v>
      </c>
      <c r="M2118">
        <v>12.5</v>
      </c>
      <c r="N2118">
        <v>11.6</v>
      </c>
      <c r="O2118">
        <v>0.9</v>
      </c>
      <c r="P2118">
        <v>7</v>
      </c>
      <c r="Q2118">
        <v>1</v>
      </c>
      <c r="R2118">
        <v>0.8</v>
      </c>
      <c r="S2118">
        <v>0.9</v>
      </c>
      <c r="T2118" t="s">
        <v>33</v>
      </c>
      <c r="U2118">
        <v>12.05</v>
      </c>
      <c r="V2118">
        <v>56</v>
      </c>
      <c r="W2118">
        <v>62</v>
      </c>
      <c r="X2118">
        <v>6</v>
      </c>
      <c r="Y2118">
        <v>0</v>
      </c>
      <c r="Z2118">
        <v>0</v>
      </c>
      <c r="AA2118">
        <v>0</v>
      </c>
      <c r="AB2118" t="s">
        <v>33</v>
      </c>
      <c r="AC2118">
        <v>59</v>
      </c>
      <c r="AD2118">
        <v>5.38</v>
      </c>
    </row>
    <row r="2119" spans="1:30" x14ac:dyDescent="0.25">
      <c r="A2119" s="1">
        <v>44784.702187499999</v>
      </c>
      <c r="B2119" s="1">
        <v>43755.283437500002</v>
      </c>
      <c r="C2119">
        <v>12188</v>
      </c>
      <c r="D2119" t="s">
        <v>55</v>
      </c>
      <c r="E2119" t="s">
        <v>35</v>
      </c>
      <c r="F2119">
        <v>4.1100000000000003</v>
      </c>
      <c r="G2119">
        <v>42.927050000000001</v>
      </c>
      <c r="H2119">
        <v>-72.279610000000005</v>
      </c>
      <c r="I2119">
        <v>475</v>
      </c>
      <c r="J2119">
        <v>95</v>
      </c>
      <c r="K2119">
        <v>0</v>
      </c>
      <c r="L2119" s="1">
        <v>44784.702106481483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 t="s">
        <v>32</v>
      </c>
      <c r="V2119">
        <v>77</v>
      </c>
      <c r="W2119">
        <v>0</v>
      </c>
      <c r="X2119">
        <v>77</v>
      </c>
      <c r="Y2119">
        <v>0</v>
      </c>
      <c r="Z2119">
        <v>0</v>
      </c>
      <c r="AA2119">
        <v>0</v>
      </c>
      <c r="AB2119" t="s">
        <v>36</v>
      </c>
      <c r="AC2119">
        <v>77</v>
      </c>
    </row>
    <row r="2120" spans="1:30" x14ac:dyDescent="0.25">
      <c r="A2120" s="1">
        <v>44784.702187499999</v>
      </c>
      <c r="B2120" s="1">
        <v>44784.701851851853</v>
      </c>
      <c r="C2120">
        <v>1224</v>
      </c>
      <c r="D2120" t="s">
        <v>56</v>
      </c>
      <c r="E2120" t="s">
        <v>35</v>
      </c>
      <c r="F2120" t="s">
        <v>57</v>
      </c>
      <c r="G2120">
        <v>42.938034000000002</v>
      </c>
      <c r="H2120">
        <v>-72.259299999999996</v>
      </c>
      <c r="I2120">
        <v>792</v>
      </c>
      <c r="J2120">
        <v>90</v>
      </c>
      <c r="K2120">
        <v>0</v>
      </c>
      <c r="L2120" s="1">
        <v>44784.702106481483</v>
      </c>
      <c r="M2120">
        <v>5.0999999999999996</v>
      </c>
      <c r="N2120">
        <v>0</v>
      </c>
      <c r="O2120">
        <v>5.0999999999999996</v>
      </c>
      <c r="P2120">
        <v>200</v>
      </c>
      <c r="Q2120">
        <v>0</v>
      </c>
      <c r="R2120">
        <v>0</v>
      </c>
      <c r="S2120">
        <v>0</v>
      </c>
      <c r="T2120" t="s">
        <v>43</v>
      </c>
      <c r="V2120">
        <v>38</v>
      </c>
      <c r="W2120">
        <v>0</v>
      </c>
      <c r="X2120">
        <v>38</v>
      </c>
      <c r="Y2120">
        <v>1</v>
      </c>
      <c r="Z2120">
        <v>0</v>
      </c>
      <c r="AA2120">
        <v>1</v>
      </c>
      <c r="AB2120" t="s">
        <v>36</v>
      </c>
      <c r="AC2120">
        <v>38</v>
      </c>
    </row>
    <row r="2121" spans="1:30" x14ac:dyDescent="0.25">
      <c r="A2121" s="1">
        <v>44784.702187499999</v>
      </c>
      <c r="B2121" s="1">
        <v>44784.701296296298</v>
      </c>
      <c r="C2121">
        <v>1202</v>
      </c>
      <c r="D2121" t="s">
        <v>58</v>
      </c>
      <c r="E2121" t="s">
        <v>35</v>
      </c>
      <c r="F2121" t="s">
        <v>57</v>
      </c>
      <c r="G2121">
        <v>42.936554000000001</v>
      </c>
      <c r="H2121">
        <v>-72.271019999999993</v>
      </c>
      <c r="I2121">
        <v>488</v>
      </c>
      <c r="J2121">
        <v>0</v>
      </c>
      <c r="K2121">
        <v>0</v>
      </c>
      <c r="L2121" s="1">
        <v>44784.702106481483</v>
      </c>
      <c r="M2121">
        <v>5.6</v>
      </c>
      <c r="N2121">
        <v>5</v>
      </c>
      <c r="O2121">
        <v>0.6</v>
      </c>
      <c r="P2121">
        <v>11</v>
      </c>
      <c r="Q2121">
        <v>0</v>
      </c>
      <c r="R2121">
        <v>0</v>
      </c>
      <c r="S2121">
        <v>0</v>
      </c>
      <c r="T2121" t="s">
        <v>33</v>
      </c>
      <c r="U2121">
        <v>5.3</v>
      </c>
      <c r="V2121">
        <v>0</v>
      </c>
      <c r="W2121">
        <v>0</v>
      </c>
      <c r="X2121">
        <v>0</v>
      </c>
      <c r="Y2121">
        <v>0</v>
      </c>
      <c r="Z2121">
        <v>0</v>
      </c>
      <c r="AA2121">
        <v>0</v>
      </c>
      <c r="AB2121" t="s">
        <v>38</v>
      </c>
    </row>
    <row r="2122" spans="1:30" x14ac:dyDescent="0.25">
      <c r="A2122" s="1">
        <v>44784.702199074076</v>
      </c>
      <c r="B2122" s="1">
        <v>44612.080023148148</v>
      </c>
      <c r="C2122">
        <v>25985</v>
      </c>
      <c r="D2122" t="s">
        <v>59</v>
      </c>
      <c r="E2122" t="s">
        <v>35</v>
      </c>
      <c r="F2122">
        <v>6.01</v>
      </c>
      <c r="G2122">
        <v>42.927326000000001</v>
      </c>
      <c r="H2122">
        <v>-72.279979999999995</v>
      </c>
      <c r="I2122">
        <v>477</v>
      </c>
      <c r="J2122">
        <v>78</v>
      </c>
      <c r="K2122">
        <v>0</v>
      </c>
      <c r="L2122" s="1">
        <v>44784.702106481483</v>
      </c>
      <c r="M2122">
        <v>1.1000000000000001</v>
      </c>
      <c r="N2122">
        <v>1</v>
      </c>
      <c r="O2122">
        <v>0.1</v>
      </c>
      <c r="P2122">
        <v>10</v>
      </c>
      <c r="Q2122">
        <v>0</v>
      </c>
      <c r="R2122">
        <v>0</v>
      </c>
      <c r="S2122">
        <v>0</v>
      </c>
      <c r="T2122" t="s">
        <v>32</v>
      </c>
      <c r="V2122">
        <v>22</v>
      </c>
      <c r="W2122">
        <v>0</v>
      </c>
      <c r="X2122">
        <v>22</v>
      </c>
      <c r="Y2122">
        <v>0</v>
      </c>
      <c r="Z2122">
        <v>0</v>
      </c>
      <c r="AA2122">
        <v>0</v>
      </c>
      <c r="AB2122" t="s">
        <v>36</v>
      </c>
      <c r="AC2122">
        <v>22</v>
      </c>
    </row>
    <row r="2123" spans="1:30" x14ac:dyDescent="0.25">
      <c r="A2123" s="1">
        <v>44784.709050925929</v>
      </c>
      <c r="B2123" s="1">
        <v>44775.701319444444</v>
      </c>
      <c r="C2123">
        <v>151708</v>
      </c>
      <c r="D2123" t="s">
        <v>30</v>
      </c>
      <c r="E2123" t="s">
        <v>31</v>
      </c>
      <c r="F2123">
        <v>7</v>
      </c>
      <c r="G2123">
        <v>43.192042999999998</v>
      </c>
      <c r="H2123">
        <v>-71.541579999999996</v>
      </c>
      <c r="I2123">
        <v>291</v>
      </c>
      <c r="J2123">
        <v>93</v>
      </c>
      <c r="K2123">
        <v>94</v>
      </c>
      <c r="L2123" s="1">
        <v>44784.709050925929</v>
      </c>
      <c r="M2123">
        <v>7.9</v>
      </c>
      <c r="N2123">
        <v>7.6</v>
      </c>
      <c r="O2123">
        <v>0.3</v>
      </c>
      <c r="P2123">
        <v>4</v>
      </c>
      <c r="Q2123">
        <v>0</v>
      </c>
      <c r="R2123">
        <v>0</v>
      </c>
      <c r="S2123">
        <v>0</v>
      </c>
      <c r="T2123" t="s">
        <v>32</v>
      </c>
      <c r="V2123">
        <v>42</v>
      </c>
      <c r="W2123">
        <v>41</v>
      </c>
      <c r="X2123">
        <v>1</v>
      </c>
      <c r="Y2123">
        <v>0</v>
      </c>
      <c r="Z2123">
        <v>0</v>
      </c>
      <c r="AA2123">
        <v>0</v>
      </c>
      <c r="AB2123" t="s">
        <v>33</v>
      </c>
      <c r="AC2123">
        <v>41.5</v>
      </c>
    </row>
    <row r="2124" spans="1:30" x14ac:dyDescent="0.25">
      <c r="A2124" s="1">
        <v>44784.709062499998</v>
      </c>
      <c r="B2124" s="1">
        <v>44784.707453703704</v>
      </c>
      <c r="C2124">
        <v>143456</v>
      </c>
      <c r="D2124" t="s">
        <v>34</v>
      </c>
      <c r="E2124" t="s">
        <v>35</v>
      </c>
      <c r="F2124">
        <v>7</v>
      </c>
      <c r="G2124">
        <v>43.08963</v>
      </c>
      <c r="H2124">
        <v>-71.502440000000007</v>
      </c>
      <c r="I2124">
        <v>619</v>
      </c>
      <c r="J2124">
        <v>83</v>
      </c>
      <c r="K2124">
        <v>0</v>
      </c>
      <c r="L2124" s="1">
        <v>44784.709050925929</v>
      </c>
      <c r="M2124">
        <v>3.1</v>
      </c>
      <c r="N2124">
        <v>3.4</v>
      </c>
      <c r="O2124">
        <v>0.3</v>
      </c>
      <c r="P2124">
        <v>9</v>
      </c>
      <c r="Q2124">
        <v>0.1</v>
      </c>
      <c r="R2124">
        <v>0.1</v>
      </c>
      <c r="S2124">
        <v>0.1</v>
      </c>
      <c r="T2124" t="s">
        <v>33</v>
      </c>
      <c r="U2124">
        <v>3.25</v>
      </c>
      <c r="V2124">
        <v>51</v>
      </c>
      <c r="W2124">
        <v>0</v>
      </c>
      <c r="X2124">
        <v>51</v>
      </c>
      <c r="Y2124">
        <v>1</v>
      </c>
      <c r="Z2124">
        <v>0</v>
      </c>
      <c r="AA2124">
        <v>1</v>
      </c>
      <c r="AB2124" t="s">
        <v>36</v>
      </c>
      <c r="AC2124">
        <v>51</v>
      </c>
      <c r="AD2124">
        <v>0.56999999999999995</v>
      </c>
    </row>
    <row r="2125" spans="1:30" x14ac:dyDescent="0.25">
      <c r="A2125" s="1">
        <v>44784.709062499998</v>
      </c>
      <c r="B2125" s="1">
        <v>44784.707592592589</v>
      </c>
      <c r="C2125">
        <v>151702</v>
      </c>
      <c r="D2125" t="s">
        <v>37</v>
      </c>
      <c r="E2125" t="s">
        <v>31</v>
      </c>
      <c r="F2125">
        <v>7</v>
      </c>
      <c r="G2125">
        <v>43.118609999999997</v>
      </c>
      <c r="H2125">
        <v>-71.61618</v>
      </c>
      <c r="I2125">
        <v>885</v>
      </c>
      <c r="J2125">
        <v>0</v>
      </c>
      <c r="K2125">
        <v>0</v>
      </c>
      <c r="L2125" s="1">
        <v>44784.709050925929</v>
      </c>
      <c r="M2125">
        <v>3</v>
      </c>
      <c r="N2125">
        <v>2.8</v>
      </c>
      <c r="O2125">
        <v>0.2</v>
      </c>
      <c r="P2125">
        <v>7</v>
      </c>
      <c r="Q2125">
        <v>0.3</v>
      </c>
      <c r="R2125">
        <v>0.1</v>
      </c>
      <c r="S2125">
        <v>0.2</v>
      </c>
      <c r="T2125" t="s">
        <v>33</v>
      </c>
      <c r="U2125">
        <v>2.9</v>
      </c>
      <c r="V2125">
        <v>0</v>
      </c>
      <c r="W2125">
        <v>0</v>
      </c>
      <c r="X2125">
        <v>0</v>
      </c>
      <c r="Y2125">
        <v>0</v>
      </c>
      <c r="Z2125">
        <v>0</v>
      </c>
      <c r="AA2125">
        <v>0</v>
      </c>
      <c r="AB2125" t="s">
        <v>38</v>
      </c>
    </row>
    <row r="2126" spans="1:30" x14ac:dyDescent="0.25">
      <c r="A2126" s="1">
        <v>44784.709074074075</v>
      </c>
      <c r="B2126" s="1">
        <v>44784.707488425927</v>
      </c>
      <c r="C2126">
        <v>151700</v>
      </c>
      <c r="D2126" t="s">
        <v>30</v>
      </c>
      <c r="E2126" t="s">
        <v>31</v>
      </c>
      <c r="F2126">
        <v>7</v>
      </c>
      <c r="G2126">
        <v>43.19211</v>
      </c>
      <c r="H2126">
        <v>-71.541460000000001</v>
      </c>
      <c r="I2126">
        <v>286</v>
      </c>
      <c r="J2126">
        <v>85</v>
      </c>
      <c r="K2126">
        <v>0</v>
      </c>
      <c r="L2126" s="1">
        <v>44784.709050925929</v>
      </c>
      <c r="M2126">
        <v>2.6</v>
      </c>
      <c r="N2126">
        <v>3.2</v>
      </c>
      <c r="O2126">
        <v>0.6</v>
      </c>
      <c r="P2126">
        <v>21</v>
      </c>
      <c r="Q2126">
        <v>0</v>
      </c>
      <c r="R2126">
        <v>0.1</v>
      </c>
      <c r="S2126">
        <v>0.05</v>
      </c>
      <c r="T2126" t="s">
        <v>33</v>
      </c>
      <c r="U2126">
        <v>2.9</v>
      </c>
      <c r="V2126">
        <v>41</v>
      </c>
      <c r="W2126">
        <v>0</v>
      </c>
      <c r="X2126">
        <v>41</v>
      </c>
      <c r="Y2126">
        <v>0</v>
      </c>
      <c r="Z2126">
        <v>0</v>
      </c>
      <c r="AA2126">
        <v>0</v>
      </c>
      <c r="AB2126" t="s">
        <v>36</v>
      </c>
      <c r="AC2126">
        <v>41</v>
      </c>
      <c r="AD2126">
        <v>1.06</v>
      </c>
    </row>
    <row r="2127" spans="1:30" x14ac:dyDescent="0.25">
      <c r="A2127" s="1">
        <v>44784.709074074075</v>
      </c>
      <c r="B2127" s="1">
        <v>44784.707928240743</v>
      </c>
      <c r="C2127">
        <v>135984</v>
      </c>
      <c r="D2127" t="s">
        <v>39</v>
      </c>
      <c r="E2127" t="s">
        <v>31</v>
      </c>
      <c r="F2127">
        <v>7</v>
      </c>
      <c r="G2127">
        <v>43.565852999999997</v>
      </c>
      <c r="H2127">
        <v>-71.496129999999994</v>
      </c>
      <c r="I2127">
        <v>708</v>
      </c>
      <c r="J2127">
        <v>85</v>
      </c>
      <c r="K2127">
        <v>0</v>
      </c>
      <c r="L2127" s="1">
        <v>44784.709050925929</v>
      </c>
      <c r="M2127">
        <v>3.7</v>
      </c>
      <c r="N2127">
        <v>3.4</v>
      </c>
      <c r="O2127">
        <v>0.3</v>
      </c>
      <c r="P2127">
        <v>8</v>
      </c>
      <c r="Q2127">
        <v>0.1</v>
      </c>
      <c r="R2127">
        <v>0.1</v>
      </c>
      <c r="S2127">
        <v>0.1</v>
      </c>
      <c r="T2127" t="s">
        <v>33</v>
      </c>
      <c r="U2127">
        <v>3.55</v>
      </c>
      <c r="V2127">
        <v>50</v>
      </c>
      <c r="W2127">
        <v>0</v>
      </c>
      <c r="X2127">
        <v>50</v>
      </c>
      <c r="Y2127">
        <v>1</v>
      </c>
      <c r="Z2127">
        <v>0</v>
      </c>
      <c r="AA2127">
        <v>1</v>
      </c>
      <c r="AB2127" t="s">
        <v>36</v>
      </c>
      <c r="AC2127">
        <v>50</v>
      </c>
      <c r="AD2127">
        <v>0.83</v>
      </c>
    </row>
    <row r="2128" spans="1:30" x14ac:dyDescent="0.25">
      <c r="A2128" s="1">
        <v>44784.709085648145</v>
      </c>
      <c r="B2128" s="1">
        <v>44780.394780092596</v>
      </c>
      <c r="C2128">
        <v>151712</v>
      </c>
      <c r="D2128" t="s">
        <v>40</v>
      </c>
      <c r="E2128" t="s">
        <v>31</v>
      </c>
      <c r="F2128">
        <v>7</v>
      </c>
      <c r="G2128">
        <v>43.289763999999998</v>
      </c>
      <c r="H2128">
        <v>-71.564260000000004</v>
      </c>
      <c r="I2128">
        <v>370</v>
      </c>
      <c r="J2128">
        <v>86</v>
      </c>
      <c r="K2128">
        <v>0</v>
      </c>
      <c r="L2128" s="1">
        <v>44784.709050925929</v>
      </c>
      <c r="M2128">
        <v>14</v>
      </c>
      <c r="N2128">
        <v>13.2</v>
      </c>
      <c r="O2128">
        <v>0.8</v>
      </c>
      <c r="P2128">
        <v>6</v>
      </c>
      <c r="Q2128">
        <v>0</v>
      </c>
      <c r="R2128">
        <v>0</v>
      </c>
      <c r="S2128">
        <v>0</v>
      </c>
      <c r="T2128" t="s">
        <v>32</v>
      </c>
      <c r="V2128">
        <v>59</v>
      </c>
      <c r="W2128">
        <v>0</v>
      </c>
      <c r="X2128">
        <v>59</v>
      </c>
      <c r="Y2128">
        <v>0</v>
      </c>
      <c r="Z2128">
        <v>0</v>
      </c>
      <c r="AA2128">
        <v>0</v>
      </c>
      <c r="AB2128" t="s">
        <v>36</v>
      </c>
      <c r="AC2128">
        <v>59</v>
      </c>
    </row>
    <row r="2129" spans="1:30" x14ac:dyDescent="0.25">
      <c r="A2129" s="1">
        <v>44784.709085648145</v>
      </c>
      <c r="B2129" s="1">
        <v>44784.707245370373</v>
      </c>
      <c r="C2129">
        <v>151710</v>
      </c>
      <c r="D2129" t="s">
        <v>41</v>
      </c>
      <c r="E2129" t="s">
        <v>31</v>
      </c>
      <c r="F2129">
        <v>7</v>
      </c>
      <c r="G2129">
        <v>43.132477000000002</v>
      </c>
      <c r="H2129">
        <v>-71.458374000000006</v>
      </c>
      <c r="I2129">
        <v>230</v>
      </c>
      <c r="J2129">
        <v>90</v>
      </c>
      <c r="K2129">
        <v>0</v>
      </c>
      <c r="L2129" s="1">
        <v>44784.709050925929</v>
      </c>
      <c r="M2129">
        <v>5.4</v>
      </c>
      <c r="N2129">
        <v>3.5</v>
      </c>
      <c r="O2129">
        <v>1.9</v>
      </c>
      <c r="P2129">
        <v>43</v>
      </c>
      <c r="Q2129">
        <v>0</v>
      </c>
      <c r="R2129">
        <v>0</v>
      </c>
      <c r="S2129">
        <v>0</v>
      </c>
      <c r="T2129" t="s">
        <v>33</v>
      </c>
      <c r="U2129">
        <v>4.45</v>
      </c>
      <c r="V2129">
        <v>32</v>
      </c>
      <c r="W2129">
        <v>0</v>
      </c>
      <c r="X2129">
        <v>32</v>
      </c>
      <c r="Y2129">
        <v>1</v>
      </c>
      <c r="Z2129">
        <v>0</v>
      </c>
      <c r="AA2129">
        <v>1</v>
      </c>
      <c r="AB2129" t="s">
        <v>36</v>
      </c>
      <c r="AC2129">
        <v>32</v>
      </c>
      <c r="AD2129">
        <v>2.63</v>
      </c>
    </row>
    <row r="2130" spans="1:30" x14ac:dyDescent="0.25">
      <c r="A2130" s="1">
        <v>44784.709097222221</v>
      </c>
      <c r="B2130" s="1">
        <v>44784.708275462966</v>
      </c>
      <c r="C2130">
        <v>151706</v>
      </c>
      <c r="D2130" t="s">
        <v>42</v>
      </c>
      <c r="E2130" t="s">
        <v>31</v>
      </c>
      <c r="F2130">
        <v>7</v>
      </c>
      <c r="G2130">
        <v>43.004080000000002</v>
      </c>
      <c r="H2130">
        <v>-71.177040000000005</v>
      </c>
      <c r="I2130">
        <v>194</v>
      </c>
      <c r="J2130">
        <v>87</v>
      </c>
      <c r="K2130">
        <v>0</v>
      </c>
      <c r="L2130" s="1">
        <v>44784.709050925929</v>
      </c>
      <c r="M2130">
        <v>6</v>
      </c>
      <c r="N2130">
        <v>0</v>
      </c>
      <c r="O2130">
        <v>6</v>
      </c>
      <c r="P2130">
        <v>200</v>
      </c>
      <c r="Q2130">
        <v>3</v>
      </c>
      <c r="R2130">
        <v>0</v>
      </c>
      <c r="S2130">
        <v>1.5</v>
      </c>
      <c r="T2130" t="s">
        <v>43</v>
      </c>
      <c r="V2130">
        <v>46</v>
      </c>
      <c r="W2130">
        <v>0</v>
      </c>
      <c r="X2130">
        <v>46</v>
      </c>
      <c r="Y2130">
        <v>4</v>
      </c>
      <c r="Z2130">
        <v>0</v>
      </c>
      <c r="AA2130">
        <v>4</v>
      </c>
      <c r="AB2130" t="s">
        <v>36</v>
      </c>
      <c r="AC2130">
        <v>46</v>
      </c>
    </row>
    <row r="2131" spans="1:30" x14ac:dyDescent="0.25">
      <c r="A2131" s="1">
        <v>44784.709097222221</v>
      </c>
      <c r="B2131" s="1">
        <v>44784.708078703705</v>
      </c>
      <c r="C2131">
        <v>12212</v>
      </c>
      <c r="D2131" t="s">
        <v>44</v>
      </c>
      <c r="E2131" t="s">
        <v>35</v>
      </c>
      <c r="F2131">
        <v>7</v>
      </c>
      <c r="G2131">
        <v>42.930529999999997</v>
      </c>
      <c r="H2131">
        <v>-72.272350000000003</v>
      </c>
      <c r="I2131">
        <v>476</v>
      </c>
      <c r="J2131">
        <v>92</v>
      </c>
      <c r="K2131">
        <v>0</v>
      </c>
      <c r="L2131" s="1">
        <v>44784.709050925929</v>
      </c>
      <c r="M2131">
        <v>4.8</v>
      </c>
      <c r="N2131">
        <v>4.4000000000000004</v>
      </c>
      <c r="O2131">
        <v>0.4</v>
      </c>
      <c r="P2131">
        <v>9</v>
      </c>
      <c r="Q2131">
        <v>0.1</v>
      </c>
      <c r="R2131">
        <v>0.1</v>
      </c>
      <c r="S2131">
        <v>0.1</v>
      </c>
      <c r="T2131" t="s">
        <v>33</v>
      </c>
      <c r="U2131">
        <v>4.5999999999999996</v>
      </c>
      <c r="V2131">
        <v>29</v>
      </c>
      <c r="W2131">
        <v>0</v>
      </c>
      <c r="X2131">
        <v>29</v>
      </c>
      <c r="Y2131">
        <v>1</v>
      </c>
      <c r="Z2131">
        <v>0</v>
      </c>
      <c r="AA2131">
        <v>1</v>
      </c>
      <c r="AB2131" t="s">
        <v>36</v>
      </c>
      <c r="AC2131">
        <v>29</v>
      </c>
      <c r="AD2131">
        <v>2.94</v>
      </c>
    </row>
    <row r="2132" spans="1:30" x14ac:dyDescent="0.25">
      <c r="A2132" s="1">
        <v>44784.709108796298</v>
      </c>
      <c r="B2132" s="1">
        <v>44769.376736111109</v>
      </c>
      <c r="C2132">
        <v>12178</v>
      </c>
      <c r="D2132" t="s">
        <v>45</v>
      </c>
      <c r="E2132" t="s">
        <v>35</v>
      </c>
      <c r="F2132">
        <v>7</v>
      </c>
      <c r="G2132">
        <v>42.899563000000001</v>
      </c>
      <c r="H2132">
        <v>-71.464650000000006</v>
      </c>
      <c r="I2132">
        <v>301</v>
      </c>
      <c r="J2132">
        <v>85</v>
      </c>
      <c r="K2132">
        <v>0</v>
      </c>
      <c r="L2132" s="1">
        <v>44784.709050925929</v>
      </c>
      <c r="M2132">
        <v>3.8</v>
      </c>
      <c r="N2132">
        <v>3.1</v>
      </c>
      <c r="O2132">
        <v>0.7</v>
      </c>
      <c r="P2132">
        <v>20</v>
      </c>
      <c r="Q2132">
        <v>0</v>
      </c>
      <c r="R2132">
        <v>0</v>
      </c>
      <c r="S2132">
        <v>0</v>
      </c>
      <c r="T2132" t="s">
        <v>32</v>
      </c>
      <c r="V2132">
        <v>35</v>
      </c>
      <c r="W2132">
        <v>0</v>
      </c>
      <c r="X2132">
        <v>35</v>
      </c>
      <c r="Y2132">
        <v>0</v>
      </c>
      <c r="Z2132">
        <v>0</v>
      </c>
      <c r="AA2132">
        <v>0</v>
      </c>
      <c r="AB2132" t="s">
        <v>36</v>
      </c>
      <c r="AC2132">
        <v>35</v>
      </c>
    </row>
    <row r="2133" spans="1:30" x14ac:dyDescent="0.25">
      <c r="A2133" s="1">
        <v>44784.709108796298</v>
      </c>
      <c r="B2133" s="1">
        <v>44784.707349537035</v>
      </c>
      <c r="C2133">
        <v>75981</v>
      </c>
      <c r="D2133" t="s">
        <v>46</v>
      </c>
      <c r="E2133" t="s">
        <v>35</v>
      </c>
      <c r="F2133">
        <v>7</v>
      </c>
      <c r="G2133">
        <v>42.97</v>
      </c>
      <c r="H2133">
        <v>-71.06</v>
      </c>
      <c r="I2133">
        <v>136</v>
      </c>
      <c r="J2133">
        <v>91</v>
      </c>
      <c r="K2133">
        <v>0</v>
      </c>
      <c r="L2133" s="1">
        <v>44784.709050925929</v>
      </c>
      <c r="M2133">
        <v>12.1</v>
      </c>
      <c r="N2133">
        <v>11.6</v>
      </c>
      <c r="O2133">
        <v>0.5</v>
      </c>
      <c r="P2133">
        <v>4</v>
      </c>
      <c r="Q2133">
        <v>0.1</v>
      </c>
      <c r="R2133">
        <v>0</v>
      </c>
      <c r="S2133">
        <v>0.05</v>
      </c>
      <c r="T2133" t="s">
        <v>33</v>
      </c>
      <c r="U2133">
        <v>11.85</v>
      </c>
      <c r="V2133">
        <v>44</v>
      </c>
      <c r="W2133">
        <v>0</v>
      </c>
      <c r="X2133">
        <v>44</v>
      </c>
      <c r="Y2133">
        <v>1</v>
      </c>
      <c r="Z2133">
        <v>0</v>
      </c>
      <c r="AA2133">
        <v>1</v>
      </c>
      <c r="AB2133" t="s">
        <v>36</v>
      </c>
      <c r="AC2133">
        <v>44</v>
      </c>
      <c r="AD2133">
        <v>6.31</v>
      </c>
    </row>
    <row r="2134" spans="1:30" x14ac:dyDescent="0.25">
      <c r="A2134" s="1">
        <v>44784.709108796298</v>
      </c>
      <c r="B2134" s="1">
        <v>44784.707881944443</v>
      </c>
      <c r="C2134">
        <v>115703</v>
      </c>
      <c r="D2134" t="s">
        <v>47</v>
      </c>
      <c r="E2134" t="s">
        <v>35</v>
      </c>
      <c r="F2134">
        <v>7</v>
      </c>
      <c r="G2134">
        <v>43.953625000000002</v>
      </c>
      <c r="H2134">
        <v>-71.508859999999999</v>
      </c>
      <c r="I2134">
        <v>1493</v>
      </c>
      <c r="J2134">
        <v>89</v>
      </c>
      <c r="K2134">
        <v>0</v>
      </c>
      <c r="L2134" s="1">
        <v>44784.709050925929</v>
      </c>
      <c r="M2134">
        <v>0.1</v>
      </c>
      <c r="N2134">
        <v>203.1</v>
      </c>
      <c r="O2134">
        <v>203</v>
      </c>
      <c r="P2134">
        <v>200</v>
      </c>
      <c r="Q2134">
        <v>0</v>
      </c>
      <c r="R2134">
        <v>0</v>
      </c>
      <c r="S2134">
        <v>0</v>
      </c>
      <c r="T2134" t="s">
        <v>60</v>
      </c>
      <c r="V2134">
        <v>32</v>
      </c>
      <c r="W2134">
        <v>0</v>
      </c>
      <c r="X2134">
        <v>32</v>
      </c>
      <c r="Y2134">
        <v>2</v>
      </c>
      <c r="Z2134">
        <v>0</v>
      </c>
      <c r="AA2134">
        <v>2</v>
      </c>
      <c r="AB2134" t="s">
        <v>36</v>
      </c>
      <c r="AC2134">
        <v>32</v>
      </c>
    </row>
    <row r="2135" spans="1:30" x14ac:dyDescent="0.25">
      <c r="A2135" s="1">
        <v>44784.709120370368</v>
      </c>
      <c r="B2135" s="1">
        <v>44784.707303240742</v>
      </c>
      <c r="C2135">
        <v>12050</v>
      </c>
      <c r="D2135" t="s">
        <v>49</v>
      </c>
      <c r="E2135" t="s">
        <v>35</v>
      </c>
      <c r="F2135">
        <v>7</v>
      </c>
      <c r="G2135">
        <v>44.220573000000002</v>
      </c>
      <c r="H2135">
        <v>-71.732315</v>
      </c>
      <c r="I2135">
        <v>999</v>
      </c>
      <c r="J2135">
        <v>91</v>
      </c>
      <c r="K2135">
        <v>0</v>
      </c>
      <c r="L2135" s="1">
        <v>44784.709050925929</v>
      </c>
      <c r="M2135">
        <v>3.6</v>
      </c>
      <c r="N2135">
        <v>3.1</v>
      </c>
      <c r="O2135">
        <v>0.5</v>
      </c>
      <c r="P2135">
        <v>15</v>
      </c>
      <c r="Q2135">
        <v>0.1</v>
      </c>
      <c r="R2135">
        <v>0.1</v>
      </c>
      <c r="S2135">
        <v>0.1</v>
      </c>
      <c r="T2135" t="s">
        <v>33</v>
      </c>
      <c r="U2135">
        <v>3.35</v>
      </c>
      <c r="V2135">
        <v>29</v>
      </c>
      <c r="W2135">
        <v>0</v>
      </c>
      <c r="X2135">
        <v>29</v>
      </c>
      <c r="Y2135">
        <v>1</v>
      </c>
      <c r="Z2135">
        <v>0</v>
      </c>
      <c r="AA2135">
        <v>1</v>
      </c>
      <c r="AB2135" t="s">
        <v>36</v>
      </c>
      <c r="AC2135">
        <v>29</v>
      </c>
      <c r="AD2135">
        <v>2.17</v>
      </c>
    </row>
    <row r="2136" spans="1:30" x14ac:dyDescent="0.25">
      <c r="A2136" s="1">
        <v>44784.709120370368</v>
      </c>
      <c r="B2136" s="1">
        <v>44784.707418981481</v>
      </c>
      <c r="C2136">
        <v>23443</v>
      </c>
      <c r="D2136" t="s">
        <v>50</v>
      </c>
      <c r="E2136" t="s">
        <v>35</v>
      </c>
      <c r="F2136">
        <v>7</v>
      </c>
      <c r="G2136">
        <v>43.556139999999999</v>
      </c>
      <c r="H2136">
        <v>-72.370990000000006</v>
      </c>
      <c r="I2136">
        <v>523</v>
      </c>
      <c r="J2136">
        <v>95</v>
      </c>
      <c r="K2136">
        <v>0</v>
      </c>
      <c r="L2136" s="1">
        <v>44784.709050925929</v>
      </c>
      <c r="M2136">
        <v>3.3</v>
      </c>
      <c r="N2136">
        <v>2.8</v>
      </c>
      <c r="O2136">
        <v>0.5</v>
      </c>
      <c r="P2136">
        <v>16</v>
      </c>
      <c r="Q2136">
        <v>0</v>
      </c>
      <c r="R2136">
        <v>0</v>
      </c>
      <c r="S2136">
        <v>0</v>
      </c>
      <c r="T2136" t="s">
        <v>33</v>
      </c>
      <c r="U2136">
        <v>3.05</v>
      </c>
      <c r="V2136">
        <v>26</v>
      </c>
      <c r="W2136">
        <v>0</v>
      </c>
      <c r="X2136">
        <v>26</v>
      </c>
      <c r="Y2136">
        <v>1</v>
      </c>
      <c r="Z2136">
        <v>0</v>
      </c>
      <c r="AA2136">
        <v>1</v>
      </c>
      <c r="AB2136" t="s">
        <v>36</v>
      </c>
      <c r="AC2136">
        <v>26</v>
      </c>
      <c r="AD2136">
        <v>2.2000000000000002</v>
      </c>
    </row>
    <row r="2137" spans="1:30" x14ac:dyDescent="0.25">
      <c r="A2137" s="1">
        <v>44784.709131944444</v>
      </c>
      <c r="B2137" s="1">
        <v>44784.708923611113</v>
      </c>
      <c r="C2137">
        <v>58135</v>
      </c>
      <c r="D2137" t="s">
        <v>51</v>
      </c>
      <c r="E2137" t="s">
        <v>35</v>
      </c>
      <c r="F2137">
        <v>7</v>
      </c>
      <c r="G2137">
        <v>42.883873000000001</v>
      </c>
      <c r="H2137">
        <v>-71.972915999999998</v>
      </c>
      <c r="I2137">
        <v>808</v>
      </c>
      <c r="J2137">
        <v>87</v>
      </c>
      <c r="K2137">
        <v>0</v>
      </c>
      <c r="L2137" s="1">
        <v>44784.709050925929</v>
      </c>
      <c r="M2137">
        <v>5.0999999999999996</v>
      </c>
      <c r="N2137">
        <v>3.2</v>
      </c>
      <c r="O2137">
        <v>1.9</v>
      </c>
      <c r="P2137">
        <v>46</v>
      </c>
      <c r="Q2137">
        <v>0</v>
      </c>
      <c r="R2137">
        <v>0.1</v>
      </c>
      <c r="S2137">
        <v>0.05</v>
      </c>
      <c r="T2137" t="s">
        <v>33</v>
      </c>
      <c r="U2137">
        <v>4.1500000000000004</v>
      </c>
      <c r="V2137">
        <v>36</v>
      </c>
      <c r="W2137">
        <v>0</v>
      </c>
      <c r="X2137">
        <v>36</v>
      </c>
      <c r="Y2137">
        <v>1</v>
      </c>
      <c r="Z2137">
        <v>0</v>
      </c>
      <c r="AA2137">
        <v>1</v>
      </c>
      <c r="AB2137" t="s">
        <v>36</v>
      </c>
      <c r="AC2137">
        <v>36</v>
      </c>
      <c r="AD2137">
        <v>2.17</v>
      </c>
    </row>
    <row r="2138" spans="1:30" x14ac:dyDescent="0.25">
      <c r="A2138" s="1">
        <v>44784.709131944444</v>
      </c>
      <c r="B2138" s="1">
        <v>44784.708912037036</v>
      </c>
      <c r="C2138">
        <v>148555</v>
      </c>
      <c r="D2138" t="s">
        <v>52</v>
      </c>
      <c r="E2138" t="s">
        <v>53</v>
      </c>
      <c r="F2138">
        <v>7</v>
      </c>
      <c r="G2138">
        <v>42.904949999999999</v>
      </c>
      <c r="H2138">
        <v>-71.386764999999997</v>
      </c>
      <c r="I2138">
        <v>363</v>
      </c>
      <c r="J2138">
        <v>0</v>
      </c>
      <c r="K2138">
        <v>0</v>
      </c>
      <c r="L2138" s="1">
        <v>44784.709050925929</v>
      </c>
      <c r="M2138">
        <v>1.3</v>
      </c>
      <c r="N2138">
        <v>1.9</v>
      </c>
      <c r="O2138">
        <v>0.6</v>
      </c>
      <c r="P2138">
        <v>37</v>
      </c>
      <c r="Q2138">
        <v>0.2</v>
      </c>
      <c r="R2138">
        <v>0.2</v>
      </c>
      <c r="S2138">
        <v>0.2</v>
      </c>
      <c r="T2138" t="s">
        <v>33</v>
      </c>
      <c r="U2138">
        <v>1.6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 t="s">
        <v>38</v>
      </c>
    </row>
    <row r="2139" spans="1:30" x14ac:dyDescent="0.25">
      <c r="A2139" s="1">
        <v>44784.709131944444</v>
      </c>
      <c r="B2139" s="1">
        <v>44784.708402777775</v>
      </c>
      <c r="C2139">
        <v>146644</v>
      </c>
      <c r="D2139" t="s">
        <v>54</v>
      </c>
      <c r="E2139" t="s">
        <v>53</v>
      </c>
      <c r="F2139">
        <v>7</v>
      </c>
      <c r="G2139">
        <v>43.06015</v>
      </c>
      <c r="H2139">
        <v>-70.758930000000007</v>
      </c>
      <c r="I2139">
        <v>35</v>
      </c>
      <c r="J2139">
        <v>79</v>
      </c>
      <c r="K2139">
        <v>80</v>
      </c>
      <c r="L2139" s="1">
        <v>44784.709050925929</v>
      </c>
      <c r="M2139">
        <v>12.3</v>
      </c>
      <c r="N2139">
        <v>11.1</v>
      </c>
      <c r="O2139">
        <v>1.2</v>
      </c>
      <c r="P2139">
        <v>10</v>
      </c>
      <c r="Q2139">
        <v>0.2</v>
      </c>
      <c r="R2139">
        <v>0.5</v>
      </c>
      <c r="S2139">
        <v>0.35</v>
      </c>
      <c r="T2139" t="s">
        <v>33</v>
      </c>
      <c r="U2139">
        <v>11.7</v>
      </c>
      <c r="V2139">
        <v>58</v>
      </c>
      <c r="W2139">
        <v>62</v>
      </c>
      <c r="X2139">
        <v>4</v>
      </c>
      <c r="Y2139">
        <v>2</v>
      </c>
      <c r="Z2139">
        <v>0</v>
      </c>
      <c r="AA2139">
        <v>2</v>
      </c>
      <c r="AB2139" t="s">
        <v>33</v>
      </c>
      <c r="AC2139">
        <v>60</v>
      </c>
      <c r="AD2139">
        <v>5.0999999999999996</v>
      </c>
    </row>
    <row r="2140" spans="1:30" x14ac:dyDescent="0.25">
      <c r="A2140" s="1">
        <v>44784.709143518521</v>
      </c>
      <c r="B2140" s="1">
        <v>43755.283437500002</v>
      </c>
      <c r="C2140">
        <v>12188</v>
      </c>
      <c r="D2140" t="s">
        <v>55</v>
      </c>
      <c r="E2140" t="s">
        <v>35</v>
      </c>
      <c r="F2140">
        <v>4.1100000000000003</v>
      </c>
      <c r="G2140">
        <v>42.927050000000001</v>
      </c>
      <c r="H2140">
        <v>-72.279610000000005</v>
      </c>
      <c r="I2140">
        <v>475</v>
      </c>
      <c r="J2140">
        <v>95</v>
      </c>
      <c r="K2140">
        <v>0</v>
      </c>
      <c r="L2140" s="1">
        <v>44784.709050925929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 t="s">
        <v>32</v>
      </c>
      <c r="V2140">
        <v>77</v>
      </c>
      <c r="W2140">
        <v>0</v>
      </c>
      <c r="X2140">
        <v>77</v>
      </c>
      <c r="Y2140">
        <v>0</v>
      </c>
      <c r="Z2140">
        <v>0</v>
      </c>
      <c r="AA2140">
        <v>0</v>
      </c>
      <c r="AB2140" t="s">
        <v>36</v>
      </c>
      <c r="AC2140">
        <v>77</v>
      </c>
    </row>
    <row r="2141" spans="1:30" x14ac:dyDescent="0.25">
      <c r="A2141" s="1">
        <v>44784.709143518521</v>
      </c>
      <c r="B2141" s="1">
        <v>44784.708796296298</v>
      </c>
      <c r="C2141">
        <v>1224</v>
      </c>
      <c r="D2141" t="s">
        <v>56</v>
      </c>
      <c r="E2141" t="s">
        <v>35</v>
      </c>
      <c r="F2141" t="s">
        <v>57</v>
      </c>
      <c r="G2141">
        <v>42.938034000000002</v>
      </c>
      <c r="H2141">
        <v>-72.259299999999996</v>
      </c>
      <c r="I2141">
        <v>792</v>
      </c>
      <c r="J2141">
        <v>92</v>
      </c>
      <c r="K2141">
        <v>0</v>
      </c>
      <c r="L2141" s="1">
        <v>44784.709050925929</v>
      </c>
      <c r="M2141">
        <v>5.0999999999999996</v>
      </c>
      <c r="N2141">
        <v>0</v>
      </c>
      <c r="O2141">
        <v>5.0999999999999996</v>
      </c>
      <c r="P2141">
        <v>200</v>
      </c>
      <c r="Q2141">
        <v>0</v>
      </c>
      <c r="R2141">
        <v>0</v>
      </c>
      <c r="S2141">
        <v>0</v>
      </c>
      <c r="T2141" t="s">
        <v>43</v>
      </c>
      <c r="V2141">
        <v>37</v>
      </c>
      <c r="W2141">
        <v>0</v>
      </c>
      <c r="X2141">
        <v>37</v>
      </c>
      <c r="Y2141">
        <v>1</v>
      </c>
      <c r="Z2141">
        <v>0</v>
      </c>
      <c r="AA2141">
        <v>1</v>
      </c>
      <c r="AB2141" t="s">
        <v>36</v>
      </c>
      <c r="AC2141">
        <v>37</v>
      </c>
    </row>
    <row r="2142" spans="1:30" x14ac:dyDescent="0.25">
      <c r="A2142" s="1">
        <v>44784.709143518521</v>
      </c>
      <c r="B2142" s="1">
        <v>44784.708240740743</v>
      </c>
      <c r="C2142">
        <v>1202</v>
      </c>
      <c r="D2142" t="s">
        <v>58</v>
      </c>
      <c r="E2142" t="s">
        <v>35</v>
      </c>
      <c r="F2142" t="s">
        <v>57</v>
      </c>
      <c r="G2142">
        <v>42.936554000000001</v>
      </c>
      <c r="H2142">
        <v>-72.271019999999993</v>
      </c>
      <c r="I2142">
        <v>488</v>
      </c>
      <c r="J2142">
        <v>0</v>
      </c>
      <c r="K2142">
        <v>0</v>
      </c>
      <c r="L2142" s="1">
        <v>44784.709050925929</v>
      </c>
      <c r="M2142">
        <v>5.6</v>
      </c>
      <c r="N2142">
        <v>4.9000000000000004</v>
      </c>
      <c r="O2142">
        <v>0.7</v>
      </c>
      <c r="P2142">
        <v>13</v>
      </c>
      <c r="Q2142">
        <v>0</v>
      </c>
      <c r="R2142">
        <v>0.1</v>
      </c>
      <c r="S2142">
        <v>0.05</v>
      </c>
      <c r="T2142" t="s">
        <v>33</v>
      </c>
      <c r="U2142">
        <v>5.25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 t="s">
        <v>38</v>
      </c>
    </row>
    <row r="2143" spans="1:30" x14ac:dyDescent="0.25">
      <c r="A2143" s="1">
        <v>44784.709155092591</v>
      </c>
      <c r="B2143" s="1">
        <v>44612.080023148148</v>
      </c>
      <c r="C2143">
        <v>25985</v>
      </c>
      <c r="D2143" t="s">
        <v>59</v>
      </c>
      <c r="E2143" t="s">
        <v>35</v>
      </c>
      <c r="F2143">
        <v>6.01</v>
      </c>
      <c r="G2143">
        <v>42.927326000000001</v>
      </c>
      <c r="H2143">
        <v>-72.279979999999995</v>
      </c>
      <c r="I2143">
        <v>477</v>
      </c>
      <c r="J2143">
        <v>78</v>
      </c>
      <c r="K2143">
        <v>0</v>
      </c>
      <c r="L2143" s="1">
        <v>44784.709050925929</v>
      </c>
      <c r="M2143">
        <v>1.1000000000000001</v>
      </c>
      <c r="N2143">
        <v>1</v>
      </c>
      <c r="O2143">
        <v>0.1</v>
      </c>
      <c r="P2143">
        <v>10</v>
      </c>
      <c r="Q2143">
        <v>0</v>
      </c>
      <c r="R2143">
        <v>0</v>
      </c>
      <c r="S2143">
        <v>0</v>
      </c>
      <c r="T2143" t="s">
        <v>32</v>
      </c>
      <c r="V2143">
        <v>22</v>
      </c>
      <c r="W2143">
        <v>0</v>
      </c>
      <c r="X2143">
        <v>22</v>
      </c>
      <c r="Y2143">
        <v>0</v>
      </c>
      <c r="Z2143">
        <v>0</v>
      </c>
      <c r="AA2143">
        <v>0</v>
      </c>
      <c r="AB2143" t="s">
        <v>36</v>
      </c>
      <c r="AC2143">
        <v>22</v>
      </c>
    </row>
    <row r="2144" spans="1:30" x14ac:dyDescent="0.25">
      <c r="A2144" s="1">
        <v>44784.715995370374</v>
      </c>
      <c r="B2144" s="1">
        <v>44775.701319444444</v>
      </c>
      <c r="C2144">
        <v>151708</v>
      </c>
      <c r="D2144" t="s">
        <v>30</v>
      </c>
      <c r="E2144" t="s">
        <v>31</v>
      </c>
      <c r="F2144">
        <v>7</v>
      </c>
      <c r="G2144">
        <v>43.192042999999998</v>
      </c>
      <c r="H2144">
        <v>-71.541579999999996</v>
      </c>
      <c r="I2144">
        <v>291</v>
      </c>
      <c r="J2144">
        <v>93</v>
      </c>
      <c r="K2144">
        <v>94</v>
      </c>
      <c r="L2144" s="1">
        <v>44784.715995370374</v>
      </c>
      <c r="M2144">
        <v>7.9</v>
      </c>
      <c r="N2144">
        <v>7.6</v>
      </c>
      <c r="O2144">
        <v>0.3</v>
      </c>
      <c r="P2144">
        <v>4</v>
      </c>
      <c r="Q2144">
        <v>0</v>
      </c>
      <c r="R2144">
        <v>0</v>
      </c>
      <c r="S2144">
        <v>0</v>
      </c>
      <c r="T2144" t="s">
        <v>32</v>
      </c>
      <c r="V2144">
        <v>42</v>
      </c>
      <c r="W2144">
        <v>41</v>
      </c>
      <c r="X2144">
        <v>1</v>
      </c>
      <c r="Y2144">
        <v>0</v>
      </c>
      <c r="Z2144">
        <v>0</v>
      </c>
      <c r="AA2144">
        <v>0</v>
      </c>
      <c r="AB2144" t="s">
        <v>33</v>
      </c>
      <c r="AC2144">
        <v>41.5</v>
      </c>
    </row>
    <row r="2145" spans="1:30" x14ac:dyDescent="0.25">
      <c r="A2145" s="1">
        <v>44784.716006944444</v>
      </c>
      <c r="B2145" s="1">
        <v>44784.714386574073</v>
      </c>
      <c r="C2145">
        <v>143456</v>
      </c>
      <c r="D2145" t="s">
        <v>34</v>
      </c>
      <c r="E2145" t="s">
        <v>35</v>
      </c>
      <c r="F2145">
        <v>7</v>
      </c>
      <c r="G2145">
        <v>43.08963</v>
      </c>
      <c r="H2145">
        <v>-71.502440000000007</v>
      </c>
      <c r="I2145">
        <v>619</v>
      </c>
      <c r="J2145">
        <v>83</v>
      </c>
      <c r="K2145">
        <v>0</v>
      </c>
      <c r="L2145" s="1">
        <v>44784.715995370374</v>
      </c>
      <c r="M2145">
        <v>3</v>
      </c>
      <c r="N2145">
        <v>3.3</v>
      </c>
      <c r="O2145">
        <v>0.3</v>
      </c>
      <c r="P2145">
        <v>10</v>
      </c>
      <c r="Q2145">
        <v>0.1</v>
      </c>
      <c r="R2145">
        <v>0.1</v>
      </c>
      <c r="S2145">
        <v>0.1</v>
      </c>
      <c r="T2145" t="s">
        <v>33</v>
      </c>
      <c r="U2145">
        <v>3.15</v>
      </c>
      <c r="V2145">
        <v>52</v>
      </c>
      <c r="W2145">
        <v>0</v>
      </c>
      <c r="X2145">
        <v>52</v>
      </c>
      <c r="Y2145">
        <v>1</v>
      </c>
      <c r="Z2145">
        <v>0</v>
      </c>
      <c r="AA2145">
        <v>1</v>
      </c>
      <c r="AB2145" t="s">
        <v>36</v>
      </c>
      <c r="AC2145">
        <v>52</v>
      </c>
      <c r="AD2145">
        <v>0.44</v>
      </c>
    </row>
    <row r="2146" spans="1:30" x14ac:dyDescent="0.25">
      <c r="A2146" s="1">
        <v>44784.716006944444</v>
      </c>
      <c r="B2146" s="1">
        <v>44784.714548611111</v>
      </c>
      <c r="C2146">
        <v>151702</v>
      </c>
      <c r="D2146" t="s">
        <v>37</v>
      </c>
      <c r="E2146" t="s">
        <v>31</v>
      </c>
      <c r="F2146">
        <v>7</v>
      </c>
      <c r="G2146">
        <v>43.118609999999997</v>
      </c>
      <c r="H2146">
        <v>-71.61618</v>
      </c>
      <c r="I2146">
        <v>885</v>
      </c>
      <c r="J2146">
        <v>0</v>
      </c>
      <c r="K2146">
        <v>0</v>
      </c>
      <c r="L2146" s="1">
        <v>44784.715995370374</v>
      </c>
      <c r="M2146">
        <v>3.1</v>
      </c>
      <c r="N2146">
        <v>3</v>
      </c>
      <c r="O2146">
        <v>0.1</v>
      </c>
      <c r="P2146">
        <v>3</v>
      </c>
      <c r="Q2146">
        <v>0.1</v>
      </c>
      <c r="R2146">
        <v>0.2</v>
      </c>
      <c r="S2146">
        <v>0.15</v>
      </c>
      <c r="T2146" t="s">
        <v>33</v>
      </c>
      <c r="U2146">
        <v>3.05</v>
      </c>
      <c r="V2146">
        <v>0</v>
      </c>
      <c r="W2146">
        <v>0</v>
      </c>
      <c r="X2146">
        <v>0</v>
      </c>
      <c r="Y2146">
        <v>0</v>
      </c>
      <c r="Z2146">
        <v>0</v>
      </c>
      <c r="AA2146">
        <v>0</v>
      </c>
      <c r="AB2146" t="s">
        <v>38</v>
      </c>
    </row>
    <row r="2147" spans="1:30" x14ac:dyDescent="0.25">
      <c r="A2147" s="1">
        <v>44784.716006944444</v>
      </c>
      <c r="B2147" s="1">
        <v>44784.714432870373</v>
      </c>
      <c r="C2147">
        <v>151700</v>
      </c>
      <c r="D2147" t="s">
        <v>30</v>
      </c>
      <c r="E2147" t="s">
        <v>31</v>
      </c>
      <c r="F2147">
        <v>7</v>
      </c>
      <c r="G2147">
        <v>43.19211</v>
      </c>
      <c r="H2147">
        <v>-71.541460000000001</v>
      </c>
      <c r="I2147">
        <v>286</v>
      </c>
      <c r="J2147">
        <v>85</v>
      </c>
      <c r="K2147">
        <v>0</v>
      </c>
      <c r="L2147" s="1">
        <v>44784.715995370374</v>
      </c>
      <c r="M2147">
        <v>2.6</v>
      </c>
      <c r="N2147">
        <v>3.1</v>
      </c>
      <c r="O2147">
        <v>0.5</v>
      </c>
      <c r="P2147">
        <v>18</v>
      </c>
      <c r="Q2147">
        <v>0</v>
      </c>
      <c r="R2147">
        <v>0.1</v>
      </c>
      <c r="S2147">
        <v>0.05</v>
      </c>
      <c r="T2147" t="s">
        <v>33</v>
      </c>
      <c r="U2147">
        <v>2.85</v>
      </c>
      <c r="V2147">
        <v>41</v>
      </c>
      <c r="W2147">
        <v>0</v>
      </c>
      <c r="X2147">
        <v>41</v>
      </c>
      <c r="Y2147">
        <v>0</v>
      </c>
      <c r="Z2147">
        <v>0</v>
      </c>
      <c r="AA2147">
        <v>0</v>
      </c>
      <c r="AB2147" t="s">
        <v>36</v>
      </c>
      <c r="AC2147">
        <v>41</v>
      </c>
      <c r="AD2147">
        <v>1.03</v>
      </c>
    </row>
    <row r="2148" spans="1:30" x14ac:dyDescent="0.25">
      <c r="A2148" s="1">
        <v>44784.71601851852</v>
      </c>
      <c r="B2148" s="1">
        <v>44784.714884259258</v>
      </c>
      <c r="C2148">
        <v>135984</v>
      </c>
      <c r="D2148" t="s">
        <v>39</v>
      </c>
      <c r="E2148" t="s">
        <v>31</v>
      </c>
      <c r="F2148">
        <v>7</v>
      </c>
      <c r="G2148">
        <v>43.565852999999997</v>
      </c>
      <c r="H2148">
        <v>-71.496129999999994</v>
      </c>
      <c r="I2148">
        <v>708</v>
      </c>
      <c r="J2148">
        <v>85</v>
      </c>
      <c r="K2148">
        <v>0</v>
      </c>
      <c r="L2148" s="1">
        <v>44784.715995370374</v>
      </c>
      <c r="M2148">
        <v>3.8</v>
      </c>
      <c r="N2148">
        <v>3.5</v>
      </c>
      <c r="O2148">
        <v>0.3</v>
      </c>
      <c r="P2148">
        <v>8</v>
      </c>
      <c r="Q2148">
        <v>0.1</v>
      </c>
      <c r="R2148">
        <v>0.1</v>
      </c>
      <c r="S2148">
        <v>0.1</v>
      </c>
      <c r="T2148" t="s">
        <v>33</v>
      </c>
      <c r="U2148">
        <v>3.65</v>
      </c>
      <c r="V2148">
        <v>52</v>
      </c>
      <c r="W2148">
        <v>0</v>
      </c>
      <c r="X2148">
        <v>52</v>
      </c>
      <c r="Y2148">
        <v>2</v>
      </c>
      <c r="Z2148">
        <v>0</v>
      </c>
      <c r="AA2148">
        <v>2</v>
      </c>
      <c r="AB2148" t="s">
        <v>36</v>
      </c>
      <c r="AC2148">
        <v>52</v>
      </c>
      <c r="AD2148">
        <v>0.75</v>
      </c>
    </row>
    <row r="2149" spans="1:30" x14ac:dyDescent="0.25">
      <c r="A2149" s="1">
        <v>44784.71601851852</v>
      </c>
      <c r="B2149" s="1">
        <v>44780.394780092596</v>
      </c>
      <c r="C2149">
        <v>151712</v>
      </c>
      <c r="D2149" t="s">
        <v>40</v>
      </c>
      <c r="E2149" t="s">
        <v>31</v>
      </c>
      <c r="F2149">
        <v>7</v>
      </c>
      <c r="G2149">
        <v>43.289763999999998</v>
      </c>
      <c r="H2149">
        <v>-71.564260000000004</v>
      </c>
      <c r="I2149">
        <v>370</v>
      </c>
      <c r="J2149">
        <v>86</v>
      </c>
      <c r="K2149">
        <v>0</v>
      </c>
      <c r="L2149" s="1">
        <v>44784.715995370374</v>
      </c>
      <c r="M2149">
        <v>14</v>
      </c>
      <c r="N2149">
        <v>13.2</v>
      </c>
      <c r="O2149">
        <v>0.8</v>
      </c>
      <c r="P2149">
        <v>6</v>
      </c>
      <c r="Q2149">
        <v>0</v>
      </c>
      <c r="R2149">
        <v>0</v>
      </c>
      <c r="S2149">
        <v>0</v>
      </c>
      <c r="T2149" t="s">
        <v>32</v>
      </c>
      <c r="V2149">
        <v>59</v>
      </c>
      <c r="W2149">
        <v>0</v>
      </c>
      <c r="X2149">
        <v>59</v>
      </c>
      <c r="Y2149">
        <v>0</v>
      </c>
      <c r="Z2149">
        <v>0</v>
      </c>
      <c r="AA2149">
        <v>0</v>
      </c>
      <c r="AB2149" t="s">
        <v>36</v>
      </c>
      <c r="AC2149">
        <v>59</v>
      </c>
    </row>
    <row r="2150" spans="1:30" x14ac:dyDescent="0.25">
      <c r="A2150" s="1">
        <v>44784.71603009259</v>
      </c>
      <c r="B2150" s="1">
        <v>44784.714189814818</v>
      </c>
      <c r="C2150">
        <v>151710</v>
      </c>
      <c r="D2150" t="s">
        <v>41</v>
      </c>
      <c r="E2150" t="s">
        <v>31</v>
      </c>
      <c r="F2150">
        <v>7</v>
      </c>
      <c r="G2150">
        <v>43.132477000000002</v>
      </c>
      <c r="H2150">
        <v>-71.458374000000006</v>
      </c>
      <c r="I2150">
        <v>230</v>
      </c>
      <c r="J2150">
        <v>90</v>
      </c>
      <c r="K2150">
        <v>0</v>
      </c>
      <c r="L2150" s="1">
        <v>44784.715995370374</v>
      </c>
      <c r="M2150">
        <v>5.6</v>
      </c>
      <c r="N2150">
        <v>3.5</v>
      </c>
      <c r="O2150">
        <v>2.1</v>
      </c>
      <c r="P2150">
        <v>46</v>
      </c>
      <c r="Q2150">
        <v>0.2</v>
      </c>
      <c r="R2150">
        <v>0</v>
      </c>
      <c r="S2150">
        <v>0.1</v>
      </c>
      <c r="T2150" t="s">
        <v>33</v>
      </c>
      <c r="U2150">
        <v>4.55</v>
      </c>
      <c r="V2150">
        <v>33</v>
      </c>
      <c r="W2150">
        <v>0</v>
      </c>
      <c r="X2150">
        <v>33</v>
      </c>
      <c r="Y2150">
        <v>1</v>
      </c>
      <c r="Z2150">
        <v>0</v>
      </c>
      <c r="AA2150">
        <v>1</v>
      </c>
      <c r="AB2150" t="s">
        <v>36</v>
      </c>
      <c r="AC2150">
        <v>33</v>
      </c>
      <c r="AD2150">
        <v>2.63</v>
      </c>
    </row>
    <row r="2151" spans="1:30" x14ac:dyDescent="0.25">
      <c r="A2151" s="1">
        <v>44784.71603009259</v>
      </c>
      <c r="B2151" s="1">
        <v>44784.715219907404</v>
      </c>
      <c r="C2151">
        <v>151706</v>
      </c>
      <c r="D2151" t="s">
        <v>42</v>
      </c>
      <c r="E2151" t="s">
        <v>31</v>
      </c>
      <c r="F2151">
        <v>7</v>
      </c>
      <c r="G2151">
        <v>43.004080000000002</v>
      </c>
      <c r="H2151">
        <v>-71.177040000000005</v>
      </c>
      <c r="I2151">
        <v>194</v>
      </c>
      <c r="J2151">
        <v>86</v>
      </c>
      <c r="K2151">
        <v>0</v>
      </c>
      <c r="L2151" s="1">
        <v>44784.715995370374</v>
      </c>
      <c r="M2151">
        <v>8</v>
      </c>
      <c r="N2151">
        <v>0</v>
      </c>
      <c r="O2151">
        <v>8</v>
      </c>
      <c r="P2151">
        <v>200</v>
      </c>
      <c r="Q2151">
        <v>2</v>
      </c>
      <c r="R2151">
        <v>0</v>
      </c>
      <c r="S2151">
        <v>1</v>
      </c>
      <c r="T2151" t="s">
        <v>43</v>
      </c>
      <c r="V2151">
        <v>48</v>
      </c>
      <c r="W2151">
        <v>0</v>
      </c>
      <c r="X2151">
        <v>48</v>
      </c>
      <c r="Y2151">
        <v>2</v>
      </c>
      <c r="Z2151">
        <v>0</v>
      </c>
      <c r="AA2151">
        <v>2</v>
      </c>
      <c r="AB2151" t="s">
        <v>36</v>
      </c>
      <c r="AC2151">
        <v>48</v>
      </c>
    </row>
    <row r="2152" spans="1:30" x14ac:dyDescent="0.25">
      <c r="A2152" s="1">
        <v>44784.716041666667</v>
      </c>
      <c r="B2152" s="1">
        <v>44784.71502314815</v>
      </c>
      <c r="C2152">
        <v>12212</v>
      </c>
      <c r="D2152" t="s">
        <v>44</v>
      </c>
      <c r="E2152" t="s">
        <v>35</v>
      </c>
      <c r="F2152">
        <v>7</v>
      </c>
      <c r="G2152">
        <v>42.930529999999997</v>
      </c>
      <c r="H2152">
        <v>-72.272350000000003</v>
      </c>
      <c r="I2152">
        <v>476</v>
      </c>
      <c r="J2152">
        <v>93</v>
      </c>
      <c r="K2152">
        <v>0</v>
      </c>
      <c r="L2152" s="1">
        <v>44784.715995370374</v>
      </c>
      <c r="M2152">
        <v>5</v>
      </c>
      <c r="N2152">
        <v>4.4000000000000004</v>
      </c>
      <c r="O2152">
        <v>0.6</v>
      </c>
      <c r="P2152">
        <v>13</v>
      </c>
      <c r="Q2152">
        <v>0.2</v>
      </c>
      <c r="R2152">
        <v>0</v>
      </c>
      <c r="S2152">
        <v>0.1</v>
      </c>
      <c r="T2152" t="s">
        <v>33</v>
      </c>
      <c r="U2152">
        <v>4.7</v>
      </c>
      <c r="V2152">
        <v>29</v>
      </c>
      <c r="W2152">
        <v>0</v>
      </c>
      <c r="X2152">
        <v>29</v>
      </c>
      <c r="Y2152">
        <v>0</v>
      </c>
      <c r="Z2152">
        <v>0</v>
      </c>
      <c r="AA2152">
        <v>0</v>
      </c>
      <c r="AB2152" t="s">
        <v>36</v>
      </c>
      <c r="AC2152">
        <v>29</v>
      </c>
      <c r="AD2152">
        <v>3</v>
      </c>
    </row>
    <row r="2153" spans="1:30" x14ac:dyDescent="0.25">
      <c r="A2153" s="1">
        <v>44784.716041666667</v>
      </c>
      <c r="B2153" s="1">
        <v>44769.376736111109</v>
      </c>
      <c r="C2153">
        <v>12178</v>
      </c>
      <c r="D2153" t="s">
        <v>45</v>
      </c>
      <c r="E2153" t="s">
        <v>35</v>
      </c>
      <c r="F2153">
        <v>7</v>
      </c>
      <c r="G2153">
        <v>42.899563000000001</v>
      </c>
      <c r="H2153">
        <v>-71.464650000000006</v>
      </c>
      <c r="I2153">
        <v>301</v>
      </c>
      <c r="J2153">
        <v>85</v>
      </c>
      <c r="K2153">
        <v>0</v>
      </c>
      <c r="L2153" s="1">
        <v>44784.715995370374</v>
      </c>
      <c r="M2153">
        <v>3.8</v>
      </c>
      <c r="N2153">
        <v>3.1</v>
      </c>
      <c r="O2153">
        <v>0.7</v>
      </c>
      <c r="P2153">
        <v>20</v>
      </c>
      <c r="Q2153">
        <v>0</v>
      </c>
      <c r="R2153">
        <v>0</v>
      </c>
      <c r="S2153">
        <v>0</v>
      </c>
      <c r="T2153" t="s">
        <v>32</v>
      </c>
      <c r="V2153">
        <v>35</v>
      </c>
      <c r="W2153">
        <v>0</v>
      </c>
      <c r="X2153">
        <v>35</v>
      </c>
      <c r="Y2153">
        <v>0</v>
      </c>
      <c r="Z2153">
        <v>0</v>
      </c>
      <c r="AA2153">
        <v>0</v>
      </c>
      <c r="AB2153" t="s">
        <v>36</v>
      </c>
      <c r="AC2153">
        <v>35</v>
      </c>
    </row>
    <row r="2154" spans="1:30" x14ac:dyDescent="0.25">
      <c r="A2154" s="1">
        <v>44784.716053240743</v>
      </c>
      <c r="B2154" s="1">
        <v>44784.71429398148</v>
      </c>
      <c r="C2154">
        <v>75981</v>
      </c>
      <c r="D2154" t="s">
        <v>46</v>
      </c>
      <c r="E2154" t="s">
        <v>35</v>
      </c>
      <c r="F2154">
        <v>7</v>
      </c>
      <c r="G2154">
        <v>42.97</v>
      </c>
      <c r="H2154">
        <v>-71.06</v>
      </c>
      <c r="I2154">
        <v>136</v>
      </c>
      <c r="J2154">
        <v>93</v>
      </c>
      <c r="K2154">
        <v>0</v>
      </c>
      <c r="L2154" s="1">
        <v>44784.715995370374</v>
      </c>
      <c r="M2154">
        <v>12.2</v>
      </c>
      <c r="N2154">
        <v>11.4</v>
      </c>
      <c r="O2154">
        <v>0.8</v>
      </c>
      <c r="P2154">
        <v>7</v>
      </c>
      <c r="Q2154">
        <v>0.1</v>
      </c>
      <c r="R2154">
        <v>0.2</v>
      </c>
      <c r="S2154">
        <v>0.15</v>
      </c>
      <c r="T2154" t="s">
        <v>33</v>
      </c>
      <c r="U2154">
        <v>11.8</v>
      </c>
      <c r="V2154">
        <v>42</v>
      </c>
      <c r="W2154">
        <v>0</v>
      </c>
      <c r="X2154">
        <v>42</v>
      </c>
      <c r="Y2154">
        <v>2</v>
      </c>
      <c r="Z2154">
        <v>0</v>
      </c>
      <c r="AA2154">
        <v>2</v>
      </c>
      <c r="AB2154" t="s">
        <v>36</v>
      </c>
      <c r="AC2154">
        <v>42</v>
      </c>
      <c r="AD2154">
        <v>6.42</v>
      </c>
    </row>
    <row r="2155" spans="1:30" x14ac:dyDescent="0.25">
      <c r="A2155" s="1">
        <v>44784.716053240743</v>
      </c>
      <c r="B2155" s="1">
        <v>44784.714826388888</v>
      </c>
      <c r="C2155">
        <v>115703</v>
      </c>
      <c r="D2155" t="s">
        <v>47</v>
      </c>
      <c r="E2155" t="s">
        <v>35</v>
      </c>
      <c r="F2155">
        <v>7</v>
      </c>
      <c r="G2155">
        <v>43.953625000000002</v>
      </c>
      <c r="H2155">
        <v>-71.508859999999999</v>
      </c>
      <c r="I2155">
        <v>1493</v>
      </c>
      <c r="J2155">
        <v>90</v>
      </c>
      <c r="K2155">
        <v>0</v>
      </c>
      <c r="L2155" s="1">
        <v>44784.715995370374</v>
      </c>
      <c r="M2155">
        <v>0.2</v>
      </c>
      <c r="N2155">
        <v>203.1</v>
      </c>
      <c r="O2155">
        <v>202.9</v>
      </c>
      <c r="P2155">
        <v>200</v>
      </c>
      <c r="Q2155">
        <v>0.1</v>
      </c>
      <c r="R2155">
        <v>0</v>
      </c>
      <c r="S2155">
        <v>0.05</v>
      </c>
      <c r="T2155" t="s">
        <v>60</v>
      </c>
      <c r="V2155">
        <v>33</v>
      </c>
      <c r="W2155">
        <v>0</v>
      </c>
      <c r="X2155">
        <v>33</v>
      </c>
      <c r="Y2155">
        <v>1</v>
      </c>
      <c r="Z2155">
        <v>0</v>
      </c>
      <c r="AA2155">
        <v>1</v>
      </c>
      <c r="AB2155" t="s">
        <v>36</v>
      </c>
      <c r="AC2155">
        <v>33</v>
      </c>
    </row>
    <row r="2156" spans="1:30" x14ac:dyDescent="0.25">
      <c r="A2156" s="1">
        <v>44784.716053240743</v>
      </c>
      <c r="B2156" s="1">
        <v>44784.714247685188</v>
      </c>
      <c r="C2156">
        <v>12050</v>
      </c>
      <c r="D2156" t="s">
        <v>49</v>
      </c>
      <c r="E2156" t="s">
        <v>35</v>
      </c>
      <c r="F2156">
        <v>7</v>
      </c>
      <c r="G2156">
        <v>44.220573000000002</v>
      </c>
      <c r="H2156">
        <v>-71.732315</v>
      </c>
      <c r="I2156">
        <v>999</v>
      </c>
      <c r="J2156">
        <v>90</v>
      </c>
      <c r="K2156">
        <v>0</v>
      </c>
      <c r="L2156" s="1">
        <v>44784.715995370374</v>
      </c>
      <c r="M2156">
        <v>3.6</v>
      </c>
      <c r="N2156">
        <v>3.3</v>
      </c>
      <c r="O2156">
        <v>0.3</v>
      </c>
      <c r="P2156">
        <v>9</v>
      </c>
      <c r="Q2156">
        <v>0</v>
      </c>
      <c r="R2156">
        <v>0.2</v>
      </c>
      <c r="S2156">
        <v>0.1</v>
      </c>
      <c r="T2156" t="s">
        <v>33</v>
      </c>
      <c r="U2156">
        <v>3.45</v>
      </c>
      <c r="V2156">
        <v>29</v>
      </c>
      <c r="W2156">
        <v>0</v>
      </c>
      <c r="X2156">
        <v>29</v>
      </c>
      <c r="Y2156">
        <v>0</v>
      </c>
      <c r="Z2156">
        <v>0</v>
      </c>
      <c r="AA2156">
        <v>0</v>
      </c>
      <c r="AB2156" t="s">
        <v>36</v>
      </c>
      <c r="AC2156">
        <v>29</v>
      </c>
      <c r="AD2156">
        <v>2.23</v>
      </c>
    </row>
    <row r="2157" spans="1:30" x14ac:dyDescent="0.25">
      <c r="A2157" s="1">
        <v>44784.716064814813</v>
      </c>
      <c r="B2157" s="1">
        <v>44784.715752314813</v>
      </c>
      <c r="C2157">
        <v>23443</v>
      </c>
      <c r="D2157" t="s">
        <v>50</v>
      </c>
      <c r="E2157" t="s">
        <v>35</v>
      </c>
      <c r="F2157">
        <v>7</v>
      </c>
      <c r="G2157">
        <v>43.556139999999999</v>
      </c>
      <c r="H2157">
        <v>-72.370990000000006</v>
      </c>
      <c r="I2157">
        <v>523</v>
      </c>
      <c r="J2157">
        <v>93</v>
      </c>
      <c r="K2157">
        <v>0</v>
      </c>
      <c r="L2157" s="1">
        <v>44784.715995370374</v>
      </c>
      <c r="M2157">
        <v>3.4</v>
      </c>
      <c r="N2157">
        <v>3</v>
      </c>
      <c r="O2157">
        <v>0.4</v>
      </c>
      <c r="P2157">
        <v>12</v>
      </c>
      <c r="Q2157">
        <v>0.1</v>
      </c>
      <c r="R2157">
        <v>0.2</v>
      </c>
      <c r="S2157">
        <v>0.15</v>
      </c>
      <c r="T2157" t="s">
        <v>33</v>
      </c>
      <c r="U2157">
        <v>3.2</v>
      </c>
      <c r="V2157">
        <v>29</v>
      </c>
      <c r="W2157">
        <v>0</v>
      </c>
      <c r="X2157">
        <v>29</v>
      </c>
      <c r="Y2157">
        <v>3</v>
      </c>
      <c r="Z2157">
        <v>0</v>
      </c>
      <c r="AA2157">
        <v>3</v>
      </c>
      <c r="AB2157" t="s">
        <v>36</v>
      </c>
      <c r="AC2157">
        <v>29</v>
      </c>
      <c r="AD2157">
        <v>2.08</v>
      </c>
    </row>
    <row r="2158" spans="1:30" x14ac:dyDescent="0.25">
      <c r="A2158" s="1">
        <v>44784.716064814813</v>
      </c>
      <c r="B2158" s="1">
        <v>44784.715868055559</v>
      </c>
      <c r="C2158">
        <v>58135</v>
      </c>
      <c r="D2158" t="s">
        <v>51</v>
      </c>
      <c r="E2158" t="s">
        <v>35</v>
      </c>
      <c r="F2158">
        <v>7</v>
      </c>
      <c r="G2158">
        <v>42.883873000000001</v>
      </c>
      <c r="H2158">
        <v>-71.972915999999998</v>
      </c>
      <c r="I2158">
        <v>808</v>
      </c>
      <c r="J2158">
        <v>87</v>
      </c>
      <c r="K2158">
        <v>0</v>
      </c>
      <c r="L2158" s="1">
        <v>44784.715995370374</v>
      </c>
      <c r="M2158">
        <v>5</v>
      </c>
      <c r="N2158">
        <v>3.2</v>
      </c>
      <c r="O2158">
        <v>1.8</v>
      </c>
      <c r="P2158">
        <v>44</v>
      </c>
      <c r="Q2158">
        <v>0.1</v>
      </c>
      <c r="R2158">
        <v>0</v>
      </c>
      <c r="S2158">
        <v>0.05</v>
      </c>
      <c r="T2158" t="s">
        <v>33</v>
      </c>
      <c r="U2158">
        <v>4.0999999999999996</v>
      </c>
      <c r="V2158">
        <v>36</v>
      </c>
      <c r="W2158">
        <v>0</v>
      </c>
      <c r="X2158">
        <v>36</v>
      </c>
      <c r="Y2158">
        <v>0</v>
      </c>
      <c r="Z2158">
        <v>0</v>
      </c>
      <c r="AA2158">
        <v>0</v>
      </c>
      <c r="AB2158" t="s">
        <v>36</v>
      </c>
      <c r="AC2158">
        <v>36</v>
      </c>
      <c r="AD2158">
        <v>2.14</v>
      </c>
    </row>
    <row r="2159" spans="1:30" x14ac:dyDescent="0.25">
      <c r="A2159" s="1">
        <v>44784.71607638889</v>
      </c>
      <c r="B2159" s="1">
        <v>44784.715856481482</v>
      </c>
      <c r="C2159">
        <v>148555</v>
      </c>
      <c r="D2159" t="s">
        <v>52</v>
      </c>
      <c r="E2159" t="s">
        <v>53</v>
      </c>
      <c r="F2159">
        <v>7</v>
      </c>
      <c r="G2159">
        <v>42.904949999999999</v>
      </c>
      <c r="H2159">
        <v>-71.386764999999997</v>
      </c>
      <c r="I2159">
        <v>363</v>
      </c>
      <c r="J2159">
        <v>0</v>
      </c>
      <c r="K2159">
        <v>0</v>
      </c>
      <c r="L2159" s="1">
        <v>44784.715995370374</v>
      </c>
      <c r="M2159">
        <v>1.5</v>
      </c>
      <c r="N2159">
        <v>2</v>
      </c>
      <c r="O2159">
        <v>0.5</v>
      </c>
      <c r="P2159">
        <v>29</v>
      </c>
      <c r="Q2159">
        <v>0.2</v>
      </c>
      <c r="R2159">
        <v>0.1</v>
      </c>
      <c r="S2159">
        <v>0.15</v>
      </c>
      <c r="T2159" t="s">
        <v>33</v>
      </c>
      <c r="U2159">
        <v>1.75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 t="s">
        <v>38</v>
      </c>
    </row>
    <row r="2160" spans="1:30" x14ac:dyDescent="0.25">
      <c r="A2160" s="1">
        <v>44784.71607638889</v>
      </c>
      <c r="B2160" s="1">
        <v>44784.715358796297</v>
      </c>
      <c r="C2160">
        <v>146644</v>
      </c>
      <c r="D2160" t="s">
        <v>54</v>
      </c>
      <c r="E2160" t="s">
        <v>53</v>
      </c>
      <c r="F2160">
        <v>7</v>
      </c>
      <c r="G2160">
        <v>43.06015</v>
      </c>
      <c r="H2160">
        <v>-70.758930000000007</v>
      </c>
      <c r="I2160">
        <v>35</v>
      </c>
      <c r="J2160">
        <v>79</v>
      </c>
      <c r="K2160">
        <v>80</v>
      </c>
      <c r="L2160" s="1">
        <v>44784.715995370374</v>
      </c>
      <c r="M2160">
        <v>12.3</v>
      </c>
      <c r="N2160">
        <v>11.1</v>
      </c>
      <c r="O2160">
        <v>1.2</v>
      </c>
      <c r="P2160">
        <v>10</v>
      </c>
      <c r="Q2160">
        <v>0</v>
      </c>
      <c r="R2160">
        <v>0</v>
      </c>
      <c r="S2160">
        <v>0</v>
      </c>
      <c r="T2160" t="s">
        <v>33</v>
      </c>
      <c r="U2160">
        <v>11.7</v>
      </c>
      <c r="V2160">
        <v>58</v>
      </c>
      <c r="W2160">
        <v>63</v>
      </c>
      <c r="X2160">
        <v>5</v>
      </c>
      <c r="Y2160">
        <v>0</v>
      </c>
      <c r="Z2160">
        <v>1</v>
      </c>
      <c r="AA2160">
        <v>1</v>
      </c>
      <c r="AB2160" t="s">
        <v>33</v>
      </c>
      <c r="AC2160">
        <v>60.5</v>
      </c>
      <c r="AD2160">
        <v>5.0599999999999996</v>
      </c>
    </row>
    <row r="2161" spans="1:30" x14ac:dyDescent="0.25">
      <c r="A2161" s="1">
        <v>44784.71607638889</v>
      </c>
      <c r="B2161" s="1">
        <v>43755.283437500002</v>
      </c>
      <c r="C2161">
        <v>12188</v>
      </c>
      <c r="D2161" t="s">
        <v>55</v>
      </c>
      <c r="E2161" t="s">
        <v>35</v>
      </c>
      <c r="F2161">
        <v>4.1100000000000003</v>
      </c>
      <c r="G2161">
        <v>42.927050000000001</v>
      </c>
      <c r="H2161">
        <v>-72.279610000000005</v>
      </c>
      <c r="I2161">
        <v>475</v>
      </c>
      <c r="J2161">
        <v>95</v>
      </c>
      <c r="K2161">
        <v>0</v>
      </c>
      <c r="L2161" s="1">
        <v>44784.715995370374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 t="s">
        <v>32</v>
      </c>
      <c r="V2161">
        <v>77</v>
      </c>
      <c r="W2161">
        <v>0</v>
      </c>
      <c r="X2161">
        <v>77</v>
      </c>
      <c r="Y2161">
        <v>0</v>
      </c>
      <c r="Z2161">
        <v>0</v>
      </c>
      <c r="AA2161">
        <v>0</v>
      </c>
      <c r="AB2161" t="s">
        <v>36</v>
      </c>
      <c r="AC2161">
        <v>77</v>
      </c>
    </row>
    <row r="2162" spans="1:30" x14ac:dyDescent="0.25">
      <c r="A2162" s="1">
        <v>44784.716087962966</v>
      </c>
      <c r="B2162" s="1">
        <v>44784.71435185185</v>
      </c>
      <c r="C2162">
        <v>1224</v>
      </c>
      <c r="D2162" t="s">
        <v>56</v>
      </c>
      <c r="E2162" t="s">
        <v>35</v>
      </c>
      <c r="F2162" t="s">
        <v>57</v>
      </c>
      <c r="G2162">
        <v>42.938034000000002</v>
      </c>
      <c r="H2162">
        <v>-72.259299999999996</v>
      </c>
      <c r="I2162">
        <v>792</v>
      </c>
      <c r="J2162">
        <v>92</v>
      </c>
      <c r="K2162">
        <v>0</v>
      </c>
      <c r="L2162" s="1">
        <v>44784.715995370374</v>
      </c>
      <c r="M2162">
        <v>5.0999999999999996</v>
      </c>
      <c r="N2162">
        <v>0</v>
      </c>
      <c r="O2162">
        <v>5.0999999999999996</v>
      </c>
      <c r="P2162">
        <v>200</v>
      </c>
      <c r="Q2162">
        <v>0</v>
      </c>
      <c r="R2162">
        <v>0</v>
      </c>
      <c r="S2162">
        <v>0</v>
      </c>
      <c r="T2162" t="s">
        <v>43</v>
      </c>
      <c r="V2162">
        <v>37</v>
      </c>
      <c r="W2162">
        <v>0</v>
      </c>
      <c r="X2162">
        <v>37</v>
      </c>
      <c r="Y2162">
        <v>0</v>
      </c>
      <c r="Z2162">
        <v>0</v>
      </c>
      <c r="AA2162">
        <v>0</v>
      </c>
      <c r="AB2162" t="s">
        <v>36</v>
      </c>
      <c r="AC2162">
        <v>37</v>
      </c>
    </row>
    <row r="2163" spans="1:30" x14ac:dyDescent="0.25">
      <c r="A2163" s="1">
        <v>44784.716087962966</v>
      </c>
      <c r="B2163" s="1">
        <v>44784.715185185189</v>
      </c>
      <c r="C2163">
        <v>1202</v>
      </c>
      <c r="D2163" t="s">
        <v>58</v>
      </c>
      <c r="E2163" t="s">
        <v>35</v>
      </c>
      <c r="F2163" t="s">
        <v>57</v>
      </c>
      <c r="G2163">
        <v>42.936554000000001</v>
      </c>
      <c r="H2163">
        <v>-72.271019999999993</v>
      </c>
      <c r="I2163">
        <v>488</v>
      </c>
      <c r="J2163">
        <v>0</v>
      </c>
      <c r="K2163">
        <v>0</v>
      </c>
      <c r="L2163" s="1">
        <v>44784.715995370374</v>
      </c>
      <c r="M2163">
        <v>5.5</v>
      </c>
      <c r="N2163">
        <v>4.9000000000000004</v>
      </c>
      <c r="O2163">
        <v>0.6</v>
      </c>
      <c r="P2163">
        <v>12</v>
      </c>
      <c r="Q2163">
        <v>0.1</v>
      </c>
      <c r="R2163">
        <v>0</v>
      </c>
      <c r="S2163">
        <v>0.05</v>
      </c>
      <c r="T2163" t="s">
        <v>33</v>
      </c>
      <c r="U2163">
        <v>5.2</v>
      </c>
      <c r="V2163">
        <v>0</v>
      </c>
      <c r="W2163">
        <v>0</v>
      </c>
      <c r="X2163">
        <v>0</v>
      </c>
      <c r="Y2163">
        <v>0</v>
      </c>
      <c r="Z2163">
        <v>0</v>
      </c>
      <c r="AA2163">
        <v>0</v>
      </c>
      <c r="AB2163" t="s">
        <v>38</v>
      </c>
    </row>
    <row r="2164" spans="1:30" x14ac:dyDescent="0.25">
      <c r="A2164" s="1">
        <v>44784.716087962966</v>
      </c>
      <c r="B2164" s="1">
        <v>44612.080023148148</v>
      </c>
      <c r="C2164">
        <v>25985</v>
      </c>
      <c r="D2164" t="s">
        <v>59</v>
      </c>
      <c r="E2164" t="s">
        <v>35</v>
      </c>
      <c r="F2164">
        <v>6.01</v>
      </c>
      <c r="G2164">
        <v>42.927326000000001</v>
      </c>
      <c r="H2164">
        <v>-72.279979999999995</v>
      </c>
      <c r="I2164">
        <v>477</v>
      </c>
      <c r="J2164">
        <v>78</v>
      </c>
      <c r="K2164">
        <v>0</v>
      </c>
      <c r="L2164" s="1">
        <v>44784.715995370374</v>
      </c>
      <c r="M2164">
        <v>1.1000000000000001</v>
      </c>
      <c r="N2164">
        <v>1</v>
      </c>
      <c r="O2164">
        <v>0.1</v>
      </c>
      <c r="P2164">
        <v>10</v>
      </c>
      <c r="Q2164">
        <v>0</v>
      </c>
      <c r="R2164">
        <v>0</v>
      </c>
      <c r="S2164">
        <v>0</v>
      </c>
      <c r="T2164" t="s">
        <v>32</v>
      </c>
      <c r="V2164">
        <v>22</v>
      </c>
      <c r="W2164">
        <v>0</v>
      </c>
      <c r="X2164">
        <v>22</v>
      </c>
      <c r="Y2164">
        <v>0</v>
      </c>
      <c r="Z2164">
        <v>0</v>
      </c>
      <c r="AA2164">
        <v>0</v>
      </c>
      <c r="AB2164" t="s">
        <v>36</v>
      </c>
      <c r="AC2164">
        <v>22</v>
      </c>
    </row>
    <row r="2165" spans="1:30" x14ac:dyDescent="0.25">
      <c r="A2165" s="1">
        <v>44784.722939814812</v>
      </c>
      <c r="B2165" s="1">
        <v>44775.701319444444</v>
      </c>
      <c r="C2165">
        <v>151708</v>
      </c>
      <c r="D2165" t="s">
        <v>30</v>
      </c>
      <c r="E2165" t="s">
        <v>31</v>
      </c>
      <c r="F2165">
        <v>7</v>
      </c>
      <c r="G2165">
        <v>43.192042999999998</v>
      </c>
      <c r="H2165">
        <v>-71.541579999999996</v>
      </c>
      <c r="I2165">
        <v>291</v>
      </c>
      <c r="J2165">
        <v>93</v>
      </c>
      <c r="K2165">
        <v>94</v>
      </c>
      <c r="L2165" s="1">
        <v>44784.722939814812</v>
      </c>
      <c r="M2165">
        <v>7.9</v>
      </c>
      <c r="N2165">
        <v>7.6</v>
      </c>
      <c r="O2165">
        <v>0.3</v>
      </c>
      <c r="P2165">
        <v>4</v>
      </c>
      <c r="Q2165">
        <v>0</v>
      </c>
      <c r="R2165">
        <v>0</v>
      </c>
      <c r="S2165">
        <v>0</v>
      </c>
      <c r="T2165" t="s">
        <v>32</v>
      </c>
      <c r="V2165">
        <v>42</v>
      </c>
      <c r="W2165">
        <v>41</v>
      </c>
      <c r="X2165">
        <v>1</v>
      </c>
      <c r="Y2165">
        <v>0</v>
      </c>
      <c r="Z2165">
        <v>0</v>
      </c>
      <c r="AA2165">
        <v>0</v>
      </c>
      <c r="AB2165" t="s">
        <v>33</v>
      </c>
      <c r="AC2165">
        <v>41.5</v>
      </c>
    </row>
    <row r="2166" spans="1:30" x14ac:dyDescent="0.25">
      <c r="A2166" s="1">
        <v>44784.722951388889</v>
      </c>
      <c r="B2166" s="1">
        <v>44784.721342592595</v>
      </c>
      <c r="C2166">
        <v>143456</v>
      </c>
      <c r="D2166" t="s">
        <v>34</v>
      </c>
      <c r="E2166" t="s">
        <v>35</v>
      </c>
      <c r="F2166">
        <v>7</v>
      </c>
      <c r="G2166">
        <v>43.08963</v>
      </c>
      <c r="H2166">
        <v>-71.502440000000007</v>
      </c>
      <c r="I2166">
        <v>619</v>
      </c>
      <c r="J2166">
        <v>83</v>
      </c>
      <c r="K2166">
        <v>0</v>
      </c>
      <c r="L2166" s="1">
        <v>44784.722939814812</v>
      </c>
      <c r="M2166">
        <v>2.9</v>
      </c>
      <c r="N2166">
        <v>3.3</v>
      </c>
      <c r="O2166">
        <v>0.4</v>
      </c>
      <c r="P2166">
        <v>13</v>
      </c>
      <c r="Q2166">
        <v>0.1</v>
      </c>
      <c r="R2166">
        <v>0</v>
      </c>
      <c r="S2166">
        <v>0.05</v>
      </c>
      <c r="T2166" t="s">
        <v>33</v>
      </c>
      <c r="U2166">
        <v>3.1</v>
      </c>
      <c r="V2166">
        <v>54</v>
      </c>
      <c r="W2166">
        <v>0</v>
      </c>
      <c r="X2166">
        <v>54</v>
      </c>
      <c r="Y2166">
        <v>2</v>
      </c>
      <c r="Z2166">
        <v>0</v>
      </c>
      <c r="AA2166">
        <v>2</v>
      </c>
      <c r="AB2166" t="s">
        <v>36</v>
      </c>
      <c r="AC2166">
        <v>54</v>
      </c>
      <c r="AD2166">
        <v>0.27</v>
      </c>
    </row>
    <row r="2167" spans="1:30" x14ac:dyDescent="0.25">
      <c r="A2167" s="1">
        <v>44784.722951388889</v>
      </c>
      <c r="B2167" s="1">
        <v>44784.72148148148</v>
      </c>
      <c r="C2167">
        <v>151702</v>
      </c>
      <c r="D2167" t="s">
        <v>37</v>
      </c>
      <c r="E2167" t="s">
        <v>31</v>
      </c>
      <c r="F2167">
        <v>7</v>
      </c>
      <c r="G2167">
        <v>43.118609999999997</v>
      </c>
      <c r="H2167">
        <v>-71.61618</v>
      </c>
      <c r="I2167">
        <v>885</v>
      </c>
      <c r="J2167">
        <v>0</v>
      </c>
      <c r="K2167">
        <v>0</v>
      </c>
      <c r="L2167" s="1">
        <v>44784.722939814812</v>
      </c>
      <c r="M2167">
        <v>3.3</v>
      </c>
      <c r="N2167">
        <v>3.2</v>
      </c>
      <c r="O2167">
        <v>0.1</v>
      </c>
      <c r="P2167">
        <v>3</v>
      </c>
      <c r="Q2167">
        <v>0.2</v>
      </c>
      <c r="R2167">
        <v>0.2</v>
      </c>
      <c r="S2167">
        <v>0.2</v>
      </c>
      <c r="T2167" t="s">
        <v>33</v>
      </c>
      <c r="U2167">
        <v>3.25</v>
      </c>
      <c r="V2167">
        <v>0</v>
      </c>
      <c r="W2167">
        <v>0</v>
      </c>
      <c r="X2167">
        <v>0</v>
      </c>
      <c r="Y2167">
        <v>0</v>
      </c>
      <c r="Z2167">
        <v>0</v>
      </c>
      <c r="AA2167">
        <v>0</v>
      </c>
      <c r="AB2167" t="s">
        <v>38</v>
      </c>
    </row>
    <row r="2168" spans="1:30" x14ac:dyDescent="0.25">
      <c r="A2168" s="1">
        <v>44784.722951388889</v>
      </c>
      <c r="B2168" s="1">
        <v>44784.721388888887</v>
      </c>
      <c r="C2168">
        <v>151700</v>
      </c>
      <c r="D2168" t="s">
        <v>30</v>
      </c>
      <c r="E2168" t="s">
        <v>31</v>
      </c>
      <c r="F2168">
        <v>7</v>
      </c>
      <c r="G2168">
        <v>43.19211</v>
      </c>
      <c r="H2168">
        <v>-71.541460000000001</v>
      </c>
      <c r="I2168">
        <v>286</v>
      </c>
      <c r="J2168">
        <v>85</v>
      </c>
      <c r="K2168">
        <v>0</v>
      </c>
      <c r="L2168" s="1">
        <v>44784.722939814812</v>
      </c>
      <c r="M2168">
        <v>2.7</v>
      </c>
      <c r="N2168">
        <v>3</v>
      </c>
      <c r="O2168">
        <v>0.3</v>
      </c>
      <c r="P2168">
        <v>11</v>
      </c>
      <c r="Q2168">
        <v>0.1</v>
      </c>
      <c r="R2168">
        <v>0.1</v>
      </c>
      <c r="S2168">
        <v>0.1</v>
      </c>
      <c r="T2168" t="s">
        <v>33</v>
      </c>
      <c r="U2168">
        <v>2.85</v>
      </c>
      <c r="V2168">
        <v>40</v>
      </c>
      <c r="W2168">
        <v>0</v>
      </c>
      <c r="X2168">
        <v>40</v>
      </c>
      <c r="Y2168">
        <v>1</v>
      </c>
      <c r="Z2168">
        <v>0</v>
      </c>
      <c r="AA2168">
        <v>1</v>
      </c>
      <c r="AB2168" t="s">
        <v>36</v>
      </c>
      <c r="AC2168">
        <v>40</v>
      </c>
      <c r="AD2168">
        <v>1.1000000000000001</v>
      </c>
    </row>
    <row r="2169" spans="1:30" x14ac:dyDescent="0.25">
      <c r="A2169" s="1">
        <v>44784.722962962966</v>
      </c>
      <c r="B2169" s="1">
        <v>44784.721828703703</v>
      </c>
      <c r="C2169">
        <v>135984</v>
      </c>
      <c r="D2169" t="s">
        <v>39</v>
      </c>
      <c r="E2169" t="s">
        <v>31</v>
      </c>
      <c r="F2169">
        <v>7</v>
      </c>
      <c r="G2169">
        <v>43.565852999999997</v>
      </c>
      <c r="H2169">
        <v>-71.496129999999994</v>
      </c>
      <c r="I2169">
        <v>708</v>
      </c>
      <c r="J2169">
        <v>85</v>
      </c>
      <c r="K2169">
        <v>0</v>
      </c>
      <c r="L2169" s="1">
        <v>44784.722939814812</v>
      </c>
      <c r="M2169">
        <v>3.9</v>
      </c>
      <c r="N2169">
        <v>3.6</v>
      </c>
      <c r="O2169">
        <v>0.3</v>
      </c>
      <c r="P2169">
        <v>8</v>
      </c>
      <c r="Q2169">
        <v>0.1</v>
      </c>
      <c r="R2169">
        <v>0.1</v>
      </c>
      <c r="S2169">
        <v>0.1</v>
      </c>
      <c r="T2169" t="s">
        <v>33</v>
      </c>
      <c r="U2169">
        <v>3.75</v>
      </c>
      <c r="V2169">
        <v>52</v>
      </c>
      <c r="W2169">
        <v>0</v>
      </c>
      <c r="X2169">
        <v>52</v>
      </c>
      <c r="Y2169">
        <v>0</v>
      </c>
      <c r="Z2169">
        <v>0</v>
      </c>
      <c r="AA2169">
        <v>0</v>
      </c>
      <c r="AB2169" t="s">
        <v>36</v>
      </c>
      <c r="AC2169">
        <v>52</v>
      </c>
      <c r="AD2169">
        <v>0.81</v>
      </c>
    </row>
    <row r="2170" spans="1:30" x14ac:dyDescent="0.25">
      <c r="A2170" s="1">
        <v>44784.722962962966</v>
      </c>
      <c r="B2170" s="1">
        <v>44780.394780092596</v>
      </c>
      <c r="C2170">
        <v>151712</v>
      </c>
      <c r="D2170" t="s">
        <v>40</v>
      </c>
      <c r="E2170" t="s">
        <v>31</v>
      </c>
      <c r="F2170">
        <v>7</v>
      </c>
      <c r="G2170">
        <v>43.289763999999998</v>
      </c>
      <c r="H2170">
        <v>-71.564260000000004</v>
      </c>
      <c r="I2170">
        <v>370</v>
      </c>
      <c r="J2170">
        <v>86</v>
      </c>
      <c r="K2170">
        <v>0</v>
      </c>
      <c r="L2170" s="1">
        <v>44784.722939814812</v>
      </c>
      <c r="M2170">
        <v>14</v>
      </c>
      <c r="N2170">
        <v>13.2</v>
      </c>
      <c r="O2170">
        <v>0.8</v>
      </c>
      <c r="P2170">
        <v>6</v>
      </c>
      <c r="Q2170">
        <v>0</v>
      </c>
      <c r="R2170">
        <v>0</v>
      </c>
      <c r="S2170">
        <v>0</v>
      </c>
      <c r="T2170" t="s">
        <v>32</v>
      </c>
      <c r="V2170">
        <v>59</v>
      </c>
      <c r="W2170">
        <v>0</v>
      </c>
      <c r="X2170">
        <v>59</v>
      </c>
      <c r="Y2170">
        <v>0</v>
      </c>
      <c r="Z2170">
        <v>0</v>
      </c>
      <c r="AA2170">
        <v>0</v>
      </c>
      <c r="AB2170" t="s">
        <v>36</v>
      </c>
      <c r="AC2170">
        <v>59</v>
      </c>
    </row>
    <row r="2171" spans="1:30" x14ac:dyDescent="0.25">
      <c r="A2171" s="1">
        <v>44784.722974537035</v>
      </c>
      <c r="B2171" s="1">
        <v>44784.721145833333</v>
      </c>
      <c r="C2171">
        <v>151710</v>
      </c>
      <c r="D2171" t="s">
        <v>41</v>
      </c>
      <c r="E2171" t="s">
        <v>31</v>
      </c>
      <c r="F2171">
        <v>7</v>
      </c>
      <c r="G2171">
        <v>43.132477000000002</v>
      </c>
      <c r="H2171">
        <v>-71.458374000000006</v>
      </c>
      <c r="I2171">
        <v>230</v>
      </c>
      <c r="J2171">
        <v>89</v>
      </c>
      <c r="K2171">
        <v>0</v>
      </c>
      <c r="L2171" s="1">
        <v>44784.722939814812</v>
      </c>
      <c r="M2171">
        <v>5.2</v>
      </c>
      <c r="N2171">
        <v>3.7</v>
      </c>
      <c r="O2171">
        <v>1.5</v>
      </c>
      <c r="P2171">
        <v>34</v>
      </c>
      <c r="Q2171">
        <v>0.4</v>
      </c>
      <c r="R2171">
        <v>0.2</v>
      </c>
      <c r="S2171">
        <v>0.3</v>
      </c>
      <c r="T2171" t="s">
        <v>33</v>
      </c>
      <c r="U2171">
        <v>4.45</v>
      </c>
      <c r="V2171">
        <v>37</v>
      </c>
      <c r="W2171">
        <v>0</v>
      </c>
      <c r="X2171">
        <v>37</v>
      </c>
      <c r="Y2171">
        <v>4</v>
      </c>
      <c r="Z2171">
        <v>0</v>
      </c>
      <c r="AA2171">
        <v>4</v>
      </c>
      <c r="AB2171" t="s">
        <v>36</v>
      </c>
      <c r="AC2171">
        <v>37</v>
      </c>
      <c r="AD2171">
        <v>2.2799999999999998</v>
      </c>
    </row>
    <row r="2172" spans="1:30" x14ac:dyDescent="0.25">
      <c r="A2172" s="1">
        <v>44784.722974537035</v>
      </c>
      <c r="B2172" s="1">
        <v>44784.72216435185</v>
      </c>
      <c r="C2172">
        <v>151706</v>
      </c>
      <c r="D2172" t="s">
        <v>42</v>
      </c>
      <c r="E2172" t="s">
        <v>31</v>
      </c>
      <c r="F2172">
        <v>7</v>
      </c>
      <c r="G2172">
        <v>43.004080000000002</v>
      </c>
      <c r="H2172">
        <v>-71.177040000000005</v>
      </c>
      <c r="I2172">
        <v>194</v>
      </c>
      <c r="J2172">
        <v>85</v>
      </c>
      <c r="K2172">
        <v>0</v>
      </c>
      <c r="L2172" s="1">
        <v>44784.722939814812</v>
      </c>
      <c r="M2172">
        <v>9.1</v>
      </c>
      <c r="N2172">
        <v>0</v>
      </c>
      <c r="O2172">
        <v>9.1</v>
      </c>
      <c r="P2172">
        <v>200</v>
      </c>
      <c r="Q2172">
        <v>1.1000000000000001</v>
      </c>
      <c r="R2172">
        <v>0</v>
      </c>
      <c r="S2172">
        <v>0.55000000000000004</v>
      </c>
      <c r="T2172" t="s">
        <v>43</v>
      </c>
      <c r="V2172">
        <v>50</v>
      </c>
      <c r="W2172">
        <v>0</v>
      </c>
      <c r="X2172">
        <v>50</v>
      </c>
      <c r="Y2172">
        <v>2</v>
      </c>
      <c r="Z2172">
        <v>0</v>
      </c>
      <c r="AA2172">
        <v>2</v>
      </c>
      <c r="AB2172" t="s">
        <v>36</v>
      </c>
      <c r="AC2172">
        <v>50</v>
      </c>
    </row>
    <row r="2173" spans="1:30" x14ac:dyDescent="0.25">
      <c r="A2173" s="1">
        <v>44784.722974537035</v>
      </c>
      <c r="B2173" s="1">
        <v>44784.721967592595</v>
      </c>
      <c r="C2173">
        <v>12212</v>
      </c>
      <c r="D2173" t="s">
        <v>44</v>
      </c>
      <c r="E2173" t="s">
        <v>35</v>
      </c>
      <c r="F2173">
        <v>7</v>
      </c>
      <c r="G2173">
        <v>42.930529999999997</v>
      </c>
      <c r="H2173">
        <v>-72.272350000000003</v>
      </c>
      <c r="I2173">
        <v>476</v>
      </c>
      <c r="J2173">
        <v>93</v>
      </c>
      <c r="K2173">
        <v>0</v>
      </c>
      <c r="L2173" s="1">
        <v>44784.722939814812</v>
      </c>
      <c r="M2173">
        <v>5</v>
      </c>
      <c r="N2173">
        <v>4.5999999999999996</v>
      </c>
      <c r="O2173">
        <v>0.4</v>
      </c>
      <c r="P2173">
        <v>8</v>
      </c>
      <c r="Q2173">
        <v>0</v>
      </c>
      <c r="R2173">
        <v>0.2</v>
      </c>
      <c r="S2173">
        <v>0.1</v>
      </c>
      <c r="T2173" t="s">
        <v>33</v>
      </c>
      <c r="U2173">
        <v>4.8</v>
      </c>
      <c r="V2173">
        <v>28</v>
      </c>
      <c r="W2173">
        <v>0</v>
      </c>
      <c r="X2173">
        <v>28</v>
      </c>
      <c r="Y2173">
        <v>1</v>
      </c>
      <c r="Z2173">
        <v>0</v>
      </c>
      <c r="AA2173">
        <v>1</v>
      </c>
      <c r="AB2173" t="s">
        <v>36</v>
      </c>
      <c r="AC2173">
        <v>28</v>
      </c>
      <c r="AD2173">
        <v>3.13</v>
      </c>
    </row>
    <row r="2174" spans="1:30" x14ac:dyDescent="0.25">
      <c r="A2174" s="1">
        <v>44784.722986111112</v>
      </c>
      <c r="B2174" s="1">
        <v>44769.376736111109</v>
      </c>
      <c r="C2174">
        <v>12178</v>
      </c>
      <c r="D2174" t="s">
        <v>45</v>
      </c>
      <c r="E2174" t="s">
        <v>35</v>
      </c>
      <c r="F2174">
        <v>7</v>
      </c>
      <c r="G2174">
        <v>42.899563000000001</v>
      </c>
      <c r="H2174">
        <v>-71.464650000000006</v>
      </c>
      <c r="I2174">
        <v>301</v>
      </c>
      <c r="J2174">
        <v>85</v>
      </c>
      <c r="K2174">
        <v>0</v>
      </c>
      <c r="L2174" s="1">
        <v>44784.722939814812</v>
      </c>
      <c r="M2174">
        <v>3.8</v>
      </c>
      <c r="N2174">
        <v>3.1</v>
      </c>
      <c r="O2174">
        <v>0.7</v>
      </c>
      <c r="P2174">
        <v>20</v>
      </c>
      <c r="Q2174">
        <v>0</v>
      </c>
      <c r="R2174">
        <v>0</v>
      </c>
      <c r="S2174">
        <v>0</v>
      </c>
      <c r="T2174" t="s">
        <v>32</v>
      </c>
      <c r="V2174">
        <v>35</v>
      </c>
      <c r="W2174">
        <v>0</v>
      </c>
      <c r="X2174">
        <v>35</v>
      </c>
      <c r="Y2174">
        <v>0</v>
      </c>
      <c r="Z2174">
        <v>0</v>
      </c>
      <c r="AA2174">
        <v>0</v>
      </c>
      <c r="AB2174" t="s">
        <v>36</v>
      </c>
      <c r="AC2174">
        <v>35</v>
      </c>
    </row>
    <row r="2175" spans="1:30" x14ac:dyDescent="0.25">
      <c r="A2175" s="1">
        <v>44784.722986111112</v>
      </c>
      <c r="B2175" s="1">
        <v>44784.721238425926</v>
      </c>
      <c r="C2175">
        <v>75981</v>
      </c>
      <c r="D2175" t="s">
        <v>46</v>
      </c>
      <c r="E2175" t="s">
        <v>35</v>
      </c>
      <c r="F2175">
        <v>7</v>
      </c>
      <c r="G2175">
        <v>42.97</v>
      </c>
      <c r="H2175">
        <v>-71.06</v>
      </c>
      <c r="I2175">
        <v>136</v>
      </c>
      <c r="J2175">
        <v>93</v>
      </c>
      <c r="K2175">
        <v>0</v>
      </c>
      <c r="L2175" s="1">
        <v>44784.722939814812</v>
      </c>
      <c r="M2175">
        <v>12</v>
      </c>
      <c r="N2175">
        <v>10.8</v>
      </c>
      <c r="O2175">
        <v>1.2</v>
      </c>
      <c r="P2175">
        <v>11</v>
      </c>
      <c r="Q2175">
        <v>0.2</v>
      </c>
      <c r="R2175">
        <v>0.6</v>
      </c>
      <c r="S2175">
        <v>0.4</v>
      </c>
      <c r="T2175" t="s">
        <v>33</v>
      </c>
      <c r="U2175">
        <v>11.4</v>
      </c>
      <c r="V2175">
        <v>41</v>
      </c>
      <c r="W2175">
        <v>0</v>
      </c>
      <c r="X2175">
        <v>41</v>
      </c>
      <c r="Y2175">
        <v>1</v>
      </c>
      <c r="Z2175">
        <v>0</v>
      </c>
      <c r="AA2175">
        <v>1</v>
      </c>
      <c r="AB2175" t="s">
        <v>36</v>
      </c>
      <c r="AC2175">
        <v>41</v>
      </c>
      <c r="AD2175">
        <v>6.24</v>
      </c>
    </row>
    <row r="2176" spans="1:30" x14ac:dyDescent="0.25">
      <c r="A2176" s="1">
        <v>44784.722997685189</v>
      </c>
      <c r="B2176" s="1">
        <v>44784.721770833334</v>
      </c>
      <c r="C2176">
        <v>115703</v>
      </c>
      <c r="D2176" t="s">
        <v>47</v>
      </c>
      <c r="E2176" t="s">
        <v>35</v>
      </c>
      <c r="F2176">
        <v>7</v>
      </c>
      <c r="G2176">
        <v>43.953625000000002</v>
      </c>
      <c r="H2176">
        <v>-71.508859999999999</v>
      </c>
      <c r="I2176">
        <v>1493</v>
      </c>
      <c r="J2176">
        <v>89</v>
      </c>
      <c r="K2176">
        <v>0</v>
      </c>
      <c r="L2176" s="1">
        <v>44784.722939814812</v>
      </c>
      <c r="M2176">
        <v>0.1</v>
      </c>
      <c r="N2176">
        <v>203.1</v>
      </c>
      <c r="O2176">
        <v>203</v>
      </c>
      <c r="P2176">
        <v>200</v>
      </c>
      <c r="Q2176">
        <v>0.1</v>
      </c>
      <c r="R2176">
        <v>0</v>
      </c>
      <c r="S2176">
        <v>0.05</v>
      </c>
      <c r="T2176" t="s">
        <v>60</v>
      </c>
      <c r="V2176">
        <v>33</v>
      </c>
      <c r="W2176">
        <v>0</v>
      </c>
      <c r="X2176">
        <v>33</v>
      </c>
      <c r="Y2176">
        <v>0</v>
      </c>
      <c r="Z2176">
        <v>0</v>
      </c>
      <c r="AA2176">
        <v>0</v>
      </c>
      <c r="AB2176" t="s">
        <v>36</v>
      </c>
      <c r="AC2176">
        <v>33</v>
      </c>
    </row>
    <row r="2177" spans="1:30" x14ac:dyDescent="0.25">
      <c r="A2177" s="1">
        <v>44784.722997685189</v>
      </c>
      <c r="B2177" s="1">
        <v>44784.721192129633</v>
      </c>
      <c r="C2177">
        <v>12050</v>
      </c>
      <c r="D2177" t="s">
        <v>49</v>
      </c>
      <c r="E2177" t="s">
        <v>35</v>
      </c>
      <c r="F2177">
        <v>7</v>
      </c>
      <c r="G2177">
        <v>44.220573000000002</v>
      </c>
      <c r="H2177">
        <v>-71.732315</v>
      </c>
      <c r="I2177">
        <v>999</v>
      </c>
      <c r="J2177">
        <v>89</v>
      </c>
      <c r="K2177">
        <v>0</v>
      </c>
      <c r="L2177" s="1">
        <v>44784.722939814812</v>
      </c>
      <c r="M2177">
        <v>3.6</v>
      </c>
      <c r="N2177">
        <v>3.2</v>
      </c>
      <c r="O2177">
        <v>0.4</v>
      </c>
      <c r="P2177">
        <v>12</v>
      </c>
      <c r="Q2177">
        <v>0</v>
      </c>
      <c r="R2177">
        <v>0.1</v>
      </c>
      <c r="S2177">
        <v>0.05</v>
      </c>
      <c r="T2177" t="s">
        <v>33</v>
      </c>
      <c r="U2177">
        <v>3.4</v>
      </c>
      <c r="V2177">
        <v>34</v>
      </c>
      <c r="W2177">
        <v>0</v>
      </c>
      <c r="X2177">
        <v>34</v>
      </c>
      <c r="Y2177">
        <v>5</v>
      </c>
      <c r="Z2177">
        <v>0</v>
      </c>
      <c r="AA2177">
        <v>5</v>
      </c>
      <c r="AB2177" t="s">
        <v>36</v>
      </c>
      <c r="AC2177">
        <v>34</v>
      </c>
      <c r="AD2177">
        <v>1.85</v>
      </c>
    </row>
    <row r="2178" spans="1:30" x14ac:dyDescent="0.25">
      <c r="A2178" s="1">
        <v>44784.722997685189</v>
      </c>
      <c r="B2178" s="1">
        <v>44784.721307870372</v>
      </c>
      <c r="C2178">
        <v>23443</v>
      </c>
      <c r="D2178" t="s">
        <v>50</v>
      </c>
      <c r="E2178" t="s">
        <v>35</v>
      </c>
      <c r="F2178">
        <v>7</v>
      </c>
      <c r="G2178">
        <v>43.556139999999999</v>
      </c>
      <c r="H2178">
        <v>-72.370990000000006</v>
      </c>
      <c r="I2178">
        <v>523</v>
      </c>
      <c r="J2178">
        <v>93</v>
      </c>
      <c r="K2178">
        <v>0</v>
      </c>
      <c r="L2178" s="1">
        <v>44784.722939814812</v>
      </c>
      <c r="M2178">
        <v>3.5</v>
      </c>
      <c r="N2178">
        <v>3.1</v>
      </c>
      <c r="O2178">
        <v>0.4</v>
      </c>
      <c r="P2178">
        <v>12</v>
      </c>
      <c r="Q2178">
        <v>0.1</v>
      </c>
      <c r="R2178">
        <v>0.1</v>
      </c>
      <c r="S2178">
        <v>0.1</v>
      </c>
      <c r="T2178" t="s">
        <v>33</v>
      </c>
      <c r="U2178">
        <v>3.3</v>
      </c>
      <c r="V2178">
        <v>34</v>
      </c>
      <c r="W2178">
        <v>0</v>
      </c>
      <c r="X2178">
        <v>34</v>
      </c>
      <c r="Y2178">
        <v>5</v>
      </c>
      <c r="Z2178">
        <v>0</v>
      </c>
      <c r="AA2178">
        <v>5</v>
      </c>
      <c r="AB2178" t="s">
        <v>36</v>
      </c>
      <c r="AC2178">
        <v>34</v>
      </c>
      <c r="AD2178">
        <v>1.79</v>
      </c>
    </row>
    <row r="2179" spans="1:30" x14ac:dyDescent="0.25">
      <c r="A2179" s="1">
        <v>44784.723009259258</v>
      </c>
      <c r="B2179" s="1">
        <v>44784.72142361111</v>
      </c>
      <c r="C2179">
        <v>58135</v>
      </c>
      <c r="D2179" t="s">
        <v>51</v>
      </c>
      <c r="E2179" t="s">
        <v>35</v>
      </c>
      <c r="F2179">
        <v>7</v>
      </c>
      <c r="G2179">
        <v>42.883873000000001</v>
      </c>
      <c r="H2179">
        <v>-71.972915999999998</v>
      </c>
      <c r="I2179">
        <v>808</v>
      </c>
      <c r="J2179">
        <v>87</v>
      </c>
      <c r="K2179">
        <v>0</v>
      </c>
      <c r="L2179" s="1">
        <v>44784.722939814812</v>
      </c>
      <c r="M2179">
        <v>4.9000000000000004</v>
      </c>
      <c r="N2179">
        <v>3.2</v>
      </c>
      <c r="O2179">
        <v>1.7</v>
      </c>
      <c r="P2179">
        <v>42</v>
      </c>
      <c r="Q2179">
        <v>0.1</v>
      </c>
      <c r="R2179">
        <v>0</v>
      </c>
      <c r="S2179">
        <v>0.05</v>
      </c>
      <c r="T2179" t="s">
        <v>33</v>
      </c>
      <c r="U2179">
        <v>4.05</v>
      </c>
      <c r="V2179">
        <v>35</v>
      </c>
      <c r="W2179">
        <v>0</v>
      </c>
      <c r="X2179">
        <v>35</v>
      </c>
      <c r="Y2179">
        <v>1</v>
      </c>
      <c r="Z2179">
        <v>0</v>
      </c>
      <c r="AA2179">
        <v>1</v>
      </c>
      <c r="AB2179" t="s">
        <v>36</v>
      </c>
      <c r="AC2179">
        <v>35</v>
      </c>
      <c r="AD2179">
        <v>2.1800000000000002</v>
      </c>
    </row>
    <row r="2180" spans="1:30" x14ac:dyDescent="0.25">
      <c r="A2180" s="1">
        <v>44784.723009259258</v>
      </c>
      <c r="B2180" s="1">
        <v>44784.721412037034</v>
      </c>
      <c r="C2180">
        <v>148555</v>
      </c>
      <c r="D2180" t="s">
        <v>52</v>
      </c>
      <c r="E2180" t="s">
        <v>53</v>
      </c>
      <c r="F2180">
        <v>7</v>
      </c>
      <c r="G2180">
        <v>42.904949999999999</v>
      </c>
      <c r="H2180">
        <v>-71.386764999999997</v>
      </c>
      <c r="I2180">
        <v>363</v>
      </c>
      <c r="J2180">
        <v>0</v>
      </c>
      <c r="K2180">
        <v>0</v>
      </c>
      <c r="L2180" s="1">
        <v>44784.722939814812</v>
      </c>
      <c r="M2180">
        <v>1.7</v>
      </c>
      <c r="N2180">
        <v>2.1</v>
      </c>
      <c r="O2180">
        <v>0.4</v>
      </c>
      <c r="P2180">
        <v>21</v>
      </c>
      <c r="Q2180">
        <v>0.2</v>
      </c>
      <c r="R2180">
        <v>0.1</v>
      </c>
      <c r="S2180">
        <v>0.15</v>
      </c>
      <c r="T2180" t="s">
        <v>33</v>
      </c>
      <c r="U2180">
        <v>1.9</v>
      </c>
      <c r="V2180">
        <v>0</v>
      </c>
      <c r="W2180">
        <v>0</v>
      </c>
      <c r="X2180">
        <v>0</v>
      </c>
      <c r="Y2180">
        <v>0</v>
      </c>
      <c r="Z2180">
        <v>0</v>
      </c>
      <c r="AA2180">
        <v>0</v>
      </c>
      <c r="AB2180" t="s">
        <v>38</v>
      </c>
    </row>
    <row r="2181" spans="1:30" x14ac:dyDescent="0.25">
      <c r="A2181" s="1">
        <v>44784.723009259258</v>
      </c>
      <c r="B2181" s="1">
        <v>44784.722303240742</v>
      </c>
      <c r="C2181">
        <v>146644</v>
      </c>
      <c r="D2181" t="s">
        <v>54</v>
      </c>
      <c r="E2181" t="s">
        <v>53</v>
      </c>
      <c r="F2181">
        <v>7</v>
      </c>
      <c r="G2181">
        <v>43.06015</v>
      </c>
      <c r="H2181">
        <v>-70.758930000000007</v>
      </c>
      <c r="I2181">
        <v>35</v>
      </c>
      <c r="J2181">
        <v>79</v>
      </c>
      <c r="K2181">
        <v>80</v>
      </c>
      <c r="L2181" s="1">
        <v>44784.722939814812</v>
      </c>
      <c r="M2181">
        <v>12.2</v>
      </c>
      <c r="N2181">
        <v>10.6</v>
      </c>
      <c r="O2181">
        <v>1.6</v>
      </c>
      <c r="P2181">
        <v>14</v>
      </c>
      <c r="Q2181">
        <v>0.1</v>
      </c>
      <c r="R2181">
        <v>0.5</v>
      </c>
      <c r="S2181">
        <v>0.3</v>
      </c>
      <c r="T2181" t="s">
        <v>33</v>
      </c>
      <c r="U2181">
        <v>11.4</v>
      </c>
      <c r="V2181">
        <v>57</v>
      </c>
      <c r="W2181">
        <v>62</v>
      </c>
      <c r="X2181">
        <v>5</v>
      </c>
      <c r="Y2181">
        <v>1</v>
      </c>
      <c r="Z2181">
        <v>1</v>
      </c>
      <c r="AA2181">
        <v>0</v>
      </c>
      <c r="AB2181" t="s">
        <v>33</v>
      </c>
      <c r="AC2181">
        <v>59.5</v>
      </c>
      <c r="AD2181">
        <v>4.95</v>
      </c>
    </row>
    <row r="2182" spans="1:30" x14ac:dyDescent="0.25">
      <c r="A2182" s="1">
        <v>44784.723020833335</v>
      </c>
      <c r="B2182" s="1">
        <v>43755.283437500002</v>
      </c>
      <c r="C2182">
        <v>12188</v>
      </c>
      <c r="D2182" t="s">
        <v>55</v>
      </c>
      <c r="E2182" t="s">
        <v>35</v>
      </c>
      <c r="F2182">
        <v>4.1100000000000003</v>
      </c>
      <c r="G2182">
        <v>42.927050000000001</v>
      </c>
      <c r="H2182">
        <v>-72.279610000000005</v>
      </c>
      <c r="I2182">
        <v>475</v>
      </c>
      <c r="J2182">
        <v>95</v>
      </c>
      <c r="K2182">
        <v>0</v>
      </c>
      <c r="L2182" s="1">
        <v>44784.722939814812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 t="s">
        <v>32</v>
      </c>
      <c r="V2182">
        <v>77</v>
      </c>
      <c r="W2182">
        <v>0</v>
      </c>
      <c r="X2182">
        <v>77</v>
      </c>
      <c r="Y2182">
        <v>0</v>
      </c>
      <c r="Z2182">
        <v>0</v>
      </c>
      <c r="AA2182">
        <v>0</v>
      </c>
      <c r="AB2182" t="s">
        <v>36</v>
      </c>
      <c r="AC2182">
        <v>77</v>
      </c>
    </row>
    <row r="2183" spans="1:30" x14ac:dyDescent="0.25">
      <c r="A2183" s="1">
        <v>44784.723020833335</v>
      </c>
      <c r="B2183" s="1">
        <v>44784.721296296295</v>
      </c>
      <c r="C2183">
        <v>1224</v>
      </c>
      <c r="D2183" t="s">
        <v>56</v>
      </c>
      <c r="E2183" t="s">
        <v>35</v>
      </c>
      <c r="F2183" t="s">
        <v>57</v>
      </c>
      <c r="G2183">
        <v>42.938034000000002</v>
      </c>
      <c r="H2183">
        <v>-72.259299999999996</v>
      </c>
      <c r="I2183">
        <v>792</v>
      </c>
      <c r="J2183">
        <v>92</v>
      </c>
      <c r="K2183">
        <v>0</v>
      </c>
      <c r="L2183" s="1">
        <v>44784.722939814812</v>
      </c>
      <c r="M2183">
        <v>5</v>
      </c>
      <c r="N2183">
        <v>0.1</v>
      </c>
      <c r="O2183">
        <v>4.9000000000000004</v>
      </c>
      <c r="P2183">
        <v>192</v>
      </c>
      <c r="Q2183">
        <v>0.1</v>
      </c>
      <c r="R2183">
        <v>0.1</v>
      </c>
      <c r="S2183">
        <v>0.1</v>
      </c>
      <c r="T2183" t="s">
        <v>33</v>
      </c>
      <c r="U2183">
        <v>2.5499999999999998</v>
      </c>
      <c r="V2183">
        <v>37</v>
      </c>
      <c r="W2183">
        <v>0</v>
      </c>
      <c r="X2183">
        <v>37</v>
      </c>
      <c r="Y2183">
        <v>0</v>
      </c>
      <c r="Z2183">
        <v>0</v>
      </c>
      <c r="AA2183">
        <v>0</v>
      </c>
      <c r="AB2183" t="s">
        <v>36</v>
      </c>
      <c r="AC2183">
        <v>37</v>
      </c>
      <c r="AD2183">
        <v>1.1299999999999999</v>
      </c>
    </row>
    <row r="2184" spans="1:30" x14ac:dyDescent="0.25">
      <c r="A2184" s="1">
        <v>44784.723032407404</v>
      </c>
      <c r="B2184" s="1">
        <v>44784.722129629627</v>
      </c>
      <c r="C2184">
        <v>1202</v>
      </c>
      <c r="D2184" t="s">
        <v>58</v>
      </c>
      <c r="E2184" t="s">
        <v>35</v>
      </c>
      <c r="F2184" t="s">
        <v>57</v>
      </c>
      <c r="G2184">
        <v>42.936554000000001</v>
      </c>
      <c r="H2184">
        <v>-72.271019999999993</v>
      </c>
      <c r="I2184">
        <v>488</v>
      </c>
      <c r="J2184">
        <v>0</v>
      </c>
      <c r="K2184">
        <v>0</v>
      </c>
      <c r="L2184" s="1">
        <v>44784.722939814812</v>
      </c>
      <c r="M2184">
        <v>5.6</v>
      </c>
      <c r="N2184">
        <v>4.9000000000000004</v>
      </c>
      <c r="O2184">
        <v>0.7</v>
      </c>
      <c r="P2184">
        <v>13</v>
      </c>
      <c r="Q2184">
        <v>0.1</v>
      </c>
      <c r="R2184">
        <v>0</v>
      </c>
      <c r="S2184">
        <v>0.05</v>
      </c>
      <c r="T2184" t="s">
        <v>33</v>
      </c>
      <c r="U2184">
        <v>5.25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 t="s">
        <v>38</v>
      </c>
    </row>
    <row r="2185" spans="1:30" x14ac:dyDescent="0.25">
      <c r="A2185" s="1">
        <v>44784.723032407404</v>
      </c>
      <c r="B2185" s="1">
        <v>44612.080023148148</v>
      </c>
      <c r="C2185">
        <v>25985</v>
      </c>
      <c r="D2185" t="s">
        <v>59</v>
      </c>
      <c r="E2185" t="s">
        <v>35</v>
      </c>
      <c r="F2185">
        <v>6.01</v>
      </c>
      <c r="G2185">
        <v>42.927326000000001</v>
      </c>
      <c r="H2185">
        <v>-72.279979999999995</v>
      </c>
      <c r="I2185">
        <v>477</v>
      </c>
      <c r="J2185">
        <v>78</v>
      </c>
      <c r="K2185">
        <v>0</v>
      </c>
      <c r="L2185" s="1">
        <v>44784.722939814812</v>
      </c>
      <c r="M2185">
        <v>1.1000000000000001</v>
      </c>
      <c r="N2185">
        <v>1</v>
      </c>
      <c r="O2185">
        <v>0.1</v>
      </c>
      <c r="P2185">
        <v>10</v>
      </c>
      <c r="Q2185">
        <v>0</v>
      </c>
      <c r="R2185">
        <v>0</v>
      </c>
      <c r="S2185">
        <v>0</v>
      </c>
      <c r="T2185" t="s">
        <v>32</v>
      </c>
      <c r="V2185">
        <v>22</v>
      </c>
      <c r="W2185">
        <v>0</v>
      </c>
      <c r="X2185">
        <v>22</v>
      </c>
      <c r="Y2185">
        <v>0</v>
      </c>
      <c r="Z2185">
        <v>0</v>
      </c>
      <c r="AA2185">
        <v>0</v>
      </c>
      <c r="AB2185" t="s">
        <v>36</v>
      </c>
      <c r="AC2185">
        <v>22</v>
      </c>
    </row>
    <row r="2186" spans="1:30" x14ac:dyDescent="0.25">
      <c r="A2186" s="1">
        <v>44784.729884259257</v>
      </c>
      <c r="B2186" s="1">
        <v>44775.701319444444</v>
      </c>
      <c r="C2186">
        <v>151708</v>
      </c>
      <c r="D2186" t="s">
        <v>30</v>
      </c>
      <c r="E2186" t="s">
        <v>31</v>
      </c>
      <c r="F2186">
        <v>7</v>
      </c>
      <c r="G2186">
        <v>43.192042999999998</v>
      </c>
      <c r="H2186">
        <v>-71.541579999999996</v>
      </c>
      <c r="I2186">
        <v>291</v>
      </c>
      <c r="J2186">
        <v>93</v>
      </c>
      <c r="K2186">
        <v>94</v>
      </c>
      <c r="L2186" s="1">
        <v>44784.729884259257</v>
      </c>
      <c r="M2186">
        <v>7.9</v>
      </c>
      <c r="N2186">
        <v>7.6</v>
      </c>
      <c r="O2186">
        <v>0.3</v>
      </c>
      <c r="P2186">
        <v>4</v>
      </c>
      <c r="Q2186">
        <v>0</v>
      </c>
      <c r="R2186">
        <v>0</v>
      </c>
      <c r="S2186">
        <v>0</v>
      </c>
      <c r="T2186" t="s">
        <v>32</v>
      </c>
      <c r="V2186">
        <v>42</v>
      </c>
      <c r="W2186">
        <v>41</v>
      </c>
      <c r="X2186">
        <v>1</v>
      </c>
      <c r="Y2186">
        <v>0</v>
      </c>
      <c r="Z2186">
        <v>0</v>
      </c>
      <c r="AA2186">
        <v>0</v>
      </c>
      <c r="AB2186" t="s">
        <v>33</v>
      </c>
      <c r="AC2186">
        <v>41.5</v>
      </c>
    </row>
    <row r="2187" spans="1:30" x14ac:dyDescent="0.25">
      <c r="A2187" s="1">
        <v>44784.729895833334</v>
      </c>
      <c r="B2187" s="1">
        <v>44784.72828703704</v>
      </c>
      <c r="C2187">
        <v>143456</v>
      </c>
      <c r="D2187" t="s">
        <v>34</v>
      </c>
      <c r="E2187" t="s">
        <v>35</v>
      </c>
      <c r="F2187">
        <v>7</v>
      </c>
      <c r="G2187">
        <v>43.08963</v>
      </c>
      <c r="H2187">
        <v>-71.502440000000007</v>
      </c>
      <c r="I2187">
        <v>619</v>
      </c>
      <c r="J2187">
        <v>83</v>
      </c>
      <c r="K2187">
        <v>0</v>
      </c>
      <c r="L2187" s="1">
        <v>44784.729884259257</v>
      </c>
      <c r="M2187">
        <v>2.9</v>
      </c>
      <c r="N2187">
        <v>3.4</v>
      </c>
      <c r="O2187">
        <v>0.5</v>
      </c>
      <c r="P2187">
        <v>16</v>
      </c>
      <c r="Q2187">
        <v>0</v>
      </c>
      <c r="R2187">
        <v>0.1</v>
      </c>
      <c r="S2187">
        <v>0.05</v>
      </c>
      <c r="T2187" t="s">
        <v>33</v>
      </c>
      <c r="U2187">
        <v>3.15</v>
      </c>
      <c r="V2187">
        <v>51</v>
      </c>
      <c r="W2187">
        <v>0</v>
      </c>
      <c r="X2187">
        <v>51</v>
      </c>
      <c r="Y2187">
        <v>3</v>
      </c>
      <c r="Z2187">
        <v>0</v>
      </c>
      <c r="AA2187">
        <v>3</v>
      </c>
      <c r="AB2187" t="s">
        <v>36</v>
      </c>
      <c r="AC2187">
        <v>51</v>
      </c>
      <c r="AD2187">
        <v>0.51</v>
      </c>
    </row>
    <row r="2188" spans="1:30" x14ac:dyDescent="0.25">
      <c r="A2188" s="1">
        <v>44784.729895833334</v>
      </c>
      <c r="B2188" s="1">
        <v>44784.728425925925</v>
      </c>
      <c r="C2188">
        <v>151702</v>
      </c>
      <c r="D2188" t="s">
        <v>37</v>
      </c>
      <c r="E2188" t="s">
        <v>31</v>
      </c>
      <c r="F2188">
        <v>7</v>
      </c>
      <c r="G2188">
        <v>43.118609999999997</v>
      </c>
      <c r="H2188">
        <v>-71.61618</v>
      </c>
      <c r="I2188">
        <v>885</v>
      </c>
      <c r="J2188">
        <v>0</v>
      </c>
      <c r="K2188">
        <v>0</v>
      </c>
      <c r="L2188" s="1">
        <v>44784.729884259257</v>
      </c>
      <c r="M2188">
        <v>3.3</v>
      </c>
      <c r="N2188">
        <v>3.4</v>
      </c>
      <c r="O2188">
        <v>0.1</v>
      </c>
      <c r="P2188">
        <v>3</v>
      </c>
      <c r="Q2188">
        <v>0</v>
      </c>
      <c r="R2188">
        <v>0.2</v>
      </c>
      <c r="S2188">
        <v>0.1</v>
      </c>
      <c r="T2188" t="s">
        <v>33</v>
      </c>
      <c r="U2188">
        <v>3.35</v>
      </c>
      <c r="V2188">
        <v>0</v>
      </c>
      <c r="W2188">
        <v>0</v>
      </c>
      <c r="X2188">
        <v>0</v>
      </c>
      <c r="Y2188">
        <v>0</v>
      </c>
      <c r="Z2188">
        <v>0</v>
      </c>
      <c r="AA2188">
        <v>0</v>
      </c>
      <c r="AB2188" t="s">
        <v>38</v>
      </c>
    </row>
    <row r="2189" spans="1:30" x14ac:dyDescent="0.25">
      <c r="A2189" s="1">
        <v>44784.729907407411</v>
      </c>
      <c r="B2189" s="1">
        <v>44784.728333333333</v>
      </c>
      <c r="C2189">
        <v>151700</v>
      </c>
      <c r="D2189" t="s">
        <v>30</v>
      </c>
      <c r="E2189" t="s">
        <v>31</v>
      </c>
      <c r="F2189">
        <v>7</v>
      </c>
      <c r="G2189">
        <v>43.19211</v>
      </c>
      <c r="H2189">
        <v>-71.541460000000001</v>
      </c>
      <c r="I2189">
        <v>286</v>
      </c>
      <c r="J2189">
        <v>85</v>
      </c>
      <c r="K2189">
        <v>0</v>
      </c>
      <c r="L2189" s="1">
        <v>44784.729884259257</v>
      </c>
      <c r="M2189">
        <v>2.6</v>
      </c>
      <c r="N2189">
        <v>3</v>
      </c>
      <c r="O2189">
        <v>0.4</v>
      </c>
      <c r="P2189">
        <v>14</v>
      </c>
      <c r="Q2189">
        <v>0.1</v>
      </c>
      <c r="R2189">
        <v>0</v>
      </c>
      <c r="S2189">
        <v>0.05</v>
      </c>
      <c r="T2189" t="s">
        <v>33</v>
      </c>
      <c r="U2189">
        <v>2.8</v>
      </c>
      <c r="V2189">
        <v>41</v>
      </c>
      <c r="W2189">
        <v>0</v>
      </c>
      <c r="X2189">
        <v>41</v>
      </c>
      <c r="Y2189">
        <v>1</v>
      </c>
      <c r="Z2189">
        <v>0</v>
      </c>
      <c r="AA2189">
        <v>1</v>
      </c>
      <c r="AB2189" t="s">
        <v>36</v>
      </c>
      <c r="AC2189">
        <v>41</v>
      </c>
      <c r="AD2189">
        <v>1</v>
      </c>
    </row>
    <row r="2190" spans="1:30" x14ac:dyDescent="0.25">
      <c r="A2190" s="1">
        <v>44784.729907407411</v>
      </c>
      <c r="B2190" s="1">
        <v>44784.728773148148</v>
      </c>
      <c r="C2190">
        <v>135984</v>
      </c>
      <c r="D2190" t="s">
        <v>39</v>
      </c>
      <c r="E2190" t="s">
        <v>31</v>
      </c>
      <c r="F2190">
        <v>7</v>
      </c>
      <c r="G2190">
        <v>43.565852999999997</v>
      </c>
      <c r="H2190">
        <v>-71.496129999999994</v>
      </c>
      <c r="I2190">
        <v>708</v>
      </c>
      <c r="J2190">
        <v>84</v>
      </c>
      <c r="K2190">
        <v>0</v>
      </c>
      <c r="L2190" s="1">
        <v>44784.729884259257</v>
      </c>
      <c r="M2190">
        <v>4</v>
      </c>
      <c r="N2190">
        <v>3.7</v>
      </c>
      <c r="O2190">
        <v>0.3</v>
      </c>
      <c r="P2190">
        <v>8</v>
      </c>
      <c r="Q2190">
        <v>0.1</v>
      </c>
      <c r="R2190">
        <v>0.1</v>
      </c>
      <c r="S2190">
        <v>0.1</v>
      </c>
      <c r="T2190" t="s">
        <v>33</v>
      </c>
      <c r="U2190">
        <v>3.85</v>
      </c>
      <c r="V2190">
        <v>54</v>
      </c>
      <c r="W2190">
        <v>0</v>
      </c>
      <c r="X2190">
        <v>54</v>
      </c>
      <c r="Y2190">
        <v>2</v>
      </c>
      <c r="Z2190">
        <v>0</v>
      </c>
      <c r="AA2190">
        <v>2</v>
      </c>
      <c r="AB2190" t="s">
        <v>36</v>
      </c>
      <c r="AC2190">
        <v>54</v>
      </c>
      <c r="AD2190">
        <v>0.73</v>
      </c>
    </row>
    <row r="2191" spans="1:30" x14ac:dyDescent="0.25">
      <c r="A2191" s="1">
        <v>44784.729907407411</v>
      </c>
      <c r="B2191" s="1">
        <v>44780.394780092596</v>
      </c>
      <c r="C2191">
        <v>151712</v>
      </c>
      <c r="D2191" t="s">
        <v>40</v>
      </c>
      <c r="E2191" t="s">
        <v>31</v>
      </c>
      <c r="F2191">
        <v>7</v>
      </c>
      <c r="G2191">
        <v>43.289763999999998</v>
      </c>
      <c r="H2191">
        <v>-71.564260000000004</v>
      </c>
      <c r="I2191">
        <v>370</v>
      </c>
      <c r="J2191">
        <v>86</v>
      </c>
      <c r="K2191">
        <v>0</v>
      </c>
      <c r="L2191" s="1">
        <v>44784.729884259257</v>
      </c>
      <c r="M2191">
        <v>14</v>
      </c>
      <c r="N2191">
        <v>13.2</v>
      </c>
      <c r="O2191">
        <v>0.8</v>
      </c>
      <c r="P2191">
        <v>6</v>
      </c>
      <c r="Q2191">
        <v>0</v>
      </c>
      <c r="R2191">
        <v>0</v>
      </c>
      <c r="S2191">
        <v>0</v>
      </c>
      <c r="T2191" t="s">
        <v>32</v>
      </c>
      <c r="V2191">
        <v>59</v>
      </c>
      <c r="W2191">
        <v>0</v>
      </c>
      <c r="X2191">
        <v>59</v>
      </c>
      <c r="Y2191">
        <v>0</v>
      </c>
      <c r="Z2191">
        <v>0</v>
      </c>
      <c r="AA2191">
        <v>0</v>
      </c>
      <c r="AB2191" t="s">
        <v>36</v>
      </c>
      <c r="AC2191">
        <v>59</v>
      </c>
    </row>
    <row r="2192" spans="1:30" x14ac:dyDescent="0.25">
      <c r="A2192" s="1">
        <v>44784.72991898148</v>
      </c>
      <c r="B2192" s="1">
        <v>44784.728078703702</v>
      </c>
      <c r="C2192">
        <v>151710</v>
      </c>
      <c r="D2192" t="s">
        <v>41</v>
      </c>
      <c r="E2192" t="s">
        <v>31</v>
      </c>
      <c r="F2192">
        <v>7</v>
      </c>
      <c r="G2192">
        <v>43.132477000000002</v>
      </c>
      <c r="H2192">
        <v>-71.458374000000006</v>
      </c>
      <c r="I2192">
        <v>230</v>
      </c>
      <c r="J2192">
        <v>89</v>
      </c>
      <c r="K2192">
        <v>0</v>
      </c>
      <c r="L2192" s="1">
        <v>44784.729884259257</v>
      </c>
      <c r="M2192">
        <v>5.4</v>
      </c>
      <c r="N2192">
        <v>3.9</v>
      </c>
      <c r="O2192">
        <v>1.5</v>
      </c>
      <c r="P2192">
        <v>32</v>
      </c>
      <c r="Q2192">
        <v>0.2</v>
      </c>
      <c r="R2192">
        <v>0.2</v>
      </c>
      <c r="S2192">
        <v>0.2</v>
      </c>
      <c r="T2192" t="s">
        <v>33</v>
      </c>
      <c r="U2192">
        <v>4.6500000000000004</v>
      </c>
      <c r="V2192">
        <v>38</v>
      </c>
      <c r="W2192">
        <v>0</v>
      </c>
      <c r="X2192">
        <v>38</v>
      </c>
      <c r="Y2192">
        <v>1</v>
      </c>
      <c r="Z2192">
        <v>0</v>
      </c>
      <c r="AA2192">
        <v>1</v>
      </c>
      <c r="AB2192" t="s">
        <v>36</v>
      </c>
      <c r="AC2192">
        <v>38</v>
      </c>
      <c r="AD2192">
        <v>2.34</v>
      </c>
    </row>
    <row r="2193" spans="1:30" x14ac:dyDescent="0.25">
      <c r="A2193" s="1">
        <v>44784.72991898148</v>
      </c>
      <c r="B2193" s="1">
        <v>44784.729108796295</v>
      </c>
      <c r="C2193">
        <v>151706</v>
      </c>
      <c r="D2193" t="s">
        <v>42</v>
      </c>
      <c r="E2193" t="s">
        <v>31</v>
      </c>
      <c r="F2193">
        <v>7</v>
      </c>
      <c r="G2193">
        <v>43.004080000000002</v>
      </c>
      <c r="H2193">
        <v>-71.177040000000005</v>
      </c>
      <c r="I2193">
        <v>194</v>
      </c>
      <c r="J2193">
        <v>85</v>
      </c>
      <c r="K2193">
        <v>0</v>
      </c>
      <c r="L2193" s="1">
        <v>44784.729884259257</v>
      </c>
      <c r="M2193">
        <v>9.6999999999999993</v>
      </c>
      <c r="N2193">
        <v>0</v>
      </c>
      <c r="O2193">
        <v>9.6999999999999993</v>
      </c>
      <c r="P2193">
        <v>200</v>
      </c>
      <c r="Q2193">
        <v>0.6</v>
      </c>
      <c r="R2193">
        <v>0</v>
      </c>
      <c r="S2193">
        <v>0.3</v>
      </c>
      <c r="T2193" t="s">
        <v>43</v>
      </c>
      <c r="V2193">
        <v>49</v>
      </c>
      <c r="W2193">
        <v>0</v>
      </c>
      <c r="X2193">
        <v>49</v>
      </c>
      <c r="Y2193">
        <v>1</v>
      </c>
      <c r="Z2193">
        <v>0</v>
      </c>
      <c r="AA2193">
        <v>1</v>
      </c>
      <c r="AB2193" t="s">
        <v>36</v>
      </c>
      <c r="AC2193">
        <v>49</v>
      </c>
    </row>
    <row r="2194" spans="1:30" x14ac:dyDescent="0.25">
      <c r="A2194" s="1">
        <v>44784.72991898148</v>
      </c>
      <c r="B2194" s="1">
        <v>44784.72892361111</v>
      </c>
      <c r="C2194">
        <v>12212</v>
      </c>
      <c r="D2194" t="s">
        <v>44</v>
      </c>
      <c r="E2194" t="s">
        <v>35</v>
      </c>
      <c r="F2194">
        <v>7</v>
      </c>
      <c r="G2194">
        <v>42.930529999999997</v>
      </c>
      <c r="H2194">
        <v>-72.272350000000003</v>
      </c>
      <c r="I2194">
        <v>476</v>
      </c>
      <c r="J2194">
        <v>93</v>
      </c>
      <c r="K2194">
        <v>0</v>
      </c>
      <c r="L2194" s="1">
        <v>44784.729884259257</v>
      </c>
      <c r="M2194">
        <v>5.0999999999999996</v>
      </c>
      <c r="N2194">
        <v>4.4000000000000004</v>
      </c>
      <c r="O2194">
        <v>0.7</v>
      </c>
      <c r="P2194">
        <v>15</v>
      </c>
      <c r="Q2194">
        <v>0.1</v>
      </c>
      <c r="R2194">
        <v>0.2</v>
      </c>
      <c r="S2194">
        <v>0.15</v>
      </c>
      <c r="T2194" t="s">
        <v>33</v>
      </c>
      <c r="U2194">
        <v>4.75</v>
      </c>
      <c r="V2194">
        <v>28</v>
      </c>
      <c r="W2194">
        <v>0</v>
      </c>
      <c r="X2194">
        <v>28</v>
      </c>
      <c r="Y2194">
        <v>0</v>
      </c>
      <c r="Z2194">
        <v>0</v>
      </c>
      <c r="AA2194">
        <v>0</v>
      </c>
      <c r="AB2194" t="s">
        <v>36</v>
      </c>
      <c r="AC2194">
        <v>28</v>
      </c>
      <c r="AD2194">
        <v>3.1</v>
      </c>
    </row>
    <row r="2195" spans="1:30" x14ac:dyDescent="0.25">
      <c r="A2195" s="1">
        <v>44784.729930555557</v>
      </c>
      <c r="B2195" s="1">
        <v>44769.376736111109</v>
      </c>
      <c r="C2195">
        <v>12178</v>
      </c>
      <c r="D2195" t="s">
        <v>45</v>
      </c>
      <c r="E2195" t="s">
        <v>35</v>
      </c>
      <c r="F2195">
        <v>7</v>
      </c>
      <c r="G2195">
        <v>42.899563000000001</v>
      </c>
      <c r="H2195">
        <v>-71.464650000000006</v>
      </c>
      <c r="I2195">
        <v>301</v>
      </c>
      <c r="J2195">
        <v>85</v>
      </c>
      <c r="K2195">
        <v>0</v>
      </c>
      <c r="L2195" s="1">
        <v>44784.729884259257</v>
      </c>
      <c r="M2195">
        <v>3.8</v>
      </c>
      <c r="N2195">
        <v>3.1</v>
      </c>
      <c r="O2195">
        <v>0.7</v>
      </c>
      <c r="P2195">
        <v>20</v>
      </c>
      <c r="Q2195">
        <v>0</v>
      </c>
      <c r="R2195">
        <v>0</v>
      </c>
      <c r="S2195">
        <v>0</v>
      </c>
      <c r="T2195" t="s">
        <v>32</v>
      </c>
      <c r="V2195">
        <v>35</v>
      </c>
      <c r="W2195">
        <v>0</v>
      </c>
      <c r="X2195">
        <v>35</v>
      </c>
      <c r="Y2195">
        <v>0</v>
      </c>
      <c r="Z2195">
        <v>0</v>
      </c>
      <c r="AA2195">
        <v>0</v>
      </c>
      <c r="AB2195" t="s">
        <v>36</v>
      </c>
      <c r="AC2195">
        <v>35</v>
      </c>
    </row>
    <row r="2196" spans="1:30" x14ac:dyDescent="0.25">
      <c r="A2196" s="1">
        <v>44784.729930555557</v>
      </c>
      <c r="B2196" s="1">
        <v>44784.728182870371</v>
      </c>
      <c r="C2196">
        <v>75981</v>
      </c>
      <c r="D2196" t="s">
        <v>46</v>
      </c>
      <c r="E2196" t="s">
        <v>35</v>
      </c>
      <c r="F2196">
        <v>7</v>
      </c>
      <c r="G2196">
        <v>42.97</v>
      </c>
      <c r="H2196">
        <v>-71.06</v>
      </c>
      <c r="I2196">
        <v>136</v>
      </c>
      <c r="J2196">
        <v>94</v>
      </c>
      <c r="K2196">
        <v>0</v>
      </c>
      <c r="L2196" s="1">
        <v>44784.729884259257</v>
      </c>
      <c r="M2196">
        <v>11.3</v>
      </c>
      <c r="N2196">
        <v>10.6</v>
      </c>
      <c r="O2196">
        <v>0.7</v>
      </c>
      <c r="P2196">
        <v>6</v>
      </c>
      <c r="Q2196">
        <v>0.7</v>
      </c>
      <c r="R2196">
        <v>0.2</v>
      </c>
      <c r="S2196">
        <v>0.44999999999999901</v>
      </c>
      <c r="T2196" t="s">
        <v>33</v>
      </c>
      <c r="U2196">
        <v>10.95</v>
      </c>
      <c r="V2196">
        <v>41</v>
      </c>
      <c r="W2196">
        <v>0</v>
      </c>
      <c r="X2196">
        <v>41</v>
      </c>
      <c r="Y2196">
        <v>0</v>
      </c>
      <c r="Z2196">
        <v>0</v>
      </c>
      <c r="AA2196">
        <v>0</v>
      </c>
      <c r="AB2196" t="s">
        <v>36</v>
      </c>
      <c r="AC2196">
        <v>41</v>
      </c>
      <c r="AD2196">
        <v>5.97</v>
      </c>
    </row>
    <row r="2197" spans="1:30" x14ac:dyDescent="0.25">
      <c r="A2197" s="1">
        <v>44784.729930555557</v>
      </c>
      <c r="B2197" s="1">
        <v>44784.728715277779</v>
      </c>
      <c r="C2197">
        <v>115703</v>
      </c>
      <c r="D2197" t="s">
        <v>47</v>
      </c>
      <c r="E2197" t="s">
        <v>35</v>
      </c>
      <c r="F2197">
        <v>7</v>
      </c>
      <c r="G2197">
        <v>43.953625000000002</v>
      </c>
      <c r="H2197">
        <v>-71.508859999999999</v>
      </c>
      <c r="I2197">
        <v>1493</v>
      </c>
      <c r="J2197">
        <v>89</v>
      </c>
      <c r="K2197">
        <v>0</v>
      </c>
      <c r="L2197" s="1">
        <v>44784.729884259257</v>
      </c>
      <c r="M2197">
        <v>0.2</v>
      </c>
      <c r="N2197">
        <v>203.1</v>
      </c>
      <c r="O2197">
        <v>202.9</v>
      </c>
      <c r="P2197">
        <v>200</v>
      </c>
      <c r="Q2197">
        <v>0.1</v>
      </c>
      <c r="R2197">
        <v>0</v>
      </c>
      <c r="S2197">
        <v>0.05</v>
      </c>
      <c r="T2197" t="s">
        <v>60</v>
      </c>
      <c r="V2197">
        <v>33</v>
      </c>
      <c r="W2197">
        <v>0</v>
      </c>
      <c r="X2197">
        <v>33</v>
      </c>
      <c r="Y2197">
        <v>0</v>
      </c>
      <c r="Z2197">
        <v>0</v>
      </c>
      <c r="AA2197">
        <v>0</v>
      </c>
      <c r="AB2197" t="s">
        <v>36</v>
      </c>
      <c r="AC2197">
        <v>33</v>
      </c>
    </row>
    <row r="2198" spans="1:30" x14ac:dyDescent="0.25">
      <c r="A2198" s="1">
        <v>44784.729942129627</v>
      </c>
      <c r="B2198" s="1">
        <v>44784.728136574071</v>
      </c>
      <c r="C2198">
        <v>12050</v>
      </c>
      <c r="D2198" t="s">
        <v>49</v>
      </c>
      <c r="E2198" t="s">
        <v>35</v>
      </c>
      <c r="F2198">
        <v>7</v>
      </c>
      <c r="G2198">
        <v>44.220573000000002</v>
      </c>
      <c r="H2198">
        <v>-71.732315</v>
      </c>
      <c r="I2198">
        <v>999</v>
      </c>
      <c r="J2198">
        <v>89</v>
      </c>
      <c r="K2198">
        <v>0</v>
      </c>
      <c r="L2198" s="1">
        <v>44784.729884259257</v>
      </c>
      <c r="M2198">
        <v>3.6</v>
      </c>
      <c r="N2198">
        <v>3.1</v>
      </c>
      <c r="O2198">
        <v>0.5</v>
      </c>
      <c r="P2198">
        <v>15</v>
      </c>
      <c r="Q2198">
        <v>0</v>
      </c>
      <c r="R2198">
        <v>0.1</v>
      </c>
      <c r="S2198">
        <v>0.05</v>
      </c>
      <c r="T2198" t="s">
        <v>33</v>
      </c>
      <c r="U2198">
        <v>3.35</v>
      </c>
      <c r="V2198">
        <v>35</v>
      </c>
      <c r="W2198">
        <v>0</v>
      </c>
      <c r="X2198">
        <v>35</v>
      </c>
      <c r="Y2198">
        <v>1</v>
      </c>
      <c r="Z2198">
        <v>0</v>
      </c>
      <c r="AA2198">
        <v>1</v>
      </c>
      <c r="AB2198" t="s">
        <v>36</v>
      </c>
      <c r="AC2198">
        <v>35</v>
      </c>
      <c r="AD2198">
        <v>1.75</v>
      </c>
    </row>
    <row r="2199" spans="1:30" x14ac:dyDescent="0.25">
      <c r="A2199" s="1">
        <v>44784.729942129627</v>
      </c>
      <c r="B2199" s="1">
        <v>44784.728252314817</v>
      </c>
      <c r="C2199">
        <v>23443</v>
      </c>
      <c r="D2199" t="s">
        <v>50</v>
      </c>
      <c r="E2199" t="s">
        <v>35</v>
      </c>
      <c r="F2199">
        <v>7</v>
      </c>
      <c r="G2199">
        <v>43.556139999999999</v>
      </c>
      <c r="H2199">
        <v>-72.370990000000006</v>
      </c>
      <c r="I2199">
        <v>523</v>
      </c>
      <c r="J2199">
        <v>92</v>
      </c>
      <c r="K2199">
        <v>0</v>
      </c>
      <c r="L2199" s="1">
        <v>44784.729884259257</v>
      </c>
      <c r="M2199">
        <v>3.6</v>
      </c>
      <c r="N2199">
        <v>3.1</v>
      </c>
      <c r="O2199">
        <v>0.5</v>
      </c>
      <c r="P2199">
        <v>15</v>
      </c>
      <c r="Q2199">
        <v>0.1</v>
      </c>
      <c r="R2199">
        <v>0</v>
      </c>
      <c r="S2199">
        <v>0.05</v>
      </c>
      <c r="T2199" t="s">
        <v>33</v>
      </c>
      <c r="U2199">
        <v>3.35</v>
      </c>
      <c r="V2199">
        <v>30</v>
      </c>
      <c r="W2199">
        <v>0</v>
      </c>
      <c r="X2199">
        <v>30</v>
      </c>
      <c r="Y2199">
        <v>4</v>
      </c>
      <c r="Z2199">
        <v>0</v>
      </c>
      <c r="AA2199">
        <v>4</v>
      </c>
      <c r="AB2199" t="s">
        <v>36</v>
      </c>
      <c r="AC2199">
        <v>30</v>
      </c>
      <c r="AD2199">
        <v>2.1</v>
      </c>
    </row>
    <row r="2200" spans="1:30" x14ac:dyDescent="0.25">
      <c r="A2200" s="1">
        <v>44784.729953703703</v>
      </c>
      <c r="B2200" s="1">
        <v>44784.728368055556</v>
      </c>
      <c r="C2200">
        <v>58135</v>
      </c>
      <c r="D2200" t="s">
        <v>51</v>
      </c>
      <c r="E2200" t="s">
        <v>35</v>
      </c>
      <c r="F2200">
        <v>7</v>
      </c>
      <c r="G2200">
        <v>42.883873000000001</v>
      </c>
      <c r="H2200">
        <v>-71.972915999999998</v>
      </c>
      <c r="I2200">
        <v>808</v>
      </c>
      <c r="J2200">
        <v>87</v>
      </c>
      <c r="K2200">
        <v>0</v>
      </c>
      <c r="L2200" s="1">
        <v>44784.729884259257</v>
      </c>
      <c r="M2200">
        <v>5</v>
      </c>
      <c r="N2200">
        <v>3.1</v>
      </c>
      <c r="O2200">
        <v>1.9</v>
      </c>
      <c r="P2200">
        <v>47</v>
      </c>
      <c r="Q2200">
        <v>0.1</v>
      </c>
      <c r="R2200">
        <v>0.1</v>
      </c>
      <c r="S2200">
        <v>0.1</v>
      </c>
      <c r="T2200" t="s">
        <v>33</v>
      </c>
      <c r="U2200">
        <v>4.05</v>
      </c>
      <c r="V2200">
        <v>35</v>
      </c>
      <c r="W2200">
        <v>0</v>
      </c>
      <c r="X2200">
        <v>35</v>
      </c>
      <c r="Y2200">
        <v>0</v>
      </c>
      <c r="Z2200">
        <v>0</v>
      </c>
      <c r="AA2200">
        <v>0</v>
      </c>
      <c r="AB2200" t="s">
        <v>36</v>
      </c>
      <c r="AC2200">
        <v>35</v>
      </c>
      <c r="AD2200">
        <v>2.1800000000000002</v>
      </c>
    </row>
    <row r="2201" spans="1:30" x14ac:dyDescent="0.25">
      <c r="A2201" s="1">
        <v>44784.729953703703</v>
      </c>
      <c r="B2201" s="1">
        <v>44784.728356481479</v>
      </c>
      <c r="C2201">
        <v>148555</v>
      </c>
      <c r="D2201" t="s">
        <v>52</v>
      </c>
      <c r="E2201" t="s">
        <v>53</v>
      </c>
      <c r="F2201">
        <v>7</v>
      </c>
      <c r="G2201">
        <v>42.904949999999999</v>
      </c>
      <c r="H2201">
        <v>-71.386764999999997</v>
      </c>
      <c r="I2201">
        <v>363</v>
      </c>
      <c r="J2201">
        <v>0</v>
      </c>
      <c r="K2201">
        <v>0</v>
      </c>
      <c r="L2201" s="1">
        <v>44784.729884259257</v>
      </c>
      <c r="M2201">
        <v>1.7</v>
      </c>
      <c r="N2201">
        <v>2.1</v>
      </c>
      <c r="O2201">
        <v>0.4</v>
      </c>
      <c r="P2201">
        <v>21</v>
      </c>
      <c r="Q2201">
        <v>0</v>
      </c>
      <c r="R2201">
        <v>0</v>
      </c>
      <c r="S2201">
        <v>0</v>
      </c>
      <c r="T2201" t="s">
        <v>33</v>
      </c>
      <c r="U2201">
        <v>1.9</v>
      </c>
      <c r="V2201">
        <v>0</v>
      </c>
      <c r="W2201">
        <v>0</v>
      </c>
      <c r="X2201">
        <v>0</v>
      </c>
      <c r="Y2201">
        <v>0</v>
      </c>
      <c r="Z2201">
        <v>0</v>
      </c>
      <c r="AA2201">
        <v>0</v>
      </c>
      <c r="AB2201" t="s">
        <v>38</v>
      </c>
    </row>
    <row r="2202" spans="1:30" x14ac:dyDescent="0.25">
      <c r="A2202" s="1">
        <v>44784.729953703703</v>
      </c>
      <c r="B2202" s="1">
        <v>44784.729247685187</v>
      </c>
      <c r="C2202">
        <v>146644</v>
      </c>
      <c r="D2202" t="s">
        <v>54</v>
      </c>
      <c r="E2202" t="s">
        <v>53</v>
      </c>
      <c r="F2202">
        <v>7</v>
      </c>
      <c r="G2202">
        <v>43.06015</v>
      </c>
      <c r="H2202">
        <v>-70.758930000000007</v>
      </c>
      <c r="I2202">
        <v>35</v>
      </c>
      <c r="J2202">
        <v>79</v>
      </c>
      <c r="K2202">
        <v>81</v>
      </c>
      <c r="L2202" s="1">
        <v>44784.729884259257</v>
      </c>
      <c r="M2202">
        <v>11.7</v>
      </c>
      <c r="N2202">
        <v>10.5</v>
      </c>
      <c r="O2202">
        <v>1.2</v>
      </c>
      <c r="P2202">
        <v>11</v>
      </c>
      <c r="Q2202">
        <v>0.5</v>
      </c>
      <c r="R2202">
        <v>0.1</v>
      </c>
      <c r="S2202">
        <v>0.3</v>
      </c>
      <c r="T2202" t="s">
        <v>33</v>
      </c>
      <c r="U2202">
        <v>11.1</v>
      </c>
      <c r="V2202">
        <v>57</v>
      </c>
      <c r="W2202">
        <v>62</v>
      </c>
      <c r="X2202">
        <v>5</v>
      </c>
      <c r="Y2202">
        <v>0</v>
      </c>
      <c r="Z2202">
        <v>0</v>
      </c>
      <c r="AA2202">
        <v>0</v>
      </c>
      <c r="AB2202" t="s">
        <v>33</v>
      </c>
      <c r="AC2202">
        <v>59.5</v>
      </c>
      <c r="AD2202">
        <v>4.7699999999999996</v>
      </c>
    </row>
    <row r="2203" spans="1:30" x14ac:dyDescent="0.25">
      <c r="A2203" s="1">
        <v>44784.72996527778</v>
      </c>
      <c r="B2203" s="1">
        <v>43755.283437500002</v>
      </c>
      <c r="C2203">
        <v>12188</v>
      </c>
      <c r="D2203" t="s">
        <v>55</v>
      </c>
      <c r="E2203" t="s">
        <v>35</v>
      </c>
      <c r="F2203">
        <v>4.1100000000000003</v>
      </c>
      <c r="G2203">
        <v>42.927050000000001</v>
      </c>
      <c r="H2203">
        <v>-72.279610000000005</v>
      </c>
      <c r="I2203">
        <v>475</v>
      </c>
      <c r="J2203">
        <v>95</v>
      </c>
      <c r="K2203">
        <v>0</v>
      </c>
      <c r="L2203" s="1">
        <v>44784.729884259257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 t="s">
        <v>32</v>
      </c>
      <c r="V2203">
        <v>77</v>
      </c>
      <c r="W2203">
        <v>0</v>
      </c>
      <c r="X2203">
        <v>77</v>
      </c>
      <c r="Y2203">
        <v>0</v>
      </c>
      <c r="Z2203">
        <v>0</v>
      </c>
      <c r="AA2203">
        <v>0</v>
      </c>
      <c r="AB2203" t="s">
        <v>36</v>
      </c>
      <c r="AC2203">
        <v>77</v>
      </c>
    </row>
    <row r="2204" spans="1:30" x14ac:dyDescent="0.25">
      <c r="A2204" s="1">
        <v>44784.72996527778</v>
      </c>
      <c r="B2204" s="1">
        <v>44784.72824074074</v>
      </c>
      <c r="C2204">
        <v>1224</v>
      </c>
      <c r="D2204" t="s">
        <v>56</v>
      </c>
      <c r="E2204" t="s">
        <v>35</v>
      </c>
      <c r="F2204" t="s">
        <v>57</v>
      </c>
      <c r="G2204">
        <v>42.938034000000002</v>
      </c>
      <c r="H2204">
        <v>-72.259299999999996</v>
      </c>
      <c r="I2204">
        <v>792</v>
      </c>
      <c r="J2204">
        <v>94</v>
      </c>
      <c r="K2204">
        <v>0</v>
      </c>
      <c r="L2204" s="1">
        <v>44784.729884259257</v>
      </c>
      <c r="M2204">
        <v>5.0999999999999996</v>
      </c>
      <c r="N2204">
        <v>0</v>
      </c>
      <c r="O2204">
        <v>5.0999999999999996</v>
      </c>
      <c r="P2204">
        <v>200</v>
      </c>
      <c r="Q2204">
        <v>0.1</v>
      </c>
      <c r="R2204">
        <v>0.1</v>
      </c>
      <c r="S2204">
        <v>0.1</v>
      </c>
      <c r="T2204" t="s">
        <v>43</v>
      </c>
      <c r="V2204">
        <v>36</v>
      </c>
      <c r="W2204">
        <v>0</v>
      </c>
      <c r="X2204">
        <v>36</v>
      </c>
      <c r="Y2204">
        <v>1</v>
      </c>
      <c r="Z2204">
        <v>0</v>
      </c>
      <c r="AA2204">
        <v>1</v>
      </c>
      <c r="AB2204" t="s">
        <v>36</v>
      </c>
      <c r="AC2204">
        <v>36</v>
      </c>
    </row>
    <row r="2205" spans="1:30" x14ac:dyDescent="0.25">
      <c r="A2205" s="1">
        <v>44784.72996527778</v>
      </c>
      <c r="B2205" s="1">
        <v>44784.729074074072</v>
      </c>
      <c r="C2205">
        <v>1202</v>
      </c>
      <c r="D2205" t="s">
        <v>58</v>
      </c>
      <c r="E2205" t="s">
        <v>35</v>
      </c>
      <c r="F2205" t="s">
        <v>57</v>
      </c>
      <c r="G2205">
        <v>42.936554000000001</v>
      </c>
      <c r="H2205">
        <v>-72.271019999999993</v>
      </c>
      <c r="I2205">
        <v>488</v>
      </c>
      <c r="J2205">
        <v>0</v>
      </c>
      <c r="K2205">
        <v>0</v>
      </c>
      <c r="L2205" s="1">
        <v>44784.729884259257</v>
      </c>
      <c r="M2205">
        <v>5.7</v>
      </c>
      <c r="N2205">
        <v>5.0999999999999996</v>
      </c>
      <c r="O2205">
        <v>0.6</v>
      </c>
      <c r="P2205">
        <v>11</v>
      </c>
      <c r="Q2205">
        <v>0.1</v>
      </c>
      <c r="R2205">
        <v>0.2</v>
      </c>
      <c r="S2205">
        <v>0.15</v>
      </c>
      <c r="T2205" t="s">
        <v>33</v>
      </c>
      <c r="U2205">
        <v>5.4</v>
      </c>
      <c r="V2205">
        <v>0</v>
      </c>
      <c r="W2205">
        <v>0</v>
      </c>
      <c r="X2205">
        <v>0</v>
      </c>
      <c r="Y2205">
        <v>0</v>
      </c>
      <c r="Z2205">
        <v>0</v>
      </c>
      <c r="AA2205">
        <v>0</v>
      </c>
      <c r="AB2205" t="s">
        <v>38</v>
      </c>
    </row>
    <row r="2206" spans="1:30" x14ac:dyDescent="0.25">
      <c r="A2206" s="1">
        <v>44784.72997685185</v>
      </c>
      <c r="B2206" s="1">
        <v>44612.080023148148</v>
      </c>
      <c r="C2206">
        <v>25985</v>
      </c>
      <c r="D2206" t="s">
        <v>59</v>
      </c>
      <c r="E2206" t="s">
        <v>35</v>
      </c>
      <c r="F2206">
        <v>6.01</v>
      </c>
      <c r="G2206">
        <v>42.927326000000001</v>
      </c>
      <c r="H2206">
        <v>-72.279979999999995</v>
      </c>
      <c r="I2206">
        <v>477</v>
      </c>
      <c r="J2206">
        <v>78</v>
      </c>
      <c r="K2206">
        <v>0</v>
      </c>
      <c r="L2206" s="1">
        <v>44784.729884259257</v>
      </c>
      <c r="M2206">
        <v>1.1000000000000001</v>
      </c>
      <c r="N2206">
        <v>1</v>
      </c>
      <c r="O2206">
        <v>0.1</v>
      </c>
      <c r="P2206">
        <v>10</v>
      </c>
      <c r="Q2206">
        <v>0</v>
      </c>
      <c r="R2206">
        <v>0</v>
      </c>
      <c r="S2206">
        <v>0</v>
      </c>
      <c r="T2206" t="s">
        <v>32</v>
      </c>
      <c r="V2206">
        <v>22</v>
      </c>
      <c r="W2206">
        <v>0</v>
      </c>
      <c r="X2206">
        <v>22</v>
      </c>
      <c r="Y2206">
        <v>0</v>
      </c>
      <c r="Z2206">
        <v>0</v>
      </c>
      <c r="AA2206">
        <v>0</v>
      </c>
      <c r="AB2206" t="s">
        <v>36</v>
      </c>
      <c r="AC2206">
        <v>22</v>
      </c>
    </row>
    <row r="2207" spans="1:30" x14ac:dyDescent="0.25">
      <c r="A2207" s="1">
        <v>44784.736828703702</v>
      </c>
      <c r="B2207" s="1">
        <v>44775.701319444444</v>
      </c>
      <c r="C2207">
        <v>151708</v>
      </c>
      <c r="D2207" t="s">
        <v>30</v>
      </c>
      <c r="E2207" t="s">
        <v>31</v>
      </c>
      <c r="F2207">
        <v>7</v>
      </c>
      <c r="G2207">
        <v>43.192042999999998</v>
      </c>
      <c r="H2207">
        <v>-71.541579999999996</v>
      </c>
      <c r="I2207">
        <v>291</v>
      </c>
      <c r="J2207">
        <v>93</v>
      </c>
      <c r="K2207">
        <v>94</v>
      </c>
      <c r="L2207" s="1">
        <v>44784.736828703702</v>
      </c>
      <c r="M2207">
        <v>7.9</v>
      </c>
      <c r="N2207">
        <v>7.6</v>
      </c>
      <c r="O2207">
        <v>0.3</v>
      </c>
      <c r="P2207">
        <v>4</v>
      </c>
      <c r="Q2207">
        <v>0</v>
      </c>
      <c r="R2207">
        <v>0</v>
      </c>
      <c r="S2207">
        <v>0</v>
      </c>
      <c r="T2207" t="s">
        <v>32</v>
      </c>
      <c r="V2207">
        <v>42</v>
      </c>
      <c r="W2207">
        <v>41</v>
      </c>
      <c r="X2207">
        <v>1</v>
      </c>
      <c r="Y2207">
        <v>0</v>
      </c>
      <c r="Z2207">
        <v>0</v>
      </c>
      <c r="AA2207">
        <v>0</v>
      </c>
      <c r="AB2207" t="s">
        <v>33</v>
      </c>
      <c r="AC2207">
        <v>41.5</v>
      </c>
    </row>
    <row r="2208" spans="1:30" x14ac:dyDescent="0.25">
      <c r="A2208" s="1">
        <v>44784.736840277779</v>
      </c>
      <c r="B2208" s="1">
        <v>44784.735231481478</v>
      </c>
      <c r="C2208">
        <v>143456</v>
      </c>
      <c r="D2208" t="s">
        <v>34</v>
      </c>
      <c r="E2208" t="s">
        <v>35</v>
      </c>
      <c r="F2208">
        <v>7</v>
      </c>
      <c r="G2208">
        <v>43.08963</v>
      </c>
      <c r="H2208">
        <v>-71.502440000000007</v>
      </c>
      <c r="I2208">
        <v>619</v>
      </c>
      <c r="J2208">
        <v>83</v>
      </c>
      <c r="K2208">
        <v>0</v>
      </c>
      <c r="L2208" s="1">
        <v>44784.736828703702</v>
      </c>
      <c r="M2208">
        <v>2.9</v>
      </c>
      <c r="N2208">
        <v>3.5</v>
      </c>
      <c r="O2208">
        <v>0.6</v>
      </c>
      <c r="P2208">
        <v>19</v>
      </c>
      <c r="Q2208">
        <v>0</v>
      </c>
      <c r="R2208">
        <v>0.1</v>
      </c>
      <c r="S2208">
        <v>0.05</v>
      </c>
      <c r="T2208" t="s">
        <v>33</v>
      </c>
      <c r="U2208">
        <v>3.2</v>
      </c>
      <c r="V2208">
        <v>49</v>
      </c>
      <c r="W2208">
        <v>0</v>
      </c>
      <c r="X2208">
        <v>49</v>
      </c>
      <c r="Y2208">
        <v>2</v>
      </c>
      <c r="Z2208">
        <v>0</v>
      </c>
      <c r="AA2208">
        <v>2</v>
      </c>
      <c r="AB2208" t="s">
        <v>36</v>
      </c>
      <c r="AC2208">
        <v>49</v>
      </c>
      <c r="AD2208">
        <v>0.68</v>
      </c>
    </row>
    <row r="2209" spans="1:30" x14ac:dyDescent="0.25">
      <c r="A2209" s="1">
        <v>44784.736840277779</v>
      </c>
      <c r="B2209" s="1">
        <v>44784.735381944447</v>
      </c>
      <c r="C2209">
        <v>151702</v>
      </c>
      <c r="D2209" t="s">
        <v>37</v>
      </c>
      <c r="E2209" t="s">
        <v>31</v>
      </c>
      <c r="F2209">
        <v>7</v>
      </c>
      <c r="G2209">
        <v>43.118609999999997</v>
      </c>
      <c r="H2209">
        <v>-71.61618</v>
      </c>
      <c r="I2209">
        <v>885</v>
      </c>
      <c r="J2209">
        <v>0</v>
      </c>
      <c r="K2209">
        <v>0</v>
      </c>
      <c r="L2209" s="1">
        <v>44784.736828703702</v>
      </c>
      <c r="M2209">
        <v>3.4</v>
      </c>
      <c r="N2209">
        <v>3.5</v>
      </c>
      <c r="O2209">
        <v>0.1</v>
      </c>
      <c r="P2209">
        <v>3</v>
      </c>
      <c r="Q2209">
        <v>0.1</v>
      </c>
      <c r="R2209">
        <v>0.1</v>
      </c>
      <c r="S2209">
        <v>0.1</v>
      </c>
      <c r="T2209" t="s">
        <v>33</v>
      </c>
      <c r="U2209">
        <v>3.45</v>
      </c>
      <c r="V2209">
        <v>0</v>
      </c>
      <c r="W2209">
        <v>0</v>
      </c>
      <c r="X2209">
        <v>0</v>
      </c>
      <c r="Y2209">
        <v>0</v>
      </c>
      <c r="Z2209">
        <v>0</v>
      </c>
      <c r="AA2209">
        <v>0</v>
      </c>
      <c r="AB2209" t="s">
        <v>38</v>
      </c>
    </row>
    <row r="2210" spans="1:30" x14ac:dyDescent="0.25">
      <c r="A2210" s="1">
        <v>44784.736851851849</v>
      </c>
      <c r="B2210" s="1">
        <v>44784.735277777778</v>
      </c>
      <c r="C2210">
        <v>151700</v>
      </c>
      <c r="D2210" t="s">
        <v>30</v>
      </c>
      <c r="E2210" t="s">
        <v>31</v>
      </c>
      <c r="F2210">
        <v>7</v>
      </c>
      <c r="G2210">
        <v>43.19211</v>
      </c>
      <c r="H2210">
        <v>-71.541460000000001</v>
      </c>
      <c r="I2210">
        <v>286</v>
      </c>
      <c r="J2210">
        <v>85</v>
      </c>
      <c r="K2210">
        <v>0</v>
      </c>
      <c r="L2210" s="1">
        <v>44784.736828703702</v>
      </c>
      <c r="M2210">
        <v>2.7</v>
      </c>
      <c r="N2210">
        <v>3.1</v>
      </c>
      <c r="O2210">
        <v>0.4</v>
      </c>
      <c r="P2210">
        <v>14</v>
      </c>
      <c r="Q2210">
        <v>0.1</v>
      </c>
      <c r="R2210">
        <v>0.1</v>
      </c>
      <c r="S2210">
        <v>0.1</v>
      </c>
      <c r="T2210" t="s">
        <v>33</v>
      </c>
      <c r="U2210">
        <v>2.9</v>
      </c>
      <c r="V2210">
        <v>42</v>
      </c>
      <c r="W2210">
        <v>0</v>
      </c>
      <c r="X2210">
        <v>42</v>
      </c>
      <c r="Y2210">
        <v>1</v>
      </c>
      <c r="Z2210">
        <v>0</v>
      </c>
      <c r="AA2210">
        <v>1</v>
      </c>
      <c r="AB2210" t="s">
        <v>36</v>
      </c>
      <c r="AC2210">
        <v>42</v>
      </c>
      <c r="AD2210">
        <v>0.99</v>
      </c>
    </row>
    <row r="2211" spans="1:30" x14ac:dyDescent="0.25">
      <c r="A2211" s="1">
        <v>44784.736851851849</v>
      </c>
      <c r="B2211" s="1">
        <v>44784.735717592594</v>
      </c>
      <c r="C2211">
        <v>135984</v>
      </c>
      <c r="D2211" t="s">
        <v>39</v>
      </c>
      <c r="E2211" t="s">
        <v>31</v>
      </c>
      <c r="F2211">
        <v>7</v>
      </c>
      <c r="G2211">
        <v>43.565852999999997</v>
      </c>
      <c r="H2211">
        <v>-71.496129999999994</v>
      </c>
      <c r="I2211">
        <v>708</v>
      </c>
      <c r="J2211">
        <v>83</v>
      </c>
      <c r="K2211">
        <v>0</v>
      </c>
      <c r="L2211" s="1">
        <v>44784.736828703702</v>
      </c>
      <c r="M2211">
        <v>4.0999999999999996</v>
      </c>
      <c r="N2211">
        <v>3.8</v>
      </c>
      <c r="O2211">
        <v>0.3</v>
      </c>
      <c r="P2211">
        <v>8</v>
      </c>
      <c r="Q2211">
        <v>0.1</v>
      </c>
      <c r="R2211">
        <v>0.1</v>
      </c>
      <c r="S2211">
        <v>0.1</v>
      </c>
      <c r="T2211" t="s">
        <v>33</v>
      </c>
      <c r="U2211">
        <v>3.95</v>
      </c>
      <c r="V2211">
        <v>55</v>
      </c>
      <c r="W2211">
        <v>0</v>
      </c>
      <c r="X2211">
        <v>55</v>
      </c>
      <c r="Y2211">
        <v>1</v>
      </c>
      <c r="Z2211">
        <v>0</v>
      </c>
      <c r="AA2211">
        <v>1</v>
      </c>
      <c r="AB2211" t="s">
        <v>36</v>
      </c>
      <c r="AC2211">
        <v>55</v>
      </c>
      <c r="AD2211">
        <v>0.72</v>
      </c>
    </row>
    <row r="2212" spans="1:30" x14ac:dyDescent="0.25">
      <c r="A2212" s="1">
        <v>44784.736863425926</v>
      </c>
      <c r="B2212" s="1">
        <v>44780.394780092596</v>
      </c>
      <c r="C2212">
        <v>151712</v>
      </c>
      <c r="D2212" t="s">
        <v>40</v>
      </c>
      <c r="E2212" t="s">
        <v>31</v>
      </c>
      <c r="F2212">
        <v>7</v>
      </c>
      <c r="G2212">
        <v>43.289763999999998</v>
      </c>
      <c r="H2212">
        <v>-71.564260000000004</v>
      </c>
      <c r="I2212">
        <v>370</v>
      </c>
      <c r="J2212">
        <v>86</v>
      </c>
      <c r="K2212">
        <v>0</v>
      </c>
      <c r="L2212" s="1">
        <v>44784.736828703702</v>
      </c>
      <c r="M2212">
        <v>14</v>
      </c>
      <c r="N2212">
        <v>13.2</v>
      </c>
      <c r="O2212">
        <v>0.8</v>
      </c>
      <c r="P2212">
        <v>6</v>
      </c>
      <c r="Q2212">
        <v>0</v>
      </c>
      <c r="R2212">
        <v>0</v>
      </c>
      <c r="S2212">
        <v>0</v>
      </c>
      <c r="T2212" t="s">
        <v>32</v>
      </c>
      <c r="V2212">
        <v>59</v>
      </c>
      <c r="W2212">
        <v>0</v>
      </c>
      <c r="X2212">
        <v>59</v>
      </c>
      <c r="Y2212">
        <v>0</v>
      </c>
      <c r="Z2212">
        <v>0</v>
      </c>
      <c r="AA2212">
        <v>0</v>
      </c>
      <c r="AB2212" t="s">
        <v>36</v>
      </c>
      <c r="AC2212">
        <v>59</v>
      </c>
    </row>
    <row r="2213" spans="1:30" x14ac:dyDescent="0.25">
      <c r="A2213" s="1">
        <v>44784.736863425926</v>
      </c>
      <c r="B2213" s="1">
        <v>44784.735034722224</v>
      </c>
      <c r="C2213">
        <v>151710</v>
      </c>
      <c r="D2213" t="s">
        <v>41</v>
      </c>
      <c r="E2213" t="s">
        <v>31</v>
      </c>
      <c r="F2213">
        <v>7</v>
      </c>
      <c r="G2213">
        <v>43.132477000000002</v>
      </c>
      <c r="H2213">
        <v>-71.458374000000006</v>
      </c>
      <c r="I2213">
        <v>230</v>
      </c>
      <c r="J2213">
        <v>89</v>
      </c>
      <c r="K2213">
        <v>0</v>
      </c>
      <c r="L2213" s="1">
        <v>44784.736828703702</v>
      </c>
      <c r="M2213">
        <v>5.6</v>
      </c>
      <c r="N2213">
        <v>3.9</v>
      </c>
      <c r="O2213">
        <v>1.7</v>
      </c>
      <c r="P2213">
        <v>36</v>
      </c>
      <c r="Q2213">
        <v>0.2</v>
      </c>
      <c r="R2213">
        <v>0</v>
      </c>
      <c r="S2213">
        <v>0.1</v>
      </c>
      <c r="T2213" t="s">
        <v>33</v>
      </c>
      <c r="U2213">
        <v>4.75</v>
      </c>
      <c r="V2213">
        <v>36</v>
      </c>
      <c r="W2213">
        <v>0</v>
      </c>
      <c r="X2213">
        <v>36</v>
      </c>
      <c r="Y2213">
        <v>2</v>
      </c>
      <c r="Z2213">
        <v>0</v>
      </c>
      <c r="AA2213">
        <v>2</v>
      </c>
      <c r="AB2213" t="s">
        <v>36</v>
      </c>
      <c r="AC2213">
        <v>36</v>
      </c>
      <c r="AD2213">
        <v>2.54</v>
      </c>
    </row>
    <row r="2214" spans="1:30" x14ac:dyDescent="0.25">
      <c r="A2214" s="1">
        <v>44784.736863425926</v>
      </c>
      <c r="B2214" s="1">
        <v>44784.73605324074</v>
      </c>
      <c r="C2214">
        <v>151706</v>
      </c>
      <c r="D2214" t="s">
        <v>42</v>
      </c>
      <c r="E2214" t="s">
        <v>31</v>
      </c>
      <c r="F2214">
        <v>7</v>
      </c>
      <c r="G2214">
        <v>43.004080000000002</v>
      </c>
      <c r="H2214">
        <v>-71.177040000000005</v>
      </c>
      <c r="I2214">
        <v>194</v>
      </c>
      <c r="J2214">
        <v>84</v>
      </c>
      <c r="K2214">
        <v>0</v>
      </c>
      <c r="L2214" s="1">
        <v>44784.736828703702</v>
      </c>
      <c r="M2214">
        <v>9.9</v>
      </c>
      <c r="N2214">
        <v>0</v>
      </c>
      <c r="O2214">
        <v>9.9</v>
      </c>
      <c r="P2214">
        <v>200</v>
      </c>
      <c r="Q2214">
        <v>0.2</v>
      </c>
      <c r="R2214">
        <v>0</v>
      </c>
      <c r="S2214">
        <v>0.1</v>
      </c>
      <c r="T2214" t="s">
        <v>43</v>
      </c>
      <c r="V2214">
        <v>49</v>
      </c>
      <c r="W2214">
        <v>0</v>
      </c>
      <c r="X2214">
        <v>49</v>
      </c>
      <c r="Y2214">
        <v>0</v>
      </c>
      <c r="Z2214">
        <v>0</v>
      </c>
      <c r="AA2214">
        <v>0</v>
      </c>
      <c r="AB2214" t="s">
        <v>36</v>
      </c>
      <c r="AC2214">
        <v>49</v>
      </c>
    </row>
    <row r="2215" spans="1:30" x14ac:dyDescent="0.25">
      <c r="A2215" s="1">
        <v>44784.736875000002</v>
      </c>
      <c r="B2215" s="1">
        <v>44784.735856481479</v>
      </c>
      <c r="C2215">
        <v>12212</v>
      </c>
      <c r="D2215" t="s">
        <v>44</v>
      </c>
      <c r="E2215" t="s">
        <v>35</v>
      </c>
      <c r="F2215">
        <v>7</v>
      </c>
      <c r="G2215">
        <v>42.930529999999997</v>
      </c>
      <c r="H2215">
        <v>-72.272350000000003</v>
      </c>
      <c r="I2215">
        <v>476</v>
      </c>
      <c r="J2215">
        <v>94</v>
      </c>
      <c r="K2215">
        <v>0</v>
      </c>
      <c r="L2215" s="1">
        <v>44784.736828703702</v>
      </c>
      <c r="M2215">
        <v>5.3</v>
      </c>
      <c r="N2215">
        <v>4.7</v>
      </c>
      <c r="O2215">
        <v>0.6</v>
      </c>
      <c r="P2215">
        <v>12</v>
      </c>
      <c r="Q2215">
        <v>0.2</v>
      </c>
      <c r="R2215">
        <v>0.3</v>
      </c>
      <c r="S2215">
        <v>0.25</v>
      </c>
      <c r="T2215" t="s">
        <v>33</v>
      </c>
      <c r="U2215">
        <v>5</v>
      </c>
      <c r="V2215">
        <v>28</v>
      </c>
      <c r="W2215">
        <v>0</v>
      </c>
      <c r="X2215">
        <v>28</v>
      </c>
      <c r="Y2215">
        <v>0</v>
      </c>
      <c r="Z2215">
        <v>0</v>
      </c>
      <c r="AA2215">
        <v>0</v>
      </c>
      <c r="AB2215" t="s">
        <v>36</v>
      </c>
      <c r="AC2215">
        <v>28</v>
      </c>
      <c r="AD2215">
        <v>3.25</v>
      </c>
    </row>
    <row r="2216" spans="1:30" x14ac:dyDescent="0.25">
      <c r="A2216" s="1">
        <v>44784.736875000002</v>
      </c>
      <c r="B2216" s="1">
        <v>44769.376736111109</v>
      </c>
      <c r="C2216">
        <v>12178</v>
      </c>
      <c r="D2216" t="s">
        <v>45</v>
      </c>
      <c r="E2216" t="s">
        <v>35</v>
      </c>
      <c r="F2216">
        <v>7</v>
      </c>
      <c r="G2216">
        <v>42.899563000000001</v>
      </c>
      <c r="H2216">
        <v>-71.464650000000006</v>
      </c>
      <c r="I2216">
        <v>301</v>
      </c>
      <c r="J2216">
        <v>85</v>
      </c>
      <c r="K2216">
        <v>0</v>
      </c>
      <c r="L2216" s="1">
        <v>44784.736828703702</v>
      </c>
      <c r="M2216">
        <v>3.8</v>
      </c>
      <c r="N2216">
        <v>3.1</v>
      </c>
      <c r="O2216">
        <v>0.7</v>
      </c>
      <c r="P2216">
        <v>20</v>
      </c>
      <c r="Q2216">
        <v>0</v>
      </c>
      <c r="R2216">
        <v>0</v>
      </c>
      <c r="S2216">
        <v>0</v>
      </c>
      <c r="T2216" t="s">
        <v>32</v>
      </c>
      <c r="V2216">
        <v>35</v>
      </c>
      <c r="W2216">
        <v>0</v>
      </c>
      <c r="X2216">
        <v>35</v>
      </c>
      <c r="Y2216">
        <v>0</v>
      </c>
      <c r="Z2216">
        <v>0</v>
      </c>
      <c r="AA2216">
        <v>0</v>
      </c>
      <c r="AB2216" t="s">
        <v>36</v>
      </c>
      <c r="AC2216">
        <v>35</v>
      </c>
    </row>
    <row r="2217" spans="1:30" x14ac:dyDescent="0.25">
      <c r="A2217" s="1">
        <v>44784.736886574072</v>
      </c>
      <c r="B2217" s="1">
        <v>44784.735127314816</v>
      </c>
      <c r="C2217">
        <v>75981</v>
      </c>
      <c r="D2217" t="s">
        <v>46</v>
      </c>
      <c r="E2217" t="s">
        <v>35</v>
      </c>
      <c r="F2217">
        <v>7</v>
      </c>
      <c r="G2217">
        <v>42.97</v>
      </c>
      <c r="H2217">
        <v>-71.06</v>
      </c>
      <c r="I2217">
        <v>136</v>
      </c>
      <c r="J2217">
        <v>93</v>
      </c>
      <c r="K2217">
        <v>0</v>
      </c>
      <c r="L2217" s="1">
        <v>44784.736828703702</v>
      </c>
      <c r="M2217">
        <v>11</v>
      </c>
      <c r="N2217">
        <v>10.199999999999999</v>
      </c>
      <c r="O2217">
        <v>0.8</v>
      </c>
      <c r="P2217">
        <v>8</v>
      </c>
      <c r="Q2217">
        <v>0.3</v>
      </c>
      <c r="R2217">
        <v>0.4</v>
      </c>
      <c r="S2217">
        <v>0.35</v>
      </c>
      <c r="T2217" t="s">
        <v>33</v>
      </c>
      <c r="U2217">
        <v>10.6</v>
      </c>
      <c r="V2217">
        <v>41</v>
      </c>
      <c r="W2217">
        <v>0</v>
      </c>
      <c r="X2217">
        <v>41</v>
      </c>
      <c r="Y2217">
        <v>0</v>
      </c>
      <c r="Z2217">
        <v>0</v>
      </c>
      <c r="AA2217">
        <v>0</v>
      </c>
      <c r="AB2217" t="s">
        <v>36</v>
      </c>
      <c r="AC2217">
        <v>41</v>
      </c>
      <c r="AD2217">
        <v>5.76</v>
      </c>
    </row>
    <row r="2218" spans="1:30" x14ac:dyDescent="0.25">
      <c r="A2218" s="1">
        <v>44784.736886574072</v>
      </c>
      <c r="B2218" s="1">
        <v>44784.735671296294</v>
      </c>
      <c r="C2218">
        <v>115703</v>
      </c>
      <c r="D2218" t="s">
        <v>47</v>
      </c>
      <c r="E2218" t="s">
        <v>35</v>
      </c>
      <c r="F2218">
        <v>7</v>
      </c>
      <c r="G2218">
        <v>43.953625000000002</v>
      </c>
      <c r="H2218">
        <v>-71.508859999999999</v>
      </c>
      <c r="I2218">
        <v>1493</v>
      </c>
      <c r="J2218">
        <v>91</v>
      </c>
      <c r="K2218">
        <v>0</v>
      </c>
      <c r="L2218" s="1">
        <v>44784.736828703702</v>
      </c>
      <c r="M2218">
        <v>0.1</v>
      </c>
      <c r="N2218">
        <v>203.1</v>
      </c>
      <c r="O2218">
        <v>203</v>
      </c>
      <c r="P2218">
        <v>200</v>
      </c>
      <c r="Q2218">
        <v>0.1</v>
      </c>
      <c r="R2218">
        <v>0</v>
      </c>
      <c r="S2218">
        <v>0.05</v>
      </c>
      <c r="T2218" t="s">
        <v>60</v>
      </c>
      <c r="V2218">
        <v>32</v>
      </c>
      <c r="W2218">
        <v>0</v>
      </c>
      <c r="X2218">
        <v>32</v>
      </c>
      <c r="Y2218">
        <v>1</v>
      </c>
      <c r="Z2218">
        <v>0</v>
      </c>
      <c r="AA2218">
        <v>1</v>
      </c>
      <c r="AB2218" t="s">
        <v>36</v>
      </c>
      <c r="AC2218">
        <v>32</v>
      </c>
    </row>
    <row r="2219" spans="1:30" x14ac:dyDescent="0.25">
      <c r="A2219" s="1">
        <v>44784.736886574072</v>
      </c>
      <c r="B2219" s="1">
        <v>44784.735081018516</v>
      </c>
      <c r="C2219">
        <v>12050</v>
      </c>
      <c r="D2219" t="s">
        <v>49</v>
      </c>
      <c r="E2219" t="s">
        <v>35</v>
      </c>
      <c r="F2219">
        <v>7</v>
      </c>
      <c r="G2219">
        <v>44.220573000000002</v>
      </c>
      <c r="H2219">
        <v>-71.732315</v>
      </c>
      <c r="I2219">
        <v>999</v>
      </c>
      <c r="J2219">
        <v>87</v>
      </c>
      <c r="K2219">
        <v>0</v>
      </c>
      <c r="L2219" s="1">
        <v>44784.736828703702</v>
      </c>
      <c r="M2219">
        <v>3.6</v>
      </c>
      <c r="N2219">
        <v>3.3</v>
      </c>
      <c r="O2219">
        <v>0.3</v>
      </c>
      <c r="P2219">
        <v>9</v>
      </c>
      <c r="Q2219">
        <v>0</v>
      </c>
      <c r="R2219">
        <v>0.2</v>
      </c>
      <c r="S2219">
        <v>0.1</v>
      </c>
      <c r="T2219" t="s">
        <v>33</v>
      </c>
      <c r="U2219">
        <v>3.45</v>
      </c>
      <c r="V2219">
        <v>36</v>
      </c>
      <c r="W2219">
        <v>0</v>
      </c>
      <c r="X2219">
        <v>36</v>
      </c>
      <c r="Y2219">
        <v>1</v>
      </c>
      <c r="Z2219">
        <v>0</v>
      </c>
      <c r="AA2219">
        <v>1</v>
      </c>
      <c r="AB2219" t="s">
        <v>36</v>
      </c>
      <c r="AC2219">
        <v>36</v>
      </c>
      <c r="AD2219">
        <v>1.74</v>
      </c>
    </row>
    <row r="2220" spans="1:30" x14ac:dyDescent="0.25">
      <c r="A2220" s="1">
        <v>44784.736898148149</v>
      </c>
      <c r="B2220" s="1">
        <v>44784.735196759262</v>
      </c>
      <c r="C2220">
        <v>23443</v>
      </c>
      <c r="D2220" t="s">
        <v>50</v>
      </c>
      <c r="E2220" t="s">
        <v>35</v>
      </c>
      <c r="F2220">
        <v>7</v>
      </c>
      <c r="G2220">
        <v>43.556139999999999</v>
      </c>
      <c r="H2220">
        <v>-72.370990000000006</v>
      </c>
      <c r="I2220">
        <v>523</v>
      </c>
      <c r="J2220">
        <v>91</v>
      </c>
      <c r="K2220">
        <v>0</v>
      </c>
      <c r="L2220" s="1">
        <v>44784.736828703702</v>
      </c>
      <c r="M2220">
        <v>3.7</v>
      </c>
      <c r="N2220">
        <v>3.3</v>
      </c>
      <c r="O2220">
        <v>0.4</v>
      </c>
      <c r="P2220">
        <v>11</v>
      </c>
      <c r="Q2220">
        <v>0.1</v>
      </c>
      <c r="R2220">
        <v>0.2</v>
      </c>
      <c r="S2220">
        <v>0.15</v>
      </c>
      <c r="T2220" t="s">
        <v>33</v>
      </c>
      <c r="U2220">
        <v>3.5</v>
      </c>
      <c r="V2220">
        <v>31</v>
      </c>
      <c r="W2220">
        <v>0</v>
      </c>
      <c r="X2220">
        <v>31</v>
      </c>
      <c r="Y2220">
        <v>1</v>
      </c>
      <c r="Z2220">
        <v>0</v>
      </c>
      <c r="AA2220">
        <v>1</v>
      </c>
      <c r="AB2220" t="s">
        <v>36</v>
      </c>
      <c r="AC2220">
        <v>31</v>
      </c>
      <c r="AD2220">
        <v>2.12</v>
      </c>
    </row>
    <row r="2221" spans="1:30" x14ac:dyDescent="0.25">
      <c r="A2221" s="1">
        <v>44784.736898148149</v>
      </c>
      <c r="B2221" s="1">
        <v>44784.735335648147</v>
      </c>
      <c r="C2221">
        <v>58135</v>
      </c>
      <c r="D2221" t="s">
        <v>51</v>
      </c>
      <c r="E2221" t="s">
        <v>35</v>
      </c>
      <c r="F2221">
        <v>7</v>
      </c>
      <c r="G2221">
        <v>42.883873000000001</v>
      </c>
      <c r="H2221">
        <v>-71.972915999999998</v>
      </c>
      <c r="I2221">
        <v>808</v>
      </c>
      <c r="J2221">
        <v>88</v>
      </c>
      <c r="K2221">
        <v>0</v>
      </c>
      <c r="L2221" s="1">
        <v>44784.736828703702</v>
      </c>
      <c r="M2221">
        <v>5</v>
      </c>
      <c r="N2221">
        <v>3.2</v>
      </c>
      <c r="O2221">
        <v>1.8</v>
      </c>
      <c r="P2221">
        <v>44</v>
      </c>
      <c r="Q2221">
        <v>0</v>
      </c>
      <c r="R2221">
        <v>0.1</v>
      </c>
      <c r="S2221">
        <v>0.05</v>
      </c>
      <c r="T2221" t="s">
        <v>33</v>
      </c>
      <c r="U2221">
        <v>4.0999999999999996</v>
      </c>
      <c r="V2221">
        <v>35</v>
      </c>
      <c r="W2221">
        <v>0</v>
      </c>
      <c r="X2221">
        <v>35</v>
      </c>
      <c r="Y2221">
        <v>0</v>
      </c>
      <c r="Z2221">
        <v>0</v>
      </c>
      <c r="AA2221">
        <v>0</v>
      </c>
      <c r="AB2221" t="s">
        <v>36</v>
      </c>
      <c r="AC2221">
        <v>35</v>
      </c>
      <c r="AD2221">
        <v>2.21</v>
      </c>
    </row>
    <row r="2222" spans="1:30" x14ac:dyDescent="0.25">
      <c r="A2222" s="1">
        <v>44784.736909722225</v>
      </c>
      <c r="B2222" s="1">
        <v>44784.735300925924</v>
      </c>
      <c r="C2222">
        <v>148555</v>
      </c>
      <c r="D2222" t="s">
        <v>52</v>
      </c>
      <c r="E2222" t="s">
        <v>53</v>
      </c>
      <c r="F2222">
        <v>7</v>
      </c>
      <c r="G2222">
        <v>42.904949999999999</v>
      </c>
      <c r="H2222">
        <v>-71.386764999999997</v>
      </c>
      <c r="I2222">
        <v>363</v>
      </c>
      <c r="J2222">
        <v>0</v>
      </c>
      <c r="K2222">
        <v>0</v>
      </c>
      <c r="L2222" s="1">
        <v>44784.736828703702</v>
      </c>
      <c r="M2222">
        <v>1.7</v>
      </c>
      <c r="N2222">
        <v>2.2000000000000002</v>
      </c>
      <c r="O2222">
        <v>0.5</v>
      </c>
      <c r="P2222">
        <v>26</v>
      </c>
      <c r="Q2222">
        <v>0</v>
      </c>
      <c r="R2222">
        <v>0.1</v>
      </c>
      <c r="S2222">
        <v>0.05</v>
      </c>
      <c r="T2222" t="s">
        <v>33</v>
      </c>
      <c r="U2222">
        <v>1.95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 t="s">
        <v>38</v>
      </c>
    </row>
    <row r="2223" spans="1:30" x14ac:dyDescent="0.25">
      <c r="A2223" s="1">
        <v>44784.736909722225</v>
      </c>
      <c r="B2223" s="1">
        <v>44784.736192129632</v>
      </c>
      <c r="C2223">
        <v>146644</v>
      </c>
      <c r="D2223" t="s">
        <v>54</v>
      </c>
      <c r="E2223" t="s">
        <v>53</v>
      </c>
      <c r="F2223">
        <v>7</v>
      </c>
      <c r="G2223">
        <v>43.06015</v>
      </c>
      <c r="H2223">
        <v>-70.758930000000007</v>
      </c>
      <c r="I2223">
        <v>35</v>
      </c>
      <c r="J2223">
        <v>78</v>
      </c>
      <c r="K2223">
        <v>80</v>
      </c>
      <c r="L2223" s="1">
        <v>44784.736828703702</v>
      </c>
      <c r="M2223">
        <v>12</v>
      </c>
      <c r="N2223">
        <v>10.8</v>
      </c>
      <c r="O2223">
        <v>1.2</v>
      </c>
      <c r="P2223">
        <v>11</v>
      </c>
      <c r="Q2223">
        <v>0.3</v>
      </c>
      <c r="R2223">
        <v>0.3</v>
      </c>
      <c r="S2223">
        <v>0.3</v>
      </c>
      <c r="T2223" t="s">
        <v>33</v>
      </c>
      <c r="U2223">
        <v>11.4</v>
      </c>
      <c r="V2223">
        <v>58</v>
      </c>
      <c r="W2223">
        <v>63</v>
      </c>
      <c r="X2223">
        <v>5</v>
      </c>
      <c r="Y2223">
        <v>1</v>
      </c>
      <c r="Z2223">
        <v>1</v>
      </c>
      <c r="AA2223">
        <v>0</v>
      </c>
      <c r="AB2223" t="s">
        <v>33</v>
      </c>
      <c r="AC2223">
        <v>60.5</v>
      </c>
      <c r="AD2223">
        <v>4.88</v>
      </c>
    </row>
    <row r="2224" spans="1:30" x14ac:dyDescent="0.25">
      <c r="A2224" s="1">
        <v>44784.736909722225</v>
      </c>
      <c r="B2224" s="1">
        <v>43755.283437500002</v>
      </c>
      <c r="C2224">
        <v>12188</v>
      </c>
      <c r="D2224" t="s">
        <v>55</v>
      </c>
      <c r="E2224" t="s">
        <v>35</v>
      </c>
      <c r="F2224">
        <v>4.1100000000000003</v>
      </c>
      <c r="G2224">
        <v>42.927050000000001</v>
      </c>
      <c r="H2224">
        <v>-72.279610000000005</v>
      </c>
      <c r="I2224">
        <v>475</v>
      </c>
      <c r="J2224">
        <v>95</v>
      </c>
      <c r="K2224">
        <v>0</v>
      </c>
      <c r="L2224" s="1">
        <v>44784.736828703702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 t="s">
        <v>32</v>
      </c>
      <c r="V2224">
        <v>77</v>
      </c>
      <c r="W2224">
        <v>0</v>
      </c>
      <c r="X2224">
        <v>77</v>
      </c>
      <c r="Y2224">
        <v>0</v>
      </c>
      <c r="Z2224">
        <v>0</v>
      </c>
      <c r="AA2224">
        <v>0</v>
      </c>
      <c r="AB2224" t="s">
        <v>36</v>
      </c>
      <c r="AC2224">
        <v>77</v>
      </c>
    </row>
    <row r="2225" spans="1:30" x14ac:dyDescent="0.25">
      <c r="A2225" s="1">
        <v>44784.736921296295</v>
      </c>
      <c r="B2225" s="1">
        <v>44784.735196759262</v>
      </c>
      <c r="C2225">
        <v>1224</v>
      </c>
      <c r="D2225" t="s">
        <v>56</v>
      </c>
      <c r="E2225" t="s">
        <v>35</v>
      </c>
      <c r="F2225" t="s">
        <v>57</v>
      </c>
      <c r="G2225">
        <v>42.938034000000002</v>
      </c>
      <c r="H2225">
        <v>-72.259299999999996</v>
      </c>
      <c r="I2225">
        <v>792</v>
      </c>
      <c r="J2225">
        <v>92</v>
      </c>
      <c r="K2225">
        <v>0</v>
      </c>
      <c r="L2225" s="1">
        <v>44784.736828703702</v>
      </c>
      <c r="M2225">
        <v>5.2</v>
      </c>
      <c r="N2225">
        <v>0.1</v>
      </c>
      <c r="O2225">
        <v>5.0999999999999996</v>
      </c>
      <c r="P2225">
        <v>192</v>
      </c>
      <c r="Q2225">
        <v>0.1</v>
      </c>
      <c r="R2225">
        <v>0.1</v>
      </c>
      <c r="S2225">
        <v>0.1</v>
      </c>
      <c r="T2225" t="s">
        <v>33</v>
      </c>
      <c r="U2225">
        <v>2.65</v>
      </c>
      <c r="V2225">
        <v>36</v>
      </c>
      <c r="W2225">
        <v>0</v>
      </c>
      <c r="X2225">
        <v>36</v>
      </c>
      <c r="Y2225">
        <v>0</v>
      </c>
      <c r="Z2225">
        <v>0</v>
      </c>
      <c r="AA2225">
        <v>0</v>
      </c>
      <c r="AB2225" t="s">
        <v>36</v>
      </c>
      <c r="AC2225">
        <v>36</v>
      </c>
      <c r="AD2225">
        <v>1.26</v>
      </c>
    </row>
    <row r="2226" spans="1:30" x14ac:dyDescent="0.25">
      <c r="A2226" s="1">
        <v>44784.736921296295</v>
      </c>
      <c r="B2226" s="1">
        <v>44784.736018518517</v>
      </c>
      <c r="C2226">
        <v>1202</v>
      </c>
      <c r="D2226" t="s">
        <v>58</v>
      </c>
      <c r="E2226" t="s">
        <v>35</v>
      </c>
      <c r="F2226" t="s">
        <v>57</v>
      </c>
      <c r="G2226">
        <v>42.936554000000001</v>
      </c>
      <c r="H2226">
        <v>-72.271019999999993</v>
      </c>
      <c r="I2226">
        <v>488</v>
      </c>
      <c r="J2226">
        <v>0</v>
      </c>
      <c r="K2226">
        <v>0</v>
      </c>
      <c r="L2226" s="1">
        <v>44784.736828703702</v>
      </c>
      <c r="M2226">
        <v>5.9</v>
      </c>
      <c r="N2226">
        <v>5.3</v>
      </c>
      <c r="O2226">
        <v>0.6</v>
      </c>
      <c r="P2226">
        <v>11</v>
      </c>
      <c r="Q2226">
        <v>0.2</v>
      </c>
      <c r="R2226">
        <v>0.2</v>
      </c>
      <c r="S2226">
        <v>0.2</v>
      </c>
      <c r="T2226" t="s">
        <v>33</v>
      </c>
      <c r="U2226">
        <v>5.6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 t="s">
        <v>38</v>
      </c>
    </row>
    <row r="2227" spans="1:30" x14ac:dyDescent="0.25">
      <c r="A2227" s="1">
        <v>44784.736932870372</v>
      </c>
      <c r="B2227" s="1">
        <v>44612.080023148148</v>
      </c>
      <c r="C2227">
        <v>25985</v>
      </c>
      <c r="D2227" t="s">
        <v>59</v>
      </c>
      <c r="E2227" t="s">
        <v>35</v>
      </c>
      <c r="F2227">
        <v>6.01</v>
      </c>
      <c r="G2227">
        <v>42.927326000000001</v>
      </c>
      <c r="H2227">
        <v>-72.279979999999995</v>
      </c>
      <c r="I2227">
        <v>477</v>
      </c>
      <c r="J2227">
        <v>78</v>
      </c>
      <c r="K2227">
        <v>0</v>
      </c>
      <c r="L2227" s="1">
        <v>44784.736828703702</v>
      </c>
      <c r="M2227">
        <v>1.1000000000000001</v>
      </c>
      <c r="N2227">
        <v>1</v>
      </c>
      <c r="O2227">
        <v>0.1</v>
      </c>
      <c r="P2227">
        <v>10</v>
      </c>
      <c r="Q2227">
        <v>0</v>
      </c>
      <c r="R2227">
        <v>0</v>
      </c>
      <c r="S2227">
        <v>0</v>
      </c>
      <c r="T2227" t="s">
        <v>32</v>
      </c>
      <c r="V2227">
        <v>22</v>
      </c>
      <c r="W2227">
        <v>0</v>
      </c>
      <c r="X2227">
        <v>22</v>
      </c>
      <c r="Y2227">
        <v>0</v>
      </c>
      <c r="Z2227">
        <v>0</v>
      </c>
      <c r="AA2227">
        <v>0</v>
      </c>
      <c r="AB2227" t="s">
        <v>36</v>
      </c>
      <c r="AC2227">
        <v>22</v>
      </c>
    </row>
    <row r="2228" spans="1:30" x14ac:dyDescent="0.25">
      <c r="A2228" s="1">
        <v>44784.743773148148</v>
      </c>
      <c r="B2228" s="1">
        <v>44775.701319444444</v>
      </c>
      <c r="C2228">
        <v>151708</v>
      </c>
      <c r="D2228" t="s">
        <v>30</v>
      </c>
      <c r="E2228" t="s">
        <v>31</v>
      </c>
      <c r="F2228">
        <v>7</v>
      </c>
      <c r="G2228">
        <v>43.192042999999998</v>
      </c>
      <c r="H2228">
        <v>-71.541579999999996</v>
      </c>
      <c r="I2228">
        <v>291</v>
      </c>
      <c r="J2228">
        <v>93</v>
      </c>
      <c r="K2228">
        <v>94</v>
      </c>
      <c r="L2228" s="1">
        <v>44784.743773148148</v>
      </c>
      <c r="M2228">
        <v>7.9</v>
      </c>
      <c r="N2228">
        <v>7.6</v>
      </c>
      <c r="O2228">
        <v>0.3</v>
      </c>
      <c r="P2228">
        <v>4</v>
      </c>
      <c r="Q2228">
        <v>0</v>
      </c>
      <c r="R2228">
        <v>0</v>
      </c>
      <c r="S2228">
        <v>0</v>
      </c>
      <c r="T2228" t="s">
        <v>32</v>
      </c>
      <c r="V2228">
        <v>42</v>
      </c>
      <c r="W2228">
        <v>41</v>
      </c>
      <c r="X2228">
        <v>1</v>
      </c>
      <c r="Y2228">
        <v>0</v>
      </c>
      <c r="Z2228">
        <v>0</v>
      </c>
      <c r="AA2228">
        <v>0</v>
      </c>
      <c r="AB2228" t="s">
        <v>33</v>
      </c>
      <c r="AC2228">
        <v>41.5</v>
      </c>
    </row>
    <row r="2229" spans="1:30" x14ac:dyDescent="0.25">
      <c r="A2229" s="1">
        <v>44784.743784722225</v>
      </c>
      <c r="B2229" s="1">
        <v>44784.742175925923</v>
      </c>
      <c r="C2229">
        <v>143456</v>
      </c>
      <c r="D2229" t="s">
        <v>34</v>
      </c>
      <c r="E2229" t="s">
        <v>35</v>
      </c>
      <c r="F2229">
        <v>7</v>
      </c>
      <c r="G2229">
        <v>43.08963</v>
      </c>
      <c r="H2229">
        <v>-71.502440000000007</v>
      </c>
      <c r="I2229">
        <v>619</v>
      </c>
      <c r="J2229">
        <v>84</v>
      </c>
      <c r="K2229">
        <v>0</v>
      </c>
      <c r="L2229" s="1">
        <v>44784.743773148148</v>
      </c>
      <c r="M2229">
        <v>3</v>
      </c>
      <c r="N2229">
        <v>3.4</v>
      </c>
      <c r="O2229">
        <v>0.4</v>
      </c>
      <c r="P2229">
        <v>12</v>
      </c>
      <c r="Q2229">
        <v>0.1</v>
      </c>
      <c r="R2229">
        <v>0.1</v>
      </c>
      <c r="S2229">
        <v>0.1</v>
      </c>
      <c r="T2229" t="s">
        <v>33</v>
      </c>
      <c r="U2229">
        <v>3.2</v>
      </c>
      <c r="V2229">
        <v>49</v>
      </c>
      <c r="W2229">
        <v>0</v>
      </c>
      <c r="X2229">
        <v>49</v>
      </c>
      <c r="Y2229">
        <v>0</v>
      </c>
      <c r="Z2229">
        <v>0</v>
      </c>
      <c r="AA2229">
        <v>0</v>
      </c>
      <c r="AB2229" t="s">
        <v>36</v>
      </c>
      <c r="AC2229">
        <v>49</v>
      </c>
      <c r="AD2229">
        <v>0.68</v>
      </c>
    </row>
    <row r="2230" spans="1:30" x14ac:dyDescent="0.25">
      <c r="A2230" s="1">
        <v>44784.743784722225</v>
      </c>
      <c r="B2230" s="1">
        <v>44784.742326388892</v>
      </c>
      <c r="C2230">
        <v>151702</v>
      </c>
      <c r="D2230" t="s">
        <v>37</v>
      </c>
      <c r="E2230" t="s">
        <v>31</v>
      </c>
      <c r="F2230">
        <v>7</v>
      </c>
      <c r="G2230">
        <v>43.118609999999997</v>
      </c>
      <c r="H2230">
        <v>-71.61618</v>
      </c>
      <c r="I2230">
        <v>885</v>
      </c>
      <c r="J2230">
        <v>0</v>
      </c>
      <c r="K2230">
        <v>0</v>
      </c>
      <c r="L2230" s="1">
        <v>44784.743773148148</v>
      </c>
      <c r="M2230">
        <v>3.5</v>
      </c>
      <c r="N2230">
        <v>3.6</v>
      </c>
      <c r="O2230">
        <v>0.1</v>
      </c>
      <c r="P2230">
        <v>3</v>
      </c>
      <c r="Q2230">
        <v>0.1</v>
      </c>
      <c r="R2230">
        <v>0.1</v>
      </c>
      <c r="S2230">
        <v>0.1</v>
      </c>
      <c r="T2230" t="s">
        <v>33</v>
      </c>
      <c r="U2230">
        <v>3.55</v>
      </c>
      <c r="V2230">
        <v>0</v>
      </c>
      <c r="W2230">
        <v>0</v>
      </c>
      <c r="X2230">
        <v>0</v>
      </c>
      <c r="Y2230">
        <v>0</v>
      </c>
      <c r="Z2230">
        <v>0</v>
      </c>
      <c r="AA2230">
        <v>0</v>
      </c>
      <c r="AB2230" t="s">
        <v>38</v>
      </c>
    </row>
    <row r="2231" spans="1:30" x14ac:dyDescent="0.25">
      <c r="A2231" s="1">
        <v>44784.743796296294</v>
      </c>
      <c r="B2231" s="1">
        <v>44784.742222222223</v>
      </c>
      <c r="C2231">
        <v>151700</v>
      </c>
      <c r="D2231" t="s">
        <v>30</v>
      </c>
      <c r="E2231" t="s">
        <v>31</v>
      </c>
      <c r="F2231">
        <v>7</v>
      </c>
      <c r="G2231">
        <v>43.19211</v>
      </c>
      <c r="H2231">
        <v>-71.541460000000001</v>
      </c>
      <c r="I2231">
        <v>286</v>
      </c>
      <c r="J2231">
        <v>85</v>
      </c>
      <c r="K2231">
        <v>0</v>
      </c>
      <c r="L2231" s="1">
        <v>44784.743773148148</v>
      </c>
      <c r="M2231">
        <v>2.8</v>
      </c>
      <c r="N2231">
        <v>3.2</v>
      </c>
      <c r="O2231">
        <v>0.4</v>
      </c>
      <c r="P2231">
        <v>13</v>
      </c>
      <c r="Q2231">
        <v>0.1</v>
      </c>
      <c r="R2231">
        <v>0.1</v>
      </c>
      <c r="S2231">
        <v>0.1</v>
      </c>
      <c r="T2231" t="s">
        <v>33</v>
      </c>
      <c r="U2231">
        <v>3</v>
      </c>
      <c r="V2231">
        <v>41</v>
      </c>
      <c r="W2231">
        <v>0</v>
      </c>
      <c r="X2231">
        <v>41</v>
      </c>
      <c r="Y2231">
        <v>1</v>
      </c>
      <c r="Z2231">
        <v>0</v>
      </c>
      <c r="AA2231">
        <v>1</v>
      </c>
      <c r="AB2231" t="s">
        <v>36</v>
      </c>
      <c r="AC2231">
        <v>41</v>
      </c>
      <c r="AD2231">
        <v>1.1200000000000001</v>
      </c>
    </row>
    <row r="2232" spans="1:30" x14ac:dyDescent="0.25">
      <c r="A2232" s="1">
        <v>44784.743796296294</v>
      </c>
      <c r="B2232" s="1">
        <v>44784.742662037039</v>
      </c>
      <c r="C2232">
        <v>135984</v>
      </c>
      <c r="D2232" t="s">
        <v>39</v>
      </c>
      <c r="E2232" t="s">
        <v>31</v>
      </c>
      <c r="F2232">
        <v>7</v>
      </c>
      <c r="G2232">
        <v>43.565852999999997</v>
      </c>
      <c r="H2232">
        <v>-71.496129999999994</v>
      </c>
      <c r="I2232">
        <v>708</v>
      </c>
      <c r="J2232">
        <v>83</v>
      </c>
      <c r="K2232">
        <v>0</v>
      </c>
      <c r="L2232" s="1">
        <v>44784.743773148148</v>
      </c>
      <c r="M2232">
        <v>4.2</v>
      </c>
      <c r="N2232">
        <v>4</v>
      </c>
      <c r="O2232">
        <v>0.2</v>
      </c>
      <c r="P2232">
        <v>5</v>
      </c>
      <c r="Q2232">
        <v>0.1</v>
      </c>
      <c r="R2232">
        <v>0.2</v>
      </c>
      <c r="S2232">
        <v>0.15</v>
      </c>
      <c r="T2232" t="s">
        <v>33</v>
      </c>
      <c r="U2232">
        <v>4.0999999999999996</v>
      </c>
      <c r="V2232">
        <v>56</v>
      </c>
      <c r="W2232">
        <v>0</v>
      </c>
      <c r="X2232">
        <v>56</v>
      </c>
      <c r="Y2232">
        <v>1</v>
      </c>
      <c r="Z2232">
        <v>0</v>
      </c>
      <c r="AA2232">
        <v>1</v>
      </c>
      <c r="AB2232" t="s">
        <v>36</v>
      </c>
      <c r="AC2232">
        <v>56</v>
      </c>
      <c r="AD2232">
        <v>0.74</v>
      </c>
    </row>
    <row r="2233" spans="1:30" x14ac:dyDescent="0.25">
      <c r="A2233" s="1">
        <v>44784.743796296294</v>
      </c>
      <c r="B2233" s="1">
        <v>44780.394780092596</v>
      </c>
      <c r="C2233">
        <v>151712</v>
      </c>
      <c r="D2233" t="s">
        <v>40</v>
      </c>
      <c r="E2233" t="s">
        <v>31</v>
      </c>
      <c r="F2233">
        <v>7</v>
      </c>
      <c r="G2233">
        <v>43.289763999999998</v>
      </c>
      <c r="H2233">
        <v>-71.564260000000004</v>
      </c>
      <c r="I2233">
        <v>370</v>
      </c>
      <c r="J2233">
        <v>86</v>
      </c>
      <c r="K2233">
        <v>0</v>
      </c>
      <c r="L2233" s="1">
        <v>44784.743773148148</v>
      </c>
      <c r="M2233">
        <v>14</v>
      </c>
      <c r="N2233">
        <v>13.2</v>
      </c>
      <c r="O2233">
        <v>0.8</v>
      </c>
      <c r="P2233">
        <v>6</v>
      </c>
      <c r="Q2233">
        <v>0</v>
      </c>
      <c r="R2233">
        <v>0</v>
      </c>
      <c r="S2233">
        <v>0</v>
      </c>
      <c r="T2233" t="s">
        <v>32</v>
      </c>
      <c r="V2233">
        <v>59</v>
      </c>
      <c r="W2233">
        <v>0</v>
      </c>
      <c r="X2233">
        <v>59</v>
      </c>
      <c r="Y2233">
        <v>0</v>
      </c>
      <c r="Z2233">
        <v>0</v>
      </c>
      <c r="AA2233">
        <v>0</v>
      </c>
      <c r="AB2233" t="s">
        <v>36</v>
      </c>
      <c r="AC2233">
        <v>59</v>
      </c>
    </row>
    <row r="2234" spans="1:30" x14ac:dyDescent="0.25">
      <c r="A2234" s="1">
        <v>44784.743807870371</v>
      </c>
      <c r="B2234" s="1">
        <v>44784.741979166669</v>
      </c>
      <c r="C2234">
        <v>151710</v>
      </c>
      <c r="D2234" t="s">
        <v>41</v>
      </c>
      <c r="E2234" t="s">
        <v>31</v>
      </c>
      <c r="F2234">
        <v>7</v>
      </c>
      <c r="G2234">
        <v>43.132477000000002</v>
      </c>
      <c r="H2234">
        <v>-71.458374000000006</v>
      </c>
      <c r="I2234">
        <v>230</v>
      </c>
      <c r="J2234">
        <v>89</v>
      </c>
      <c r="K2234">
        <v>0</v>
      </c>
      <c r="L2234" s="1">
        <v>44784.743773148148</v>
      </c>
      <c r="M2234">
        <v>5.7</v>
      </c>
      <c r="N2234">
        <v>3.6</v>
      </c>
      <c r="O2234">
        <v>2.1</v>
      </c>
      <c r="P2234">
        <v>45</v>
      </c>
      <c r="Q2234">
        <v>0.1</v>
      </c>
      <c r="R2234">
        <v>0.3</v>
      </c>
      <c r="S2234">
        <v>0.2</v>
      </c>
      <c r="T2234" t="s">
        <v>33</v>
      </c>
      <c r="U2234">
        <v>4.6500000000000004</v>
      </c>
      <c r="V2234">
        <v>39</v>
      </c>
      <c r="W2234">
        <v>0</v>
      </c>
      <c r="X2234">
        <v>39</v>
      </c>
      <c r="Y2234">
        <v>3</v>
      </c>
      <c r="Z2234">
        <v>0</v>
      </c>
      <c r="AA2234">
        <v>3</v>
      </c>
      <c r="AB2234" t="s">
        <v>36</v>
      </c>
      <c r="AC2234">
        <v>39</v>
      </c>
      <c r="AD2234">
        <v>2.27</v>
      </c>
    </row>
    <row r="2235" spans="1:30" x14ac:dyDescent="0.25">
      <c r="A2235" s="1">
        <v>44784.743807870371</v>
      </c>
      <c r="B2235" s="1">
        <v>44784.743009259262</v>
      </c>
      <c r="C2235">
        <v>151706</v>
      </c>
      <c r="D2235" t="s">
        <v>42</v>
      </c>
      <c r="E2235" t="s">
        <v>31</v>
      </c>
      <c r="F2235">
        <v>7</v>
      </c>
      <c r="G2235">
        <v>43.004080000000002</v>
      </c>
      <c r="H2235">
        <v>-71.177040000000005</v>
      </c>
      <c r="I2235">
        <v>194</v>
      </c>
      <c r="J2235">
        <v>84</v>
      </c>
      <c r="K2235">
        <v>0</v>
      </c>
      <c r="L2235" s="1">
        <v>44784.743773148148</v>
      </c>
      <c r="M2235">
        <v>10</v>
      </c>
      <c r="N2235">
        <v>0</v>
      </c>
      <c r="O2235">
        <v>10</v>
      </c>
      <c r="P2235">
        <v>200</v>
      </c>
      <c r="Q2235">
        <v>0.1</v>
      </c>
      <c r="R2235">
        <v>0</v>
      </c>
      <c r="S2235">
        <v>0.05</v>
      </c>
      <c r="T2235" t="s">
        <v>43</v>
      </c>
      <c r="V2235">
        <v>51</v>
      </c>
      <c r="W2235">
        <v>0</v>
      </c>
      <c r="X2235">
        <v>51</v>
      </c>
      <c r="Y2235">
        <v>2</v>
      </c>
      <c r="Z2235">
        <v>0</v>
      </c>
      <c r="AA2235">
        <v>2</v>
      </c>
      <c r="AB2235" t="s">
        <v>36</v>
      </c>
      <c r="AC2235">
        <v>51</v>
      </c>
    </row>
    <row r="2236" spans="1:30" x14ac:dyDescent="0.25">
      <c r="A2236" s="1">
        <v>44784.743807870371</v>
      </c>
      <c r="B2236" s="1">
        <v>44784.742800925924</v>
      </c>
      <c r="C2236">
        <v>12212</v>
      </c>
      <c r="D2236" t="s">
        <v>44</v>
      </c>
      <c r="E2236" t="s">
        <v>35</v>
      </c>
      <c r="F2236">
        <v>7</v>
      </c>
      <c r="G2236">
        <v>42.930529999999997</v>
      </c>
      <c r="H2236">
        <v>-72.272350000000003</v>
      </c>
      <c r="I2236">
        <v>476</v>
      </c>
      <c r="J2236">
        <v>92</v>
      </c>
      <c r="K2236">
        <v>0</v>
      </c>
      <c r="L2236" s="1">
        <v>44784.743773148148</v>
      </c>
      <c r="M2236">
        <v>5.4</v>
      </c>
      <c r="N2236">
        <v>4.8</v>
      </c>
      <c r="O2236">
        <v>0.6</v>
      </c>
      <c r="P2236">
        <v>12</v>
      </c>
      <c r="Q2236">
        <v>0.1</v>
      </c>
      <c r="R2236">
        <v>0.1</v>
      </c>
      <c r="S2236">
        <v>0.1</v>
      </c>
      <c r="T2236" t="s">
        <v>33</v>
      </c>
      <c r="U2236">
        <v>5.0999999999999996</v>
      </c>
      <c r="V2236">
        <v>30</v>
      </c>
      <c r="W2236">
        <v>0</v>
      </c>
      <c r="X2236">
        <v>30</v>
      </c>
      <c r="Y2236">
        <v>2</v>
      </c>
      <c r="Z2236">
        <v>0</v>
      </c>
      <c r="AA2236">
        <v>2</v>
      </c>
      <c r="AB2236" t="s">
        <v>36</v>
      </c>
      <c r="AC2236">
        <v>30</v>
      </c>
      <c r="AD2236">
        <v>3.17</v>
      </c>
    </row>
    <row r="2237" spans="1:30" x14ac:dyDescent="0.25">
      <c r="A2237" s="1">
        <v>44784.743819444448</v>
      </c>
      <c r="B2237" s="1">
        <v>44769.376736111109</v>
      </c>
      <c r="C2237">
        <v>12178</v>
      </c>
      <c r="D2237" t="s">
        <v>45</v>
      </c>
      <c r="E2237" t="s">
        <v>35</v>
      </c>
      <c r="F2237">
        <v>7</v>
      </c>
      <c r="G2237">
        <v>42.899563000000001</v>
      </c>
      <c r="H2237">
        <v>-71.464650000000006</v>
      </c>
      <c r="I2237">
        <v>301</v>
      </c>
      <c r="J2237">
        <v>85</v>
      </c>
      <c r="K2237">
        <v>0</v>
      </c>
      <c r="L2237" s="1">
        <v>44784.743773148148</v>
      </c>
      <c r="M2237">
        <v>3.8</v>
      </c>
      <c r="N2237">
        <v>3.1</v>
      </c>
      <c r="O2237">
        <v>0.7</v>
      </c>
      <c r="P2237">
        <v>20</v>
      </c>
      <c r="Q2237">
        <v>0</v>
      </c>
      <c r="R2237">
        <v>0</v>
      </c>
      <c r="S2237">
        <v>0</v>
      </c>
      <c r="T2237" t="s">
        <v>32</v>
      </c>
      <c r="V2237">
        <v>35</v>
      </c>
      <c r="W2237">
        <v>0</v>
      </c>
      <c r="X2237">
        <v>35</v>
      </c>
      <c r="Y2237">
        <v>0</v>
      </c>
      <c r="Z2237">
        <v>0</v>
      </c>
      <c r="AA2237">
        <v>0</v>
      </c>
      <c r="AB2237" t="s">
        <v>36</v>
      </c>
      <c r="AC2237">
        <v>35</v>
      </c>
    </row>
    <row r="2238" spans="1:30" x14ac:dyDescent="0.25">
      <c r="A2238" s="1">
        <v>44784.743819444448</v>
      </c>
      <c r="B2238" s="1">
        <v>44784.742071759261</v>
      </c>
      <c r="C2238">
        <v>75981</v>
      </c>
      <c r="D2238" t="s">
        <v>46</v>
      </c>
      <c r="E2238" t="s">
        <v>35</v>
      </c>
      <c r="F2238">
        <v>7</v>
      </c>
      <c r="G2238">
        <v>42.97</v>
      </c>
      <c r="H2238">
        <v>-71.06</v>
      </c>
      <c r="I2238">
        <v>136</v>
      </c>
      <c r="J2238">
        <v>92</v>
      </c>
      <c r="K2238">
        <v>0</v>
      </c>
      <c r="L2238" s="1">
        <v>44784.743773148148</v>
      </c>
      <c r="M2238">
        <v>10.7</v>
      </c>
      <c r="N2238">
        <v>10.1</v>
      </c>
      <c r="O2238">
        <v>0.6</v>
      </c>
      <c r="P2238">
        <v>6</v>
      </c>
      <c r="Q2238">
        <v>0.3</v>
      </c>
      <c r="R2238">
        <v>0.1</v>
      </c>
      <c r="S2238">
        <v>0.2</v>
      </c>
      <c r="T2238" t="s">
        <v>33</v>
      </c>
      <c r="U2238">
        <v>10.4</v>
      </c>
      <c r="V2238">
        <v>41</v>
      </c>
      <c r="W2238">
        <v>0</v>
      </c>
      <c r="X2238">
        <v>41</v>
      </c>
      <c r="Y2238">
        <v>0</v>
      </c>
      <c r="Z2238">
        <v>0</v>
      </c>
      <c r="AA2238">
        <v>0</v>
      </c>
      <c r="AB2238" t="s">
        <v>36</v>
      </c>
      <c r="AC2238">
        <v>41</v>
      </c>
      <c r="AD2238">
        <v>5.63</v>
      </c>
    </row>
    <row r="2239" spans="1:30" x14ac:dyDescent="0.25">
      <c r="A2239" s="1">
        <v>44784.743831018517</v>
      </c>
      <c r="B2239" s="1">
        <v>44784.742615740739</v>
      </c>
      <c r="C2239">
        <v>115703</v>
      </c>
      <c r="D2239" t="s">
        <v>47</v>
      </c>
      <c r="E2239" t="s">
        <v>35</v>
      </c>
      <c r="F2239">
        <v>7</v>
      </c>
      <c r="G2239">
        <v>43.953625000000002</v>
      </c>
      <c r="H2239">
        <v>-71.508859999999999</v>
      </c>
      <c r="I2239">
        <v>1493</v>
      </c>
      <c r="J2239">
        <v>90</v>
      </c>
      <c r="K2239">
        <v>0</v>
      </c>
      <c r="L2239" s="1">
        <v>44784.743773148148</v>
      </c>
      <c r="M2239">
        <v>0.1</v>
      </c>
      <c r="N2239">
        <v>222.6</v>
      </c>
      <c r="O2239">
        <v>222.5</v>
      </c>
      <c r="P2239">
        <v>200</v>
      </c>
      <c r="Q2239">
        <v>0</v>
      </c>
      <c r="R2239">
        <v>19.5</v>
      </c>
      <c r="S2239">
        <v>9.75</v>
      </c>
      <c r="T2239" t="s">
        <v>60</v>
      </c>
      <c r="V2239">
        <v>31</v>
      </c>
      <c r="W2239">
        <v>0</v>
      </c>
      <c r="X2239">
        <v>31</v>
      </c>
      <c r="Y2239">
        <v>1</v>
      </c>
      <c r="Z2239">
        <v>0</v>
      </c>
      <c r="AA2239">
        <v>1</v>
      </c>
      <c r="AB2239" t="s">
        <v>36</v>
      </c>
      <c r="AC2239">
        <v>31</v>
      </c>
    </row>
    <row r="2240" spans="1:30" x14ac:dyDescent="0.25">
      <c r="A2240" s="1">
        <v>44784.743831018517</v>
      </c>
      <c r="B2240" s="1">
        <v>44784.742025462961</v>
      </c>
      <c r="C2240">
        <v>12050</v>
      </c>
      <c r="D2240" t="s">
        <v>49</v>
      </c>
      <c r="E2240" t="s">
        <v>35</v>
      </c>
      <c r="F2240">
        <v>7</v>
      </c>
      <c r="G2240">
        <v>44.220573000000002</v>
      </c>
      <c r="H2240">
        <v>-71.732315</v>
      </c>
      <c r="I2240">
        <v>999</v>
      </c>
      <c r="J2240">
        <v>86</v>
      </c>
      <c r="K2240">
        <v>0</v>
      </c>
      <c r="L2240" s="1">
        <v>44784.743773148148</v>
      </c>
      <c r="M2240">
        <v>4</v>
      </c>
      <c r="N2240">
        <v>3.5</v>
      </c>
      <c r="O2240">
        <v>0.5</v>
      </c>
      <c r="P2240">
        <v>13</v>
      </c>
      <c r="Q2240">
        <v>0.4</v>
      </c>
      <c r="R2240">
        <v>0.2</v>
      </c>
      <c r="S2240">
        <v>0.3</v>
      </c>
      <c r="T2240" t="s">
        <v>33</v>
      </c>
      <c r="U2240">
        <v>3.75</v>
      </c>
      <c r="V2240">
        <v>38</v>
      </c>
      <c r="W2240">
        <v>0</v>
      </c>
      <c r="X2240">
        <v>38</v>
      </c>
      <c r="Y2240">
        <v>2</v>
      </c>
      <c r="Z2240">
        <v>0</v>
      </c>
      <c r="AA2240">
        <v>2</v>
      </c>
      <c r="AB2240" t="s">
        <v>36</v>
      </c>
      <c r="AC2240">
        <v>38</v>
      </c>
      <c r="AD2240">
        <v>1.79</v>
      </c>
    </row>
    <row r="2241" spans="1:30" x14ac:dyDescent="0.25">
      <c r="A2241" s="1">
        <v>44784.743831018517</v>
      </c>
      <c r="B2241" s="1">
        <v>44784.742152777777</v>
      </c>
      <c r="C2241">
        <v>23443</v>
      </c>
      <c r="D2241" t="s">
        <v>50</v>
      </c>
      <c r="E2241" t="s">
        <v>35</v>
      </c>
      <c r="F2241">
        <v>7</v>
      </c>
      <c r="G2241">
        <v>43.556139999999999</v>
      </c>
      <c r="H2241">
        <v>-72.370990000000006</v>
      </c>
      <c r="I2241">
        <v>523</v>
      </c>
      <c r="J2241">
        <v>90</v>
      </c>
      <c r="K2241">
        <v>0</v>
      </c>
      <c r="L2241" s="1">
        <v>44784.743773148148</v>
      </c>
      <c r="M2241">
        <v>3.6</v>
      </c>
      <c r="N2241">
        <v>3.1</v>
      </c>
      <c r="O2241">
        <v>0.5</v>
      </c>
      <c r="P2241">
        <v>15</v>
      </c>
      <c r="Q2241">
        <v>0.1</v>
      </c>
      <c r="R2241">
        <v>0.2</v>
      </c>
      <c r="S2241">
        <v>0.15</v>
      </c>
      <c r="T2241" t="s">
        <v>33</v>
      </c>
      <c r="U2241">
        <v>3.35</v>
      </c>
      <c r="V2241">
        <v>40</v>
      </c>
      <c r="W2241">
        <v>0</v>
      </c>
      <c r="X2241">
        <v>40</v>
      </c>
      <c r="Y2241">
        <v>9</v>
      </c>
      <c r="Z2241">
        <v>0</v>
      </c>
      <c r="AA2241">
        <v>9</v>
      </c>
      <c r="AB2241" t="s">
        <v>36</v>
      </c>
      <c r="AC2241">
        <v>40</v>
      </c>
      <c r="AD2241">
        <v>1.4</v>
      </c>
    </row>
    <row r="2242" spans="1:30" x14ac:dyDescent="0.25">
      <c r="A2242" s="1">
        <v>44784.743842592594</v>
      </c>
      <c r="B2242" s="1">
        <v>44784.743645833332</v>
      </c>
      <c r="C2242">
        <v>58135</v>
      </c>
      <c r="D2242" t="s">
        <v>51</v>
      </c>
      <c r="E2242" t="s">
        <v>35</v>
      </c>
      <c r="F2242">
        <v>7</v>
      </c>
      <c r="G2242">
        <v>42.883873000000001</v>
      </c>
      <c r="H2242">
        <v>-71.972915999999998</v>
      </c>
      <c r="I2242">
        <v>808</v>
      </c>
      <c r="J2242">
        <v>87</v>
      </c>
      <c r="K2242">
        <v>0</v>
      </c>
      <c r="L2242" s="1">
        <v>44784.743773148148</v>
      </c>
      <c r="M2242">
        <v>5.0999999999999996</v>
      </c>
      <c r="N2242">
        <v>3.2</v>
      </c>
      <c r="O2242">
        <v>1.9</v>
      </c>
      <c r="P2242">
        <v>46</v>
      </c>
      <c r="Q2242">
        <v>0.1</v>
      </c>
      <c r="R2242">
        <v>0</v>
      </c>
      <c r="S2242">
        <v>0.05</v>
      </c>
      <c r="T2242" t="s">
        <v>33</v>
      </c>
      <c r="U2242">
        <v>4.1500000000000004</v>
      </c>
      <c r="V2242">
        <v>38</v>
      </c>
      <c r="W2242">
        <v>0</v>
      </c>
      <c r="X2242">
        <v>38</v>
      </c>
      <c r="Y2242">
        <v>3</v>
      </c>
      <c r="Z2242">
        <v>0</v>
      </c>
      <c r="AA2242">
        <v>3</v>
      </c>
      <c r="AB2242" t="s">
        <v>36</v>
      </c>
      <c r="AC2242">
        <v>38</v>
      </c>
      <c r="AD2242">
        <v>2.0299999999999998</v>
      </c>
    </row>
    <row r="2243" spans="1:30" x14ac:dyDescent="0.25">
      <c r="A2243" s="1">
        <v>44784.743842592594</v>
      </c>
      <c r="B2243" s="1">
        <v>44784.742245370369</v>
      </c>
      <c r="C2243">
        <v>148555</v>
      </c>
      <c r="D2243" t="s">
        <v>52</v>
      </c>
      <c r="E2243" t="s">
        <v>53</v>
      </c>
      <c r="F2243">
        <v>7</v>
      </c>
      <c r="G2243">
        <v>42.904949999999999</v>
      </c>
      <c r="H2243">
        <v>-71.386764999999997</v>
      </c>
      <c r="I2243">
        <v>363</v>
      </c>
      <c r="J2243">
        <v>0</v>
      </c>
      <c r="K2243">
        <v>0</v>
      </c>
      <c r="L2243" s="1">
        <v>44784.743773148148</v>
      </c>
      <c r="M2243">
        <v>1.9</v>
      </c>
      <c r="N2243">
        <v>2.1</v>
      </c>
      <c r="O2243">
        <v>0.2</v>
      </c>
      <c r="P2243">
        <v>10</v>
      </c>
      <c r="Q2243">
        <v>0.2</v>
      </c>
      <c r="R2243">
        <v>0.1</v>
      </c>
      <c r="S2243">
        <v>0.15</v>
      </c>
      <c r="T2243" t="s">
        <v>33</v>
      </c>
      <c r="U2243">
        <v>2</v>
      </c>
      <c r="V2243">
        <v>0</v>
      </c>
      <c r="W2243">
        <v>0</v>
      </c>
      <c r="X2243">
        <v>0</v>
      </c>
      <c r="Y2243">
        <v>0</v>
      </c>
      <c r="Z2243">
        <v>0</v>
      </c>
      <c r="AA2243">
        <v>0</v>
      </c>
      <c r="AB2243" t="s">
        <v>38</v>
      </c>
    </row>
    <row r="2244" spans="1:30" x14ac:dyDescent="0.25">
      <c r="A2244" s="1">
        <v>44784.743842592594</v>
      </c>
      <c r="B2244" s="1">
        <v>44784.743136574078</v>
      </c>
      <c r="C2244">
        <v>146644</v>
      </c>
      <c r="D2244" t="s">
        <v>54</v>
      </c>
      <c r="E2244" t="s">
        <v>53</v>
      </c>
      <c r="F2244">
        <v>7</v>
      </c>
      <c r="G2244">
        <v>43.06015</v>
      </c>
      <c r="H2244">
        <v>-70.758930000000007</v>
      </c>
      <c r="I2244">
        <v>35</v>
      </c>
      <c r="J2244">
        <v>77</v>
      </c>
      <c r="K2244">
        <v>79</v>
      </c>
      <c r="L2244" s="1">
        <v>44784.743773148148</v>
      </c>
      <c r="M2244">
        <v>12.1</v>
      </c>
      <c r="N2244">
        <v>10.9</v>
      </c>
      <c r="O2244">
        <v>1.2</v>
      </c>
      <c r="P2244">
        <v>10</v>
      </c>
      <c r="Q2244">
        <v>0.1</v>
      </c>
      <c r="R2244">
        <v>0.1</v>
      </c>
      <c r="S2244">
        <v>0.1</v>
      </c>
      <c r="T2244" t="s">
        <v>33</v>
      </c>
      <c r="U2244">
        <v>11.5</v>
      </c>
      <c r="V2244">
        <v>59</v>
      </c>
      <c r="W2244">
        <v>64</v>
      </c>
      <c r="X2244">
        <v>5</v>
      </c>
      <c r="Y2244">
        <v>1</v>
      </c>
      <c r="Z2244">
        <v>1</v>
      </c>
      <c r="AA2244">
        <v>0</v>
      </c>
      <c r="AB2244" t="s">
        <v>33</v>
      </c>
      <c r="AC2244">
        <v>61.5</v>
      </c>
      <c r="AD2244">
        <v>4.87</v>
      </c>
    </row>
    <row r="2245" spans="1:30" x14ac:dyDescent="0.25">
      <c r="A2245" s="1">
        <v>44784.743854166663</v>
      </c>
      <c r="B2245" s="1">
        <v>43755.283437500002</v>
      </c>
      <c r="C2245">
        <v>12188</v>
      </c>
      <c r="D2245" t="s">
        <v>55</v>
      </c>
      <c r="E2245" t="s">
        <v>35</v>
      </c>
      <c r="F2245">
        <v>4.1100000000000003</v>
      </c>
      <c r="G2245">
        <v>42.927050000000001</v>
      </c>
      <c r="H2245">
        <v>-72.279610000000005</v>
      </c>
      <c r="I2245">
        <v>475</v>
      </c>
      <c r="J2245">
        <v>95</v>
      </c>
      <c r="K2245">
        <v>0</v>
      </c>
      <c r="L2245" s="1">
        <v>44784.743773148148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 t="s">
        <v>32</v>
      </c>
      <c r="V2245">
        <v>77</v>
      </c>
      <c r="W2245">
        <v>0</v>
      </c>
      <c r="X2245">
        <v>77</v>
      </c>
      <c r="Y2245">
        <v>0</v>
      </c>
      <c r="Z2245">
        <v>0</v>
      </c>
      <c r="AA2245">
        <v>0</v>
      </c>
      <c r="AB2245" t="s">
        <v>36</v>
      </c>
      <c r="AC2245">
        <v>77</v>
      </c>
    </row>
    <row r="2246" spans="1:30" x14ac:dyDescent="0.25">
      <c r="A2246" s="1">
        <v>44784.743854166663</v>
      </c>
      <c r="B2246" s="1">
        <v>44784.7421412037</v>
      </c>
      <c r="C2246">
        <v>1224</v>
      </c>
      <c r="D2246" t="s">
        <v>56</v>
      </c>
      <c r="E2246" t="s">
        <v>35</v>
      </c>
      <c r="F2246" t="s">
        <v>57</v>
      </c>
      <c r="G2246">
        <v>42.938034000000002</v>
      </c>
      <c r="H2246">
        <v>-72.259299999999996</v>
      </c>
      <c r="I2246">
        <v>792</v>
      </c>
      <c r="J2246">
        <v>91</v>
      </c>
      <c r="K2246">
        <v>0</v>
      </c>
      <c r="L2246" s="1">
        <v>44784.743773148148</v>
      </c>
      <c r="M2246">
        <v>5.5</v>
      </c>
      <c r="N2246">
        <v>0.1</v>
      </c>
      <c r="O2246">
        <v>5.4</v>
      </c>
      <c r="P2246">
        <v>193</v>
      </c>
      <c r="Q2246">
        <v>0.3</v>
      </c>
      <c r="R2246">
        <v>0</v>
      </c>
      <c r="S2246">
        <v>0.15</v>
      </c>
      <c r="T2246" t="s">
        <v>33</v>
      </c>
      <c r="U2246">
        <v>2.8</v>
      </c>
      <c r="V2246">
        <v>37</v>
      </c>
      <c r="W2246">
        <v>0</v>
      </c>
      <c r="X2246">
        <v>37</v>
      </c>
      <c r="Y2246">
        <v>1</v>
      </c>
      <c r="Z2246">
        <v>0</v>
      </c>
      <c r="AA2246">
        <v>1</v>
      </c>
      <c r="AB2246" t="s">
        <v>36</v>
      </c>
      <c r="AC2246">
        <v>37</v>
      </c>
      <c r="AD2246">
        <v>1.28</v>
      </c>
    </row>
    <row r="2247" spans="1:30" x14ac:dyDescent="0.25">
      <c r="A2247" s="1">
        <v>44784.74386574074</v>
      </c>
      <c r="B2247" s="1">
        <v>44784.742962962962</v>
      </c>
      <c r="C2247">
        <v>1202</v>
      </c>
      <c r="D2247" t="s">
        <v>58</v>
      </c>
      <c r="E2247" t="s">
        <v>35</v>
      </c>
      <c r="F2247" t="s">
        <v>57</v>
      </c>
      <c r="G2247">
        <v>42.936554000000001</v>
      </c>
      <c r="H2247">
        <v>-72.271019999999993</v>
      </c>
      <c r="I2247">
        <v>488</v>
      </c>
      <c r="J2247">
        <v>0</v>
      </c>
      <c r="K2247">
        <v>0</v>
      </c>
      <c r="L2247" s="1">
        <v>44784.743773148148</v>
      </c>
      <c r="M2247">
        <v>6.1</v>
      </c>
      <c r="N2247">
        <v>5.5</v>
      </c>
      <c r="O2247">
        <v>0.6</v>
      </c>
      <c r="P2247">
        <v>10</v>
      </c>
      <c r="Q2247">
        <v>0.2</v>
      </c>
      <c r="R2247">
        <v>0.2</v>
      </c>
      <c r="S2247">
        <v>0.2</v>
      </c>
      <c r="T2247" t="s">
        <v>33</v>
      </c>
      <c r="U2247">
        <v>5.8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 t="s">
        <v>38</v>
      </c>
    </row>
    <row r="2248" spans="1:30" x14ac:dyDescent="0.25">
      <c r="A2248" s="1">
        <v>44784.74386574074</v>
      </c>
      <c r="B2248" s="1">
        <v>44612.080023148148</v>
      </c>
      <c r="C2248">
        <v>25985</v>
      </c>
      <c r="D2248" t="s">
        <v>59</v>
      </c>
      <c r="E2248" t="s">
        <v>35</v>
      </c>
      <c r="F2248">
        <v>6.01</v>
      </c>
      <c r="G2248">
        <v>42.927326000000001</v>
      </c>
      <c r="H2248">
        <v>-72.279979999999995</v>
      </c>
      <c r="I2248">
        <v>477</v>
      </c>
      <c r="J2248">
        <v>78</v>
      </c>
      <c r="K2248">
        <v>0</v>
      </c>
      <c r="L2248" s="1">
        <v>44784.743773148148</v>
      </c>
      <c r="M2248">
        <v>1.1000000000000001</v>
      </c>
      <c r="N2248">
        <v>1</v>
      </c>
      <c r="O2248">
        <v>0.1</v>
      </c>
      <c r="P2248">
        <v>10</v>
      </c>
      <c r="Q2248">
        <v>0</v>
      </c>
      <c r="R2248">
        <v>0</v>
      </c>
      <c r="S2248">
        <v>0</v>
      </c>
      <c r="T2248" t="s">
        <v>32</v>
      </c>
      <c r="V2248">
        <v>22</v>
      </c>
      <c r="W2248">
        <v>0</v>
      </c>
      <c r="X2248">
        <v>22</v>
      </c>
      <c r="Y2248">
        <v>0</v>
      </c>
      <c r="Z2248">
        <v>0</v>
      </c>
      <c r="AA2248">
        <v>0</v>
      </c>
      <c r="AB2248" t="s">
        <v>36</v>
      </c>
      <c r="AC2248">
        <v>22</v>
      </c>
    </row>
    <row r="2249" spans="1:30" x14ac:dyDescent="0.25">
      <c r="A2249" s="1">
        <v>44784.750717592593</v>
      </c>
      <c r="B2249" s="1">
        <v>44775.701319444444</v>
      </c>
      <c r="C2249">
        <v>151708</v>
      </c>
      <c r="D2249" t="s">
        <v>30</v>
      </c>
      <c r="E2249" t="s">
        <v>31</v>
      </c>
      <c r="F2249">
        <v>7</v>
      </c>
      <c r="G2249">
        <v>43.192042999999998</v>
      </c>
      <c r="H2249">
        <v>-71.541579999999996</v>
      </c>
      <c r="I2249">
        <v>291</v>
      </c>
      <c r="J2249">
        <v>93</v>
      </c>
      <c r="K2249">
        <v>94</v>
      </c>
      <c r="L2249" s="1">
        <v>44784.750717592593</v>
      </c>
      <c r="M2249">
        <v>7.9</v>
      </c>
      <c r="N2249">
        <v>7.6</v>
      </c>
      <c r="O2249">
        <v>0.3</v>
      </c>
      <c r="P2249">
        <v>4</v>
      </c>
      <c r="Q2249">
        <v>0</v>
      </c>
      <c r="R2249">
        <v>0</v>
      </c>
      <c r="S2249">
        <v>0</v>
      </c>
      <c r="T2249" t="s">
        <v>32</v>
      </c>
      <c r="V2249">
        <v>42</v>
      </c>
      <c r="W2249">
        <v>41</v>
      </c>
      <c r="X2249">
        <v>1</v>
      </c>
      <c r="Y2249">
        <v>0</v>
      </c>
      <c r="Z2249">
        <v>0</v>
      </c>
      <c r="AA2249">
        <v>0</v>
      </c>
      <c r="AB2249" t="s">
        <v>33</v>
      </c>
      <c r="AC2249">
        <v>41.5</v>
      </c>
    </row>
    <row r="2250" spans="1:30" x14ac:dyDescent="0.25">
      <c r="A2250" s="1">
        <v>44784.75072916667</v>
      </c>
      <c r="B2250" s="1">
        <v>44784.749120370368</v>
      </c>
      <c r="C2250">
        <v>143456</v>
      </c>
      <c r="D2250" t="s">
        <v>34</v>
      </c>
      <c r="E2250" t="s">
        <v>35</v>
      </c>
      <c r="F2250">
        <v>7</v>
      </c>
      <c r="G2250">
        <v>43.08963</v>
      </c>
      <c r="H2250">
        <v>-71.502440000000007</v>
      </c>
      <c r="I2250">
        <v>619</v>
      </c>
      <c r="J2250">
        <v>84</v>
      </c>
      <c r="K2250">
        <v>0</v>
      </c>
      <c r="L2250" s="1">
        <v>44784.750717592593</v>
      </c>
      <c r="M2250">
        <v>3.2</v>
      </c>
      <c r="N2250">
        <v>3.4</v>
      </c>
      <c r="O2250">
        <v>0.2</v>
      </c>
      <c r="P2250">
        <v>6</v>
      </c>
      <c r="Q2250">
        <v>0.2</v>
      </c>
      <c r="R2250">
        <v>0</v>
      </c>
      <c r="S2250">
        <v>0.1</v>
      </c>
      <c r="T2250" t="s">
        <v>33</v>
      </c>
      <c r="U2250">
        <v>3.3</v>
      </c>
      <c r="V2250">
        <v>45</v>
      </c>
      <c r="W2250">
        <v>0</v>
      </c>
      <c r="X2250">
        <v>45</v>
      </c>
      <c r="Y2250">
        <v>4</v>
      </c>
      <c r="Z2250">
        <v>0</v>
      </c>
      <c r="AA2250">
        <v>4</v>
      </c>
      <c r="AB2250" t="s">
        <v>36</v>
      </c>
      <c r="AC2250">
        <v>45</v>
      </c>
      <c r="AD2250">
        <v>1.02</v>
      </c>
    </row>
    <row r="2251" spans="1:30" x14ac:dyDescent="0.25">
      <c r="A2251" s="1">
        <v>44784.75072916667</v>
      </c>
      <c r="B2251" s="1">
        <v>44784.74927083333</v>
      </c>
      <c r="C2251">
        <v>151702</v>
      </c>
      <c r="D2251" t="s">
        <v>37</v>
      </c>
      <c r="E2251" t="s">
        <v>31</v>
      </c>
      <c r="F2251">
        <v>7</v>
      </c>
      <c r="G2251">
        <v>43.118609999999997</v>
      </c>
      <c r="H2251">
        <v>-71.61618</v>
      </c>
      <c r="I2251">
        <v>885</v>
      </c>
      <c r="J2251">
        <v>0</v>
      </c>
      <c r="K2251">
        <v>0</v>
      </c>
      <c r="L2251" s="1">
        <v>44784.750717592593</v>
      </c>
      <c r="M2251">
        <v>3.5</v>
      </c>
      <c r="N2251">
        <v>3.7</v>
      </c>
      <c r="O2251">
        <v>0.2</v>
      </c>
      <c r="P2251">
        <v>6</v>
      </c>
      <c r="Q2251">
        <v>0</v>
      </c>
      <c r="R2251">
        <v>0.1</v>
      </c>
      <c r="S2251">
        <v>0.05</v>
      </c>
      <c r="T2251" t="s">
        <v>33</v>
      </c>
      <c r="U2251">
        <v>3.6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 t="s">
        <v>38</v>
      </c>
    </row>
    <row r="2252" spans="1:30" x14ac:dyDescent="0.25">
      <c r="A2252" s="1">
        <v>44784.750740740739</v>
      </c>
      <c r="B2252" s="1">
        <v>44784.749166666668</v>
      </c>
      <c r="C2252">
        <v>151700</v>
      </c>
      <c r="D2252" t="s">
        <v>30</v>
      </c>
      <c r="E2252" t="s">
        <v>31</v>
      </c>
      <c r="F2252">
        <v>7</v>
      </c>
      <c r="G2252">
        <v>43.19211</v>
      </c>
      <c r="H2252">
        <v>-71.541460000000001</v>
      </c>
      <c r="I2252">
        <v>286</v>
      </c>
      <c r="J2252">
        <v>86</v>
      </c>
      <c r="K2252">
        <v>0</v>
      </c>
      <c r="L2252" s="1">
        <v>44784.750717592593</v>
      </c>
      <c r="M2252">
        <v>2.7</v>
      </c>
      <c r="N2252">
        <v>2.9</v>
      </c>
      <c r="O2252">
        <v>0.2</v>
      </c>
      <c r="P2252">
        <v>7</v>
      </c>
      <c r="Q2252">
        <v>0.1</v>
      </c>
      <c r="R2252">
        <v>0.3</v>
      </c>
      <c r="S2252">
        <v>0.2</v>
      </c>
      <c r="T2252" t="s">
        <v>33</v>
      </c>
      <c r="U2252">
        <v>2.8</v>
      </c>
      <c r="V2252">
        <v>40</v>
      </c>
      <c r="W2252">
        <v>0</v>
      </c>
      <c r="X2252">
        <v>40</v>
      </c>
      <c r="Y2252">
        <v>1</v>
      </c>
      <c r="Z2252">
        <v>0</v>
      </c>
      <c r="AA2252">
        <v>1</v>
      </c>
      <c r="AB2252" t="s">
        <v>36</v>
      </c>
      <c r="AC2252">
        <v>40</v>
      </c>
      <c r="AD2252">
        <v>1.07</v>
      </c>
    </row>
    <row r="2253" spans="1:30" x14ac:dyDescent="0.25">
      <c r="A2253" s="1">
        <v>44784.750740740739</v>
      </c>
      <c r="B2253" s="1">
        <v>44784.749606481484</v>
      </c>
      <c r="C2253">
        <v>135984</v>
      </c>
      <c r="D2253" t="s">
        <v>39</v>
      </c>
      <c r="E2253" t="s">
        <v>31</v>
      </c>
      <c r="F2253">
        <v>7</v>
      </c>
      <c r="G2253">
        <v>43.565852999999997</v>
      </c>
      <c r="H2253">
        <v>-71.496129999999994</v>
      </c>
      <c r="I2253">
        <v>708</v>
      </c>
      <c r="J2253">
        <v>82</v>
      </c>
      <c r="K2253">
        <v>0</v>
      </c>
      <c r="L2253" s="1">
        <v>44784.750717592593</v>
      </c>
      <c r="M2253">
        <v>4.3</v>
      </c>
      <c r="N2253">
        <v>4</v>
      </c>
      <c r="O2253">
        <v>0.3</v>
      </c>
      <c r="P2253">
        <v>7</v>
      </c>
      <c r="Q2253">
        <v>0.1</v>
      </c>
      <c r="R2253">
        <v>0</v>
      </c>
      <c r="S2253">
        <v>0.05</v>
      </c>
      <c r="T2253" t="s">
        <v>33</v>
      </c>
      <c r="U2253">
        <v>4.1500000000000004</v>
      </c>
      <c r="V2253">
        <v>57</v>
      </c>
      <c r="W2253">
        <v>0</v>
      </c>
      <c r="X2253">
        <v>57</v>
      </c>
      <c r="Y2253">
        <v>1</v>
      </c>
      <c r="Z2253">
        <v>0</v>
      </c>
      <c r="AA2253">
        <v>1</v>
      </c>
      <c r="AB2253" t="s">
        <v>36</v>
      </c>
      <c r="AC2253">
        <v>57</v>
      </c>
      <c r="AD2253">
        <v>0.7</v>
      </c>
    </row>
    <row r="2254" spans="1:30" x14ac:dyDescent="0.25">
      <c r="A2254" s="1">
        <v>44784.750752314816</v>
      </c>
      <c r="B2254" s="1">
        <v>44780.394780092596</v>
      </c>
      <c r="C2254">
        <v>151712</v>
      </c>
      <c r="D2254" t="s">
        <v>40</v>
      </c>
      <c r="E2254" t="s">
        <v>31</v>
      </c>
      <c r="F2254">
        <v>7</v>
      </c>
      <c r="G2254">
        <v>43.289763999999998</v>
      </c>
      <c r="H2254">
        <v>-71.564260000000004</v>
      </c>
      <c r="I2254">
        <v>370</v>
      </c>
      <c r="J2254">
        <v>86</v>
      </c>
      <c r="K2254">
        <v>0</v>
      </c>
      <c r="L2254" s="1">
        <v>44784.750717592593</v>
      </c>
      <c r="M2254">
        <v>14</v>
      </c>
      <c r="N2254">
        <v>13.2</v>
      </c>
      <c r="O2254">
        <v>0.8</v>
      </c>
      <c r="P2254">
        <v>6</v>
      </c>
      <c r="Q2254">
        <v>0</v>
      </c>
      <c r="R2254">
        <v>0</v>
      </c>
      <c r="S2254">
        <v>0</v>
      </c>
      <c r="T2254" t="s">
        <v>32</v>
      </c>
      <c r="V2254">
        <v>59</v>
      </c>
      <c r="W2254">
        <v>0</v>
      </c>
      <c r="X2254">
        <v>59</v>
      </c>
      <c r="Y2254">
        <v>0</v>
      </c>
      <c r="Z2254">
        <v>0</v>
      </c>
      <c r="AA2254">
        <v>0</v>
      </c>
      <c r="AB2254" t="s">
        <v>36</v>
      </c>
      <c r="AC2254">
        <v>59</v>
      </c>
    </row>
    <row r="2255" spans="1:30" x14ac:dyDescent="0.25">
      <c r="A2255" s="1">
        <v>44784.750752314816</v>
      </c>
      <c r="B2255" s="1">
        <v>44784.748923611114</v>
      </c>
      <c r="C2255">
        <v>151710</v>
      </c>
      <c r="D2255" t="s">
        <v>41</v>
      </c>
      <c r="E2255" t="s">
        <v>31</v>
      </c>
      <c r="F2255">
        <v>7</v>
      </c>
      <c r="G2255">
        <v>43.132477000000002</v>
      </c>
      <c r="H2255">
        <v>-71.458374000000006</v>
      </c>
      <c r="I2255">
        <v>230</v>
      </c>
      <c r="J2255">
        <v>89</v>
      </c>
      <c r="K2255">
        <v>0</v>
      </c>
      <c r="L2255" s="1">
        <v>44784.750717592593</v>
      </c>
      <c r="M2255">
        <v>5.3</v>
      </c>
      <c r="N2255">
        <v>3.7</v>
      </c>
      <c r="O2255">
        <v>1.6</v>
      </c>
      <c r="P2255">
        <v>36</v>
      </c>
      <c r="Q2255">
        <v>0.4</v>
      </c>
      <c r="R2255">
        <v>0.1</v>
      </c>
      <c r="S2255">
        <v>0.25</v>
      </c>
      <c r="T2255" t="s">
        <v>33</v>
      </c>
      <c r="U2255">
        <v>4.5</v>
      </c>
      <c r="V2255">
        <v>33</v>
      </c>
      <c r="W2255">
        <v>0</v>
      </c>
      <c r="X2255">
        <v>33</v>
      </c>
      <c r="Y2255">
        <v>6</v>
      </c>
      <c r="Z2255">
        <v>0</v>
      </c>
      <c r="AA2255">
        <v>6</v>
      </c>
      <c r="AB2255" t="s">
        <v>36</v>
      </c>
      <c r="AC2255">
        <v>33</v>
      </c>
      <c r="AD2255">
        <v>2.6</v>
      </c>
    </row>
    <row r="2256" spans="1:30" x14ac:dyDescent="0.25">
      <c r="A2256" s="1">
        <v>44784.750763888886</v>
      </c>
      <c r="B2256" s="1">
        <v>44784.749942129631</v>
      </c>
      <c r="C2256">
        <v>151706</v>
      </c>
      <c r="D2256" t="s">
        <v>42</v>
      </c>
      <c r="E2256" t="s">
        <v>31</v>
      </c>
      <c r="F2256">
        <v>7</v>
      </c>
      <c r="G2256">
        <v>43.004080000000002</v>
      </c>
      <c r="H2256">
        <v>-71.177040000000005</v>
      </c>
      <c r="I2256">
        <v>194</v>
      </c>
      <c r="J2256">
        <v>84</v>
      </c>
      <c r="K2256">
        <v>0</v>
      </c>
      <c r="L2256" s="1">
        <v>44784.750717592593</v>
      </c>
      <c r="M2256">
        <v>10.3</v>
      </c>
      <c r="N2256">
        <v>0</v>
      </c>
      <c r="O2256">
        <v>10.3</v>
      </c>
      <c r="P2256">
        <v>200</v>
      </c>
      <c r="Q2256">
        <v>0.3</v>
      </c>
      <c r="R2256">
        <v>0</v>
      </c>
      <c r="S2256">
        <v>0.15</v>
      </c>
      <c r="T2256" t="s">
        <v>43</v>
      </c>
      <c r="V2256">
        <v>51</v>
      </c>
      <c r="W2256">
        <v>0</v>
      </c>
      <c r="X2256">
        <v>51</v>
      </c>
      <c r="Y2256">
        <v>0</v>
      </c>
      <c r="Z2256">
        <v>0</v>
      </c>
      <c r="AA2256">
        <v>0</v>
      </c>
      <c r="AB2256" t="s">
        <v>36</v>
      </c>
      <c r="AC2256">
        <v>51</v>
      </c>
    </row>
    <row r="2257" spans="1:30" x14ac:dyDescent="0.25">
      <c r="A2257" s="1">
        <v>44784.750763888886</v>
      </c>
      <c r="B2257" s="1">
        <v>44784.749745370369</v>
      </c>
      <c r="C2257">
        <v>12212</v>
      </c>
      <c r="D2257" t="s">
        <v>44</v>
      </c>
      <c r="E2257" t="s">
        <v>35</v>
      </c>
      <c r="F2257">
        <v>7</v>
      </c>
      <c r="G2257">
        <v>42.930529999999997</v>
      </c>
      <c r="H2257">
        <v>-72.272350000000003</v>
      </c>
      <c r="I2257">
        <v>476</v>
      </c>
      <c r="J2257">
        <v>89</v>
      </c>
      <c r="K2257">
        <v>0</v>
      </c>
      <c r="L2257" s="1">
        <v>44784.750717592593</v>
      </c>
      <c r="M2257">
        <v>5.8</v>
      </c>
      <c r="N2257">
        <v>5.0999999999999996</v>
      </c>
      <c r="O2257">
        <v>0.7</v>
      </c>
      <c r="P2257">
        <v>13</v>
      </c>
      <c r="Q2257">
        <v>0.4</v>
      </c>
      <c r="R2257">
        <v>0.3</v>
      </c>
      <c r="S2257">
        <v>0.35</v>
      </c>
      <c r="T2257" t="s">
        <v>33</v>
      </c>
      <c r="U2257">
        <v>5.45</v>
      </c>
      <c r="V2257">
        <v>32</v>
      </c>
      <c r="W2257">
        <v>0</v>
      </c>
      <c r="X2257">
        <v>32</v>
      </c>
      <c r="Y2257">
        <v>2</v>
      </c>
      <c r="Z2257">
        <v>0</v>
      </c>
      <c r="AA2257">
        <v>2</v>
      </c>
      <c r="AB2257" t="s">
        <v>36</v>
      </c>
      <c r="AC2257">
        <v>32</v>
      </c>
      <c r="AD2257">
        <v>3.24</v>
      </c>
    </row>
    <row r="2258" spans="1:30" x14ac:dyDescent="0.25">
      <c r="A2258" s="1">
        <v>44784.750763888886</v>
      </c>
      <c r="B2258" s="1">
        <v>44769.376736111109</v>
      </c>
      <c r="C2258">
        <v>12178</v>
      </c>
      <c r="D2258" t="s">
        <v>45</v>
      </c>
      <c r="E2258" t="s">
        <v>35</v>
      </c>
      <c r="F2258">
        <v>7</v>
      </c>
      <c r="G2258">
        <v>42.899563000000001</v>
      </c>
      <c r="H2258">
        <v>-71.464650000000006</v>
      </c>
      <c r="I2258">
        <v>301</v>
      </c>
      <c r="J2258">
        <v>85</v>
      </c>
      <c r="K2258">
        <v>0</v>
      </c>
      <c r="L2258" s="1">
        <v>44784.750717592593</v>
      </c>
      <c r="M2258">
        <v>3.8</v>
      </c>
      <c r="N2258">
        <v>3.1</v>
      </c>
      <c r="O2258">
        <v>0.7</v>
      </c>
      <c r="P2258">
        <v>20</v>
      </c>
      <c r="Q2258">
        <v>0</v>
      </c>
      <c r="R2258">
        <v>0</v>
      </c>
      <c r="S2258">
        <v>0</v>
      </c>
      <c r="T2258" t="s">
        <v>32</v>
      </c>
      <c r="V2258">
        <v>35</v>
      </c>
      <c r="W2258">
        <v>0</v>
      </c>
      <c r="X2258">
        <v>35</v>
      </c>
      <c r="Y2258">
        <v>0</v>
      </c>
      <c r="Z2258">
        <v>0</v>
      </c>
      <c r="AA2258">
        <v>0</v>
      </c>
      <c r="AB2258" t="s">
        <v>36</v>
      </c>
      <c r="AC2258">
        <v>35</v>
      </c>
    </row>
    <row r="2259" spans="1:30" x14ac:dyDescent="0.25">
      <c r="A2259" s="1">
        <v>44784.750775462962</v>
      </c>
      <c r="B2259" s="1">
        <v>44784.750405092593</v>
      </c>
      <c r="C2259">
        <v>75981</v>
      </c>
      <c r="D2259" t="s">
        <v>46</v>
      </c>
      <c r="E2259" t="s">
        <v>35</v>
      </c>
      <c r="F2259">
        <v>7</v>
      </c>
      <c r="G2259">
        <v>42.97</v>
      </c>
      <c r="H2259">
        <v>-71.06</v>
      </c>
      <c r="I2259">
        <v>136</v>
      </c>
      <c r="J2259">
        <v>90</v>
      </c>
      <c r="K2259">
        <v>0</v>
      </c>
      <c r="L2259" s="1">
        <v>44784.750717592593</v>
      </c>
      <c r="M2259">
        <v>10.7</v>
      </c>
      <c r="N2259">
        <v>9.6999999999999993</v>
      </c>
      <c r="O2259">
        <v>1</v>
      </c>
      <c r="P2259">
        <v>10</v>
      </c>
      <c r="Q2259">
        <v>0</v>
      </c>
      <c r="R2259">
        <v>0.4</v>
      </c>
      <c r="S2259">
        <v>0.2</v>
      </c>
      <c r="T2259" t="s">
        <v>33</v>
      </c>
      <c r="U2259">
        <v>10.199999999999999</v>
      </c>
      <c r="V2259">
        <v>44</v>
      </c>
      <c r="W2259">
        <v>0</v>
      </c>
      <c r="X2259">
        <v>44</v>
      </c>
      <c r="Y2259">
        <v>3</v>
      </c>
      <c r="Z2259">
        <v>0</v>
      </c>
      <c r="AA2259">
        <v>3</v>
      </c>
      <c r="AB2259" t="s">
        <v>36</v>
      </c>
      <c r="AC2259">
        <v>44</v>
      </c>
      <c r="AD2259">
        <v>5.3</v>
      </c>
    </row>
    <row r="2260" spans="1:30" x14ac:dyDescent="0.25">
      <c r="A2260" s="1">
        <v>44784.750775462962</v>
      </c>
      <c r="B2260" s="1">
        <v>44784.749560185184</v>
      </c>
      <c r="C2260">
        <v>115703</v>
      </c>
      <c r="D2260" t="s">
        <v>47</v>
      </c>
      <c r="E2260" t="s">
        <v>35</v>
      </c>
      <c r="F2260">
        <v>7</v>
      </c>
      <c r="G2260">
        <v>43.953625000000002</v>
      </c>
      <c r="H2260">
        <v>-71.508859999999999</v>
      </c>
      <c r="I2260">
        <v>1493</v>
      </c>
      <c r="J2260">
        <v>92</v>
      </c>
      <c r="K2260">
        <v>0</v>
      </c>
      <c r="L2260" s="1">
        <v>44784.750717592593</v>
      </c>
      <c r="M2260">
        <v>0.1</v>
      </c>
      <c r="N2260">
        <v>246.2</v>
      </c>
      <c r="O2260">
        <v>246.1</v>
      </c>
      <c r="P2260">
        <v>200</v>
      </c>
      <c r="Q2260">
        <v>0</v>
      </c>
      <c r="R2260">
        <v>23.6</v>
      </c>
      <c r="S2260">
        <v>11.8</v>
      </c>
      <c r="T2260" t="s">
        <v>60</v>
      </c>
      <c r="V2260">
        <v>31</v>
      </c>
      <c r="W2260">
        <v>0</v>
      </c>
      <c r="X2260">
        <v>31</v>
      </c>
      <c r="Y2260">
        <v>0</v>
      </c>
      <c r="Z2260">
        <v>0</v>
      </c>
      <c r="AA2260">
        <v>0</v>
      </c>
      <c r="AB2260" t="s">
        <v>36</v>
      </c>
      <c r="AC2260">
        <v>31</v>
      </c>
    </row>
    <row r="2261" spans="1:30" x14ac:dyDescent="0.25">
      <c r="A2261" s="1">
        <v>44784.750787037039</v>
      </c>
      <c r="B2261" s="1">
        <v>44784.748981481483</v>
      </c>
      <c r="C2261">
        <v>12050</v>
      </c>
      <c r="D2261" t="s">
        <v>49</v>
      </c>
      <c r="E2261" t="s">
        <v>35</v>
      </c>
      <c r="F2261">
        <v>7</v>
      </c>
      <c r="G2261">
        <v>44.220573000000002</v>
      </c>
      <c r="H2261">
        <v>-71.732315</v>
      </c>
      <c r="I2261">
        <v>999</v>
      </c>
      <c r="J2261">
        <v>85</v>
      </c>
      <c r="K2261">
        <v>0</v>
      </c>
      <c r="L2261" s="1">
        <v>44784.750717592593</v>
      </c>
      <c r="M2261">
        <v>4.0999999999999996</v>
      </c>
      <c r="N2261">
        <v>3.7</v>
      </c>
      <c r="O2261">
        <v>0.4</v>
      </c>
      <c r="P2261">
        <v>10</v>
      </c>
      <c r="Q2261">
        <v>0.1</v>
      </c>
      <c r="R2261">
        <v>0.2</v>
      </c>
      <c r="S2261">
        <v>0.15</v>
      </c>
      <c r="T2261" t="s">
        <v>33</v>
      </c>
      <c r="U2261">
        <v>3.9</v>
      </c>
      <c r="V2261">
        <v>41</v>
      </c>
      <c r="W2261">
        <v>0</v>
      </c>
      <c r="X2261">
        <v>41</v>
      </c>
      <c r="Y2261">
        <v>3</v>
      </c>
      <c r="Z2261">
        <v>0</v>
      </c>
      <c r="AA2261">
        <v>3</v>
      </c>
      <c r="AB2261" t="s">
        <v>36</v>
      </c>
      <c r="AC2261">
        <v>41</v>
      </c>
      <c r="AD2261">
        <v>1.67</v>
      </c>
    </row>
    <row r="2262" spans="1:30" x14ac:dyDescent="0.25">
      <c r="A2262" s="1">
        <v>44784.750787037039</v>
      </c>
      <c r="B2262" s="1">
        <v>44784.749097222222</v>
      </c>
      <c r="C2262">
        <v>23443</v>
      </c>
      <c r="D2262" t="s">
        <v>50</v>
      </c>
      <c r="E2262" t="s">
        <v>35</v>
      </c>
      <c r="F2262">
        <v>7</v>
      </c>
      <c r="G2262">
        <v>43.556139999999999</v>
      </c>
      <c r="H2262">
        <v>-72.370990000000006</v>
      </c>
      <c r="I2262">
        <v>523</v>
      </c>
      <c r="J2262">
        <v>88</v>
      </c>
      <c r="K2262">
        <v>0</v>
      </c>
      <c r="L2262" s="1">
        <v>44784.750717592593</v>
      </c>
      <c r="M2262">
        <v>3.4</v>
      </c>
      <c r="N2262">
        <v>3</v>
      </c>
      <c r="O2262">
        <v>0.4</v>
      </c>
      <c r="P2262">
        <v>12</v>
      </c>
      <c r="Q2262">
        <v>0.2</v>
      </c>
      <c r="R2262">
        <v>0.1</v>
      </c>
      <c r="S2262">
        <v>0.15</v>
      </c>
      <c r="T2262" t="s">
        <v>33</v>
      </c>
      <c r="U2262">
        <v>3.2</v>
      </c>
      <c r="V2262">
        <v>38</v>
      </c>
      <c r="W2262">
        <v>0</v>
      </c>
      <c r="X2262">
        <v>38</v>
      </c>
      <c r="Y2262">
        <v>2</v>
      </c>
      <c r="Z2262">
        <v>0</v>
      </c>
      <c r="AA2262">
        <v>2</v>
      </c>
      <c r="AB2262" t="s">
        <v>36</v>
      </c>
      <c r="AC2262">
        <v>38</v>
      </c>
      <c r="AD2262">
        <v>1.45</v>
      </c>
    </row>
    <row r="2263" spans="1:30" x14ac:dyDescent="0.25">
      <c r="A2263" s="1">
        <v>44784.750798611109</v>
      </c>
      <c r="B2263" s="1">
        <v>44784.749201388891</v>
      </c>
      <c r="C2263">
        <v>58135</v>
      </c>
      <c r="D2263" t="s">
        <v>51</v>
      </c>
      <c r="E2263" t="s">
        <v>35</v>
      </c>
      <c r="F2263">
        <v>7</v>
      </c>
      <c r="G2263">
        <v>42.883873000000001</v>
      </c>
      <c r="H2263">
        <v>-71.972915999999998</v>
      </c>
      <c r="I2263">
        <v>808</v>
      </c>
      <c r="J2263">
        <v>87</v>
      </c>
      <c r="K2263">
        <v>0</v>
      </c>
      <c r="L2263" s="1">
        <v>44784.750717592593</v>
      </c>
      <c r="M2263">
        <v>5.5</v>
      </c>
      <c r="N2263">
        <v>3.7</v>
      </c>
      <c r="O2263">
        <v>1.8</v>
      </c>
      <c r="P2263">
        <v>39</v>
      </c>
      <c r="Q2263">
        <v>0.4</v>
      </c>
      <c r="R2263">
        <v>0.5</v>
      </c>
      <c r="S2263">
        <v>0.45</v>
      </c>
      <c r="T2263" t="s">
        <v>33</v>
      </c>
      <c r="U2263">
        <v>4.5999999999999996</v>
      </c>
      <c r="V2263">
        <v>37</v>
      </c>
      <c r="W2263">
        <v>0</v>
      </c>
      <c r="X2263">
        <v>37</v>
      </c>
      <c r="Y2263">
        <v>1</v>
      </c>
      <c r="Z2263">
        <v>0</v>
      </c>
      <c r="AA2263">
        <v>1</v>
      </c>
      <c r="AB2263" t="s">
        <v>36</v>
      </c>
      <c r="AC2263">
        <v>37</v>
      </c>
      <c r="AD2263">
        <v>2.38</v>
      </c>
    </row>
    <row r="2264" spans="1:30" x14ac:dyDescent="0.25">
      <c r="A2264" s="1">
        <v>44784.750856481478</v>
      </c>
      <c r="B2264" s="1">
        <v>44784.750578703701</v>
      </c>
      <c r="C2264">
        <v>148555</v>
      </c>
      <c r="D2264" t="s">
        <v>52</v>
      </c>
      <c r="E2264" t="s">
        <v>53</v>
      </c>
      <c r="F2264">
        <v>7</v>
      </c>
      <c r="G2264">
        <v>42.904949999999999</v>
      </c>
      <c r="H2264">
        <v>-71.386764999999997</v>
      </c>
      <c r="I2264">
        <v>363</v>
      </c>
      <c r="J2264">
        <v>0</v>
      </c>
      <c r="K2264">
        <v>0</v>
      </c>
      <c r="L2264" s="1">
        <v>44784.750717592593</v>
      </c>
      <c r="M2264">
        <v>1.8</v>
      </c>
      <c r="N2264">
        <v>2.2999999999999998</v>
      </c>
      <c r="O2264">
        <v>0.5</v>
      </c>
      <c r="P2264">
        <v>24</v>
      </c>
      <c r="Q2264">
        <v>0.1</v>
      </c>
      <c r="R2264">
        <v>0.2</v>
      </c>
      <c r="S2264">
        <v>0.15</v>
      </c>
      <c r="T2264" t="s">
        <v>33</v>
      </c>
      <c r="U2264">
        <v>2.0499999999999998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 t="s">
        <v>38</v>
      </c>
    </row>
    <row r="2265" spans="1:30" x14ac:dyDescent="0.25">
      <c r="A2265" s="1">
        <v>44784.750856481478</v>
      </c>
      <c r="B2265" s="1">
        <v>44784.750081018516</v>
      </c>
      <c r="C2265">
        <v>146644</v>
      </c>
      <c r="D2265" t="s">
        <v>54</v>
      </c>
      <c r="E2265" t="s">
        <v>53</v>
      </c>
      <c r="F2265">
        <v>7</v>
      </c>
      <c r="G2265">
        <v>43.06015</v>
      </c>
      <c r="H2265">
        <v>-70.758930000000007</v>
      </c>
      <c r="I2265">
        <v>35</v>
      </c>
      <c r="J2265">
        <v>77</v>
      </c>
      <c r="K2265">
        <v>79</v>
      </c>
      <c r="L2265" s="1">
        <v>44784.750717592593</v>
      </c>
      <c r="M2265">
        <v>12.3</v>
      </c>
      <c r="N2265">
        <v>11</v>
      </c>
      <c r="O2265">
        <v>1.3</v>
      </c>
      <c r="P2265">
        <v>11</v>
      </c>
      <c r="Q2265">
        <v>0.2</v>
      </c>
      <c r="R2265">
        <v>0.1</v>
      </c>
      <c r="S2265">
        <v>0.15</v>
      </c>
      <c r="T2265" t="s">
        <v>33</v>
      </c>
      <c r="U2265">
        <v>11.65</v>
      </c>
      <c r="V2265">
        <v>58</v>
      </c>
      <c r="W2265">
        <v>64</v>
      </c>
      <c r="X2265">
        <v>6</v>
      </c>
      <c r="Y2265">
        <v>1</v>
      </c>
      <c r="Z2265">
        <v>0</v>
      </c>
      <c r="AA2265">
        <v>1</v>
      </c>
      <c r="AB2265" t="s">
        <v>33</v>
      </c>
      <c r="AC2265">
        <v>61</v>
      </c>
      <c r="AD2265">
        <v>5</v>
      </c>
    </row>
    <row r="2266" spans="1:30" x14ac:dyDescent="0.25">
      <c r="A2266" s="1">
        <v>44784.750856481478</v>
      </c>
      <c r="B2266" s="1">
        <v>43755.283437500002</v>
      </c>
      <c r="C2266">
        <v>12188</v>
      </c>
      <c r="D2266" t="s">
        <v>55</v>
      </c>
      <c r="E2266" t="s">
        <v>35</v>
      </c>
      <c r="F2266">
        <v>4.1100000000000003</v>
      </c>
      <c r="G2266">
        <v>42.927050000000001</v>
      </c>
      <c r="H2266">
        <v>-72.279610000000005</v>
      </c>
      <c r="I2266">
        <v>475</v>
      </c>
      <c r="J2266">
        <v>95</v>
      </c>
      <c r="K2266">
        <v>0</v>
      </c>
      <c r="L2266" s="1">
        <v>44784.750717592593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 t="s">
        <v>32</v>
      </c>
      <c r="V2266">
        <v>77</v>
      </c>
      <c r="W2266">
        <v>0</v>
      </c>
      <c r="X2266">
        <v>77</v>
      </c>
      <c r="Y2266">
        <v>0</v>
      </c>
      <c r="Z2266">
        <v>0</v>
      </c>
      <c r="AA2266">
        <v>0</v>
      </c>
      <c r="AB2266" t="s">
        <v>36</v>
      </c>
      <c r="AC2266">
        <v>77</v>
      </c>
    </row>
    <row r="2267" spans="1:30" x14ac:dyDescent="0.25">
      <c r="A2267" s="1">
        <v>44784.750868055555</v>
      </c>
      <c r="B2267" s="1">
        <v>44784.750474537039</v>
      </c>
      <c r="C2267">
        <v>1224</v>
      </c>
      <c r="D2267" t="s">
        <v>56</v>
      </c>
      <c r="E2267" t="s">
        <v>35</v>
      </c>
      <c r="F2267" t="s">
        <v>57</v>
      </c>
      <c r="G2267">
        <v>42.938034000000002</v>
      </c>
      <c r="H2267">
        <v>-72.259299999999996</v>
      </c>
      <c r="I2267">
        <v>792</v>
      </c>
      <c r="J2267">
        <v>93</v>
      </c>
      <c r="K2267">
        <v>0</v>
      </c>
      <c r="L2267" s="1">
        <v>44784.750717592593</v>
      </c>
      <c r="M2267">
        <v>5.8</v>
      </c>
      <c r="N2267">
        <v>0.1</v>
      </c>
      <c r="O2267">
        <v>5.7</v>
      </c>
      <c r="P2267">
        <v>193</v>
      </c>
      <c r="Q2267">
        <v>0.3</v>
      </c>
      <c r="R2267">
        <v>0</v>
      </c>
      <c r="S2267">
        <v>0.15</v>
      </c>
      <c r="T2267" t="s">
        <v>33</v>
      </c>
      <c r="U2267">
        <v>2.95</v>
      </c>
      <c r="V2267">
        <v>36</v>
      </c>
      <c r="W2267">
        <v>0</v>
      </c>
      <c r="X2267">
        <v>36</v>
      </c>
      <c r="Y2267">
        <v>1</v>
      </c>
      <c r="Z2267">
        <v>0</v>
      </c>
      <c r="AA2267">
        <v>1</v>
      </c>
      <c r="AB2267" t="s">
        <v>36</v>
      </c>
      <c r="AC2267">
        <v>36</v>
      </c>
      <c r="AD2267">
        <v>1.44</v>
      </c>
    </row>
    <row r="2268" spans="1:30" x14ac:dyDescent="0.25">
      <c r="A2268" s="1">
        <v>44784.750868055555</v>
      </c>
      <c r="B2268" s="1">
        <v>44784.749907407408</v>
      </c>
      <c r="C2268">
        <v>1202</v>
      </c>
      <c r="D2268" t="s">
        <v>58</v>
      </c>
      <c r="E2268" t="s">
        <v>35</v>
      </c>
      <c r="F2268" t="s">
        <v>57</v>
      </c>
      <c r="G2268">
        <v>42.936554000000001</v>
      </c>
      <c r="H2268">
        <v>-72.271019999999993</v>
      </c>
      <c r="I2268">
        <v>488</v>
      </c>
      <c r="J2268">
        <v>0</v>
      </c>
      <c r="K2268">
        <v>0</v>
      </c>
      <c r="L2268" s="1">
        <v>44784.750717592593</v>
      </c>
      <c r="M2268">
        <v>6.3</v>
      </c>
      <c r="N2268">
        <v>5.6</v>
      </c>
      <c r="O2268">
        <v>0.7</v>
      </c>
      <c r="P2268">
        <v>12</v>
      </c>
      <c r="Q2268">
        <v>0.2</v>
      </c>
      <c r="R2268">
        <v>0.1</v>
      </c>
      <c r="S2268">
        <v>0.15</v>
      </c>
      <c r="T2268" t="s">
        <v>33</v>
      </c>
      <c r="U2268">
        <v>5.95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 t="s">
        <v>38</v>
      </c>
    </row>
    <row r="2269" spans="1:30" x14ac:dyDescent="0.25">
      <c r="A2269" s="1">
        <v>44784.750879629632</v>
      </c>
      <c r="B2269" s="1">
        <v>44612.080023148148</v>
      </c>
      <c r="C2269">
        <v>25985</v>
      </c>
      <c r="D2269" t="s">
        <v>59</v>
      </c>
      <c r="E2269" t="s">
        <v>35</v>
      </c>
      <c r="F2269">
        <v>6.01</v>
      </c>
      <c r="G2269">
        <v>42.927326000000001</v>
      </c>
      <c r="H2269">
        <v>-72.279979999999995</v>
      </c>
      <c r="I2269">
        <v>477</v>
      </c>
      <c r="J2269">
        <v>78</v>
      </c>
      <c r="K2269">
        <v>0</v>
      </c>
      <c r="L2269" s="1">
        <v>44784.750717592593</v>
      </c>
      <c r="M2269">
        <v>1.1000000000000001</v>
      </c>
      <c r="N2269">
        <v>1</v>
      </c>
      <c r="O2269">
        <v>0.1</v>
      </c>
      <c r="P2269">
        <v>10</v>
      </c>
      <c r="Q2269">
        <v>0</v>
      </c>
      <c r="R2269">
        <v>0</v>
      </c>
      <c r="S2269">
        <v>0</v>
      </c>
      <c r="T2269" t="s">
        <v>32</v>
      </c>
      <c r="V2269">
        <v>22</v>
      </c>
      <c r="W2269">
        <v>0</v>
      </c>
      <c r="X2269">
        <v>22</v>
      </c>
      <c r="Y2269">
        <v>0</v>
      </c>
      <c r="Z2269">
        <v>0</v>
      </c>
      <c r="AA2269">
        <v>0</v>
      </c>
      <c r="AB2269" t="s">
        <v>36</v>
      </c>
      <c r="AC2269">
        <v>22</v>
      </c>
    </row>
    <row r="2270" spans="1:30" x14ac:dyDescent="0.25">
      <c r="A2270" s="1">
        <v>44784.757673611108</v>
      </c>
      <c r="B2270" s="1">
        <v>44775.701319444444</v>
      </c>
      <c r="C2270">
        <v>151708</v>
      </c>
      <c r="D2270" t="s">
        <v>30</v>
      </c>
      <c r="E2270" t="s">
        <v>31</v>
      </c>
      <c r="F2270">
        <v>7</v>
      </c>
      <c r="G2270">
        <v>43.192042999999998</v>
      </c>
      <c r="H2270">
        <v>-71.541579999999996</v>
      </c>
      <c r="I2270">
        <v>291</v>
      </c>
      <c r="J2270">
        <v>93</v>
      </c>
      <c r="K2270">
        <v>94</v>
      </c>
      <c r="L2270" s="1">
        <v>44784.757662037038</v>
      </c>
      <c r="M2270">
        <v>7.9</v>
      </c>
      <c r="N2270">
        <v>7.6</v>
      </c>
      <c r="O2270">
        <v>0.3</v>
      </c>
      <c r="P2270">
        <v>4</v>
      </c>
      <c r="Q2270">
        <v>0</v>
      </c>
      <c r="R2270">
        <v>0</v>
      </c>
      <c r="S2270">
        <v>0</v>
      </c>
      <c r="T2270" t="s">
        <v>32</v>
      </c>
      <c r="V2270">
        <v>42</v>
      </c>
      <c r="W2270">
        <v>41</v>
      </c>
      <c r="X2270">
        <v>1</v>
      </c>
      <c r="Y2270">
        <v>0</v>
      </c>
      <c r="Z2270">
        <v>0</v>
      </c>
      <c r="AA2270">
        <v>0</v>
      </c>
      <c r="AB2270" t="s">
        <v>33</v>
      </c>
      <c r="AC2270">
        <v>41.5</v>
      </c>
    </row>
    <row r="2271" spans="1:30" x14ac:dyDescent="0.25">
      <c r="A2271" s="1">
        <v>44784.757673611108</v>
      </c>
      <c r="B2271" s="1">
        <v>44784.756064814814</v>
      </c>
      <c r="C2271">
        <v>143456</v>
      </c>
      <c r="D2271" t="s">
        <v>34</v>
      </c>
      <c r="E2271" t="s">
        <v>35</v>
      </c>
      <c r="F2271">
        <v>7</v>
      </c>
      <c r="G2271">
        <v>43.08963</v>
      </c>
      <c r="H2271">
        <v>-71.502440000000007</v>
      </c>
      <c r="I2271">
        <v>619</v>
      </c>
      <c r="J2271">
        <v>84</v>
      </c>
      <c r="K2271">
        <v>0</v>
      </c>
      <c r="L2271" s="1">
        <v>44784.757662037038</v>
      </c>
      <c r="M2271">
        <v>3.2</v>
      </c>
      <c r="N2271">
        <v>3.5</v>
      </c>
      <c r="O2271">
        <v>0.3</v>
      </c>
      <c r="P2271">
        <v>9</v>
      </c>
      <c r="Q2271">
        <v>0</v>
      </c>
      <c r="R2271">
        <v>0.1</v>
      </c>
      <c r="S2271">
        <v>0.05</v>
      </c>
      <c r="T2271" t="s">
        <v>33</v>
      </c>
      <c r="U2271">
        <v>3.35</v>
      </c>
      <c r="V2271">
        <v>47</v>
      </c>
      <c r="W2271">
        <v>0</v>
      </c>
      <c r="X2271">
        <v>47</v>
      </c>
      <c r="Y2271">
        <v>2</v>
      </c>
      <c r="Z2271">
        <v>0</v>
      </c>
      <c r="AA2271">
        <v>2</v>
      </c>
      <c r="AB2271" t="s">
        <v>36</v>
      </c>
      <c r="AC2271">
        <v>47</v>
      </c>
      <c r="AD2271">
        <v>0.91</v>
      </c>
    </row>
    <row r="2272" spans="1:30" x14ac:dyDescent="0.25">
      <c r="A2272" s="1">
        <v>44784.757673611108</v>
      </c>
      <c r="B2272" s="1">
        <v>44784.756215277775</v>
      </c>
      <c r="C2272">
        <v>151702</v>
      </c>
      <c r="D2272" t="s">
        <v>37</v>
      </c>
      <c r="E2272" t="s">
        <v>31</v>
      </c>
      <c r="F2272">
        <v>7</v>
      </c>
      <c r="G2272">
        <v>43.118609999999997</v>
      </c>
      <c r="H2272">
        <v>-71.61618</v>
      </c>
      <c r="I2272">
        <v>885</v>
      </c>
      <c r="J2272">
        <v>0</v>
      </c>
      <c r="K2272">
        <v>0</v>
      </c>
      <c r="L2272" s="1">
        <v>44784.757662037038</v>
      </c>
      <c r="M2272">
        <v>3.5</v>
      </c>
      <c r="N2272">
        <v>3.7</v>
      </c>
      <c r="O2272">
        <v>0.2</v>
      </c>
      <c r="P2272">
        <v>6</v>
      </c>
      <c r="Q2272">
        <v>0</v>
      </c>
      <c r="R2272">
        <v>0</v>
      </c>
      <c r="S2272">
        <v>0</v>
      </c>
      <c r="T2272" t="s">
        <v>33</v>
      </c>
      <c r="U2272">
        <v>3.6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 t="s">
        <v>38</v>
      </c>
    </row>
    <row r="2273" spans="1:30" x14ac:dyDescent="0.25">
      <c r="A2273" s="1">
        <v>44784.757685185185</v>
      </c>
      <c r="B2273" s="1">
        <v>44784.756111111114</v>
      </c>
      <c r="C2273">
        <v>151700</v>
      </c>
      <c r="D2273" t="s">
        <v>30</v>
      </c>
      <c r="E2273" t="s">
        <v>31</v>
      </c>
      <c r="F2273">
        <v>7</v>
      </c>
      <c r="G2273">
        <v>43.19211</v>
      </c>
      <c r="H2273">
        <v>-71.541460000000001</v>
      </c>
      <c r="I2273">
        <v>286</v>
      </c>
      <c r="J2273">
        <v>86</v>
      </c>
      <c r="K2273">
        <v>0</v>
      </c>
      <c r="L2273" s="1">
        <v>44784.757662037038</v>
      </c>
      <c r="M2273">
        <v>2.7</v>
      </c>
      <c r="N2273">
        <v>3</v>
      </c>
      <c r="O2273">
        <v>0.3</v>
      </c>
      <c r="P2273">
        <v>11</v>
      </c>
      <c r="Q2273">
        <v>0</v>
      </c>
      <c r="R2273">
        <v>0.1</v>
      </c>
      <c r="S2273">
        <v>0.05</v>
      </c>
      <c r="T2273" t="s">
        <v>33</v>
      </c>
      <c r="U2273">
        <v>2.85</v>
      </c>
      <c r="V2273">
        <v>40</v>
      </c>
      <c r="W2273">
        <v>0</v>
      </c>
      <c r="X2273">
        <v>40</v>
      </c>
      <c r="Y2273">
        <v>0</v>
      </c>
      <c r="Z2273">
        <v>0</v>
      </c>
      <c r="AA2273">
        <v>0</v>
      </c>
      <c r="AB2273" t="s">
        <v>36</v>
      </c>
      <c r="AC2273">
        <v>40</v>
      </c>
      <c r="AD2273">
        <v>1.1000000000000001</v>
      </c>
    </row>
    <row r="2274" spans="1:30" x14ac:dyDescent="0.25">
      <c r="A2274" s="1">
        <v>44784.757685185185</v>
      </c>
      <c r="B2274" s="1">
        <v>44784.756550925929</v>
      </c>
      <c r="C2274">
        <v>135984</v>
      </c>
      <c r="D2274" t="s">
        <v>39</v>
      </c>
      <c r="E2274" t="s">
        <v>31</v>
      </c>
      <c r="F2274">
        <v>7</v>
      </c>
      <c r="G2274">
        <v>43.565852999999997</v>
      </c>
      <c r="H2274">
        <v>-71.496129999999994</v>
      </c>
      <c r="I2274">
        <v>708</v>
      </c>
      <c r="J2274">
        <v>81</v>
      </c>
      <c r="K2274">
        <v>0</v>
      </c>
      <c r="L2274" s="1">
        <v>44784.757662037038</v>
      </c>
      <c r="M2274">
        <v>4.4000000000000004</v>
      </c>
      <c r="N2274">
        <v>4.0999999999999996</v>
      </c>
      <c r="O2274">
        <v>0.3</v>
      </c>
      <c r="P2274">
        <v>7</v>
      </c>
      <c r="Q2274">
        <v>0.1</v>
      </c>
      <c r="R2274">
        <v>0.1</v>
      </c>
      <c r="S2274">
        <v>0.1</v>
      </c>
      <c r="T2274" t="s">
        <v>33</v>
      </c>
      <c r="U2274">
        <v>4.25</v>
      </c>
      <c r="V2274">
        <v>57</v>
      </c>
      <c r="W2274">
        <v>0</v>
      </c>
      <c r="X2274">
        <v>57</v>
      </c>
      <c r="Y2274">
        <v>0</v>
      </c>
      <c r="Z2274">
        <v>0</v>
      </c>
      <c r="AA2274">
        <v>0</v>
      </c>
      <c r="AB2274" t="s">
        <v>36</v>
      </c>
      <c r="AC2274">
        <v>57</v>
      </c>
      <c r="AD2274">
        <v>0.76</v>
      </c>
    </row>
    <row r="2275" spans="1:30" x14ac:dyDescent="0.25">
      <c r="A2275" s="1">
        <v>44784.757696759261</v>
      </c>
      <c r="B2275" s="1">
        <v>44780.394780092596</v>
      </c>
      <c r="C2275">
        <v>151712</v>
      </c>
      <c r="D2275" t="s">
        <v>40</v>
      </c>
      <c r="E2275" t="s">
        <v>31</v>
      </c>
      <c r="F2275">
        <v>7</v>
      </c>
      <c r="G2275">
        <v>43.289763999999998</v>
      </c>
      <c r="H2275">
        <v>-71.564260000000004</v>
      </c>
      <c r="I2275">
        <v>370</v>
      </c>
      <c r="J2275">
        <v>86</v>
      </c>
      <c r="K2275">
        <v>0</v>
      </c>
      <c r="L2275" s="1">
        <v>44784.757662037038</v>
      </c>
      <c r="M2275">
        <v>14</v>
      </c>
      <c r="N2275">
        <v>13.2</v>
      </c>
      <c r="O2275">
        <v>0.8</v>
      </c>
      <c r="P2275">
        <v>6</v>
      </c>
      <c r="Q2275">
        <v>0</v>
      </c>
      <c r="R2275">
        <v>0</v>
      </c>
      <c r="S2275">
        <v>0</v>
      </c>
      <c r="T2275" t="s">
        <v>32</v>
      </c>
      <c r="V2275">
        <v>59</v>
      </c>
      <c r="W2275">
        <v>0</v>
      </c>
      <c r="X2275">
        <v>59</v>
      </c>
      <c r="Y2275">
        <v>0</v>
      </c>
      <c r="Z2275">
        <v>0</v>
      </c>
      <c r="AA2275">
        <v>0</v>
      </c>
      <c r="AB2275" t="s">
        <v>36</v>
      </c>
      <c r="AC2275">
        <v>59</v>
      </c>
    </row>
    <row r="2276" spans="1:30" x14ac:dyDescent="0.25">
      <c r="A2276" s="1">
        <v>44784.757696759261</v>
      </c>
      <c r="B2276" s="1">
        <v>44784.755868055552</v>
      </c>
      <c r="C2276">
        <v>151710</v>
      </c>
      <c r="D2276" t="s">
        <v>41</v>
      </c>
      <c r="E2276" t="s">
        <v>31</v>
      </c>
      <c r="F2276">
        <v>7</v>
      </c>
      <c r="G2276">
        <v>43.132477000000002</v>
      </c>
      <c r="H2276">
        <v>-71.458374000000006</v>
      </c>
      <c r="I2276">
        <v>230</v>
      </c>
      <c r="J2276">
        <v>89</v>
      </c>
      <c r="K2276">
        <v>0</v>
      </c>
      <c r="L2276" s="1">
        <v>44784.757662037038</v>
      </c>
      <c r="M2276">
        <v>5.5</v>
      </c>
      <c r="N2276">
        <v>3.7</v>
      </c>
      <c r="O2276">
        <v>1.8</v>
      </c>
      <c r="P2276">
        <v>39</v>
      </c>
      <c r="Q2276">
        <v>0.2</v>
      </c>
      <c r="R2276">
        <v>0</v>
      </c>
      <c r="S2276">
        <v>0.1</v>
      </c>
      <c r="T2276" t="s">
        <v>33</v>
      </c>
      <c r="U2276">
        <v>4.5999999999999996</v>
      </c>
      <c r="V2276">
        <v>34</v>
      </c>
      <c r="W2276">
        <v>0</v>
      </c>
      <c r="X2276">
        <v>34</v>
      </c>
      <c r="Y2276">
        <v>1</v>
      </c>
      <c r="Z2276">
        <v>0</v>
      </c>
      <c r="AA2276">
        <v>1</v>
      </c>
      <c r="AB2276" t="s">
        <v>36</v>
      </c>
      <c r="AC2276">
        <v>34</v>
      </c>
      <c r="AD2276">
        <v>2.59</v>
      </c>
    </row>
    <row r="2277" spans="1:30" x14ac:dyDescent="0.25">
      <c r="A2277" s="1">
        <v>44784.757696759261</v>
      </c>
      <c r="B2277" s="1">
        <v>44784.756886574076</v>
      </c>
      <c r="C2277">
        <v>151706</v>
      </c>
      <c r="D2277" t="s">
        <v>42</v>
      </c>
      <c r="E2277" t="s">
        <v>31</v>
      </c>
      <c r="F2277">
        <v>7</v>
      </c>
      <c r="G2277">
        <v>43.004080000000002</v>
      </c>
      <c r="H2277">
        <v>-71.177040000000005</v>
      </c>
      <c r="I2277">
        <v>194</v>
      </c>
      <c r="J2277">
        <v>83</v>
      </c>
      <c r="K2277">
        <v>0</v>
      </c>
      <c r="L2277" s="1">
        <v>44784.757662037038</v>
      </c>
      <c r="M2277">
        <v>10.3</v>
      </c>
      <c r="N2277">
        <v>0</v>
      </c>
      <c r="O2277">
        <v>10.3</v>
      </c>
      <c r="P2277">
        <v>200</v>
      </c>
      <c r="Q2277">
        <v>0</v>
      </c>
      <c r="R2277">
        <v>0</v>
      </c>
      <c r="S2277">
        <v>0</v>
      </c>
      <c r="T2277" t="s">
        <v>43</v>
      </c>
      <c r="V2277">
        <v>51</v>
      </c>
      <c r="W2277">
        <v>0</v>
      </c>
      <c r="X2277">
        <v>51</v>
      </c>
      <c r="Y2277">
        <v>0</v>
      </c>
      <c r="Z2277">
        <v>0</v>
      </c>
      <c r="AA2277">
        <v>0</v>
      </c>
      <c r="AB2277" t="s">
        <v>36</v>
      </c>
      <c r="AC2277">
        <v>51</v>
      </c>
    </row>
    <row r="2278" spans="1:30" x14ac:dyDescent="0.25">
      <c r="A2278" s="1">
        <v>44784.757708333331</v>
      </c>
      <c r="B2278" s="1">
        <v>44784.756701388891</v>
      </c>
      <c r="C2278">
        <v>12212</v>
      </c>
      <c r="D2278" t="s">
        <v>44</v>
      </c>
      <c r="E2278" t="s">
        <v>35</v>
      </c>
      <c r="F2278">
        <v>7</v>
      </c>
      <c r="G2278">
        <v>42.930529999999997</v>
      </c>
      <c r="H2278">
        <v>-72.272350000000003</v>
      </c>
      <c r="I2278">
        <v>476</v>
      </c>
      <c r="J2278">
        <v>90</v>
      </c>
      <c r="K2278">
        <v>0</v>
      </c>
      <c r="L2278" s="1">
        <v>44784.757662037038</v>
      </c>
      <c r="M2278">
        <v>6</v>
      </c>
      <c r="N2278">
        <v>5.4</v>
      </c>
      <c r="O2278">
        <v>0.6</v>
      </c>
      <c r="P2278">
        <v>11</v>
      </c>
      <c r="Q2278">
        <v>0.2</v>
      </c>
      <c r="R2278">
        <v>0.3</v>
      </c>
      <c r="S2278">
        <v>0.25</v>
      </c>
      <c r="T2278" t="s">
        <v>33</v>
      </c>
      <c r="U2278">
        <v>5.7</v>
      </c>
      <c r="V2278">
        <v>32</v>
      </c>
      <c r="W2278">
        <v>0</v>
      </c>
      <c r="X2278">
        <v>32</v>
      </c>
      <c r="Y2278">
        <v>0</v>
      </c>
      <c r="Z2278">
        <v>0</v>
      </c>
      <c r="AA2278">
        <v>0</v>
      </c>
      <c r="AB2278" t="s">
        <v>36</v>
      </c>
      <c r="AC2278">
        <v>32</v>
      </c>
      <c r="AD2278">
        <v>3.4</v>
      </c>
    </row>
    <row r="2279" spans="1:30" x14ac:dyDescent="0.25">
      <c r="A2279" s="1">
        <v>44784.757708333331</v>
      </c>
      <c r="B2279" s="1">
        <v>44769.376736111109</v>
      </c>
      <c r="C2279">
        <v>12178</v>
      </c>
      <c r="D2279" t="s">
        <v>45</v>
      </c>
      <c r="E2279" t="s">
        <v>35</v>
      </c>
      <c r="F2279">
        <v>7</v>
      </c>
      <c r="G2279">
        <v>42.899563000000001</v>
      </c>
      <c r="H2279">
        <v>-71.464650000000006</v>
      </c>
      <c r="I2279">
        <v>301</v>
      </c>
      <c r="J2279">
        <v>85</v>
      </c>
      <c r="K2279">
        <v>0</v>
      </c>
      <c r="L2279" s="1">
        <v>44784.757662037038</v>
      </c>
      <c r="M2279">
        <v>3.8</v>
      </c>
      <c r="N2279">
        <v>3.1</v>
      </c>
      <c r="O2279">
        <v>0.7</v>
      </c>
      <c r="P2279">
        <v>20</v>
      </c>
      <c r="Q2279">
        <v>0</v>
      </c>
      <c r="R2279">
        <v>0</v>
      </c>
      <c r="S2279">
        <v>0</v>
      </c>
      <c r="T2279" t="s">
        <v>32</v>
      </c>
      <c r="V2279">
        <v>35</v>
      </c>
      <c r="W2279">
        <v>0</v>
      </c>
      <c r="X2279">
        <v>35</v>
      </c>
      <c r="Y2279">
        <v>0</v>
      </c>
      <c r="Z2279">
        <v>0</v>
      </c>
      <c r="AA2279">
        <v>0</v>
      </c>
      <c r="AB2279" t="s">
        <v>36</v>
      </c>
      <c r="AC2279">
        <v>35</v>
      </c>
    </row>
    <row r="2280" spans="1:30" x14ac:dyDescent="0.25">
      <c r="A2280" s="1">
        <v>44784.757719907408</v>
      </c>
      <c r="B2280" s="1">
        <v>44784.755960648145</v>
      </c>
      <c r="C2280">
        <v>75981</v>
      </c>
      <c r="D2280" t="s">
        <v>46</v>
      </c>
      <c r="E2280" t="s">
        <v>35</v>
      </c>
      <c r="F2280">
        <v>7</v>
      </c>
      <c r="G2280">
        <v>42.97</v>
      </c>
      <c r="H2280">
        <v>-71.06</v>
      </c>
      <c r="I2280">
        <v>136</v>
      </c>
      <c r="J2280">
        <v>92</v>
      </c>
      <c r="K2280">
        <v>0</v>
      </c>
      <c r="L2280" s="1">
        <v>44784.757662037038</v>
      </c>
      <c r="M2280">
        <v>10.3</v>
      </c>
      <c r="N2280">
        <v>9.6999999999999993</v>
      </c>
      <c r="O2280">
        <v>0.6</v>
      </c>
      <c r="P2280">
        <v>6</v>
      </c>
      <c r="Q2280">
        <v>0.4</v>
      </c>
      <c r="R2280">
        <v>0</v>
      </c>
      <c r="S2280">
        <v>0.2</v>
      </c>
      <c r="T2280" t="s">
        <v>33</v>
      </c>
      <c r="U2280">
        <v>10</v>
      </c>
      <c r="V2280">
        <v>44</v>
      </c>
      <c r="W2280">
        <v>0</v>
      </c>
      <c r="X2280">
        <v>44</v>
      </c>
      <c r="Y2280">
        <v>0</v>
      </c>
      <c r="Z2280">
        <v>0</v>
      </c>
      <c r="AA2280">
        <v>0</v>
      </c>
      <c r="AB2280" t="s">
        <v>36</v>
      </c>
      <c r="AC2280">
        <v>44</v>
      </c>
      <c r="AD2280">
        <v>5.18</v>
      </c>
    </row>
    <row r="2281" spans="1:30" x14ac:dyDescent="0.25">
      <c r="A2281" s="1">
        <v>44784.757719907408</v>
      </c>
      <c r="B2281" s="1">
        <v>44784.756504629629</v>
      </c>
      <c r="C2281">
        <v>115703</v>
      </c>
      <c r="D2281" t="s">
        <v>47</v>
      </c>
      <c r="E2281" t="s">
        <v>35</v>
      </c>
      <c r="F2281">
        <v>7</v>
      </c>
      <c r="G2281">
        <v>43.953625000000002</v>
      </c>
      <c r="H2281">
        <v>-71.508859999999999</v>
      </c>
      <c r="I2281">
        <v>1493</v>
      </c>
      <c r="J2281">
        <v>90</v>
      </c>
      <c r="K2281">
        <v>0</v>
      </c>
      <c r="L2281" s="1">
        <v>44784.757662037038</v>
      </c>
      <c r="M2281">
        <v>0.1</v>
      </c>
      <c r="N2281">
        <v>145.4</v>
      </c>
      <c r="O2281">
        <v>145.30000000000001</v>
      </c>
      <c r="P2281">
        <v>200</v>
      </c>
      <c r="Q2281">
        <v>0</v>
      </c>
      <c r="R2281">
        <v>100.8</v>
      </c>
      <c r="S2281">
        <v>50.4</v>
      </c>
      <c r="T2281" t="s">
        <v>60</v>
      </c>
      <c r="V2281">
        <v>30</v>
      </c>
      <c r="W2281">
        <v>0</v>
      </c>
      <c r="X2281">
        <v>30</v>
      </c>
      <c r="Y2281">
        <v>1</v>
      </c>
      <c r="Z2281">
        <v>0</v>
      </c>
      <c r="AA2281">
        <v>1</v>
      </c>
      <c r="AB2281" t="s">
        <v>36</v>
      </c>
      <c r="AC2281">
        <v>30</v>
      </c>
    </row>
    <row r="2282" spans="1:30" x14ac:dyDescent="0.25">
      <c r="A2282" s="1">
        <v>44784.757731481484</v>
      </c>
      <c r="B2282" s="1">
        <v>44784.755925925929</v>
      </c>
      <c r="C2282">
        <v>12050</v>
      </c>
      <c r="D2282" t="s">
        <v>49</v>
      </c>
      <c r="E2282" t="s">
        <v>35</v>
      </c>
      <c r="F2282">
        <v>7</v>
      </c>
      <c r="G2282">
        <v>44.220573000000002</v>
      </c>
      <c r="H2282">
        <v>-71.732315</v>
      </c>
      <c r="I2282">
        <v>999</v>
      </c>
      <c r="J2282">
        <v>84</v>
      </c>
      <c r="K2282">
        <v>0</v>
      </c>
      <c r="L2282" s="1">
        <v>44784.757662037038</v>
      </c>
      <c r="M2282">
        <v>4.2</v>
      </c>
      <c r="N2282">
        <v>3.9</v>
      </c>
      <c r="O2282">
        <v>0.3</v>
      </c>
      <c r="P2282">
        <v>7</v>
      </c>
      <c r="Q2282">
        <v>0.1</v>
      </c>
      <c r="R2282">
        <v>0.2</v>
      </c>
      <c r="S2282">
        <v>0.15</v>
      </c>
      <c r="T2282" t="s">
        <v>33</v>
      </c>
      <c r="U2282">
        <v>4.05</v>
      </c>
      <c r="V2282">
        <v>43</v>
      </c>
      <c r="W2282">
        <v>0</v>
      </c>
      <c r="X2282">
        <v>43</v>
      </c>
      <c r="Y2282">
        <v>2</v>
      </c>
      <c r="Z2282">
        <v>0</v>
      </c>
      <c r="AA2282">
        <v>2</v>
      </c>
      <c r="AB2282" t="s">
        <v>36</v>
      </c>
      <c r="AC2282">
        <v>43</v>
      </c>
      <c r="AD2282">
        <v>1.62</v>
      </c>
    </row>
    <row r="2283" spans="1:30" x14ac:dyDescent="0.25">
      <c r="A2283" s="1">
        <v>44784.757731481484</v>
      </c>
      <c r="B2283" s="1">
        <v>44784.756041666667</v>
      </c>
      <c r="C2283">
        <v>23443</v>
      </c>
      <c r="D2283" t="s">
        <v>50</v>
      </c>
      <c r="E2283" t="s">
        <v>35</v>
      </c>
      <c r="F2283">
        <v>7</v>
      </c>
      <c r="G2283">
        <v>43.556139999999999</v>
      </c>
      <c r="H2283">
        <v>-72.370990000000006</v>
      </c>
      <c r="I2283">
        <v>523</v>
      </c>
      <c r="J2283">
        <v>87</v>
      </c>
      <c r="K2283">
        <v>0</v>
      </c>
      <c r="L2283" s="1">
        <v>44784.757662037038</v>
      </c>
      <c r="M2283">
        <v>3.3</v>
      </c>
      <c r="N2283">
        <v>2.9</v>
      </c>
      <c r="O2283">
        <v>0.4</v>
      </c>
      <c r="P2283">
        <v>13</v>
      </c>
      <c r="Q2283">
        <v>0.1</v>
      </c>
      <c r="R2283">
        <v>0.1</v>
      </c>
      <c r="S2283">
        <v>0.1</v>
      </c>
      <c r="T2283" t="s">
        <v>33</v>
      </c>
      <c r="U2283">
        <v>3.1</v>
      </c>
      <c r="V2283">
        <v>35</v>
      </c>
      <c r="W2283">
        <v>0</v>
      </c>
      <c r="X2283">
        <v>35</v>
      </c>
      <c r="Y2283">
        <v>3</v>
      </c>
      <c r="Z2283">
        <v>0</v>
      </c>
      <c r="AA2283">
        <v>3</v>
      </c>
      <c r="AB2283" t="s">
        <v>36</v>
      </c>
      <c r="AC2283">
        <v>35</v>
      </c>
      <c r="AD2283">
        <v>1.6</v>
      </c>
    </row>
    <row r="2284" spans="1:30" x14ac:dyDescent="0.25">
      <c r="A2284" s="1">
        <v>44784.757731481484</v>
      </c>
      <c r="B2284" s="1">
        <v>44784.756145833337</v>
      </c>
      <c r="C2284">
        <v>58135</v>
      </c>
      <c r="D2284" t="s">
        <v>51</v>
      </c>
      <c r="E2284" t="s">
        <v>35</v>
      </c>
      <c r="F2284">
        <v>7</v>
      </c>
      <c r="G2284">
        <v>42.883873000000001</v>
      </c>
      <c r="H2284">
        <v>-71.972915999999998</v>
      </c>
      <c r="I2284">
        <v>808</v>
      </c>
      <c r="J2284">
        <v>88</v>
      </c>
      <c r="K2284">
        <v>0</v>
      </c>
      <c r="L2284" s="1">
        <v>44784.757662037038</v>
      </c>
      <c r="M2284">
        <v>5.2</v>
      </c>
      <c r="N2284">
        <v>3.5</v>
      </c>
      <c r="O2284">
        <v>1.7</v>
      </c>
      <c r="P2284">
        <v>39</v>
      </c>
      <c r="Q2284">
        <v>0.3</v>
      </c>
      <c r="R2284">
        <v>0.2</v>
      </c>
      <c r="S2284">
        <v>0.25</v>
      </c>
      <c r="T2284" t="s">
        <v>33</v>
      </c>
      <c r="U2284">
        <v>4.3499999999999996</v>
      </c>
      <c r="V2284">
        <v>36</v>
      </c>
      <c r="W2284">
        <v>0</v>
      </c>
      <c r="X2284">
        <v>36</v>
      </c>
      <c r="Y2284">
        <v>1</v>
      </c>
      <c r="Z2284">
        <v>0</v>
      </c>
      <c r="AA2284">
        <v>1</v>
      </c>
      <c r="AB2284" t="s">
        <v>36</v>
      </c>
      <c r="AC2284">
        <v>36</v>
      </c>
      <c r="AD2284">
        <v>2.29</v>
      </c>
    </row>
    <row r="2285" spans="1:30" x14ac:dyDescent="0.25">
      <c r="A2285" s="1">
        <v>44784.757743055554</v>
      </c>
      <c r="B2285" s="1">
        <v>44784.75613425926</v>
      </c>
      <c r="C2285">
        <v>148555</v>
      </c>
      <c r="D2285" t="s">
        <v>52</v>
      </c>
      <c r="E2285" t="s">
        <v>53</v>
      </c>
      <c r="F2285">
        <v>7</v>
      </c>
      <c r="G2285">
        <v>42.904949999999999</v>
      </c>
      <c r="H2285">
        <v>-71.386764999999997</v>
      </c>
      <c r="I2285">
        <v>363</v>
      </c>
      <c r="J2285">
        <v>0</v>
      </c>
      <c r="K2285">
        <v>0</v>
      </c>
      <c r="L2285" s="1">
        <v>44784.757662037038</v>
      </c>
      <c r="M2285">
        <v>1.8</v>
      </c>
      <c r="N2285">
        <v>2.2000000000000002</v>
      </c>
      <c r="O2285">
        <v>0.4</v>
      </c>
      <c r="P2285">
        <v>20</v>
      </c>
      <c r="Q2285">
        <v>0</v>
      </c>
      <c r="R2285">
        <v>0.1</v>
      </c>
      <c r="S2285">
        <v>0.05</v>
      </c>
      <c r="T2285" t="s">
        <v>33</v>
      </c>
      <c r="U2285">
        <v>2</v>
      </c>
      <c r="V2285">
        <v>0</v>
      </c>
      <c r="W2285">
        <v>0</v>
      </c>
      <c r="X2285">
        <v>0</v>
      </c>
      <c r="Y2285">
        <v>0</v>
      </c>
      <c r="Z2285">
        <v>0</v>
      </c>
      <c r="AA2285">
        <v>0</v>
      </c>
      <c r="AB2285" t="s">
        <v>38</v>
      </c>
    </row>
    <row r="2286" spans="1:30" x14ac:dyDescent="0.25">
      <c r="A2286" s="1">
        <v>44784.757743055554</v>
      </c>
      <c r="B2286" s="1">
        <v>44784.757025462961</v>
      </c>
      <c r="C2286">
        <v>146644</v>
      </c>
      <c r="D2286" t="s">
        <v>54</v>
      </c>
      <c r="E2286" t="s">
        <v>53</v>
      </c>
      <c r="F2286">
        <v>7</v>
      </c>
      <c r="G2286">
        <v>43.06015</v>
      </c>
      <c r="H2286">
        <v>-70.758930000000007</v>
      </c>
      <c r="I2286">
        <v>35</v>
      </c>
      <c r="J2286">
        <v>77</v>
      </c>
      <c r="K2286">
        <v>78</v>
      </c>
      <c r="L2286" s="1">
        <v>44784.757662037038</v>
      </c>
      <c r="M2286">
        <v>12.3</v>
      </c>
      <c r="N2286">
        <v>11.1</v>
      </c>
      <c r="O2286">
        <v>1.2</v>
      </c>
      <c r="P2286">
        <v>10</v>
      </c>
      <c r="Q2286">
        <v>0</v>
      </c>
      <c r="R2286">
        <v>0.1</v>
      </c>
      <c r="S2286">
        <v>0.05</v>
      </c>
      <c r="T2286" t="s">
        <v>33</v>
      </c>
      <c r="U2286">
        <v>11.7</v>
      </c>
      <c r="V2286">
        <v>60</v>
      </c>
      <c r="W2286">
        <v>65</v>
      </c>
      <c r="X2286">
        <v>5</v>
      </c>
      <c r="Y2286">
        <v>2</v>
      </c>
      <c r="Z2286">
        <v>1</v>
      </c>
      <c r="AA2286">
        <v>1</v>
      </c>
      <c r="AB2286" t="s">
        <v>33</v>
      </c>
      <c r="AC2286">
        <v>62.5</v>
      </c>
      <c r="AD2286">
        <v>4.92</v>
      </c>
    </row>
    <row r="2287" spans="1:30" x14ac:dyDescent="0.25">
      <c r="A2287" s="1">
        <v>44784.757754629631</v>
      </c>
      <c r="B2287" s="1">
        <v>43755.283437500002</v>
      </c>
      <c r="C2287">
        <v>12188</v>
      </c>
      <c r="D2287" t="s">
        <v>55</v>
      </c>
      <c r="E2287" t="s">
        <v>35</v>
      </c>
      <c r="F2287">
        <v>4.1100000000000003</v>
      </c>
      <c r="G2287">
        <v>42.927050000000001</v>
      </c>
      <c r="H2287">
        <v>-72.279610000000005</v>
      </c>
      <c r="I2287">
        <v>475</v>
      </c>
      <c r="J2287">
        <v>95</v>
      </c>
      <c r="K2287">
        <v>0</v>
      </c>
      <c r="L2287" s="1">
        <v>44784.757662037038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 t="s">
        <v>32</v>
      </c>
      <c r="V2287">
        <v>77</v>
      </c>
      <c r="W2287">
        <v>0</v>
      </c>
      <c r="X2287">
        <v>77</v>
      </c>
      <c r="Y2287">
        <v>0</v>
      </c>
      <c r="Z2287">
        <v>0</v>
      </c>
      <c r="AA2287">
        <v>0</v>
      </c>
      <c r="AB2287" t="s">
        <v>36</v>
      </c>
      <c r="AC2287">
        <v>77</v>
      </c>
    </row>
    <row r="2288" spans="1:30" x14ac:dyDescent="0.25">
      <c r="A2288" s="1">
        <v>44784.757754629631</v>
      </c>
      <c r="B2288" s="1">
        <v>44784.756030092591</v>
      </c>
      <c r="C2288">
        <v>1224</v>
      </c>
      <c r="D2288" t="s">
        <v>56</v>
      </c>
      <c r="E2288" t="s">
        <v>35</v>
      </c>
      <c r="F2288" t="s">
        <v>57</v>
      </c>
      <c r="G2288">
        <v>42.938034000000002</v>
      </c>
      <c r="H2288">
        <v>-72.259299999999996</v>
      </c>
      <c r="I2288">
        <v>792</v>
      </c>
      <c r="J2288">
        <v>91</v>
      </c>
      <c r="K2288">
        <v>0</v>
      </c>
      <c r="L2288" s="1">
        <v>44784.757662037038</v>
      </c>
      <c r="M2288">
        <v>5.9</v>
      </c>
      <c r="N2288">
        <v>0.2</v>
      </c>
      <c r="O2288">
        <v>5.7</v>
      </c>
      <c r="P2288">
        <v>187</v>
      </c>
      <c r="Q2288">
        <v>0.1</v>
      </c>
      <c r="R2288">
        <v>0.1</v>
      </c>
      <c r="S2288">
        <v>0.1</v>
      </c>
      <c r="T2288" t="s">
        <v>33</v>
      </c>
      <c r="U2288">
        <v>3.05</v>
      </c>
      <c r="V2288">
        <v>37</v>
      </c>
      <c r="W2288">
        <v>0</v>
      </c>
      <c r="X2288">
        <v>37</v>
      </c>
      <c r="Y2288">
        <v>1</v>
      </c>
      <c r="Z2288">
        <v>0</v>
      </c>
      <c r="AA2288">
        <v>1</v>
      </c>
      <c r="AB2288" t="s">
        <v>36</v>
      </c>
      <c r="AC2288">
        <v>37</v>
      </c>
      <c r="AD2288">
        <v>1.43</v>
      </c>
    </row>
    <row r="2289" spans="1:30" x14ac:dyDescent="0.25">
      <c r="A2289" s="1">
        <v>44784.7577662037</v>
      </c>
      <c r="B2289" s="1">
        <v>44784.756898148145</v>
      </c>
      <c r="C2289">
        <v>1202</v>
      </c>
      <c r="D2289" t="s">
        <v>58</v>
      </c>
      <c r="E2289" t="s">
        <v>35</v>
      </c>
      <c r="F2289" t="s">
        <v>57</v>
      </c>
      <c r="G2289">
        <v>42.936554000000001</v>
      </c>
      <c r="H2289">
        <v>-72.271019999999993</v>
      </c>
      <c r="I2289">
        <v>488</v>
      </c>
      <c r="J2289">
        <v>0</v>
      </c>
      <c r="K2289">
        <v>0</v>
      </c>
      <c r="L2289" s="1">
        <v>44784.757662037038</v>
      </c>
      <c r="M2289">
        <v>8.1999999999999993</v>
      </c>
      <c r="N2289">
        <v>7.3</v>
      </c>
      <c r="O2289">
        <v>0.9</v>
      </c>
      <c r="P2289">
        <v>12</v>
      </c>
      <c r="Q2289">
        <v>1.9</v>
      </c>
      <c r="R2289">
        <v>1.7</v>
      </c>
      <c r="S2289">
        <v>1.7999999999999901</v>
      </c>
      <c r="T2289" t="s">
        <v>33</v>
      </c>
      <c r="U2289">
        <v>7.75</v>
      </c>
      <c r="V2289">
        <v>0</v>
      </c>
      <c r="W2289">
        <v>0</v>
      </c>
      <c r="X2289">
        <v>0</v>
      </c>
      <c r="Y2289">
        <v>0</v>
      </c>
      <c r="Z2289">
        <v>0</v>
      </c>
      <c r="AA2289">
        <v>0</v>
      </c>
      <c r="AB2289" t="s">
        <v>38</v>
      </c>
    </row>
    <row r="2290" spans="1:30" x14ac:dyDescent="0.25">
      <c r="A2290" s="1">
        <v>44784.7577662037</v>
      </c>
      <c r="B2290" s="1">
        <v>44612.080023148148</v>
      </c>
      <c r="C2290">
        <v>25985</v>
      </c>
      <c r="D2290" t="s">
        <v>59</v>
      </c>
      <c r="E2290" t="s">
        <v>35</v>
      </c>
      <c r="F2290">
        <v>6.01</v>
      </c>
      <c r="G2290">
        <v>42.927326000000001</v>
      </c>
      <c r="H2290">
        <v>-72.279979999999995</v>
      </c>
      <c r="I2290">
        <v>477</v>
      </c>
      <c r="J2290">
        <v>78</v>
      </c>
      <c r="K2290">
        <v>0</v>
      </c>
      <c r="L2290" s="1">
        <v>44784.757662037038</v>
      </c>
      <c r="M2290">
        <v>1.1000000000000001</v>
      </c>
      <c r="N2290">
        <v>1</v>
      </c>
      <c r="O2290">
        <v>0.1</v>
      </c>
      <c r="P2290">
        <v>10</v>
      </c>
      <c r="Q2290">
        <v>0</v>
      </c>
      <c r="R2290">
        <v>0</v>
      </c>
      <c r="S2290">
        <v>0</v>
      </c>
      <c r="T2290" t="s">
        <v>32</v>
      </c>
      <c r="V2290">
        <v>22</v>
      </c>
      <c r="W2290">
        <v>0</v>
      </c>
      <c r="X2290">
        <v>22</v>
      </c>
      <c r="Y2290">
        <v>0</v>
      </c>
      <c r="Z2290">
        <v>0</v>
      </c>
      <c r="AA2290">
        <v>0</v>
      </c>
      <c r="AB2290" t="s">
        <v>36</v>
      </c>
      <c r="AC2290">
        <v>22</v>
      </c>
    </row>
    <row r="2291" spans="1:30" x14ac:dyDescent="0.25">
      <c r="A2291" s="1">
        <v>44784.764618055553</v>
      </c>
      <c r="B2291" s="1">
        <v>44775.701319444444</v>
      </c>
      <c r="C2291">
        <v>151708</v>
      </c>
      <c r="D2291" t="s">
        <v>30</v>
      </c>
      <c r="E2291" t="s">
        <v>31</v>
      </c>
      <c r="F2291">
        <v>7</v>
      </c>
      <c r="G2291">
        <v>43.192042999999998</v>
      </c>
      <c r="H2291">
        <v>-71.541579999999996</v>
      </c>
      <c r="I2291">
        <v>291</v>
      </c>
      <c r="J2291">
        <v>93</v>
      </c>
      <c r="K2291">
        <v>94</v>
      </c>
      <c r="L2291" s="1">
        <v>44784.764606481483</v>
      </c>
      <c r="M2291">
        <v>7.9</v>
      </c>
      <c r="N2291">
        <v>7.6</v>
      </c>
      <c r="O2291">
        <v>0.3</v>
      </c>
      <c r="P2291">
        <v>4</v>
      </c>
      <c r="Q2291">
        <v>0</v>
      </c>
      <c r="R2291">
        <v>0</v>
      </c>
      <c r="S2291">
        <v>0</v>
      </c>
      <c r="T2291" t="s">
        <v>32</v>
      </c>
      <c r="V2291">
        <v>42</v>
      </c>
      <c r="W2291">
        <v>41</v>
      </c>
      <c r="X2291">
        <v>1</v>
      </c>
      <c r="Y2291">
        <v>0</v>
      </c>
      <c r="Z2291">
        <v>0</v>
      </c>
      <c r="AA2291">
        <v>0</v>
      </c>
      <c r="AB2291" t="s">
        <v>33</v>
      </c>
      <c r="AC2291">
        <v>41.5</v>
      </c>
    </row>
    <row r="2292" spans="1:30" x14ac:dyDescent="0.25">
      <c r="A2292" s="1">
        <v>44784.764618055553</v>
      </c>
      <c r="B2292" s="1">
        <v>44784.763009259259</v>
      </c>
      <c r="C2292">
        <v>143456</v>
      </c>
      <c r="D2292" t="s">
        <v>34</v>
      </c>
      <c r="E2292" t="s">
        <v>35</v>
      </c>
      <c r="F2292">
        <v>7</v>
      </c>
      <c r="G2292">
        <v>43.08963</v>
      </c>
      <c r="H2292">
        <v>-71.502440000000007</v>
      </c>
      <c r="I2292">
        <v>619</v>
      </c>
      <c r="J2292">
        <v>84</v>
      </c>
      <c r="K2292">
        <v>0</v>
      </c>
      <c r="L2292" s="1">
        <v>44784.764606481483</v>
      </c>
      <c r="M2292">
        <v>3.2</v>
      </c>
      <c r="N2292">
        <v>3.7</v>
      </c>
      <c r="O2292">
        <v>0.5</v>
      </c>
      <c r="P2292">
        <v>14</v>
      </c>
      <c r="Q2292">
        <v>0</v>
      </c>
      <c r="R2292">
        <v>0.2</v>
      </c>
      <c r="S2292">
        <v>0.1</v>
      </c>
      <c r="T2292" t="s">
        <v>33</v>
      </c>
      <c r="U2292">
        <v>3.45</v>
      </c>
      <c r="V2292">
        <v>50</v>
      </c>
      <c r="W2292">
        <v>0</v>
      </c>
      <c r="X2292">
        <v>50</v>
      </c>
      <c r="Y2292">
        <v>3</v>
      </c>
      <c r="Z2292">
        <v>0</v>
      </c>
      <c r="AA2292">
        <v>3</v>
      </c>
      <c r="AB2292" t="s">
        <v>36</v>
      </c>
      <c r="AC2292">
        <v>50</v>
      </c>
      <c r="AD2292">
        <v>0.76</v>
      </c>
    </row>
    <row r="2293" spans="1:30" x14ac:dyDescent="0.25">
      <c r="A2293" s="1">
        <v>44784.764618055553</v>
      </c>
      <c r="B2293" s="1">
        <v>44784.763159722221</v>
      </c>
      <c r="C2293">
        <v>151702</v>
      </c>
      <c r="D2293" t="s">
        <v>37</v>
      </c>
      <c r="E2293" t="s">
        <v>31</v>
      </c>
      <c r="F2293">
        <v>7</v>
      </c>
      <c r="G2293">
        <v>43.118609999999997</v>
      </c>
      <c r="H2293">
        <v>-71.61618</v>
      </c>
      <c r="I2293">
        <v>885</v>
      </c>
      <c r="J2293">
        <v>0</v>
      </c>
      <c r="K2293">
        <v>0</v>
      </c>
      <c r="L2293" s="1">
        <v>44784.764606481483</v>
      </c>
      <c r="M2293">
        <v>3.7</v>
      </c>
      <c r="N2293">
        <v>3.7</v>
      </c>
      <c r="O2293">
        <v>0</v>
      </c>
      <c r="P2293">
        <v>0</v>
      </c>
      <c r="Q2293">
        <v>0.2</v>
      </c>
      <c r="R2293">
        <v>0</v>
      </c>
      <c r="S2293">
        <v>0.1</v>
      </c>
      <c r="T2293" t="s">
        <v>33</v>
      </c>
      <c r="U2293">
        <v>3.7</v>
      </c>
      <c r="V2293">
        <v>0</v>
      </c>
      <c r="W2293">
        <v>0</v>
      </c>
      <c r="X2293">
        <v>0</v>
      </c>
      <c r="Y2293">
        <v>0</v>
      </c>
      <c r="Z2293">
        <v>0</v>
      </c>
      <c r="AA2293">
        <v>0</v>
      </c>
      <c r="AB2293" t="s">
        <v>38</v>
      </c>
    </row>
    <row r="2294" spans="1:30" x14ac:dyDescent="0.25">
      <c r="A2294" s="1">
        <v>44784.76462962963</v>
      </c>
      <c r="B2294" s="1">
        <v>44784.763055555559</v>
      </c>
      <c r="C2294">
        <v>151700</v>
      </c>
      <c r="D2294" t="s">
        <v>30</v>
      </c>
      <c r="E2294" t="s">
        <v>31</v>
      </c>
      <c r="F2294">
        <v>7</v>
      </c>
      <c r="G2294">
        <v>43.19211</v>
      </c>
      <c r="H2294">
        <v>-71.541460000000001</v>
      </c>
      <c r="I2294">
        <v>286</v>
      </c>
      <c r="J2294">
        <v>85</v>
      </c>
      <c r="K2294">
        <v>0</v>
      </c>
      <c r="L2294" s="1">
        <v>44784.764606481483</v>
      </c>
      <c r="M2294">
        <v>2.7</v>
      </c>
      <c r="N2294">
        <v>3.2</v>
      </c>
      <c r="O2294">
        <v>0.5</v>
      </c>
      <c r="P2294">
        <v>17</v>
      </c>
      <c r="Q2294">
        <v>0</v>
      </c>
      <c r="R2294">
        <v>0.2</v>
      </c>
      <c r="S2294">
        <v>0.1</v>
      </c>
      <c r="T2294" t="s">
        <v>33</v>
      </c>
      <c r="U2294">
        <v>2.95</v>
      </c>
      <c r="V2294">
        <v>40</v>
      </c>
      <c r="W2294">
        <v>0</v>
      </c>
      <c r="X2294">
        <v>40</v>
      </c>
      <c r="Y2294">
        <v>0</v>
      </c>
      <c r="Z2294">
        <v>0</v>
      </c>
      <c r="AA2294">
        <v>0</v>
      </c>
      <c r="AB2294" t="s">
        <v>36</v>
      </c>
      <c r="AC2294">
        <v>40</v>
      </c>
      <c r="AD2294">
        <v>1.1599999999999999</v>
      </c>
    </row>
    <row r="2295" spans="1:30" x14ac:dyDescent="0.25">
      <c r="A2295" s="1">
        <v>44784.76462962963</v>
      </c>
      <c r="B2295" s="1">
        <v>44784.763506944444</v>
      </c>
      <c r="C2295">
        <v>135984</v>
      </c>
      <c r="D2295" t="s">
        <v>39</v>
      </c>
      <c r="E2295" t="s">
        <v>31</v>
      </c>
      <c r="F2295">
        <v>7</v>
      </c>
      <c r="G2295">
        <v>43.565852999999997</v>
      </c>
      <c r="H2295">
        <v>-71.496129999999994</v>
      </c>
      <c r="I2295">
        <v>708</v>
      </c>
      <c r="J2295">
        <v>82</v>
      </c>
      <c r="K2295">
        <v>0</v>
      </c>
      <c r="L2295" s="1">
        <v>44784.764606481483</v>
      </c>
      <c r="M2295">
        <v>4.4000000000000004</v>
      </c>
      <c r="N2295">
        <v>4.2</v>
      </c>
      <c r="O2295">
        <v>0.2</v>
      </c>
      <c r="P2295">
        <v>5</v>
      </c>
      <c r="Q2295">
        <v>0</v>
      </c>
      <c r="R2295">
        <v>0.1</v>
      </c>
      <c r="S2295">
        <v>0.05</v>
      </c>
      <c r="T2295" t="s">
        <v>33</v>
      </c>
      <c r="U2295">
        <v>4.3</v>
      </c>
      <c r="V2295">
        <v>59</v>
      </c>
      <c r="W2295">
        <v>0</v>
      </c>
      <c r="X2295">
        <v>59</v>
      </c>
      <c r="Y2295">
        <v>2</v>
      </c>
      <c r="Z2295">
        <v>0</v>
      </c>
      <c r="AA2295">
        <v>2</v>
      </c>
      <c r="AB2295" t="s">
        <v>36</v>
      </c>
      <c r="AC2295">
        <v>59</v>
      </c>
      <c r="AD2295">
        <v>0.65</v>
      </c>
    </row>
    <row r="2296" spans="1:30" x14ac:dyDescent="0.25">
      <c r="A2296" s="1">
        <v>44784.76462962963</v>
      </c>
      <c r="B2296" s="1">
        <v>44780.394780092596</v>
      </c>
      <c r="C2296">
        <v>151712</v>
      </c>
      <c r="D2296" t="s">
        <v>40</v>
      </c>
      <c r="E2296" t="s">
        <v>31</v>
      </c>
      <c r="F2296">
        <v>7</v>
      </c>
      <c r="G2296">
        <v>43.289763999999998</v>
      </c>
      <c r="H2296">
        <v>-71.564260000000004</v>
      </c>
      <c r="I2296">
        <v>370</v>
      </c>
      <c r="J2296">
        <v>86</v>
      </c>
      <c r="K2296">
        <v>0</v>
      </c>
      <c r="L2296" s="1">
        <v>44784.764606481483</v>
      </c>
      <c r="M2296">
        <v>14</v>
      </c>
      <c r="N2296">
        <v>13.2</v>
      </c>
      <c r="O2296">
        <v>0.8</v>
      </c>
      <c r="P2296">
        <v>6</v>
      </c>
      <c r="Q2296">
        <v>0</v>
      </c>
      <c r="R2296">
        <v>0</v>
      </c>
      <c r="S2296">
        <v>0</v>
      </c>
      <c r="T2296" t="s">
        <v>32</v>
      </c>
      <c r="V2296">
        <v>59</v>
      </c>
      <c r="W2296">
        <v>0</v>
      </c>
      <c r="X2296">
        <v>59</v>
      </c>
      <c r="Y2296">
        <v>0</v>
      </c>
      <c r="Z2296">
        <v>0</v>
      </c>
      <c r="AA2296">
        <v>0</v>
      </c>
      <c r="AB2296" t="s">
        <v>36</v>
      </c>
      <c r="AC2296">
        <v>59</v>
      </c>
    </row>
    <row r="2297" spans="1:30" x14ac:dyDescent="0.25">
      <c r="A2297" s="1">
        <v>44784.764641203707</v>
      </c>
      <c r="B2297" s="1">
        <v>44784.762812499997</v>
      </c>
      <c r="C2297">
        <v>151710</v>
      </c>
      <c r="D2297" t="s">
        <v>41</v>
      </c>
      <c r="E2297" t="s">
        <v>31</v>
      </c>
      <c r="F2297">
        <v>7</v>
      </c>
      <c r="G2297">
        <v>43.132477000000002</v>
      </c>
      <c r="H2297">
        <v>-71.458374000000006</v>
      </c>
      <c r="I2297">
        <v>230</v>
      </c>
      <c r="J2297">
        <v>88</v>
      </c>
      <c r="K2297">
        <v>0</v>
      </c>
      <c r="L2297" s="1">
        <v>44784.764606481483</v>
      </c>
      <c r="M2297">
        <v>5.5</v>
      </c>
      <c r="N2297">
        <v>3.7</v>
      </c>
      <c r="O2297">
        <v>1.8</v>
      </c>
      <c r="P2297">
        <v>39</v>
      </c>
      <c r="Q2297">
        <v>0</v>
      </c>
      <c r="R2297">
        <v>0</v>
      </c>
      <c r="S2297">
        <v>0</v>
      </c>
      <c r="T2297" t="s">
        <v>33</v>
      </c>
      <c r="U2297">
        <v>4.5999999999999996</v>
      </c>
      <c r="V2297">
        <v>35</v>
      </c>
      <c r="W2297">
        <v>0</v>
      </c>
      <c r="X2297">
        <v>35</v>
      </c>
      <c r="Y2297">
        <v>1</v>
      </c>
      <c r="Z2297">
        <v>0</v>
      </c>
      <c r="AA2297">
        <v>1</v>
      </c>
      <c r="AB2297" t="s">
        <v>36</v>
      </c>
      <c r="AC2297">
        <v>35</v>
      </c>
      <c r="AD2297">
        <v>2.52</v>
      </c>
    </row>
    <row r="2298" spans="1:30" x14ac:dyDescent="0.25">
      <c r="A2298" s="1">
        <v>44784.764641203707</v>
      </c>
      <c r="B2298" s="1">
        <v>44784.763831018521</v>
      </c>
      <c r="C2298">
        <v>151706</v>
      </c>
      <c r="D2298" t="s">
        <v>42</v>
      </c>
      <c r="E2298" t="s">
        <v>31</v>
      </c>
      <c r="F2298">
        <v>7</v>
      </c>
      <c r="G2298">
        <v>43.004080000000002</v>
      </c>
      <c r="H2298">
        <v>-71.177040000000005</v>
      </c>
      <c r="I2298">
        <v>194</v>
      </c>
      <c r="J2298">
        <v>83</v>
      </c>
      <c r="K2298">
        <v>0</v>
      </c>
      <c r="L2298" s="1">
        <v>44784.764606481483</v>
      </c>
      <c r="M2298">
        <v>10.3</v>
      </c>
      <c r="N2298">
        <v>0</v>
      </c>
      <c r="O2298">
        <v>10.3</v>
      </c>
      <c r="P2298">
        <v>200</v>
      </c>
      <c r="Q2298">
        <v>0</v>
      </c>
      <c r="R2298">
        <v>0</v>
      </c>
      <c r="S2298">
        <v>0</v>
      </c>
      <c r="T2298" t="s">
        <v>43</v>
      </c>
      <c r="V2298">
        <v>53</v>
      </c>
      <c r="W2298">
        <v>0</v>
      </c>
      <c r="X2298">
        <v>53</v>
      </c>
      <c r="Y2298">
        <v>2</v>
      </c>
      <c r="Z2298">
        <v>0</v>
      </c>
      <c r="AA2298">
        <v>2</v>
      </c>
      <c r="AB2298" t="s">
        <v>36</v>
      </c>
      <c r="AC2298">
        <v>53</v>
      </c>
    </row>
    <row r="2299" spans="1:30" x14ac:dyDescent="0.25">
      <c r="A2299" s="1">
        <v>44784.764652777776</v>
      </c>
      <c r="B2299" s="1">
        <v>44784.76363425926</v>
      </c>
      <c r="C2299">
        <v>12212</v>
      </c>
      <c r="D2299" t="s">
        <v>44</v>
      </c>
      <c r="E2299" t="s">
        <v>35</v>
      </c>
      <c r="F2299">
        <v>7</v>
      </c>
      <c r="G2299">
        <v>42.930529999999997</v>
      </c>
      <c r="H2299">
        <v>-72.272350000000003</v>
      </c>
      <c r="I2299">
        <v>476</v>
      </c>
      <c r="J2299">
        <v>91</v>
      </c>
      <c r="K2299">
        <v>0</v>
      </c>
      <c r="L2299" s="1">
        <v>44784.764606481483</v>
      </c>
      <c r="M2299">
        <v>6.4</v>
      </c>
      <c r="N2299">
        <v>5.7</v>
      </c>
      <c r="O2299">
        <v>0.7</v>
      </c>
      <c r="P2299">
        <v>12</v>
      </c>
      <c r="Q2299">
        <v>0.4</v>
      </c>
      <c r="R2299">
        <v>0.3</v>
      </c>
      <c r="S2299">
        <v>0.35</v>
      </c>
      <c r="T2299" t="s">
        <v>33</v>
      </c>
      <c r="U2299">
        <v>6.05</v>
      </c>
      <c r="V2299">
        <v>32</v>
      </c>
      <c r="W2299">
        <v>0</v>
      </c>
      <c r="X2299">
        <v>32</v>
      </c>
      <c r="Y2299">
        <v>0</v>
      </c>
      <c r="Z2299">
        <v>0</v>
      </c>
      <c r="AA2299">
        <v>0</v>
      </c>
      <c r="AB2299" t="s">
        <v>36</v>
      </c>
      <c r="AC2299">
        <v>32</v>
      </c>
      <c r="AD2299">
        <v>3.61</v>
      </c>
    </row>
    <row r="2300" spans="1:30" x14ac:dyDescent="0.25">
      <c r="A2300" s="1">
        <v>44784.764652777776</v>
      </c>
      <c r="B2300" s="1">
        <v>44769.376736111109</v>
      </c>
      <c r="C2300">
        <v>12178</v>
      </c>
      <c r="D2300" t="s">
        <v>45</v>
      </c>
      <c r="E2300" t="s">
        <v>35</v>
      </c>
      <c r="F2300">
        <v>7</v>
      </c>
      <c r="G2300">
        <v>42.899563000000001</v>
      </c>
      <c r="H2300">
        <v>-71.464650000000006</v>
      </c>
      <c r="I2300">
        <v>301</v>
      </c>
      <c r="J2300">
        <v>85</v>
      </c>
      <c r="K2300">
        <v>0</v>
      </c>
      <c r="L2300" s="1">
        <v>44784.764606481483</v>
      </c>
      <c r="M2300">
        <v>3.8</v>
      </c>
      <c r="N2300">
        <v>3.1</v>
      </c>
      <c r="O2300">
        <v>0.7</v>
      </c>
      <c r="P2300">
        <v>20</v>
      </c>
      <c r="Q2300">
        <v>0</v>
      </c>
      <c r="R2300">
        <v>0</v>
      </c>
      <c r="S2300">
        <v>0</v>
      </c>
      <c r="T2300" t="s">
        <v>32</v>
      </c>
      <c r="V2300">
        <v>35</v>
      </c>
      <c r="W2300">
        <v>0</v>
      </c>
      <c r="X2300">
        <v>35</v>
      </c>
      <c r="Y2300">
        <v>0</v>
      </c>
      <c r="Z2300">
        <v>0</v>
      </c>
      <c r="AA2300">
        <v>0</v>
      </c>
      <c r="AB2300" t="s">
        <v>36</v>
      </c>
      <c r="AC2300">
        <v>35</v>
      </c>
    </row>
    <row r="2301" spans="1:30" x14ac:dyDescent="0.25">
      <c r="A2301" s="1">
        <v>44784.764652777776</v>
      </c>
      <c r="B2301" s="1">
        <v>44784.764293981483</v>
      </c>
      <c r="C2301">
        <v>75981</v>
      </c>
      <c r="D2301" t="s">
        <v>46</v>
      </c>
      <c r="E2301" t="s">
        <v>35</v>
      </c>
      <c r="F2301">
        <v>7</v>
      </c>
      <c r="G2301">
        <v>42.97</v>
      </c>
      <c r="H2301">
        <v>-71.06</v>
      </c>
      <c r="I2301">
        <v>136</v>
      </c>
      <c r="J2301">
        <v>91</v>
      </c>
      <c r="K2301">
        <v>0</v>
      </c>
      <c r="L2301" s="1">
        <v>44784.764606481483</v>
      </c>
      <c r="M2301">
        <v>11.1</v>
      </c>
      <c r="N2301">
        <v>9.6999999999999993</v>
      </c>
      <c r="O2301">
        <v>1.4</v>
      </c>
      <c r="P2301">
        <v>13</v>
      </c>
      <c r="Q2301">
        <v>0.8</v>
      </c>
      <c r="R2301">
        <v>0</v>
      </c>
      <c r="S2301">
        <v>0.4</v>
      </c>
      <c r="T2301" t="s">
        <v>33</v>
      </c>
      <c r="U2301">
        <v>10.4</v>
      </c>
      <c r="V2301">
        <v>43</v>
      </c>
      <c r="W2301">
        <v>0</v>
      </c>
      <c r="X2301">
        <v>43</v>
      </c>
      <c r="Y2301">
        <v>1</v>
      </c>
      <c r="Z2301">
        <v>0</v>
      </c>
      <c r="AA2301">
        <v>1</v>
      </c>
      <c r="AB2301" t="s">
        <v>36</v>
      </c>
      <c r="AC2301">
        <v>43</v>
      </c>
      <c r="AD2301">
        <v>5.49</v>
      </c>
    </row>
    <row r="2302" spans="1:30" x14ac:dyDescent="0.25">
      <c r="A2302" s="1">
        <v>44784.764664351853</v>
      </c>
      <c r="B2302" s="1">
        <v>44784.763449074075</v>
      </c>
      <c r="C2302">
        <v>115703</v>
      </c>
      <c r="D2302" t="s">
        <v>47</v>
      </c>
      <c r="E2302" t="s">
        <v>35</v>
      </c>
      <c r="F2302">
        <v>7</v>
      </c>
      <c r="G2302">
        <v>43.953625000000002</v>
      </c>
      <c r="H2302">
        <v>-71.508859999999999</v>
      </c>
      <c r="I2302">
        <v>1493</v>
      </c>
      <c r="J2302">
        <v>88</v>
      </c>
      <c r="K2302">
        <v>0</v>
      </c>
      <c r="L2302" s="1">
        <v>44784.764606481483</v>
      </c>
      <c r="M2302">
        <v>0.1</v>
      </c>
      <c r="N2302">
        <v>85.9</v>
      </c>
      <c r="O2302">
        <v>85.8</v>
      </c>
      <c r="P2302">
        <v>200</v>
      </c>
      <c r="Q2302">
        <v>0</v>
      </c>
      <c r="R2302">
        <v>59.5</v>
      </c>
      <c r="S2302">
        <v>29.75</v>
      </c>
      <c r="T2302" t="s">
        <v>60</v>
      </c>
      <c r="V2302">
        <v>32</v>
      </c>
      <c r="W2302">
        <v>0</v>
      </c>
      <c r="X2302">
        <v>32</v>
      </c>
      <c r="Y2302">
        <v>2</v>
      </c>
      <c r="Z2302">
        <v>0</v>
      </c>
      <c r="AA2302">
        <v>2</v>
      </c>
      <c r="AB2302" t="s">
        <v>36</v>
      </c>
      <c r="AC2302">
        <v>32</v>
      </c>
    </row>
    <row r="2303" spans="1:30" x14ac:dyDescent="0.25">
      <c r="A2303" s="1">
        <v>44784.764664351853</v>
      </c>
      <c r="B2303" s="1">
        <v>44784.76425925926</v>
      </c>
      <c r="C2303">
        <v>12050</v>
      </c>
      <c r="D2303" t="s">
        <v>49</v>
      </c>
      <c r="E2303" t="s">
        <v>35</v>
      </c>
      <c r="F2303">
        <v>7</v>
      </c>
      <c r="G2303">
        <v>44.220573000000002</v>
      </c>
      <c r="H2303">
        <v>-71.732315</v>
      </c>
      <c r="I2303">
        <v>999</v>
      </c>
      <c r="J2303">
        <v>82</v>
      </c>
      <c r="K2303">
        <v>0</v>
      </c>
      <c r="L2303" s="1">
        <v>44784.764606481483</v>
      </c>
      <c r="M2303">
        <v>4.4000000000000004</v>
      </c>
      <c r="N2303">
        <v>4</v>
      </c>
      <c r="O2303">
        <v>0.4</v>
      </c>
      <c r="P2303">
        <v>10</v>
      </c>
      <c r="Q2303">
        <v>0.2</v>
      </c>
      <c r="R2303">
        <v>0.1</v>
      </c>
      <c r="S2303">
        <v>0.15</v>
      </c>
      <c r="T2303" t="s">
        <v>33</v>
      </c>
      <c r="U2303">
        <v>4.2</v>
      </c>
      <c r="V2303">
        <v>44</v>
      </c>
      <c r="W2303">
        <v>0</v>
      </c>
      <c r="X2303">
        <v>44</v>
      </c>
      <c r="Y2303">
        <v>1</v>
      </c>
      <c r="Z2303">
        <v>0</v>
      </c>
      <c r="AA2303">
        <v>1</v>
      </c>
      <c r="AB2303" t="s">
        <v>36</v>
      </c>
      <c r="AC2303">
        <v>44</v>
      </c>
      <c r="AD2303">
        <v>1.64</v>
      </c>
    </row>
    <row r="2304" spans="1:30" x14ac:dyDescent="0.25">
      <c r="A2304" s="1">
        <v>44784.764664351853</v>
      </c>
      <c r="B2304" s="1">
        <v>44784.762986111113</v>
      </c>
      <c r="C2304">
        <v>23443</v>
      </c>
      <c r="D2304" t="s">
        <v>50</v>
      </c>
      <c r="E2304" t="s">
        <v>35</v>
      </c>
      <c r="F2304">
        <v>7</v>
      </c>
      <c r="G2304">
        <v>43.556139999999999</v>
      </c>
      <c r="H2304">
        <v>-72.370990000000006</v>
      </c>
      <c r="I2304">
        <v>523</v>
      </c>
      <c r="J2304">
        <v>85</v>
      </c>
      <c r="K2304">
        <v>0</v>
      </c>
      <c r="L2304" s="1">
        <v>44784.764606481483</v>
      </c>
      <c r="M2304">
        <v>3</v>
      </c>
      <c r="N2304">
        <v>2.6</v>
      </c>
      <c r="O2304">
        <v>0.4</v>
      </c>
      <c r="P2304">
        <v>14</v>
      </c>
      <c r="Q2304">
        <v>0.3</v>
      </c>
      <c r="R2304">
        <v>0.3</v>
      </c>
      <c r="S2304">
        <v>0.3</v>
      </c>
      <c r="T2304" t="s">
        <v>33</v>
      </c>
      <c r="U2304">
        <v>2.8</v>
      </c>
      <c r="V2304">
        <v>35</v>
      </c>
      <c r="W2304">
        <v>0</v>
      </c>
      <c r="X2304">
        <v>35</v>
      </c>
      <c r="Y2304">
        <v>0</v>
      </c>
      <c r="Z2304">
        <v>0</v>
      </c>
      <c r="AA2304">
        <v>0</v>
      </c>
      <c r="AB2304" t="s">
        <v>36</v>
      </c>
      <c r="AC2304">
        <v>35</v>
      </c>
      <c r="AD2304">
        <v>1.42</v>
      </c>
    </row>
    <row r="2305" spans="1:30" x14ac:dyDescent="0.25">
      <c r="A2305" s="1">
        <v>44784.764675925922</v>
      </c>
      <c r="B2305" s="1">
        <v>44784.764479166668</v>
      </c>
      <c r="C2305">
        <v>58135</v>
      </c>
      <c r="D2305" t="s">
        <v>51</v>
      </c>
      <c r="E2305" t="s">
        <v>35</v>
      </c>
      <c r="F2305">
        <v>7</v>
      </c>
      <c r="G2305">
        <v>42.883873000000001</v>
      </c>
      <c r="H2305">
        <v>-71.972915999999998</v>
      </c>
      <c r="I2305">
        <v>808</v>
      </c>
      <c r="J2305">
        <v>86</v>
      </c>
      <c r="K2305">
        <v>0</v>
      </c>
      <c r="L2305" s="1">
        <v>44784.764606481483</v>
      </c>
      <c r="M2305">
        <v>5.0999999999999996</v>
      </c>
      <c r="N2305">
        <v>3.4</v>
      </c>
      <c r="O2305">
        <v>1.7</v>
      </c>
      <c r="P2305">
        <v>40</v>
      </c>
      <c r="Q2305">
        <v>0.1</v>
      </c>
      <c r="R2305">
        <v>0.1</v>
      </c>
      <c r="S2305">
        <v>0.1</v>
      </c>
      <c r="T2305" t="s">
        <v>33</v>
      </c>
      <c r="U2305">
        <v>4.25</v>
      </c>
      <c r="V2305">
        <v>42</v>
      </c>
      <c r="W2305">
        <v>0</v>
      </c>
      <c r="X2305">
        <v>42</v>
      </c>
      <c r="Y2305">
        <v>6</v>
      </c>
      <c r="Z2305">
        <v>0</v>
      </c>
      <c r="AA2305">
        <v>6</v>
      </c>
      <c r="AB2305" t="s">
        <v>36</v>
      </c>
      <c r="AC2305">
        <v>42</v>
      </c>
      <c r="AD2305">
        <v>1.81</v>
      </c>
    </row>
    <row r="2306" spans="1:30" x14ac:dyDescent="0.25">
      <c r="A2306" s="1">
        <v>44784.764675925922</v>
      </c>
      <c r="B2306" s="1">
        <v>44784.764467592591</v>
      </c>
      <c r="C2306">
        <v>148555</v>
      </c>
      <c r="D2306" t="s">
        <v>52</v>
      </c>
      <c r="E2306" t="s">
        <v>53</v>
      </c>
      <c r="F2306">
        <v>7</v>
      </c>
      <c r="G2306">
        <v>42.904949999999999</v>
      </c>
      <c r="H2306">
        <v>-71.386764999999997</v>
      </c>
      <c r="I2306">
        <v>363</v>
      </c>
      <c r="J2306">
        <v>0</v>
      </c>
      <c r="K2306">
        <v>0</v>
      </c>
      <c r="L2306" s="1">
        <v>44784.764606481483</v>
      </c>
      <c r="M2306">
        <v>1.7</v>
      </c>
      <c r="N2306">
        <v>2.2000000000000002</v>
      </c>
      <c r="O2306">
        <v>0.5</v>
      </c>
      <c r="P2306">
        <v>26</v>
      </c>
      <c r="Q2306">
        <v>0.1</v>
      </c>
      <c r="R2306">
        <v>0</v>
      </c>
      <c r="S2306">
        <v>0.05</v>
      </c>
      <c r="T2306" t="s">
        <v>33</v>
      </c>
      <c r="U2306">
        <v>1.95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 t="s">
        <v>38</v>
      </c>
    </row>
    <row r="2307" spans="1:30" x14ac:dyDescent="0.25">
      <c r="A2307" s="1">
        <v>44784.764687499999</v>
      </c>
      <c r="B2307" s="1">
        <v>44784.763969907406</v>
      </c>
      <c r="C2307">
        <v>146644</v>
      </c>
      <c r="D2307" t="s">
        <v>54</v>
      </c>
      <c r="E2307" t="s">
        <v>53</v>
      </c>
      <c r="F2307">
        <v>7</v>
      </c>
      <c r="G2307">
        <v>43.06015</v>
      </c>
      <c r="H2307">
        <v>-70.758930000000007</v>
      </c>
      <c r="I2307">
        <v>35</v>
      </c>
      <c r="J2307">
        <v>76</v>
      </c>
      <c r="K2307">
        <v>78</v>
      </c>
      <c r="L2307" s="1">
        <v>44784.764606481483</v>
      </c>
      <c r="M2307">
        <v>12.4</v>
      </c>
      <c r="N2307">
        <v>11.1</v>
      </c>
      <c r="O2307">
        <v>1.3</v>
      </c>
      <c r="P2307">
        <v>11</v>
      </c>
      <c r="Q2307">
        <v>0.1</v>
      </c>
      <c r="R2307">
        <v>0</v>
      </c>
      <c r="S2307">
        <v>0.05</v>
      </c>
      <c r="T2307" t="s">
        <v>33</v>
      </c>
      <c r="U2307">
        <v>11.75</v>
      </c>
      <c r="V2307">
        <v>62</v>
      </c>
      <c r="W2307">
        <v>66</v>
      </c>
      <c r="X2307">
        <v>4</v>
      </c>
      <c r="Y2307">
        <v>2</v>
      </c>
      <c r="Z2307">
        <v>1</v>
      </c>
      <c r="AA2307">
        <v>1</v>
      </c>
      <c r="AB2307" t="s">
        <v>33</v>
      </c>
      <c r="AC2307">
        <v>64</v>
      </c>
      <c r="AD2307">
        <v>4.8499999999999996</v>
      </c>
    </row>
    <row r="2308" spans="1:30" x14ac:dyDescent="0.25">
      <c r="A2308" s="1">
        <v>44784.764687499999</v>
      </c>
      <c r="B2308" s="1">
        <v>43755.283437500002</v>
      </c>
      <c r="C2308">
        <v>12188</v>
      </c>
      <c r="D2308" t="s">
        <v>55</v>
      </c>
      <c r="E2308" t="s">
        <v>35</v>
      </c>
      <c r="F2308">
        <v>4.1100000000000003</v>
      </c>
      <c r="G2308">
        <v>42.927050000000001</v>
      </c>
      <c r="H2308">
        <v>-72.279610000000005</v>
      </c>
      <c r="I2308">
        <v>475</v>
      </c>
      <c r="J2308">
        <v>95</v>
      </c>
      <c r="K2308">
        <v>0</v>
      </c>
      <c r="L2308" s="1">
        <v>44784.764606481483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 t="s">
        <v>32</v>
      </c>
      <c r="V2308">
        <v>77</v>
      </c>
      <c r="W2308">
        <v>0</v>
      </c>
      <c r="X2308">
        <v>77</v>
      </c>
      <c r="Y2308">
        <v>0</v>
      </c>
      <c r="Z2308">
        <v>0</v>
      </c>
      <c r="AA2308">
        <v>0</v>
      </c>
      <c r="AB2308" t="s">
        <v>36</v>
      </c>
      <c r="AC2308">
        <v>77</v>
      </c>
    </row>
    <row r="2309" spans="1:30" x14ac:dyDescent="0.25">
      <c r="A2309" s="1">
        <v>44784.764687499999</v>
      </c>
      <c r="B2309" s="1">
        <v>44784.764363425929</v>
      </c>
      <c r="C2309">
        <v>1224</v>
      </c>
      <c r="D2309" t="s">
        <v>56</v>
      </c>
      <c r="E2309" t="s">
        <v>35</v>
      </c>
      <c r="F2309" t="s">
        <v>57</v>
      </c>
      <c r="G2309">
        <v>42.938034000000002</v>
      </c>
      <c r="H2309">
        <v>-72.259299999999996</v>
      </c>
      <c r="I2309">
        <v>792</v>
      </c>
      <c r="J2309">
        <v>91</v>
      </c>
      <c r="K2309">
        <v>0</v>
      </c>
      <c r="L2309" s="1">
        <v>44784.764606481483</v>
      </c>
      <c r="M2309">
        <v>6.1</v>
      </c>
      <c r="N2309">
        <v>0.2</v>
      </c>
      <c r="O2309">
        <v>5.9</v>
      </c>
      <c r="P2309">
        <v>187</v>
      </c>
      <c r="Q2309">
        <v>0.2</v>
      </c>
      <c r="R2309">
        <v>0</v>
      </c>
      <c r="S2309">
        <v>0.1</v>
      </c>
      <c r="T2309" t="s">
        <v>33</v>
      </c>
      <c r="U2309">
        <v>3.15</v>
      </c>
      <c r="V2309">
        <v>38</v>
      </c>
      <c r="W2309">
        <v>0</v>
      </c>
      <c r="X2309">
        <v>38</v>
      </c>
      <c r="Y2309">
        <v>1</v>
      </c>
      <c r="Z2309">
        <v>0</v>
      </c>
      <c r="AA2309">
        <v>1</v>
      </c>
      <c r="AB2309" t="s">
        <v>36</v>
      </c>
      <c r="AC2309">
        <v>38</v>
      </c>
      <c r="AD2309">
        <v>1.42</v>
      </c>
    </row>
    <row r="2310" spans="1:30" x14ac:dyDescent="0.25">
      <c r="A2310" s="1">
        <v>44784.764699074076</v>
      </c>
      <c r="B2310" s="1">
        <v>44784.763807870368</v>
      </c>
      <c r="C2310">
        <v>1202</v>
      </c>
      <c r="D2310" t="s">
        <v>58</v>
      </c>
      <c r="E2310" t="s">
        <v>35</v>
      </c>
      <c r="F2310" t="s">
        <v>57</v>
      </c>
      <c r="G2310">
        <v>42.936554000000001</v>
      </c>
      <c r="H2310">
        <v>-72.271019999999993</v>
      </c>
      <c r="I2310">
        <v>488</v>
      </c>
      <c r="J2310">
        <v>0</v>
      </c>
      <c r="K2310">
        <v>0</v>
      </c>
      <c r="L2310" s="1">
        <v>44784.764606481483</v>
      </c>
      <c r="M2310">
        <v>9</v>
      </c>
      <c r="N2310">
        <v>7.9</v>
      </c>
      <c r="O2310">
        <v>1.1000000000000001</v>
      </c>
      <c r="P2310">
        <v>13</v>
      </c>
      <c r="Q2310">
        <v>0.8</v>
      </c>
      <c r="R2310">
        <v>0.6</v>
      </c>
      <c r="S2310">
        <v>0.7</v>
      </c>
      <c r="T2310" t="s">
        <v>33</v>
      </c>
      <c r="U2310">
        <v>8.4499999999999993</v>
      </c>
      <c r="V2310">
        <v>0</v>
      </c>
      <c r="W2310">
        <v>0</v>
      </c>
      <c r="X2310">
        <v>0</v>
      </c>
      <c r="Y2310">
        <v>0</v>
      </c>
      <c r="Z2310">
        <v>0</v>
      </c>
      <c r="AA2310">
        <v>0</v>
      </c>
      <c r="AB2310" t="s">
        <v>38</v>
      </c>
    </row>
    <row r="2311" spans="1:30" x14ac:dyDescent="0.25">
      <c r="A2311" s="1">
        <v>44784.764699074076</v>
      </c>
      <c r="B2311" s="1">
        <v>44612.080023148148</v>
      </c>
      <c r="C2311">
        <v>25985</v>
      </c>
      <c r="D2311" t="s">
        <v>59</v>
      </c>
      <c r="E2311" t="s">
        <v>35</v>
      </c>
      <c r="F2311">
        <v>6.01</v>
      </c>
      <c r="G2311">
        <v>42.927326000000001</v>
      </c>
      <c r="H2311">
        <v>-72.279979999999995</v>
      </c>
      <c r="I2311">
        <v>477</v>
      </c>
      <c r="J2311">
        <v>78</v>
      </c>
      <c r="K2311">
        <v>0</v>
      </c>
      <c r="L2311" s="1">
        <v>44784.764606481483</v>
      </c>
      <c r="M2311">
        <v>1.1000000000000001</v>
      </c>
      <c r="N2311">
        <v>1</v>
      </c>
      <c r="O2311">
        <v>0.1</v>
      </c>
      <c r="P2311">
        <v>10</v>
      </c>
      <c r="Q2311">
        <v>0</v>
      </c>
      <c r="R2311">
        <v>0</v>
      </c>
      <c r="S2311">
        <v>0</v>
      </c>
      <c r="T2311" t="s">
        <v>32</v>
      </c>
      <c r="V2311">
        <v>22</v>
      </c>
      <c r="W2311">
        <v>0</v>
      </c>
      <c r="X2311">
        <v>22</v>
      </c>
      <c r="Y2311">
        <v>0</v>
      </c>
      <c r="Z2311">
        <v>0</v>
      </c>
      <c r="AA2311">
        <v>0</v>
      </c>
      <c r="AB2311" t="s">
        <v>36</v>
      </c>
      <c r="AC2311">
        <v>22</v>
      </c>
    </row>
    <row r="2312" spans="1:30" x14ac:dyDescent="0.25">
      <c r="A2312" s="1">
        <v>44784.771550925929</v>
      </c>
      <c r="B2312" s="1">
        <v>44775.701319444444</v>
      </c>
      <c r="C2312">
        <v>151708</v>
      </c>
      <c r="D2312" t="s">
        <v>30</v>
      </c>
      <c r="E2312" t="s">
        <v>31</v>
      </c>
      <c r="F2312">
        <v>7</v>
      </c>
      <c r="G2312">
        <v>43.192042999999998</v>
      </c>
      <c r="H2312">
        <v>-71.541579999999996</v>
      </c>
      <c r="I2312">
        <v>291</v>
      </c>
      <c r="J2312">
        <v>93</v>
      </c>
      <c r="K2312">
        <v>94</v>
      </c>
      <c r="L2312" s="1">
        <v>44784.771550925929</v>
      </c>
      <c r="M2312">
        <v>7.9</v>
      </c>
      <c r="N2312">
        <v>7.6</v>
      </c>
      <c r="O2312">
        <v>0.3</v>
      </c>
      <c r="P2312">
        <v>4</v>
      </c>
      <c r="Q2312">
        <v>0</v>
      </c>
      <c r="R2312">
        <v>0</v>
      </c>
      <c r="S2312">
        <v>0</v>
      </c>
      <c r="T2312" t="s">
        <v>32</v>
      </c>
      <c r="V2312">
        <v>42</v>
      </c>
      <c r="W2312">
        <v>41</v>
      </c>
      <c r="X2312">
        <v>1</v>
      </c>
      <c r="Y2312">
        <v>0</v>
      </c>
      <c r="Z2312">
        <v>0</v>
      </c>
      <c r="AA2312">
        <v>0</v>
      </c>
      <c r="AB2312" t="s">
        <v>33</v>
      </c>
      <c r="AC2312">
        <v>41.5</v>
      </c>
    </row>
    <row r="2313" spans="1:30" x14ac:dyDescent="0.25">
      <c r="A2313" s="1">
        <v>44784.771562499998</v>
      </c>
      <c r="B2313" s="1">
        <v>44784.769965277781</v>
      </c>
      <c r="C2313">
        <v>143456</v>
      </c>
      <c r="D2313" t="s">
        <v>34</v>
      </c>
      <c r="E2313" t="s">
        <v>35</v>
      </c>
      <c r="F2313">
        <v>7</v>
      </c>
      <c r="G2313">
        <v>43.08963</v>
      </c>
      <c r="H2313">
        <v>-71.502440000000007</v>
      </c>
      <c r="I2313">
        <v>619</v>
      </c>
      <c r="J2313">
        <v>83</v>
      </c>
      <c r="K2313">
        <v>0</v>
      </c>
      <c r="L2313" s="1">
        <v>44784.771550925929</v>
      </c>
      <c r="M2313">
        <v>3.4</v>
      </c>
      <c r="N2313">
        <v>3.8</v>
      </c>
      <c r="O2313">
        <v>0.4</v>
      </c>
      <c r="P2313">
        <v>11</v>
      </c>
      <c r="Q2313">
        <v>0.2</v>
      </c>
      <c r="R2313">
        <v>0.1</v>
      </c>
      <c r="S2313">
        <v>0.15</v>
      </c>
      <c r="T2313" t="s">
        <v>33</v>
      </c>
      <c r="U2313">
        <v>3.6</v>
      </c>
      <c r="V2313">
        <v>51</v>
      </c>
      <c r="W2313">
        <v>0</v>
      </c>
      <c r="X2313">
        <v>51</v>
      </c>
      <c r="Y2313">
        <v>1</v>
      </c>
      <c r="Z2313">
        <v>0</v>
      </c>
      <c r="AA2313">
        <v>1</v>
      </c>
      <c r="AB2313" t="s">
        <v>36</v>
      </c>
      <c r="AC2313">
        <v>51</v>
      </c>
      <c r="AD2313">
        <v>0.79</v>
      </c>
    </row>
    <row r="2314" spans="1:30" x14ac:dyDescent="0.25">
      <c r="A2314" s="1">
        <v>44784.771562499998</v>
      </c>
      <c r="B2314" s="1">
        <v>44784.770104166666</v>
      </c>
      <c r="C2314">
        <v>151702</v>
      </c>
      <c r="D2314" t="s">
        <v>37</v>
      </c>
      <c r="E2314" t="s">
        <v>31</v>
      </c>
      <c r="F2314">
        <v>7</v>
      </c>
      <c r="G2314">
        <v>43.118609999999997</v>
      </c>
      <c r="H2314">
        <v>-71.61618</v>
      </c>
      <c r="I2314">
        <v>885</v>
      </c>
      <c r="J2314">
        <v>0</v>
      </c>
      <c r="K2314">
        <v>0</v>
      </c>
      <c r="L2314" s="1">
        <v>44784.771550925929</v>
      </c>
      <c r="M2314">
        <v>3.8</v>
      </c>
      <c r="N2314">
        <v>3.7</v>
      </c>
      <c r="O2314">
        <v>0.1</v>
      </c>
      <c r="P2314">
        <v>3</v>
      </c>
      <c r="Q2314">
        <v>0.1</v>
      </c>
      <c r="R2314">
        <v>0</v>
      </c>
      <c r="S2314">
        <v>0.05</v>
      </c>
      <c r="T2314" t="s">
        <v>33</v>
      </c>
      <c r="U2314">
        <v>3.75</v>
      </c>
      <c r="V2314">
        <v>0</v>
      </c>
      <c r="W2314">
        <v>0</v>
      </c>
      <c r="X2314">
        <v>0</v>
      </c>
      <c r="Y2314">
        <v>0</v>
      </c>
      <c r="Z2314">
        <v>0</v>
      </c>
      <c r="AA2314">
        <v>0</v>
      </c>
      <c r="AB2314" t="s">
        <v>38</v>
      </c>
    </row>
    <row r="2315" spans="1:30" x14ac:dyDescent="0.25">
      <c r="A2315" s="1">
        <v>44784.771562499998</v>
      </c>
      <c r="B2315" s="1">
        <v>44784.77140046296</v>
      </c>
      <c r="C2315">
        <v>151700</v>
      </c>
      <c r="D2315" t="s">
        <v>30</v>
      </c>
      <c r="E2315" t="s">
        <v>31</v>
      </c>
      <c r="F2315">
        <v>7</v>
      </c>
      <c r="G2315">
        <v>43.19211</v>
      </c>
      <c r="H2315">
        <v>-71.541460000000001</v>
      </c>
      <c r="I2315">
        <v>286</v>
      </c>
      <c r="J2315">
        <v>85</v>
      </c>
      <c r="K2315">
        <v>0</v>
      </c>
      <c r="L2315" s="1">
        <v>44784.771550925929</v>
      </c>
      <c r="M2315">
        <v>2.6</v>
      </c>
      <c r="N2315">
        <v>3.2</v>
      </c>
      <c r="O2315">
        <v>0.6</v>
      </c>
      <c r="P2315">
        <v>21</v>
      </c>
      <c r="Q2315">
        <v>0.1</v>
      </c>
      <c r="R2315">
        <v>0</v>
      </c>
      <c r="S2315">
        <v>0.05</v>
      </c>
      <c r="T2315" t="s">
        <v>33</v>
      </c>
      <c r="U2315">
        <v>2.9</v>
      </c>
      <c r="V2315">
        <v>40</v>
      </c>
      <c r="W2315">
        <v>0</v>
      </c>
      <c r="X2315">
        <v>40</v>
      </c>
      <c r="Y2315">
        <v>0</v>
      </c>
      <c r="Z2315">
        <v>0</v>
      </c>
      <c r="AA2315">
        <v>0</v>
      </c>
      <c r="AB2315" t="s">
        <v>36</v>
      </c>
      <c r="AC2315">
        <v>40</v>
      </c>
      <c r="AD2315">
        <v>1.1299999999999999</v>
      </c>
    </row>
    <row r="2316" spans="1:30" x14ac:dyDescent="0.25">
      <c r="A2316" s="1">
        <v>44784.771574074075</v>
      </c>
      <c r="B2316" s="1">
        <v>44784.770439814813</v>
      </c>
      <c r="C2316">
        <v>135984</v>
      </c>
      <c r="D2316" t="s">
        <v>39</v>
      </c>
      <c r="E2316" t="s">
        <v>31</v>
      </c>
      <c r="F2316">
        <v>7</v>
      </c>
      <c r="G2316">
        <v>43.565852999999997</v>
      </c>
      <c r="H2316">
        <v>-71.496129999999994</v>
      </c>
      <c r="I2316">
        <v>708</v>
      </c>
      <c r="J2316">
        <v>81</v>
      </c>
      <c r="K2316">
        <v>0</v>
      </c>
      <c r="L2316" s="1">
        <v>44784.771550925929</v>
      </c>
      <c r="M2316">
        <v>4.5</v>
      </c>
      <c r="N2316">
        <v>4.2</v>
      </c>
      <c r="O2316">
        <v>0.3</v>
      </c>
      <c r="P2316">
        <v>7</v>
      </c>
      <c r="Q2316">
        <v>0.1</v>
      </c>
      <c r="R2316">
        <v>0</v>
      </c>
      <c r="S2316">
        <v>0.05</v>
      </c>
      <c r="T2316" t="s">
        <v>33</v>
      </c>
      <c r="U2316">
        <v>4.3499999999999996</v>
      </c>
      <c r="V2316">
        <v>59</v>
      </c>
      <c r="W2316">
        <v>0</v>
      </c>
      <c r="X2316">
        <v>59</v>
      </c>
      <c r="Y2316">
        <v>0</v>
      </c>
      <c r="Z2316">
        <v>0</v>
      </c>
      <c r="AA2316">
        <v>0</v>
      </c>
      <c r="AB2316" t="s">
        <v>36</v>
      </c>
      <c r="AC2316">
        <v>59</v>
      </c>
      <c r="AD2316">
        <v>0.68</v>
      </c>
    </row>
    <row r="2317" spans="1:30" x14ac:dyDescent="0.25">
      <c r="A2317" s="1">
        <v>44784.771574074075</v>
      </c>
      <c r="B2317" s="1">
        <v>44780.394780092596</v>
      </c>
      <c r="C2317">
        <v>151712</v>
      </c>
      <c r="D2317" t="s">
        <v>40</v>
      </c>
      <c r="E2317" t="s">
        <v>31</v>
      </c>
      <c r="F2317">
        <v>7</v>
      </c>
      <c r="G2317">
        <v>43.289763999999998</v>
      </c>
      <c r="H2317">
        <v>-71.564260000000004</v>
      </c>
      <c r="I2317">
        <v>370</v>
      </c>
      <c r="J2317">
        <v>86</v>
      </c>
      <c r="K2317">
        <v>0</v>
      </c>
      <c r="L2317" s="1">
        <v>44784.771550925929</v>
      </c>
      <c r="M2317">
        <v>14</v>
      </c>
      <c r="N2317">
        <v>13.2</v>
      </c>
      <c r="O2317">
        <v>0.8</v>
      </c>
      <c r="P2317">
        <v>6</v>
      </c>
      <c r="Q2317">
        <v>0</v>
      </c>
      <c r="R2317">
        <v>0</v>
      </c>
      <c r="S2317">
        <v>0</v>
      </c>
      <c r="T2317" t="s">
        <v>32</v>
      </c>
      <c r="V2317">
        <v>59</v>
      </c>
      <c r="W2317">
        <v>0</v>
      </c>
      <c r="X2317">
        <v>59</v>
      </c>
      <c r="Y2317">
        <v>0</v>
      </c>
      <c r="Z2317">
        <v>0</v>
      </c>
      <c r="AA2317">
        <v>0</v>
      </c>
      <c r="AB2317" t="s">
        <v>36</v>
      </c>
      <c r="AC2317">
        <v>59</v>
      </c>
    </row>
    <row r="2318" spans="1:30" x14ac:dyDescent="0.25">
      <c r="A2318" s="1">
        <v>44784.771585648145</v>
      </c>
      <c r="B2318" s="1">
        <v>44784.771145833336</v>
      </c>
      <c r="C2318">
        <v>151710</v>
      </c>
      <c r="D2318" t="s">
        <v>41</v>
      </c>
      <c r="E2318" t="s">
        <v>31</v>
      </c>
      <c r="F2318">
        <v>7</v>
      </c>
      <c r="G2318">
        <v>43.132477000000002</v>
      </c>
      <c r="H2318">
        <v>-71.458374000000006</v>
      </c>
      <c r="I2318">
        <v>230</v>
      </c>
      <c r="J2318">
        <v>88</v>
      </c>
      <c r="K2318">
        <v>0</v>
      </c>
      <c r="L2318" s="1">
        <v>44784.771550925929</v>
      </c>
      <c r="M2318">
        <v>5.0999999999999996</v>
      </c>
      <c r="N2318">
        <v>3.7</v>
      </c>
      <c r="O2318">
        <v>1.4</v>
      </c>
      <c r="P2318">
        <v>32</v>
      </c>
      <c r="Q2318">
        <v>0.4</v>
      </c>
      <c r="R2318">
        <v>0</v>
      </c>
      <c r="S2318">
        <v>0.2</v>
      </c>
      <c r="T2318" t="s">
        <v>33</v>
      </c>
      <c r="U2318">
        <v>4.4000000000000004</v>
      </c>
      <c r="V2318">
        <v>34</v>
      </c>
      <c r="W2318">
        <v>0</v>
      </c>
      <c r="X2318">
        <v>34</v>
      </c>
      <c r="Y2318">
        <v>1</v>
      </c>
      <c r="Z2318">
        <v>0</v>
      </c>
      <c r="AA2318">
        <v>1</v>
      </c>
      <c r="AB2318" t="s">
        <v>36</v>
      </c>
      <c r="AC2318">
        <v>34</v>
      </c>
      <c r="AD2318">
        <v>2.46</v>
      </c>
    </row>
    <row r="2319" spans="1:30" x14ac:dyDescent="0.25">
      <c r="A2319" s="1">
        <v>44784.771585648145</v>
      </c>
      <c r="B2319" s="1">
        <v>44784.770787037036</v>
      </c>
      <c r="C2319">
        <v>151706</v>
      </c>
      <c r="D2319" t="s">
        <v>42</v>
      </c>
      <c r="E2319" t="s">
        <v>31</v>
      </c>
      <c r="F2319">
        <v>7</v>
      </c>
      <c r="G2319">
        <v>43.004080000000002</v>
      </c>
      <c r="H2319">
        <v>-71.177040000000005</v>
      </c>
      <c r="I2319">
        <v>194</v>
      </c>
      <c r="J2319">
        <v>82</v>
      </c>
      <c r="K2319">
        <v>0</v>
      </c>
      <c r="L2319" s="1">
        <v>44784.771550925929</v>
      </c>
      <c r="M2319">
        <v>10.6</v>
      </c>
      <c r="N2319">
        <v>0</v>
      </c>
      <c r="O2319">
        <v>10.6</v>
      </c>
      <c r="P2319">
        <v>200</v>
      </c>
      <c r="Q2319">
        <v>0.3</v>
      </c>
      <c r="R2319">
        <v>0</v>
      </c>
      <c r="S2319">
        <v>0.15</v>
      </c>
      <c r="T2319" t="s">
        <v>43</v>
      </c>
      <c r="V2319">
        <v>55</v>
      </c>
      <c r="W2319">
        <v>0</v>
      </c>
      <c r="X2319">
        <v>55</v>
      </c>
      <c r="Y2319">
        <v>2</v>
      </c>
      <c r="Z2319">
        <v>0</v>
      </c>
      <c r="AA2319">
        <v>2</v>
      </c>
      <c r="AB2319" t="s">
        <v>36</v>
      </c>
      <c r="AC2319">
        <v>55</v>
      </c>
    </row>
    <row r="2320" spans="1:30" x14ac:dyDescent="0.25">
      <c r="A2320" s="1">
        <v>44784.771585648145</v>
      </c>
      <c r="B2320" s="1">
        <v>44784.770590277774</v>
      </c>
      <c r="C2320">
        <v>12212</v>
      </c>
      <c r="D2320" t="s">
        <v>44</v>
      </c>
      <c r="E2320" t="s">
        <v>35</v>
      </c>
      <c r="F2320">
        <v>7</v>
      </c>
      <c r="G2320">
        <v>42.930529999999997</v>
      </c>
      <c r="H2320">
        <v>-72.272350000000003</v>
      </c>
      <c r="I2320">
        <v>476</v>
      </c>
      <c r="J2320">
        <v>89</v>
      </c>
      <c r="K2320">
        <v>0</v>
      </c>
      <c r="L2320" s="1">
        <v>44784.771550925929</v>
      </c>
      <c r="M2320">
        <v>6.6</v>
      </c>
      <c r="N2320">
        <v>5.9</v>
      </c>
      <c r="O2320">
        <v>0.7</v>
      </c>
      <c r="P2320">
        <v>11</v>
      </c>
      <c r="Q2320">
        <v>0.2</v>
      </c>
      <c r="R2320">
        <v>0.2</v>
      </c>
      <c r="S2320">
        <v>0.2</v>
      </c>
      <c r="T2320" t="s">
        <v>33</v>
      </c>
      <c r="U2320">
        <v>6.25</v>
      </c>
      <c r="V2320">
        <v>34</v>
      </c>
      <c r="W2320">
        <v>0</v>
      </c>
      <c r="X2320">
        <v>34</v>
      </c>
      <c r="Y2320">
        <v>2</v>
      </c>
      <c r="Z2320">
        <v>0</v>
      </c>
      <c r="AA2320">
        <v>2</v>
      </c>
      <c r="AB2320" t="s">
        <v>36</v>
      </c>
      <c r="AC2320">
        <v>34</v>
      </c>
      <c r="AD2320">
        <v>3.59</v>
      </c>
    </row>
    <row r="2321" spans="1:30" x14ac:dyDescent="0.25">
      <c r="A2321" s="1">
        <v>44784.771597222221</v>
      </c>
      <c r="B2321" s="1">
        <v>44769.376736111109</v>
      </c>
      <c r="C2321">
        <v>12178</v>
      </c>
      <c r="D2321" t="s">
        <v>45</v>
      </c>
      <c r="E2321" t="s">
        <v>35</v>
      </c>
      <c r="F2321">
        <v>7</v>
      </c>
      <c r="G2321">
        <v>42.899563000000001</v>
      </c>
      <c r="H2321">
        <v>-71.464650000000006</v>
      </c>
      <c r="I2321">
        <v>301</v>
      </c>
      <c r="J2321">
        <v>85</v>
      </c>
      <c r="K2321">
        <v>0</v>
      </c>
      <c r="L2321" s="1">
        <v>44784.771550925929</v>
      </c>
      <c r="M2321">
        <v>3.8</v>
      </c>
      <c r="N2321">
        <v>3.1</v>
      </c>
      <c r="O2321">
        <v>0.7</v>
      </c>
      <c r="P2321">
        <v>20</v>
      </c>
      <c r="Q2321">
        <v>0</v>
      </c>
      <c r="R2321">
        <v>0</v>
      </c>
      <c r="S2321">
        <v>0</v>
      </c>
      <c r="T2321" t="s">
        <v>32</v>
      </c>
      <c r="V2321">
        <v>35</v>
      </c>
      <c r="W2321">
        <v>0</v>
      </c>
      <c r="X2321">
        <v>35</v>
      </c>
      <c r="Y2321">
        <v>0</v>
      </c>
      <c r="Z2321">
        <v>0</v>
      </c>
      <c r="AA2321">
        <v>0</v>
      </c>
      <c r="AB2321" t="s">
        <v>36</v>
      </c>
      <c r="AC2321">
        <v>35</v>
      </c>
    </row>
    <row r="2322" spans="1:30" x14ac:dyDescent="0.25">
      <c r="A2322" s="1">
        <v>44784.771597222221</v>
      </c>
      <c r="B2322" s="1">
        <v>44784.771238425928</v>
      </c>
      <c r="C2322">
        <v>75981</v>
      </c>
      <c r="D2322" t="s">
        <v>46</v>
      </c>
      <c r="E2322" t="s">
        <v>35</v>
      </c>
      <c r="F2322">
        <v>7</v>
      </c>
      <c r="G2322">
        <v>42.97</v>
      </c>
      <c r="H2322">
        <v>-71.06</v>
      </c>
      <c r="I2322">
        <v>136</v>
      </c>
      <c r="J2322">
        <v>90</v>
      </c>
      <c r="K2322">
        <v>0</v>
      </c>
      <c r="L2322" s="1">
        <v>44784.771550925929</v>
      </c>
      <c r="M2322">
        <v>11.2</v>
      </c>
      <c r="N2322">
        <v>9.6</v>
      </c>
      <c r="O2322">
        <v>1.6</v>
      </c>
      <c r="P2322">
        <v>15</v>
      </c>
      <c r="Q2322">
        <v>0.1</v>
      </c>
      <c r="R2322">
        <v>0.1</v>
      </c>
      <c r="S2322">
        <v>0.1</v>
      </c>
      <c r="T2322" t="s">
        <v>33</v>
      </c>
      <c r="U2322">
        <v>10.4</v>
      </c>
      <c r="V2322">
        <v>45</v>
      </c>
      <c r="W2322">
        <v>0</v>
      </c>
      <c r="X2322">
        <v>45</v>
      </c>
      <c r="Y2322">
        <v>2</v>
      </c>
      <c r="Z2322">
        <v>0</v>
      </c>
      <c r="AA2322">
        <v>2</v>
      </c>
      <c r="AB2322" t="s">
        <v>36</v>
      </c>
      <c r="AC2322">
        <v>45</v>
      </c>
      <c r="AD2322">
        <v>5.35</v>
      </c>
    </row>
    <row r="2323" spans="1:30" x14ac:dyDescent="0.25">
      <c r="A2323" s="1">
        <v>44784.771608796298</v>
      </c>
      <c r="B2323" s="1">
        <v>44784.77039351852</v>
      </c>
      <c r="C2323">
        <v>115703</v>
      </c>
      <c r="D2323" t="s">
        <v>47</v>
      </c>
      <c r="E2323" t="s">
        <v>35</v>
      </c>
      <c r="F2323">
        <v>7</v>
      </c>
      <c r="G2323">
        <v>43.953625000000002</v>
      </c>
      <c r="H2323">
        <v>-71.508859999999999</v>
      </c>
      <c r="I2323">
        <v>1493</v>
      </c>
      <c r="J2323">
        <v>87</v>
      </c>
      <c r="K2323">
        <v>0</v>
      </c>
      <c r="L2323" s="1">
        <v>44784.771550925929</v>
      </c>
      <c r="M2323">
        <v>0.1</v>
      </c>
      <c r="N2323">
        <v>50.8</v>
      </c>
      <c r="O2323">
        <v>50.7</v>
      </c>
      <c r="P2323">
        <v>199</v>
      </c>
      <c r="Q2323">
        <v>0</v>
      </c>
      <c r="R2323">
        <v>35.1</v>
      </c>
      <c r="S2323">
        <v>17.55</v>
      </c>
      <c r="T2323" t="s">
        <v>60</v>
      </c>
      <c r="V2323">
        <v>37</v>
      </c>
      <c r="W2323">
        <v>0</v>
      </c>
      <c r="X2323">
        <v>37</v>
      </c>
      <c r="Y2323">
        <v>5</v>
      </c>
      <c r="Z2323">
        <v>0</v>
      </c>
      <c r="AA2323">
        <v>5</v>
      </c>
      <c r="AB2323" t="s">
        <v>36</v>
      </c>
      <c r="AC2323">
        <v>37</v>
      </c>
    </row>
    <row r="2324" spans="1:30" x14ac:dyDescent="0.25">
      <c r="A2324" s="1">
        <v>44784.771608796298</v>
      </c>
      <c r="B2324" s="1">
        <v>44784.771203703705</v>
      </c>
      <c r="C2324">
        <v>12050</v>
      </c>
      <c r="D2324" t="s">
        <v>49</v>
      </c>
      <c r="E2324" t="s">
        <v>35</v>
      </c>
      <c r="F2324">
        <v>7</v>
      </c>
      <c r="G2324">
        <v>44.220573000000002</v>
      </c>
      <c r="H2324">
        <v>-71.732315</v>
      </c>
      <c r="I2324">
        <v>999</v>
      </c>
      <c r="J2324">
        <v>81</v>
      </c>
      <c r="K2324">
        <v>0</v>
      </c>
      <c r="L2324" s="1">
        <v>44784.771550925929</v>
      </c>
      <c r="M2324">
        <v>4.7</v>
      </c>
      <c r="N2324">
        <v>4.3</v>
      </c>
      <c r="O2324">
        <v>0.4</v>
      </c>
      <c r="P2324">
        <v>9</v>
      </c>
      <c r="Q2324">
        <v>0.3</v>
      </c>
      <c r="R2324">
        <v>0.3</v>
      </c>
      <c r="S2324">
        <v>0.3</v>
      </c>
      <c r="T2324" t="s">
        <v>33</v>
      </c>
      <c r="U2324">
        <v>4.5</v>
      </c>
      <c r="V2324">
        <v>45</v>
      </c>
      <c r="W2324">
        <v>0</v>
      </c>
      <c r="X2324">
        <v>45</v>
      </c>
      <c r="Y2324">
        <v>1</v>
      </c>
      <c r="Z2324">
        <v>0</v>
      </c>
      <c r="AA2324">
        <v>1</v>
      </c>
      <c r="AB2324" t="s">
        <v>36</v>
      </c>
      <c r="AC2324">
        <v>45</v>
      </c>
      <c r="AD2324">
        <v>1.75</v>
      </c>
    </row>
    <row r="2325" spans="1:30" x14ac:dyDescent="0.25">
      <c r="A2325" s="1">
        <v>44784.771608796298</v>
      </c>
      <c r="B2325" s="1">
        <v>44784.771319444444</v>
      </c>
      <c r="C2325">
        <v>23443</v>
      </c>
      <c r="D2325" t="s">
        <v>50</v>
      </c>
      <c r="E2325" t="s">
        <v>35</v>
      </c>
      <c r="F2325">
        <v>7</v>
      </c>
      <c r="G2325">
        <v>43.556139999999999</v>
      </c>
      <c r="H2325">
        <v>-72.370990000000006</v>
      </c>
      <c r="I2325">
        <v>523</v>
      </c>
      <c r="J2325">
        <v>83</v>
      </c>
      <c r="K2325">
        <v>0</v>
      </c>
      <c r="L2325" s="1">
        <v>44784.771550925929</v>
      </c>
      <c r="M2325">
        <v>2.8</v>
      </c>
      <c r="N2325">
        <v>2.2000000000000002</v>
      </c>
      <c r="O2325">
        <v>0.6</v>
      </c>
      <c r="P2325">
        <v>24</v>
      </c>
      <c r="Q2325">
        <v>0.2</v>
      </c>
      <c r="R2325">
        <v>0.4</v>
      </c>
      <c r="S2325">
        <v>0.3</v>
      </c>
      <c r="T2325" t="s">
        <v>33</v>
      </c>
      <c r="U2325">
        <v>2.5</v>
      </c>
      <c r="V2325">
        <v>38</v>
      </c>
      <c r="W2325">
        <v>0</v>
      </c>
      <c r="X2325">
        <v>38</v>
      </c>
      <c r="Y2325">
        <v>3</v>
      </c>
      <c r="Z2325">
        <v>0</v>
      </c>
      <c r="AA2325">
        <v>3</v>
      </c>
      <c r="AB2325" t="s">
        <v>36</v>
      </c>
      <c r="AC2325">
        <v>38</v>
      </c>
      <c r="AD2325">
        <v>1.02</v>
      </c>
    </row>
    <row r="2326" spans="1:30" x14ac:dyDescent="0.25">
      <c r="A2326" s="1">
        <v>44784.771620370368</v>
      </c>
      <c r="B2326" s="1">
        <v>44784.771423611113</v>
      </c>
      <c r="C2326">
        <v>58135</v>
      </c>
      <c r="D2326" t="s">
        <v>51</v>
      </c>
      <c r="E2326" t="s">
        <v>35</v>
      </c>
      <c r="F2326">
        <v>7</v>
      </c>
      <c r="G2326">
        <v>42.883873000000001</v>
      </c>
      <c r="H2326">
        <v>-71.972915999999998</v>
      </c>
      <c r="I2326">
        <v>808</v>
      </c>
      <c r="J2326">
        <v>86</v>
      </c>
      <c r="K2326">
        <v>0</v>
      </c>
      <c r="L2326" s="1">
        <v>44784.771550925929</v>
      </c>
      <c r="M2326">
        <v>5</v>
      </c>
      <c r="N2326">
        <v>3.5</v>
      </c>
      <c r="O2326">
        <v>1.5</v>
      </c>
      <c r="P2326">
        <v>35</v>
      </c>
      <c r="Q2326">
        <v>0.1</v>
      </c>
      <c r="R2326">
        <v>0.1</v>
      </c>
      <c r="S2326">
        <v>0.1</v>
      </c>
      <c r="T2326" t="s">
        <v>33</v>
      </c>
      <c r="U2326">
        <v>4.25</v>
      </c>
      <c r="V2326">
        <v>42</v>
      </c>
      <c r="W2326">
        <v>0</v>
      </c>
      <c r="X2326">
        <v>42</v>
      </c>
      <c r="Y2326">
        <v>0</v>
      </c>
      <c r="Z2326">
        <v>0</v>
      </c>
      <c r="AA2326">
        <v>0</v>
      </c>
      <c r="AB2326" t="s">
        <v>36</v>
      </c>
      <c r="AC2326">
        <v>42</v>
      </c>
      <c r="AD2326">
        <v>1.81</v>
      </c>
    </row>
    <row r="2327" spans="1:30" x14ac:dyDescent="0.25">
      <c r="A2327" s="1">
        <v>44784.771620370368</v>
      </c>
      <c r="B2327" s="1">
        <v>44784.771412037036</v>
      </c>
      <c r="C2327">
        <v>148555</v>
      </c>
      <c r="D2327" t="s">
        <v>52</v>
      </c>
      <c r="E2327" t="s">
        <v>53</v>
      </c>
      <c r="F2327">
        <v>7</v>
      </c>
      <c r="G2327">
        <v>42.904949999999999</v>
      </c>
      <c r="H2327">
        <v>-71.386764999999997</v>
      </c>
      <c r="I2327">
        <v>363</v>
      </c>
      <c r="J2327">
        <v>0</v>
      </c>
      <c r="K2327">
        <v>0</v>
      </c>
      <c r="L2327" s="1">
        <v>44784.771550925929</v>
      </c>
      <c r="M2327">
        <v>1.8</v>
      </c>
      <c r="N2327">
        <v>2.2999999999999998</v>
      </c>
      <c r="O2327">
        <v>0.5</v>
      </c>
      <c r="P2327">
        <v>24</v>
      </c>
      <c r="Q2327">
        <v>0.1</v>
      </c>
      <c r="R2327">
        <v>0.1</v>
      </c>
      <c r="S2327">
        <v>0.1</v>
      </c>
      <c r="T2327" t="s">
        <v>33</v>
      </c>
      <c r="U2327">
        <v>2.0499999999999998</v>
      </c>
      <c r="V2327">
        <v>0</v>
      </c>
      <c r="W2327">
        <v>0</v>
      </c>
      <c r="X2327">
        <v>0</v>
      </c>
      <c r="Y2327">
        <v>0</v>
      </c>
      <c r="Z2327">
        <v>0</v>
      </c>
      <c r="AA2327">
        <v>0</v>
      </c>
      <c r="AB2327" t="s">
        <v>38</v>
      </c>
    </row>
    <row r="2328" spans="1:30" x14ac:dyDescent="0.25">
      <c r="A2328" s="1">
        <v>44784.771631944444</v>
      </c>
      <c r="B2328" s="1">
        <v>44784.770914351851</v>
      </c>
      <c r="C2328">
        <v>146644</v>
      </c>
      <c r="D2328" t="s">
        <v>54</v>
      </c>
      <c r="E2328" t="s">
        <v>53</v>
      </c>
      <c r="F2328">
        <v>7</v>
      </c>
      <c r="G2328">
        <v>43.06015</v>
      </c>
      <c r="H2328">
        <v>-70.758930000000007</v>
      </c>
      <c r="I2328">
        <v>35</v>
      </c>
      <c r="J2328">
        <v>75</v>
      </c>
      <c r="K2328">
        <v>77</v>
      </c>
      <c r="L2328" s="1">
        <v>44784.771550925929</v>
      </c>
      <c r="M2328">
        <v>12.3</v>
      </c>
      <c r="N2328">
        <v>10.7</v>
      </c>
      <c r="O2328">
        <v>1.6</v>
      </c>
      <c r="P2328">
        <v>14</v>
      </c>
      <c r="Q2328">
        <v>0.1</v>
      </c>
      <c r="R2328">
        <v>0.4</v>
      </c>
      <c r="S2328">
        <v>0.25</v>
      </c>
      <c r="T2328" t="s">
        <v>33</v>
      </c>
      <c r="U2328">
        <v>11.5</v>
      </c>
      <c r="V2328">
        <v>61</v>
      </c>
      <c r="W2328">
        <v>67</v>
      </c>
      <c r="X2328">
        <v>6</v>
      </c>
      <c r="Y2328">
        <v>1</v>
      </c>
      <c r="Z2328">
        <v>1</v>
      </c>
      <c r="AA2328">
        <v>0</v>
      </c>
      <c r="AB2328" t="s">
        <v>33</v>
      </c>
      <c r="AC2328">
        <v>64</v>
      </c>
      <c r="AD2328">
        <v>4.6900000000000004</v>
      </c>
    </row>
    <row r="2329" spans="1:30" x14ac:dyDescent="0.25">
      <c r="A2329" s="1">
        <v>44784.771631944444</v>
      </c>
      <c r="B2329" s="1">
        <v>43755.283437500002</v>
      </c>
      <c r="C2329">
        <v>12188</v>
      </c>
      <c r="D2329" t="s">
        <v>55</v>
      </c>
      <c r="E2329" t="s">
        <v>35</v>
      </c>
      <c r="F2329">
        <v>4.1100000000000003</v>
      </c>
      <c r="G2329">
        <v>42.927050000000001</v>
      </c>
      <c r="H2329">
        <v>-72.279610000000005</v>
      </c>
      <c r="I2329">
        <v>475</v>
      </c>
      <c r="J2329">
        <v>95</v>
      </c>
      <c r="K2329">
        <v>0</v>
      </c>
      <c r="L2329" s="1">
        <v>44784.771550925929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 t="s">
        <v>32</v>
      </c>
      <c r="V2329">
        <v>77</v>
      </c>
      <c r="W2329">
        <v>0</v>
      </c>
      <c r="X2329">
        <v>77</v>
      </c>
      <c r="Y2329">
        <v>0</v>
      </c>
      <c r="Z2329">
        <v>0</v>
      </c>
      <c r="AA2329">
        <v>0</v>
      </c>
      <c r="AB2329" t="s">
        <v>36</v>
      </c>
      <c r="AC2329">
        <v>77</v>
      </c>
    </row>
    <row r="2330" spans="1:30" x14ac:dyDescent="0.25">
      <c r="A2330" s="1">
        <v>44784.771631944444</v>
      </c>
      <c r="B2330" s="1">
        <v>44784.771307870367</v>
      </c>
      <c r="C2330">
        <v>1224</v>
      </c>
      <c r="D2330" t="s">
        <v>56</v>
      </c>
      <c r="E2330" t="s">
        <v>35</v>
      </c>
      <c r="F2330" t="s">
        <v>57</v>
      </c>
      <c r="G2330">
        <v>42.938034000000002</v>
      </c>
      <c r="H2330">
        <v>-72.259299999999996</v>
      </c>
      <c r="I2330">
        <v>792</v>
      </c>
      <c r="J2330">
        <v>90</v>
      </c>
      <c r="K2330">
        <v>0</v>
      </c>
      <c r="L2330" s="1">
        <v>44784.771550925929</v>
      </c>
      <c r="M2330">
        <v>6.3</v>
      </c>
      <c r="N2330">
        <v>0.1</v>
      </c>
      <c r="O2330">
        <v>6.2</v>
      </c>
      <c r="P2330">
        <v>194</v>
      </c>
      <c r="Q2330">
        <v>0.2</v>
      </c>
      <c r="R2330">
        <v>0.1</v>
      </c>
      <c r="S2330">
        <v>0.15</v>
      </c>
      <c r="T2330" t="s">
        <v>33</v>
      </c>
      <c r="U2330">
        <v>3.2</v>
      </c>
      <c r="V2330">
        <v>39</v>
      </c>
      <c r="W2330">
        <v>0</v>
      </c>
      <c r="X2330">
        <v>39</v>
      </c>
      <c r="Y2330">
        <v>1</v>
      </c>
      <c r="Z2330">
        <v>0</v>
      </c>
      <c r="AA2330">
        <v>1</v>
      </c>
      <c r="AB2330" t="s">
        <v>36</v>
      </c>
      <c r="AC2330">
        <v>39</v>
      </c>
      <c r="AD2330">
        <v>1.38</v>
      </c>
    </row>
    <row r="2331" spans="1:30" x14ac:dyDescent="0.25">
      <c r="A2331" s="1">
        <v>44784.771643518521</v>
      </c>
      <c r="B2331" s="1">
        <v>44784.770752314813</v>
      </c>
      <c r="C2331">
        <v>1202</v>
      </c>
      <c r="D2331" t="s">
        <v>58</v>
      </c>
      <c r="E2331" t="s">
        <v>35</v>
      </c>
      <c r="F2331" t="s">
        <v>57</v>
      </c>
      <c r="G2331">
        <v>42.936554000000001</v>
      </c>
      <c r="H2331">
        <v>-72.271019999999993</v>
      </c>
      <c r="I2331">
        <v>488</v>
      </c>
      <c r="J2331">
        <v>0</v>
      </c>
      <c r="K2331">
        <v>0</v>
      </c>
      <c r="L2331" s="1">
        <v>44784.771550925929</v>
      </c>
      <c r="M2331">
        <v>8.4</v>
      </c>
      <c r="N2331">
        <v>7.4</v>
      </c>
      <c r="O2331">
        <v>1</v>
      </c>
      <c r="P2331">
        <v>13</v>
      </c>
      <c r="Q2331">
        <v>0.6</v>
      </c>
      <c r="R2331">
        <v>0.5</v>
      </c>
      <c r="S2331">
        <v>0.55000000000000004</v>
      </c>
      <c r="T2331" t="s">
        <v>33</v>
      </c>
      <c r="U2331">
        <v>7.9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 t="s">
        <v>38</v>
      </c>
    </row>
    <row r="2332" spans="1:30" x14ac:dyDescent="0.25">
      <c r="A2332" s="1">
        <v>44784.771643518521</v>
      </c>
      <c r="B2332" s="1">
        <v>44612.080023148148</v>
      </c>
      <c r="C2332">
        <v>25985</v>
      </c>
      <c r="D2332" t="s">
        <v>59</v>
      </c>
      <c r="E2332" t="s">
        <v>35</v>
      </c>
      <c r="F2332">
        <v>6.01</v>
      </c>
      <c r="G2332">
        <v>42.927326000000001</v>
      </c>
      <c r="H2332">
        <v>-72.279979999999995</v>
      </c>
      <c r="I2332">
        <v>477</v>
      </c>
      <c r="J2332">
        <v>78</v>
      </c>
      <c r="K2332">
        <v>0</v>
      </c>
      <c r="L2332" s="1">
        <v>44784.771550925929</v>
      </c>
      <c r="M2332">
        <v>1.1000000000000001</v>
      </c>
      <c r="N2332">
        <v>1</v>
      </c>
      <c r="O2332">
        <v>0.1</v>
      </c>
      <c r="P2332">
        <v>10</v>
      </c>
      <c r="Q2332">
        <v>0</v>
      </c>
      <c r="R2332">
        <v>0</v>
      </c>
      <c r="S2332">
        <v>0</v>
      </c>
      <c r="T2332" t="s">
        <v>32</v>
      </c>
      <c r="V2332">
        <v>22</v>
      </c>
      <c r="W2332">
        <v>0</v>
      </c>
      <c r="X2332">
        <v>22</v>
      </c>
      <c r="Y2332">
        <v>0</v>
      </c>
      <c r="Z2332">
        <v>0</v>
      </c>
      <c r="AA2332">
        <v>0</v>
      </c>
      <c r="AB2332" t="s">
        <v>36</v>
      </c>
      <c r="AC2332">
        <v>22</v>
      </c>
    </row>
    <row r="2333" spans="1:30" x14ac:dyDescent="0.25">
      <c r="A2333" s="1">
        <v>44784.778506944444</v>
      </c>
      <c r="B2333" s="1">
        <v>44775.701319444444</v>
      </c>
      <c r="C2333">
        <v>151708</v>
      </c>
      <c r="D2333" t="s">
        <v>30</v>
      </c>
      <c r="E2333" t="s">
        <v>31</v>
      </c>
      <c r="F2333">
        <v>7</v>
      </c>
      <c r="G2333">
        <v>43.192042999999998</v>
      </c>
      <c r="H2333">
        <v>-71.541579999999996</v>
      </c>
      <c r="I2333">
        <v>291</v>
      </c>
      <c r="J2333">
        <v>93</v>
      </c>
      <c r="K2333">
        <v>94</v>
      </c>
      <c r="L2333" s="1">
        <v>44784.778495370374</v>
      </c>
      <c r="M2333">
        <v>7.9</v>
      </c>
      <c r="N2333">
        <v>7.6</v>
      </c>
      <c r="O2333">
        <v>0.3</v>
      </c>
      <c r="P2333">
        <v>4</v>
      </c>
      <c r="Q2333">
        <v>0</v>
      </c>
      <c r="R2333">
        <v>0</v>
      </c>
      <c r="S2333">
        <v>0</v>
      </c>
      <c r="T2333" t="s">
        <v>32</v>
      </c>
      <c r="V2333">
        <v>42</v>
      </c>
      <c r="W2333">
        <v>41</v>
      </c>
      <c r="X2333">
        <v>1</v>
      </c>
      <c r="Y2333">
        <v>0</v>
      </c>
      <c r="Z2333">
        <v>0</v>
      </c>
      <c r="AA2333">
        <v>0</v>
      </c>
      <c r="AB2333" t="s">
        <v>33</v>
      </c>
      <c r="AC2333">
        <v>41.5</v>
      </c>
    </row>
    <row r="2334" spans="1:30" x14ac:dyDescent="0.25">
      <c r="A2334" s="1">
        <v>44784.778506944444</v>
      </c>
      <c r="B2334" s="1">
        <v>44784.776921296296</v>
      </c>
      <c r="C2334">
        <v>143456</v>
      </c>
      <c r="D2334" t="s">
        <v>34</v>
      </c>
      <c r="E2334" t="s">
        <v>35</v>
      </c>
      <c r="F2334">
        <v>7</v>
      </c>
      <c r="G2334">
        <v>43.08963</v>
      </c>
      <c r="H2334">
        <v>-71.502440000000007</v>
      </c>
      <c r="I2334">
        <v>619</v>
      </c>
      <c r="J2334">
        <v>82</v>
      </c>
      <c r="K2334">
        <v>0</v>
      </c>
      <c r="L2334" s="1">
        <v>44784.778495370374</v>
      </c>
      <c r="M2334">
        <v>4.5</v>
      </c>
      <c r="N2334">
        <v>4.7</v>
      </c>
      <c r="O2334">
        <v>0.2</v>
      </c>
      <c r="P2334">
        <v>4</v>
      </c>
      <c r="Q2334">
        <v>1.1000000000000001</v>
      </c>
      <c r="R2334">
        <v>0.9</v>
      </c>
      <c r="S2334">
        <v>1</v>
      </c>
      <c r="T2334" t="s">
        <v>33</v>
      </c>
      <c r="U2334">
        <v>4.5999999999999996</v>
      </c>
      <c r="V2334">
        <v>53</v>
      </c>
      <c r="W2334">
        <v>0</v>
      </c>
      <c r="X2334">
        <v>53</v>
      </c>
      <c r="Y2334">
        <v>2</v>
      </c>
      <c r="Z2334">
        <v>0</v>
      </c>
      <c r="AA2334">
        <v>2</v>
      </c>
      <c r="AB2334" t="s">
        <v>36</v>
      </c>
      <c r="AC2334">
        <v>53</v>
      </c>
      <c r="AD2334">
        <v>1.26</v>
      </c>
    </row>
    <row r="2335" spans="1:30" x14ac:dyDescent="0.25">
      <c r="A2335" s="1">
        <v>44784.778506944444</v>
      </c>
      <c r="B2335" s="1">
        <v>44784.777060185188</v>
      </c>
      <c r="C2335">
        <v>151702</v>
      </c>
      <c r="D2335" t="s">
        <v>37</v>
      </c>
      <c r="E2335" t="s">
        <v>31</v>
      </c>
      <c r="F2335">
        <v>7</v>
      </c>
      <c r="G2335">
        <v>43.118609999999997</v>
      </c>
      <c r="H2335">
        <v>-71.61618</v>
      </c>
      <c r="I2335">
        <v>885</v>
      </c>
      <c r="J2335">
        <v>0</v>
      </c>
      <c r="K2335">
        <v>0</v>
      </c>
      <c r="L2335" s="1">
        <v>44784.778495370374</v>
      </c>
      <c r="M2335">
        <v>3.8</v>
      </c>
      <c r="N2335">
        <v>3.8</v>
      </c>
      <c r="O2335">
        <v>0</v>
      </c>
      <c r="P2335">
        <v>0</v>
      </c>
      <c r="Q2335">
        <v>0</v>
      </c>
      <c r="R2335">
        <v>0.1</v>
      </c>
      <c r="S2335">
        <v>0.05</v>
      </c>
      <c r="T2335" t="s">
        <v>33</v>
      </c>
      <c r="U2335">
        <v>3.8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 t="s">
        <v>38</v>
      </c>
    </row>
    <row r="2336" spans="1:30" x14ac:dyDescent="0.25">
      <c r="A2336" s="1">
        <v>44784.77851851852</v>
      </c>
      <c r="B2336" s="1">
        <v>44784.776944444442</v>
      </c>
      <c r="C2336">
        <v>151700</v>
      </c>
      <c r="D2336" t="s">
        <v>30</v>
      </c>
      <c r="E2336" t="s">
        <v>31</v>
      </c>
      <c r="F2336">
        <v>7</v>
      </c>
      <c r="G2336">
        <v>43.19211</v>
      </c>
      <c r="H2336">
        <v>-71.541460000000001</v>
      </c>
      <c r="I2336">
        <v>286</v>
      </c>
      <c r="J2336">
        <v>85</v>
      </c>
      <c r="K2336">
        <v>0</v>
      </c>
      <c r="L2336" s="1">
        <v>44784.778495370374</v>
      </c>
      <c r="M2336">
        <v>2.7</v>
      </c>
      <c r="N2336">
        <v>3.1</v>
      </c>
      <c r="O2336">
        <v>0.4</v>
      </c>
      <c r="P2336">
        <v>14</v>
      </c>
      <c r="Q2336">
        <v>0.1</v>
      </c>
      <c r="R2336">
        <v>0.1</v>
      </c>
      <c r="S2336">
        <v>0.1</v>
      </c>
      <c r="T2336" t="s">
        <v>33</v>
      </c>
      <c r="U2336">
        <v>2.9</v>
      </c>
      <c r="V2336">
        <v>41</v>
      </c>
      <c r="W2336">
        <v>0</v>
      </c>
      <c r="X2336">
        <v>41</v>
      </c>
      <c r="Y2336">
        <v>1</v>
      </c>
      <c r="Z2336">
        <v>0</v>
      </c>
      <c r="AA2336">
        <v>1</v>
      </c>
      <c r="AB2336" t="s">
        <v>36</v>
      </c>
      <c r="AC2336">
        <v>41</v>
      </c>
      <c r="AD2336">
        <v>1.06</v>
      </c>
    </row>
    <row r="2337" spans="1:30" x14ac:dyDescent="0.25">
      <c r="A2337" s="1">
        <v>44784.77851851852</v>
      </c>
      <c r="B2337" s="1">
        <v>44784.777384259258</v>
      </c>
      <c r="C2337">
        <v>135984</v>
      </c>
      <c r="D2337" t="s">
        <v>39</v>
      </c>
      <c r="E2337" t="s">
        <v>31</v>
      </c>
      <c r="F2337">
        <v>7</v>
      </c>
      <c r="G2337">
        <v>43.565852999999997</v>
      </c>
      <c r="H2337">
        <v>-71.496129999999994</v>
      </c>
      <c r="I2337">
        <v>708</v>
      </c>
      <c r="J2337">
        <v>81</v>
      </c>
      <c r="K2337">
        <v>0</v>
      </c>
      <c r="L2337" s="1">
        <v>44784.778495370374</v>
      </c>
      <c r="M2337">
        <v>4.5999999999999996</v>
      </c>
      <c r="N2337">
        <v>4.3</v>
      </c>
      <c r="O2337">
        <v>0.3</v>
      </c>
      <c r="P2337">
        <v>7</v>
      </c>
      <c r="Q2337">
        <v>0.1</v>
      </c>
      <c r="R2337">
        <v>0.1</v>
      </c>
      <c r="S2337">
        <v>0.1</v>
      </c>
      <c r="T2337" t="s">
        <v>33</v>
      </c>
      <c r="U2337">
        <v>4.45</v>
      </c>
      <c r="V2337">
        <v>59</v>
      </c>
      <c r="W2337">
        <v>0</v>
      </c>
      <c r="X2337">
        <v>59</v>
      </c>
      <c r="Y2337">
        <v>0</v>
      </c>
      <c r="Z2337">
        <v>0</v>
      </c>
      <c r="AA2337">
        <v>0</v>
      </c>
      <c r="AB2337" t="s">
        <v>36</v>
      </c>
      <c r="AC2337">
        <v>59</v>
      </c>
      <c r="AD2337">
        <v>0.74</v>
      </c>
    </row>
    <row r="2338" spans="1:30" x14ac:dyDescent="0.25">
      <c r="A2338" s="1">
        <v>44784.77853009259</v>
      </c>
      <c r="B2338" s="1">
        <v>44780.394780092596</v>
      </c>
      <c r="C2338">
        <v>151712</v>
      </c>
      <c r="D2338" t="s">
        <v>40</v>
      </c>
      <c r="E2338" t="s">
        <v>31</v>
      </c>
      <c r="F2338">
        <v>7</v>
      </c>
      <c r="G2338">
        <v>43.289763999999998</v>
      </c>
      <c r="H2338">
        <v>-71.564260000000004</v>
      </c>
      <c r="I2338">
        <v>370</v>
      </c>
      <c r="J2338">
        <v>86</v>
      </c>
      <c r="K2338">
        <v>0</v>
      </c>
      <c r="L2338" s="1">
        <v>44784.778495370374</v>
      </c>
      <c r="M2338">
        <v>14</v>
      </c>
      <c r="N2338">
        <v>13.2</v>
      </c>
      <c r="O2338">
        <v>0.8</v>
      </c>
      <c r="P2338">
        <v>6</v>
      </c>
      <c r="Q2338">
        <v>0</v>
      </c>
      <c r="R2338">
        <v>0</v>
      </c>
      <c r="S2338">
        <v>0</v>
      </c>
      <c r="T2338" t="s">
        <v>32</v>
      </c>
      <c r="V2338">
        <v>59</v>
      </c>
      <c r="W2338">
        <v>0</v>
      </c>
      <c r="X2338">
        <v>59</v>
      </c>
      <c r="Y2338">
        <v>0</v>
      </c>
      <c r="Z2338">
        <v>0</v>
      </c>
      <c r="AA2338">
        <v>0</v>
      </c>
      <c r="AB2338" t="s">
        <v>36</v>
      </c>
      <c r="AC2338">
        <v>59</v>
      </c>
    </row>
    <row r="2339" spans="1:30" x14ac:dyDescent="0.25">
      <c r="A2339" s="1">
        <v>44784.77853009259</v>
      </c>
      <c r="B2339" s="1">
        <v>44784.776701388888</v>
      </c>
      <c r="C2339">
        <v>151710</v>
      </c>
      <c r="D2339" t="s">
        <v>41</v>
      </c>
      <c r="E2339" t="s">
        <v>31</v>
      </c>
      <c r="F2339">
        <v>7</v>
      </c>
      <c r="G2339">
        <v>43.132477000000002</v>
      </c>
      <c r="H2339">
        <v>-71.458374000000006</v>
      </c>
      <c r="I2339">
        <v>230</v>
      </c>
      <c r="J2339">
        <v>87</v>
      </c>
      <c r="K2339">
        <v>0</v>
      </c>
      <c r="L2339" s="1">
        <v>44784.778495370374</v>
      </c>
      <c r="M2339">
        <v>5.0999999999999996</v>
      </c>
      <c r="N2339">
        <v>3.7</v>
      </c>
      <c r="O2339">
        <v>1.4</v>
      </c>
      <c r="P2339">
        <v>32</v>
      </c>
      <c r="Q2339">
        <v>0</v>
      </c>
      <c r="R2339">
        <v>0</v>
      </c>
      <c r="S2339">
        <v>0</v>
      </c>
      <c r="T2339" t="s">
        <v>33</v>
      </c>
      <c r="U2339">
        <v>4.4000000000000004</v>
      </c>
      <c r="V2339">
        <v>41</v>
      </c>
      <c r="W2339">
        <v>0</v>
      </c>
      <c r="X2339">
        <v>41</v>
      </c>
      <c r="Y2339">
        <v>7</v>
      </c>
      <c r="Z2339">
        <v>0</v>
      </c>
      <c r="AA2339">
        <v>7</v>
      </c>
      <c r="AB2339" t="s">
        <v>36</v>
      </c>
      <c r="AC2339">
        <v>41</v>
      </c>
      <c r="AD2339">
        <v>1.97</v>
      </c>
    </row>
    <row r="2340" spans="1:30" x14ac:dyDescent="0.25">
      <c r="A2340" s="1">
        <v>44784.77853009259</v>
      </c>
      <c r="B2340" s="1">
        <v>44784.777731481481</v>
      </c>
      <c r="C2340">
        <v>151706</v>
      </c>
      <c r="D2340" t="s">
        <v>42</v>
      </c>
      <c r="E2340" t="s">
        <v>31</v>
      </c>
      <c r="F2340">
        <v>7</v>
      </c>
      <c r="G2340">
        <v>43.004080000000002</v>
      </c>
      <c r="H2340">
        <v>-71.177040000000005</v>
      </c>
      <c r="I2340">
        <v>194</v>
      </c>
      <c r="J2340">
        <v>82</v>
      </c>
      <c r="K2340">
        <v>0</v>
      </c>
      <c r="L2340" s="1">
        <v>44784.778495370374</v>
      </c>
      <c r="M2340">
        <v>10.6</v>
      </c>
      <c r="N2340">
        <v>0</v>
      </c>
      <c r="O2340">
        <v>10.6</v>
      </c>
      <c r="P2340">
        <v>200</v>
      </c>
      <c r="Q2340">
        <v>0</v>
      </c>
      <c r="R2340">
        <v>0</v>
      </c>
      <c r="S2340">
        <v>0</v>
      </c>
      <c r="T2340" t="s">
        <v>43</v>
      </c>
      <c r="V2340">
        <v>55</v>
      </c>
      <c r="W2340">
        <v>0</v>
      </c>
      <c r="X2340">
        <v>55</v>
      </c>
      <c r="Y2340">
        <v>0</v>
      </c>
      <c r="Z2340">
        <v>0</v>
      </c>
      <c r="AA2340">
        <v>0</v>
      </c>
      <c r="AB2340" t="s">
        <v>36</v>
      </c>
      <c r="AC2340">
        <v>55</v>
      </c>
    </row>
    <row r="2341" spans="1:30" x14ac:dyDescent="0.25">
      <c r="A2341" s="1">
        <v>44784.778541666667</v>
      </c>
      <c r="B2341" s="1">
        <v>44784.777546296296</v>
      </c>
      <c r="C2341">
        <v>12212</v>
      </c>
      <c r="D2341" t="s">
        <v>44</v>
      </c>
      <c r="E2341" t="s">
        <v>35</v>
      </c>
      <c r="F2341">
        <v>7</v>
      </c>
      <c r="G2341">
        <v>42.930529999999997</v>
      </c>
      <c r="H2341">
        <v>-72.272350000000003</v>
      </c>
      <c r="I2341">
        <v>476</v>
      </c>
      <c r="J2341">
        <v>89</v>
      </c>
      <c r="K2341">
        <v>0</v>
      </c>
      <c r="L2341" s="1">
        <v>44784.778495370374</v>
      </c>
      <c r="M2341">
        <v>6.8</v>
      </c>
      <c r="N2341">
        <v>6.1</v>
      </c>
      <c r="O2341">
        <v>0.7</v>
      </c>
      <c r="P2341">
        <v>11</v>
      </c>
      <c r="Q2341">
        <v>0.2</v>
      </c>
      <c r="R2341">
        <v>0.2</v>
      </c>
      <c r="S2341">
        <v>0.2</v>
      </c>
      <c r="T2341" t="s">
        <v>33</v>
      </c>
      <c r="U2341">
        <v>6.45</v>
      </c>
      <c r="V2341">
        <v>34</v>
      </c>
      <c r="W2341">
        <v>0</v>
      </c>
      <c r="X2341">
        <v>34</v>
      </c>
      <c r="Y2341">
        <v>0</v>
      </c>
      <c r="Z2341">
        <v>0</v>
      </c>
      <c r="AA2341">
        <v>0</v>
      </c>
      <c r="AB2341" t="s">
        <v>36</v>
      </c>
      <c r="AC2341">
        <v>34</v>
      </c>
      <c r="AD2341">
        <v>3.71</v>
      </c>
    </row>
    <row r="2342" spans="1:30" x14ac:dyDescent="0.25">
      <c r="A2342" s="1">
        <v>44784.778541666667</v>
      </c>
      <c r="B2342" s="1">
        <v>44769.376736111109</v>
      </c>
      <c r="C2342">
        <v>12178</v>
      </c>
      <c r="D2342" t="s">
        <v>45</v>
      </c>
      <c r="E2342" t="s">
        <v>35</v>
      </c>
      <c r="F2342">
        <v>7</v>
      </c>
      <c r="G2342">
        <v>42.899563000000001</v>
      </c>
      <c r="H2342">
        <v>-71.464650000000006</v>
      </c>
      <c r="I2342">
        <v>301</v>
      </c>
      <c r="J2342">
        <v>85</v>
      </c>
      <c r="K2342">
        <v>0</v>
      </c>
      <c r="L2342" s="1">
        <v>44784.778495370374</v>
      </c>
      <c r="M2342">
        <v>3.8</v>
      </c>
      <c r="N2342">
        <v>3.1</v>
      </c>
      <c r="O2342">
        <v>0.7</v>
      </c>
      <c r="P2342">
        <v>20</v>
      </c>
      <c r="Q2342">
        <v>0</v>
      </c>
      <c r="R2342">
        <v>0</v>
      </c>
      <c r="S2342">
        <v>0</v>
      </c>
      <c r="T2342" t="s">
        <v>32</v>
      </c>
      <c r="V2342">
        <v>35</v>
      </c>
      <c r="W2342">
        <v>0</v>
      </c>
      <c r="X2342">
        <v>35</v>
      </c>
      <c r="Y2342">
        <v>0</v>
      </c>
      <c r="Z2342">
        <v>0</v>
      </c>
      <c r="AA2342">
        <v>0</v>
      </c>
      <c r="AB2342" t="s">
        <v>36</v>
      </c>
      <c r="AC2342">
        <v>35</v>
      </c>
    </row>
    <row r="2343" spans="1:30" x14ac:dyDescent="0.25">
      <c r="A2343" s="1">
        <v>44784.778553240743</v>
      </c>
      <c r="B2343" s="1">
        <v>44784.77679398148</v>
      </c>
      <c r="C2343">
        <v>75981</v>
      </c>
      <c r="D2343" t="s">
        <v>46</v>
      </c>
      <c r="E2343" t="s">
        <v>35</v>
      </c>
      <c r="F2343">
        <v>7</v>
      </c>
      <c r="G2343">
        <v>42.97</v>
      </c>
      <c r="H2343">
        <v>-71.06</v>
      </c>
      <c r="I2343">
        <v>136</v>
      </c>
      <c r="J2343">
        <v>89</v>
      </c>
      <c r="K2343">
        <v>0</v>
      </c>
      <c r="L2343" s="1">
        <v>44784.778495370374</v>
      </c>
      <c r="M2343">
        <v>10.8</v>
      </c>
      <c r="N2343">
        <v>9.6999999999999993</v>
      </c>
      <c r="O2343">
        <v>1.1000000000000001</v>
      </c>
      <c r="P2343">
        <v>11</v>
      </c>
      <c r="Q2343">
        <v>0.4</v>
      </c>
      <c r="R2343">
        <v>0.1</v>
      </c>
      <c r="S2343">
        <v>0.25</v>
      </c>
      <c r="T2343" t="s">
        <v>33</v>
      </c>
      <c r="U2343">
        <v>10.25</v>
      </c>
      <c r="V2343">
        <v>46</v>
      </c>
      <c r="W2343">
        <v>0</v>
      </c>
      <c r="X2343">
        <v>46</v>
      </c>
      <c r="Y2343">
        <v>1</v>
      </c>
      <c r="Z2343">
        <v>0</v>
      </c>
      <c r="AA2343">
        <v>1</v>
      </c>
      <c r="AB2343" t="s">
        <v>36</v>
      </c>
      <c r="AC2343">
        <v>46</v>
      </c>
      <c r="AD2343">
        <v>5.19</v>
      </c>
    </row>
    <row r="2344" spans="1:30" x14ac:dyDescent="0.25">
      <c r="A2344" s="1">
        <v>44784.778553240743</v>
      </c>
      <c r="B2344" s="1">
        <v>44784.777337962965</v>
      </c>
      <c r="C2344">
        <v>115703</v>
      </c>
      <c r="D2344" t="s">
        <v>47</v>
      </c>
      <c r="E2344" t="s">
        <v>35</v>
      </c>
      <c r="F2344">
        <v>7</v>
      </c>
      <c r="G2344">
        <v>43.953625000000002</v>
      </c>
      <c r="H2344">
        <v>-71.508859999999999</v>
      </c>
      <c r="I2344">
        <v>1493</v>
      </c>
      <c r="J2344">
        <v>85</v>
      </c>
      <c r="K2344">
        <v>0</v>
      </c>
      <c r="L2344" s="1">
        <v>44784.778495370374</v>
      </c>
      <c r="M2344">
        <v>0.1</v>
      </c>
      <c r="N2344">
        <v>41.1</v>
      </c>
      <c r="O2344">
        <v>41</v>
      </c>
      <c r="P2344">
        <v>199</v>
      </c>
      <c r="Q2344">
        <v>0</v>
      </c>
      <c r="R2344">
        <v>9.6999999999999993</v>
      </c>
      <c r="S2344">
        <v>4.8499999999999996</v>
      </c>
      <c r="T2344" t="s">
        <v>60</v>
      </c>
      <c r="V2344">
        <v>38</v>
      </c>
      <c r="W2344">
        <v>0</v>
      </c>
      <c r="X2344">
        <v>38</v>
      </c>
      <c r="Y2344">
        <v>1</v>
      </c>
      <c r="Z2344">
        <v>0</v>
      </c>
      <c r="AA2344">
        <v>1</v>
      </c>
      <c r="AB2344" t="s">
        <v>36</v>
      </c>
      <c r="AC2344">
        <v>38</v>
      </c>
    </row>
    <row r="2345" spans="1:30" x14ac:dyDescent="0.25">
      <c r="A2345" s="1">
        <v>44784.778553240743</v>
      </c>
      <c r="B2345" s="1">
        <v>44784.776759259257</v>
      </c>
      <c r="C2345">
        <v>12050</v>
      </c>
      <c r="D2345" t="s">
        <v>49</v>
      </c>
      <c r="E2345" t="s">
        <v>35</v>
      </c>
      <c r="F2345">
        <v>7</v>
      </c>
      <c r="G2345">
        <v>44.220573000000002</v>
      </c>
      <c r="H2345">
        <v>-71.732315</v>
      </c>
      <c r="I2345">
        <v>999</v>
      </c>
      <c r="J2345">
        <v>81</v>
      </c>
      <c r="K2345">
        <v>0</v>
      </c>
      <c r="L2345" s="1">
        <v>44784.778495370374</v>
      </c>
      <c r="M2345">
        <v>4.7</v>
      </c>
      <c r="N2345">
        <v>4.3</v>
      </c>
      <c r="O2345">
        <v>0.4</v>
      </c>
      <c r="P2345">
        <v>9</v>
      </c>
      <c r="Q2345">
        <v>0</v>
      </c>
      <c r="R2345">
        <v>0</v>
      </c>
      <c r="S2345">
        <v>0</v>
      </c>
      <c r="T2345" t="s">
        <v>33</v>
      </c>
      <c r="U2345">
        <v>4.5</v>
      </c>
      <c r="V2345">
        <v>46</v>
      </c>
      <c r="W2345">
        <v>0</v>
      </c>
      <c r="X2345">
        <v>46</v>
      </c>
      <c r="Y2345">
        <v>1</v>
      </c>
      <c r="Z2345">
        <v>0</v>
      </c>
      <c r="AA2345">
        <v>1</v>
      </c>
      <c r="AB2345" t="s">
        <v>36</v>
      </c>
      <c r="AC2345">
        <v>46</v>
      </c>
      <c r="AD2345">
        <v>1.69</v>
      </c>
    </row>
    <row r="2346" spans="1:30" x14ac:dyDescent="0.25">
      <c r="A2346" s="1">
        <v>44784.778564814813</v>
      </c>
      <c r="B2346" s="1">
        <v>44784.778263888889</v>
      </c>
      <c r="C2346">
        <v>23443</v>
      </c>
      <c r="D2346" t="s">
        <v>50</v>
      </c>
      <c r="E2346" t="s">
        <v>35</v>
      </c>
      <c r="F2346">
        <v>7</v>
      </c>
      <c r="G2346">
        <v>43.556139999999999</v>
      </c>
      <c r="H2346">
        <v>-72.370990000000006</v>
      </c>
      <c r="I2346">
        <v>523</v>
      </c>
      <c r="J2346">
        <v>82</v>
      </c>
      <c r="K2346">
        <v>0</v>
      </c>
      <c r="L2346" s="1">
        <v>44784.778495370374</v>
      </c>
      <c r="M2346">
        <v>3.2</v>
      </c>
      <c r="N2346">
        <v>2.5</v>
      </c>
      <c r="O2346">
        <v>0.7</v>
      </c>
      <c r="P2346">
        <v>25</v>
      </c>
      <c r="Q2346">
        <v>0.4</v>
      </c>
      <c r="R2346">
        <v>0.3</v>
      </c>
      <c r="S2346">
        <v>0.35</v>
      </c>
      <c r="T2346" t="s">
        <v>33</v>
      </c>
      <c r="U2346">
        <v>2.85</v>
      </c>
      <c r="V2346">
        <v>45</v>
      </c>
      <c r="W2346">
        <v>0</v>
      </c>
      <c r="X2346">
        <v>45</v>
      </c>
      <c r="Y2346">
        <v>7</v>
      </c>
      <c r="Z2346">
        <v>0</v>
      </c>
      <c r="AA2346">
        <v>7</v>
      </c>
      <c r="AB2346" t="s">
        <v>36</v>
      </c>
      <c r="AC2346">
        <v>45</v>
      </c>
      <c r="AD2346">
        <v>0.75</v>
      </c>
    </row>
    <row r="2347" spans="1:30" x14ac:dyDescent="0.25">
      <c r="A2347" s="1">
        <v>44784.778564814813</v>
      </c>
      <c r="B2347" s="1">
        <v>44784.778379629628</v>
      </c>
      <c r="C2347">
        <v>58135</v>
      </c>
      <c r="D2347" t="s">
        <v>51</v>
      </c>
      <c r="E2347" t="s">
        <v>35</v>
      </c>
      <c r="F2347">
        <v>7</v>
      </c>
      <c r="G2347">
        <v>42.883873000000001</v>
      </c>
      <c r="H2347">
        <v>-71.972915999999998</v>
      </c>
      <c r="I2347">
        <v>808</v>
      </c>
      <c r="J2347">
        <v>85</v>
      </c>
      <c r="K2347">
        <v>0</v>
      </c>
      <c r="L2347" s="1">
        <v>44784.778495370374</v>
      </c>
      <c r="M2347">
        <v>5</v>
      </c>
      <c r="N2347">
        <v>3.4</v>
      </c>
      <c r="O2347">
        <v>1.6</v>
      </c>
      <c r="P2347">
        <v>38</v>
      </c>
      <c r="Q2347">
        <v>0</v>
      </c>
      <c r="R2347">
        <v>0.1</v>
      </c>
      <c r="S2347">
        <v>0.05</v>
      </c>
      <c r="T2347" t="s">
        <v>33</v>
      </c>
      <c r="U2347">
        <v>4.2</v>
      </c>
      <c r="V2347">
        <v>46</v>
      </c>
      <c r="W2347">
        <v>0</v>
      </c>
      <c r="X2347">
        <v>46</v>
      </c>
      <c r="Y2347">
        <v>4</v>
      </c>
      <c r="Z2347">
        <v>0</v>
      </c>
      <c r="AA2347">
        <v>4</v>
      </c>
      <c r="AB2347" t="s">
        <v>36</v>
      </c>
      <c r="AC2347">
        <v>46</v>
      </c>
      <c r="AD2347">
        <v>1.5</v>
      </c>
    </row>
    <row r="2348" spans="1:30" x14ac:dyDescent="0.25">
      <c r="A2348" s="1">
        <v>44784.77857638889</v>
      </c>
      <c r="B2348" s="1">
        <v>44784.778356481482</v>
      </c>
      <c r="C2348">
        <v>148555</v>
      </c>
      <c r="D2348" t="s">
        <v>52</v>
      </c>
      <c r="E2348" t="s">
        <v>53</v>
      </c>
      <c r="F2348">
        <v>7</v>
      </c>
      <c r="G2348">
        <v>42.904949999999999</v>
      </c>
      <c r="H2348">
        <v>-71.386764999999997</v>
      </c>
      <c r="I2348">
        <v>363</v>
      </c>
      <c r="J2348">
        <v>0</v>
      </c>
      <c r="K2348">
        <v>0</v>
      </c>
      <c r="L2348" s="1">
        <v>44784.778495370374</v>
      </c>
      <c r="M2348">
        <v>1.8</v>
      </c>
      <c r="N2348">
        <v>2.2999999999999998</v>
      </c>
      <c r="O2348">
        <v>0.5</v>
      </c>
      <c r="P2348">
        <v>24</v>
      </c>
      <c r="Q2348">
        <v>0</v>
      </c>
      <c r="R2348">
        <v>0</v>
      </c>
      <c r="S2348">
        <v>0</v>
      </c>
      <c r="T2348" t="s">
        <v>33</v>
      </c>
      <c r="U2348">
        <v>2.0499999999999998</v>
      </c>
      <c r="V2348">
        <v>0</v>
      </c>
      <c r="W2348">
        <v>0</v>
      </c>
      <c r="X2348">
        <v>0</v>
      </c>
      <c r="Y2348">
        <v>0</v>
      </c>
      <c r="Z2348">
        <v>0</v>
      </c>
      <c r="AA2348">
        <v>0</v>
      </c>
      <c r="AB2348" t="s">
        <v>38</v>
      </c>
    </row>
    <row r="2349" spans="1:30" x14ac:dyDescent="0.25">
      <c r="A2349" s="1">
        <v>44784.77857638889</v>
      </c>
      <c r="B2349" s="1">
        <v>44784.777870370373</v>
      </c>
      <c r="C2349">
        <v>146644</v>
      </c>
      <c r="D2349" t="s">
        <v>54</v>
      </c>
      <c r="E2349" t="s">
        <v>53</v>
      </c>
      <c r="F2349">
        <v>7</v>
      </c>
      <c r="G2349">
        <v>43.06015</v>
      </c>
      <c r="H2349">
        <v>-70.758930000000007</v>
      </c>
      <c r="I2349">
        <v>35</v>
      </c>
      <c r="J2349">
        <v>75</v>
      </c>
      <c r="K2349">
        <v>76</v>
      </c>
      <c r="L2349" s="1">
        <v>44784.778495370374</v>
      </c>
      <c r="M2349">
        <v>12.1</v>
      </c>
      <c r="N2349">
        <v>10.9</v>
      </c>
      <c r="O2349">
        <v>1.2</v>
      </c>
      <c r="P2349">
        <v>10</v>
      </c>
      <c r="Q2349">
        <v>0.2</v>
      </c>
      <c r="R2349">
        <v>0.2</v>
      </c>
      <c r="S2349">
        <v>0.2</v>
      </c>
      <c r="T2349" t="s">
        <v>33</v>
      </c>
      <c r="U2349">
        <v>11.5</v>
      </c>
      <c r="V2349">
        <v>63</v>
      </c>
      <c r="W2349">
        <v>68</v>
      </c>
      <c r="X2349">
        <v>5</v>
      </c>
      <c r="Y2349">
        <v>2</v>
      </c>
      <c r="Z2349">
        <v>1</v>
      </c>
      <c r="AA2349">
        <v>1</v>
      </c>
      <c r="AB2349" t="s">
        <v>33</v>
      </c>
      <c r="AC2349">
        <v>65.5</v>
      </c>
      <c r="AD2349">
        <v>4.59</v>
      </c>
    </row>
    <row r="2350" spans="1:30" x14ac:dyDescent="0.25">
      <c r="A2350" s="1">
        <v>44784.778587962966</v>
      </c>
      <c r="B2350" s="1">
        <v>43755.283437500002</v>
      </c>
      <c r="C2350">
        <v>12188</v>
      </c>
      <c r="D2350" t="s">
        <v>55</v>
      </c>
      <c r="E2350" t="s">
        <v>35</v>
      </c>
      <c r="F2350">
        <v>4.1100000000000003</v>
      </c>
      <c r="G2350">
        <v>42.927050000000001</v>
      </c>
      <c r="H2350">
        <v>-72.279610000000005</v>
      </c>
      <c r="I2350">
        <v>475</v>
      </c>
      <c r="J2350">
        <v>95</v>
      </c>
      <c r="K2350">
        <v>0</v>
      </c>
      <c r="L2350" s="1">
        <v>44784.778495370374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 t="s">
        <v>32</v>
      </c>
      <c r="V2350">
        <v>77</v>
      </c>
      <c r="W2350">
        <v>0</v>
      </c>
      <c r="X2350">
        <v>77</v>
      </c>
      <c r="Y2350">
        <v>0</v>
      </c>
      <c r="Z2350">
        <v>0</v>
      </c>
      <c r="AA2350">
        <v>0</v>
      </c>
      <c r="AB2350" t="s">
        <v>36</v>
      </c>
      <c r="AC2350">
        <v>77</v>
      </c>
    </row>
    <row r="2351" spans="1:30" x14ac:dyDescent="0.25">
      <c r="A2351" s="1">
        <v>44784.778587962966</v>
      </c>
      <c r="B2351" s="1">
        <v>44784.778252314813</v>
      </c>
      <c r="C2351">
        <v>1224</v>
      </c>
      <c r="D2351" t="s">
        <v>56</v>
      </c>
      <c r="E2351" t="s">
        <v>35</v>
      </c>
      <c r="F2351" t="s">
        <v>57</v>
      </c>
      <c r="G2351">
        <v>42.938034000000002</v>
      </c>
      <c r="H2351">
        <v>-72.259299999999996</v>
      </c>
      <c r="I2351">
        <v>792</v>
      </c>
      <c r="J2351">
        <v>89</v>
      </c>
      <c r="K2351">
        <v>0</v>
      </c>
      <c r="L2351" s="1">
        <v>44784.778495370374</v>
      </c>
      <c r="M2351">
        <v>6.5</v>
      </c>
      <c r="N2351">
        <v>0.2</v>
      </c>
      <c r="O2351">
        <v>6.3</v>
      </c>
      <c r="P2351">
        <v>188</v>
      </c>
      <c r="Q2351">
        <v>0.2</v>
      </c>
      <c r="R2351">
        <v>0.1</v>
      </c>
      <c r="S2351">
        <v>0.15</v>
      </c>
      <c r="T2351" t="s">
        <v>33</v>
      </c>
      <c r="U2351">
        <v>3.35</v>
      </c>
      <c r="V2351">
        <v>41</v>
      </c>
      <c r="W2351">
        <v>0</v>
      </c>
      <c r="X2351">
        <v>41</v>
      </c>
      <c r="Y2351">
        <v>2</v>
      </c>
      <c r="Z2351">
        <v>0</v>
      </c>
      <c r="AA2351">
        <v>2</v>
      </c>
      <c r="AB2351" t="s">
        <v>36</v>
      </c>
      <c r="AC2351">
        <v>41</v>
      </c>
      <c r="AD2351">
        <v>1.33</v>
      </c>
    </row>
    <row r="2352" spans="1:30" x14ac:dyDescent="0.25">
      <c r="A2352" s="1">
        <v>44784.778599537036</v>
      </c>
      <c r="B2352" s="1">
        <v>44784.777696759258</v>
      </c>
      <c r="C2352">
        <v>1202</v>
      </c>
      <c r="D2352" t="s">
        <v>58</v>
      </c>
      <c r="E2352" t="s">
        <v>35</v>
      </c>
      <c r="F2352" t="s">
        <v>57</v>
      </c>
      <c r="G2352">
        <v>42.936554000000001</v>
      </c>
      <c r="H2352">
        <v>-72.271019999999993</v>
      </c>
      <c r="I2352">
        <v>488</v>
      </c>
      <c r="J2352">
        <v>0</v>
      </c>
      <c r="K2352">
        <v>0</v>
      </c>
      <c r="L2352" s="1">
        <v>44784.778495370374</v>
      </c>
      <c r="M2352">
        <v>8.1</v>
      </c>
      <c r="N2352">
        <v>7.2</v>
      </c>
      <c r="O2352">
        <v>0.9</v>
      </c>
      <c r="P2352">
        <v>12</v>
      </c>
      <c r="Q2352">
        <v>0.3</v>
      </c>
      <c r="R2352">
        <v>0.2</v>
      </c>
      <c r="S2352">
        <v>0.25</v>
      </c>
      <c r="T2352" t="s">
        <v>33</v>
      </c>
      <c r="U2352">
        <v>7.65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 t="s">
        <v>38</v>
      </c>
    </row>
    <row r="2353" spans="1:30" x14ac:dyDescent="0.25">
      <c r="A2353" s="1">
        <v>44784.778599537036</v>
      </c>
      <c r="B2353" s="1">
        <v>44612.080023148148</v>
      </c>
      <c r="C2353">
        <v>25985</v>
      </c>
      <c r="D2353" t="s">
        <v>59</v>
      </c>
      <c r="E2353" t="s">
        <v>35</v>
      </c>
      <c r="F2353">
        <v>6.01</v>
      </c>
      <c r="G2353">
        <v>42.927326000000001</v>
      </c>
      <c r="H2353">
        <v>-72.279979999999995</v>
      </c>
      <c r="I2353">
        <v>477</v>
      </c>
      <c r="J2353">
        <v>78</v>
      </c>
      <c r="K2353">
        <v>0</v>
      </c>
      <c r="L2353" s="1">
        <v>44784.778495370374</v>
      </c>
      <c r="M2353">
        <v>1.1000000000000001</v>
      </c>
      <c r="N2353">
        <v>1</v>
      </c>
      <c r="O2353">
        <v>0.1</v>
      </c>
      <c r="P2353">
        <v>10</v>
      </c>
      <c r="Q2353">
        <v>0</v>
      </c>
      <c r="R2353">
        <v>0</v>
      </c>
      <c r="S2353">
        <v>0</v>
      </c>
      <c r="T2353" t="s">
        <v>32</v>
      </c>
      <c r="V2353">
        <v>22</v>
      </c>
      <c r="W2353">
        <v>0</v>
      </c>
      <c r="X2353">
        <v>22</v>
      </c>
      <c r="Y2353">
        <v>0</v>
      </c>
      <c r="Z2353">
        <v>0</v>
      </c>
      <c r="AA2353">
        <v>0</v>
      </c>
      <c r="AB2353" t="s">
        <v>36</v>
      </c>
      <c r="AC2353">
        <v>22</v>
      </c>
    </row>
    <row r="2354" spans="1:30" x14ac:dyDescent="0.25">
      <c r="A2354" s="1">
        <v>44784.785439814812</v>
      </c>
      <c r="B2354" s="1">
        <v>44775.701319444444</v>
      </c>
      <c r="C2354">
        <v>151708</v>
      </c>
      <c r="D2354" t="s">
        <v>30</v>
      </c>
      <c r="E2354" t="s">
        <v>31</v>
      </c>
      <c r="F2354">
        <v>7</v>
      </c>
      <c r="G2354">
        <v>43.192042999999998</v>
      </c>
      <c r="H2354">
        <v>-71.541579999999996</v>
      </c>
      <c r="I2354">
        <v>291</v>
      </c>
      <c r="J2354">
        <v>93</v>
      </c>
      <c r="K2354">
        <v>94</v>
      </c>
      <c r="L2354" s="1">
        <v>44784.785439814812</v>
      </c>
      <c r="M2354">
        <v>7.9</v>
      </c>
      <c r="N2354">
        <v>7.6</v>
      </c>
      <c r="O2354">
        <v>0.3</v>
      </c>
      <c r="P2354">
        <v>4</v>
      </c>
      <c r="Q2354">
        <v>0</v>
      </c>
      <c r="R2354">
        <v>0</v>
      </c>
      <c r="S2354">
        <v>0</v>
      </c>
      <c r="T2354" t="s">
        <v>32</v>
      </c>
      <c r="V2354">
        <v>42</v>
      </c>
      <c r="W2354">
        <v>41</v>
      </c>
      <c r="X2354">
        <v>1</v>
      </c>
      <c r="Y2354">
        <v>0</v>
      </c>
      <c r="Z2354">
        <v>0</v>
      </c>
      <c r="AA2354">
        <v>0</v>
      </c>
      <c r="AB2354" t="s">
        <v>33</v>
      </c>
      <c r="AC2354">
        <v>41.5</v>
      </c>
    </row>
    <row r="2355" spans="1:30" x14ac:dyDescent="0.25">
      <c r="A2355" s="1">
        <v>44784.785451388889</v>
      </c>
      <c r="B2355" s="1">
        <v>44784.783842592595</v>
      </c>
      <c r="C2355">
        <v>143456</v>
      </c>
      <c r="D2355" t="s">
        <v>34</v>
      </c>
      <c r="E2355" t="s">
        <v>35</v>
      </c>
      <c r="F2355">
        <v>7</v>
      </c>
      <c r="G2355">
        <v>43.08963</v>
      </c>
      <c r="H2355">
        <v>-71.502440000000007</v>
      </c>
      <c r="I2355">
        <v>619</v>
      </c>
      <c r="J2355">
        <v>81</v>
      </c>
      <c r="K2355">
        <v>0</v>
      </c>
      <c r="L2355" s="1">
        <v>44784.785439814812</v>
      </c>
      <c r="M2355">
        <v>4.4000000000000004</v>
      </c>
      <c r="N2355">
        <v>4.7</v>
      </c>
      <c r="O2355">
        <v>0.3</v>
      </c>
      <c r="P2355">
        <v>7</v>
      </c>
      <c r="Q2355">
        <v>0.1</v>
      </c>
      <c r="R2355">
        <v>0</v>
      </c>
      <c r="S2355">
        <v>0.05</v>
      </c>
      <c r="T2355" t="s">
        <v>33</v>
      </c>
      <c r="U2355">
        <v>4.55</v>
      </c>
      <c r="V2355">
        <v>54</v>
      </c>
      <c r="W2355">
        <v>0</v>
      </c>
      <c r="X2355">
        <v>54</v>
      </c>
      <c r="Y2355">
        <v>1</v>
      </c>
      <c r="Z2355">
        <v>0</v>
      </c>
      <c r="AA2355">
        <v>1</v>
      </c>
      <c r="AB2355" t="s">
        <v>36</v>
      </c>
      <c r="AC2355">
        <v>54</v>
      </c>
      <c r="AD2355">
        <v>1.1599999999999999</v>
      </c>
    </row>
    <row r="2356" spans="1:30" x14ac:dyDescent="0.25">
      <c r="A2356" s="1">
        <v>44784.785462962966</v>
      </c>
      <c r="B2356" s="1">
        <v>44784.783993055556</v>
      </c>
      <c r="C2356">
        <v>151702</v>
      </c>
      <c r="D2356" t="s">
        <v>37</v>
      </c>
      <c r="E2356" t="s">
        <v>31</v>
      </c>
      <c r="F2356">
        <v>7</v>
      </c>
      <c r="G2356">
        <v>43.118609999999997</v>
      </c>
      <c r="H2356">
        <v>-71.61618</v>
      </c>
      <c r="I2356">
        <v>885</v>
      </c>
      <c r="J2356">
        <v>0</v>
      </c>
      <c r="K2356">
        <v>0</v>
      </c>
      <c r="L2356" s="1">
        <v>44784.785439814812</v>
      </c>
      <c r="M2356">
        <v>3.9</v>
      </c>
      <c r="N2356">
        <v>4</v>
      </c>
      <c r="O2356">
        <v>0.1</v>
      </c>
      <c r="P2356">
        <v>3</v>
      </c>
      <c r="Q2356">
        <v>0.1</v>
      </c>
      <c r="R2356">
        <v>0.2</v>
      </c>
      <c r="S2356">
        <v>0.15</v>
      </c>
      <c r="T2356" t="s">
        <v>33</v>
      </c>
      <c r="U2356">
        <v>3.95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 t="s">
        <v>38</v>
      </c>
    </row>
    <row r="2357" spans="1:30" x14ac:dyDescent="0.25">
      <c r="A2357" s="1">
        <v>44784.785462962966</v>
      </c>
      <c r="B2357" s="1">
        <v>44784.783888888887</v>
      </c>
      <c r="C2357">
        <v>151700</v>
      </c>
      <c r="D2357" t="s">
        <v>30</v>
      </c>
      <c r="E2357" t="s">
        <v>31</v>
      </c>
      <c r="F2357">
        <v>7</v>
      </c>
      <c r="G2357">
        <v>43.19211</v>
      </c>
      <c r="H2357">
        <v>-71.541460000000001</v>
      </c>
      <c r="I2357">
        <v>286</v>
      </c>
      <c r="J2357">
        <v>85</v>
      </c>
      <c r="K2357">
        <v>0</v>
      </c>
      <c r="L2357" s="1">
        <v>44784.785439814812</v>
      </c>
      <c r="M2357">
        <v>2.7</v>
      </c>
      <c r="N2357">
        <v>3.2</v>
      </c>
      <c r="O2357">
        <v>0.5</v>
      </c>
      <c r="P2357">
        <v>17</v>
      </c>
      <c r="Q2357">
        <v>0</v>
      </c>
      <c r="R2357">
        <v>0.1</v>
      </c>
      <c r="S2357">
        <v>0.05</v>
      </c>
      <c r="T2357" t="s">
        <v>33</v>
      </c>
      <c r="U2357">
        <v>2.95</v>
      </c>
      <c r="V2357">
        <v>41</v>
      </c>
      <c r="W2357">
        <v>0</v>
      </c>
      <c r="X2357">
        <v>41</v>
      </c>
      <c r="Y2357">
        <v>0</v>
      </c>
      <c r="Z2357">
        <v>0</v>
      </c>
      <c r="AA2357">
        <v>0</v>
      </c>
      <c r="AB2357" t="s">
        <v>36</v>
      </c>
      <c r="AC2357">
        <v>41</v>
      </c>
      <c r="AD2357">
        <v>1.0900000000000001</v>
      </c>
    </row>
    <row r="2358" spans="1:30" x14ac:dyDescent="0.25">
      <c r="A2358" s="1">
        <v>44784.785474537035</v>
      </c>
      <c r="B2358" s="1">
        <v>44784.784328703703</v>
      </c>
      <c r="C2358">
        <v>135984</v>
      </c>
      <c r="D2358" t="s">
        <v>39</v>
      </c>
      <c r="E2358" t="s">
        <v>31</v>
      </c>
      <c r="F2358">
        <v>7</v>
      </c>
      <c r="G2358">
        <v>43.565852999999997</v>
      </c>
      <c r="H2358">
        <v>-71.496129999999994</v>
      </c>
      <c r="I2358">
        <v>708</v>
      </c>
      <c r="J2358">
        <v>81</v>
      </c>
      <c r="K2358">
        <v>0</v>
      </c>
      <c r="L2358" s="1">
        <v>44784.785439814812</v>
      </c>
      <c r="M2358">
        <v>4.7</v>
      </c>
      <c r="N2358">
        <v>4.5</v>
      </c>
      <c r="O2358">
        <v>0.2</v>
      </c>
      <c r="P2358">
        <v>4</v>
      </c>
      <c r="Q2358">
        <v>0.1</v>
      </c>
      <c r="R2358">
        <v>0.2</v>
      </c>
      <c r="S2358">
        <v>0.15</v>
      </c>
      <c r="T2358" t="s">
        <v>33</v>
      </c>
      <c r="U2358">
        <v>4.5999999999999996</v>
      </c>
      <c r="V2358">
        <v>60</v>
      </c>
      <c r="W2358">
        <v>0</v>
      </c>
      <c r="X2358">
        <v>60</v>
      </c>
      <c r="Y2358">
        <v>1</v>
      </c>
      <c r="Z2358">
        <v>0</v>
      </c>
      <c r="AA2358">
        <v>1</v>
      </c>
      <c r="AB2358" t="s">
        <v>36</v>
      </c>
      <c r="AC2358">
        <v>60</v>
      </c>
      <c r="AD2358">
        <v>0.77</v>
      </c>
    </row>
    <row r="2359" spans="1:30" x14ac:dyDescent="0.25">
      <c r="A2359" s="1">
        <v>44784.785486111112</v>
      </c>
      <c r="B2359" s="1">
        <v>44780.394780092596</v>
      </c>
      <c r="C2359">
        <v>151712</v>
      </c>
      <c r="D2359" t="s">
        <v>40</v>
      </c>
      <c r="E2359" t="s">
        <v>31</v>
      </c>
      <c r="F2359">
        <v>7</v>
      </c>
      <c r="G2359">
        <v>43.289763999999998</v>
      </c>
      <c r="H2359">
        <v>-71.564260000000004</v>
      </c>
      <c r="I2359">
        <v>370</v>
      </c>
      <c r="J2359">
        <v>86</v>
      </c>
      <c r="K2359">
        <v>0</v>
      </c>
      <c r="L2359" s="1">
        <v>44784.785439814812</v>
      </c>
      <c r="M2359">
        <v>14</v>
      </c>
      <c r="N2359">
        <v>13.2</v>
      </c>
      <c r="O2359">
        <v>0.8</v>
      </c>
      <c r="P2359">
        <v>6</v>
      </c>
      <c r="Q2359">
        <v>0</v>
      </c>
      <c r="R2359">
        <v>0</v>
      </c>
      <c r="S2359">
        <v>0</v>
      </c>
      <c r="T2359" t="s">
        <v>32</v>
      </c>
      <c r="V2359">
        <v>59</v>
      </c>
      <c r="W2359">
        <v>0</v>
      </c>
      <c r="X2359">
        <v>59</v>
      </c>
      <c r="Y2359">
        <v>0</v>
      </c>
      <c r="Z2359">
        <v>0</v>
      </c>
      <c r="AA2359">
        <v>0</v>
      </c>
      <c r="AB2359" t="s">
        <v>36</v>
      </c>
      <c r="AC2359">
        <v>59</v>
      </c>
    </row>
    <row r="2360" spans="1:30" x14ac:dyDescent="0.25">
      <c r="A2360" s="1">
        <v>44784.785486111112</v>
      </c>
      <c r="B2360" s="1">
        <v>44784.78365740741</v>
      </c>
      <c r="C2360">
        <v>151710</v>
      </c>
      <c r="D2360" t="s">
        <v>41</v>
      </c>
      <c r="E2360" t="s">
        <v>31</v>
      </c>
      <c r="F2360">
        <v>7</v>
      </c>
      <c r="G2360">
        <v>43.132477000000002</v>
      </c>
      <c r="H2360">
        <v>-71.458374000000006</v>
      </c>
      <c r="I2360">
        <v>230</v>
      </c>
      <c r="J2360">
        <v>85</v>
      </c>
      <c r="K2360">
        <v>0</v>
      </c>
      <c r="L2360" s="1">
        <v>44784.785439814812</v>
      </c>
      <c r="M2360">
        <v>5</v>
      </c>
      <c r="N2360">
        <v>3.7</v>
      </c>
      <c r="O2360">
        <v>1.3</v>
      </c>
      <c r="P2360">
        <v>30</v>
      </c>
      <c r="Q2360">
        <v>0.1</v>
      </c>
      <c r="R2360">
        <v>0</v>
      </c>
      <c r="S2360">
        <v>0.05</v>
      </c>
      <c r="T2360" t="s">
        <v>33</v>
      </c>
      <c r="U2360">
        <v>4.3499999999999996</v>
      </c>
      <c r="V2360">
        <v>41</v>
      </c>
      <c r="W2360">
        <v>0</v>
      </c>
      <c r="X2360">
        <v>41</v>
      </c>
      <c r="Y2360">
        <v>0</v>
      </c>
      <c r="Z2360">
        <v>0</v>
      </c>
      <c r="AA2360">
        <v>0</v>
      </c>
      <c r="AB2360" t="s">
        <v>36</v>
      </c>
      <c r="AC2360">
        <v>41</v>
      </c>
      <c r="AD2360">
        <v>1.94</v>
      </c>
    </row>
    <row r="2361" spans="1:30" x14ac:dyDescent="0.25">
      <c r="A2361" s="1">
        <v>44784.785497685189</v>
      </c>
      <c r="B2361" s="1">
        <v>44784.784675925926</v>
      </c>
      <c r="C2361">
        <v>151706</v>
      </c>
      <c r="D2361" t="s">
        <v>42</v>
      </c>
      <c r="E2361" t="s">
        <v>31</v>
      </c>
      <c r="F2361">
        <v>7</v>
      </c>
      <c r="G2361">
        <v>43.004080000000002</v>
      </c>
      <c r="H2361">
        <v>-71.177040000000005</v>
      </c>
      <c r="I2361">
        <v>194</v>
      </c>
      <c r="J2361">
        <v>82</v>
      </c>
      <c r="K2361">
        <v>0</v>
      </c>
      <c r="L2361" s="1">
        <v>44784.785439814812</v>
      </c>
      <c r="M2361">
        <v>10.5</v>
      </c>
      <c r="N2361">
        <v>0</v>
      </c>
      <c r="O2361">
        <v>10.5</v>
      </c>
      <c r="P2361">
        <v>200</v>
      </c>
      <c r="Q2361">
        <v>0.1</v>
      </c>
      <c r="R2361">
        <v>0</v>
      </c>
      <c r="S2361">
        <v>0.05</v>
      </c>
      <c r="T2361" t="s">
        <v>43</v>
      </c>
      <c r="V2361">
        <v>55</v>
      </c>
      <c r="W2361">
        <v>0</v>
      </c>
      <c r="X2361">
        <v>55</v>
      </c>
      <c r="Y2361">
        <v>0</v>
      </c>
      <c r="Z2361">
        <v>0</v>
      </c>
      <c r="AA2361">
        <v>0</v>
      </c>
      <c r="AB2361" t="s">
        <v>36</v>
      </c>
      <c r="AC2361">
        <v>55</v>
      </c>
    </row>
    <row r="2362" spans="1:30" x14ac:dyDescent="0.25">
      <c r="A2362" s="1">
        <v>44784.785497685189</v>
      </c>
      <c r="B2362" s="1">
        <v>44784.784479166665</v>
      </c>
      <c r="C2362">
        <v>12212</v>
      </c>
      <c r="D2362" t="s">
        <v>44</v>
      </c>
      <c r="E2362" t="s">
        <v>35</v>
      </c>
      <c r="F2362">
        <v>7</v>
      </c>
      <c r="G2362">
        <v>42.930529999999997</v>
      </c>
      <c r="H2362">
        <v>-72.272350000000003</v>
      </c>
      <c r="I2362">
        <v>476</v>
      </c>
      <c r="J2362">
        <v>89</v>
      </c>
      <c r="K2362">
        <v>0</v>
      </c>
      <c r="L2362" s="1">
        <v>44784.785439814812</v>
      </c>
      <c r="M2362">
        <v>6.8</v>
      </c>
      <c r="N2362">
        <v>6.1</v>
      </c>
      <c r="O2362">
        <v>0.7</v>
      </c>
      <c r="P2362">
        <v>11</v>
      </c>
      <c r="Q2362">
        <v>0</v>
      </c>
      <c r="R2362">
        <v>0</v>
      </c>
      <c r="S2362">
        <v>0</v>
      </c>
      <c r="T2362" t="s">
        <v>33</v>
      </c>
      <c r="U2362">
        <v>6.45</v>
      </c>
      <c r="V2362">
        <v>35</v>
      </c>
      <c r="W2362">
        <v>0</v>
      </c>
      <c r="X2362">
        <v>35</v>
      </c>
      <c r="Y2362">
        <v>1</v>
      </c>
      <c r="Z2362">
        <v>0</v>
      </c>
      <c r="AA2362">
        <v>1</v>
      </c>
      <c r="AB2362" t="s">
        <v>36</v>
      </c>
      <c r="AC2362">
        <v>35</v>
      </c>
      <c r="AD2362">
        <v>3.64</v>
      </c>
    </row>
    <row r="2363" spans="1:30" x14ac:dyDescent="0.25">
      <c r="A2363" s="1">
        <v>44784.785497685189</v>
      </c>
      <c r="B2363" s="1">
        <v>44769.376736111109</v>
      </c>
      <c r="C2363">
        <v>12178</v>
      </c>
      <c r="D2363" t="s">
        <v>45</v>
      </c>
      <c r="E2363" t="s">
        <v>35</v>
      </c>
      <c r="F2363">
        <v>7</v>
      </c>
      <c r="G2363">
        <v>42.899563000000001</v>
      </c>
      <c r="H2363">
        <v>-71.464650000000006</v>
      </c>
      <c r="I2363">
        <v>301</v>
      </c>
      <c r="J2363">
        <v>85</v>
      </c>
      <c r="K2363">
        <v>0</v>
      </c>
      <c r="L2363" s="1">
        <v>44784.785439814812</v>
      </c>
      <c r="M2363">
        <v>3.8</v>
      </c>
      <c r="N2363">
        <v>3.1</v>
      </c>
      <c r="O2363">
        <v>0.7</v>
      </c>
      <c r="P2363">
        <v>20</v>
      </c>
      <c r="Q2363">
        <v>0</v>
      </c>
      <c r="R2363">
        <v>0</v>
      </c>
      <c r="S2363">
        <v>0</v>
      </c>
      <c r="T2363" t="s">
        <v>32</v>
      </c>
      <c r="V2363">
        <v>35</v>
      </c>
      <c r="W2363">
        <v>0</v>
      </c>
      <c r="X2363">
        <v>35</v>
      </c>
      <c r="Y2363">
        <v>0</v>
      </c>
      <c r="Z2363">
        <v>0</v>
      </c>
      <c r="AA2363">
        <v>0</v>
      </c>
      <c r="AB2363" t="s">
        <v>36</v>
      </c>
      <c r="AC2363">
        <v>35</v>
      </c>
    </row>
    <row r="2364" spans="1:30" x14ac:dyDescent="0.25">
      <c r="A2364" s="1">
        <v>44784.785509259258</v>
      </c>
      <c r="B2364" s="1">
        <v>44784.785138888888</v>
      </c>
      <c r="C2364">
        <v>75981</v>
      </c>
      <c r="D2364" t="s">
        <v>46</v>
      </c>
      <c r="E2364" t="s">
        <v>35</v>
      </c>
      <c r="F2364">
        <v>7</v>
      </c>
      <c r="G2364">
        <v>42.97</v>
      </c>
      <c r="H2364">
        <v>-71.06</v>
      </c>
      <c r="I2364">
        <v>136</v>
      </c>
      <c r="J2364">
        <v>88</v>
      </c>
      <c r="K2364">
        <v>0</v>
      </c>
      <c r="L2364" s="1">
        <v>44784.785439814812</v>
      </c>
      <c r="M2364">
        <v>10.7</v>
      </c>
      <c r="N2364">
        <v>9.8000000000000007</v>
      </c>
      <c r="O2364">
        <v>0.9</v>
      </c>
      <c r="P2364">
        <v>9</v>
      </c>
      <c r="Q2364">
        <v>0.1</v>
      </c>
      <c r="R2364">
        <v>0.1</v>
      </c>
      <c r="S2364">
        <v>0.1</v>
      </c>
      <c r="T2364" t="s">
        <v>33</v>
      </c>
      <c r="U2364">
        <v>10.25</v>
      </c>
      <c r="V2364">
        <v>47</v>
      </c>
      <c r="W2364">
        <v>0</v>
      </c>
      <c r="X2364">
        <v>47</v>
      </c>
      <c r="Y2364">
        <v>1</v>
      </c>
      <c r="Z2364">
        <v>0</v>
      </c>
      <c r="AA2364">
        <v>1</v>
      </c>
      <c r="AB2364" t="s">
        <v>36</v>
      </c>
      <c r="AC2364">
        <v>47</v>
      </c>
      <c r="AD2364">
        <v>5.12</v>
      </c>
    </row>
    <row r="2365" spans="1:30" x14ac:dyDescent="0.25">
      <c r="A2365" s="1">
        <v>44784.785509259258</v>
      </c>
      <c r="B2365" s="1">
        <v>44784.784282407411</v>
      </c>
      <c r="C2365">
        <v>115703</v>
      </c>
      <c r="D2365" t="s">
        <v>47</v>
      </c>
      <c r="E2365" t="s">
        <v>35</v>
      </c>
      <c r="F2365">
        <v>7</v>
      </c>
      <c r="G2365">
        <v>43.953625000000002</v>
      </c>
      <c r="H2365">
        <v>-71.508859999999999</v>
      </c>
      <c r="I2365">
        <v>1493</v>
      </c>
      <c r="J2365">
        <v>82</v>
      </c>
      <c r="K2365">
        <v>0</v>
      </c>
      <c r="L2365" s="1">
        <v>44784.785439814812</v>
      </c>
      <c r="M2365">
        <v>0.1</v>
      </c>
      <c r="N2365">
        <v>41.1</v>
      </c>
      <c r="O2365">
        <v>41</v>
      </c>
      <c r="P2365">
        <v>199</v>
      </c>
      <c r="Q2365">
        <v>0</v>
      </c>
      <c r="R2365">
        <v>0</v>
      </c>
      <c r="S2365">
        <v>0</v>
      </c>
      <c r="T2365" t="s">
        <v>60</v>
      </c>
      <c r="V2365">
        <v>40</v>
      </c>
      <c r="W2365">
        <v>0</v>
      </c>
      <c r="X2365">
        <v>40</v>
      </c>
      <c r="Y2365">
        <v>2</v>
      </c>
      <c r="Z2365">
        <v>0</v>
      </c>
      <c r="AA2365">
        <v>2</v>
      </c>
      <c r="AB2365" t="s">
        <v>36</v>
      </c>
      <c r="AC2365">
        <v>40</v>
      </c>
    </row>
    <row r="2366" spans="1:30" x14ac:dyDescent="0.25">
      <c r="A2366" s="1">
        <v>44784.785520833335</v>
      </c>
      <c r="B2366" s="1">
        <v>44784.785092592596</v>
      </c>
      <c r="C2366">
        <v>12050</v>
      </c>
      <c r="D2366" t="s">
        <v>49</v>
      </c>
      <c r="E2366" t="s">
        <v>35</v>
      </c>
      <c r="F2366">
        <v>7</v>
      </c>
      <c r="G2366">
        <v>44.220573000000002</v>
      </c>
      <c r="H2366">
        <v>-71.732315</v>
      </c>
      <c r="I2366">
        <v>999</v>
      </c>
      <c r="J2366">
        <v>81</v>
      </c>
      <c r="K2366">
        <v>0</v>
      </c>
      <c r="L2366" s="1">
        <v>44784.785439814812</v>
      </c>
      <c r="M2366">
        <v>5.0999999999999996</v>
      </c>
      <c r="N2366">
        <v>4.5999999999999996</v>
      </c>
      <c r="O2366">
        <v>0.5</v>
      </c>
      <c r="P2366">
        <v>10</v>
      </c>
      <c r="Q2366">
        <v>0.4</v>
      </c>
      <c r="R2366">
        <v>0.3</v>
      </c>
      <c r="S2366">
        <v>0.35</v>
      </c>
      <c r="T2366" t="s">
        <v>33</v>
      </c>
      <c r="U2366">
        <v>4.8499999999999996</v>
      </c>
      <c r="V2366">
        <v>47</v>
      </c>
      <c r="W2366">
        <v>0</v>
      </c>
      <c r="X2366">
        <v>47</v>
      </c>
      <c r="Y2366">
        <v>1</v>
      </c>
      <c r="Z2366">
        <v>0</v>
      </c>
      <c r="AA2366">
        <v>1</v>
      </c>
      <c r="AB2366" t="s">
        <v>36</v>
      </c>
      <c r="AC2366">
        <v>47</v>
      </c>
      <c r="AD2366">
        <v>1.83</v>
      </c>
    </row>
    <row r="2367" spans="1:30" x14ac:dyDescent="0.25">
      <c r="A2367" s="1">
        <v>44784.785520833335</v>
      </c>
      <c r="B2367" s="1">
        <v>44784.785208333335</v>
      </c>
      <c r="C2367">
        <v>23443</v>
      </c>
      <c r="D2367" t="s">
        <v>50</v>
      </c>
      <c r="E2367" t="s">
        <v>35</v>
      </c>
      <c r="F2367">
        <v>7</v>
      </c>
      <c r="G2367">
        <v>43.556139999999999</v>
      </c>
      <c r="H2367">
        <v>-72.370990000000006</v>
      </c>
      <c r="I2367">
        <v>523</v>
      </c>
      <c r="J2367">
        <v>79</v>
      </c>
      <c r="K2367">
        <v>0</v>
      </c>
      <c r="L2367" s="1">
        <v>44784.785439814812</v>
      </c>
      <c r="M2367">
        <v>3.8</v>
      </c>
      <c r="N2367">
        <v>3.3</v>
      </c>
      <c r="O2367">
        <v>0.5</v>
      </c>
      <c r="P2367">
        <v>14</v>
      </c>
      <c r="Q2367">
        <v>0.6</v>
      </c>
      <c r="R2367">
        <v>0.8</v>
      </c>
      <c r="S2367">
        <v>0.7</v>
      </c>
      <c r="T2367" t="s">
        <v>33</v>
      </c>
      <c r="U2367">
        <v>3.55</v>
      </c>
      <c r="V2367">
        <v>53</v>
      </c>
      <c r="W2367">
        <v>0</v>
      </c>
      <c r="X2367">
        <v>53</v>
      </c>
      <c r="Y2367">
        <v>8</v>
      </c>
      <c r="Z2367">
        <v>0</v>
      </c>
      <c r="AA2367">
        <v>8</v>
      </c>
      <c r="AB2367" t="s">
        <v>36</v>
      </c>
      <c r="AC2367">
        <v>53</v>
      </c>
      <c r="AD2367">
        <v>0.62</v>
      </c>
    </row>
    <row r="2368" spans="1:30" x14ac:dyDescent="0.25">
      <c r="A2368" s="1">
        <v>44784.785520833335</v>
      </c>
      <c r="B2368" s="1">
        <v>44784.78533564815</v>
      </c>
      <c r="C2368">
        <v>58135</v>
      </c>
      <c r="D2368" t="s">
        <v>51</v>
      </c>
      <c r="E2368" t="s">
        <v>35</v>
      </c>
      <c r="F2368">
        <v>7</v>
      </c>
      <c r="G2368">
        <v>42.883873000000001</v>
      </c>
      <c r="H2368">
        <v>-71.972915999999998</v>
      </c>
      <c r="I2368">
        <v>808</v>
      </c>
      <c r="J2368">
        <v>84</v>
      </c>
      <c r="K2368">
        <v>0</v>
      </c>
      <c r="L2368" s="1">
        <v>44784.785439814812</v>
      </c>
      <c r="M2368">
        <v>4.9000000000000004</v>
      </c>
      <c r="N2368">
        <v>3.3</v>
      </c>
      <c r="O2368">
        <v>1.6</v>
      </c>
      <c r="P2368">
        <v>39</v>
      </c>
      <c r="Q2368">
        <v>0.1</v>
      </c>
      <c r="R2368">
        <v>0.1</v>
      </c>
      <c r="S2368">
        <v>0.1</v>
      </c>
      <c r="T2368" t="s">
        <v>33</v>
      </c>
      <c r="U2368">
        <v>4.0999999999999996</v>
      </c>
      <c r="V2368">
        <v>48</v>
      </c>
      <c r="W2368">
        <v>0</v>
      </c>
      <c r="X2368">
        <v>48</v>
      </c>
      <c r="Y2368">
        <v>2</v>
      </c>
      <c r="Z2368">
        <v>0</v>
      </c>
      <c r="AA2368">
        <v>2</v>
      </c>
      <c r="AB2368" t="s">
        <v>36</v>
      </c>
      <c r="AC2368">
        <v>48</v>
      </c>
      <c r="AD2368">
        <v>1.3</v>
      </c>
    </row>
    <row r="2369" spans="1:30" x14ac:dyDescent="0.25">
      <c r="A2369" s="1">
        <v>44784.785532407404</v>
      </c>
      <c r="B2369" s="1">
        <v>44784.785300925927</v>
      </c>
      <c r="C2369">
        <v>148555</v>
      </c>
      <c r="D2369" t="s">
        <v>52</v>
      </c>
      <c r="E2369" t="s">
        <v>53</v>
      </c>
      <c r="F2369">
        <v>7</v>
      </c>
      <c r="G2369">
        <v>42.904949999999999</v>
      </c>
      <c r="H2369">
        <v>-71.386764999999997</v>
      </c>
      <c r="I2369">
        <v>363</v>
      </c>
      <c r="J2369">
        <v>0</v>
      </c>
      <c r="K2369">
        <v>0</v>
      </c>
      <c r="L2369" s="1">
        <v>44784.785439814812</v>
      </c>
      <c r="M2369">
        <v>1.8</v>
      </c>
      <c r="N2369">
        <v>2.4</v>
      </c>
      <c r="O2369">
        <v>0.6</v>
      </c>
      <c r="P2369">
        <v>29</v>
      </c>
      <c r="Q2369">
        <v>0</v>
      </c>
      <c r="R2369">
        <v>0.1</v>
      </c>
      <c r="S2369">
        <v>0.05</v>
      </c>
      <c r="T2369" t="s">
        <v>33</v>
      </c>
      <c r="U2369">
        <v>2.1</v>
      </c>
      <c r="V2369">
        <v>0</v>
      </c>
      <c r="W2369">
        <v>0</v>
      </c>
      <c r="X2369">
        <v>0</v>
      </c>
      <c r="Y2369">
        <v>0</v>
      </c>
      <c r="Z2369">
        <v>0</v>
      </c>
      <c r="AA2369">
        <v>0</v>
      </c>
      <c r="AB2369" t="s">
        <v>38</v>
      </c>
    </row>
    <row r="2370" spans="1:30" x14ac:dyDescent="0.25">
      <c r="A2370" s="1">
        <v>44784.785532407404</v>
      </c>
      <c r="B2370" s="1">
        <v>44784.784803240742</v>
      </c>
      <c r="C2370">
        <v>146644</v>
      </c>
      <c r="D2370" t="s">
        <v>54</v>
      </c>
      <c r="E2370" t="s">
        <v>53</v>
      </c>
      <c r="F2370">
        <v>7</v>
      </c>
      <c r="G2370">
        <v>43.06015</v>
      </c>
      <c r="H2370">
        <v>-70.758930000000007</v>
      </c>
      <c r="I2370">
        <v>35</v>
      </c>
      <c r="J2370">
        <v>75</v>
      </c>
      <c r="K2370">
        <v>76</v>
      </c>
      <c r="L2370" s="1">
        <v>44784.785439814812</v>
      </c>
      <c r="M2370">
        <v>11.9</v>
      </c>
      <c r="N2370">
        <v>10.8</v>
      </c>
      <c r="O2370">
        <v>1.1000000000000001</v>
      </c>
      <c r="P2370">
        <v>10</v>
      </c>
      <c r="Q2370">
        <v>0.2</v>
      </c>
      <c r="R2370">
        <v>0.1</v>
      </c>
      <c r="S2370">
        <v>0.15</v>
      </c>
      <c r="T2370" t="s">
        <v>33</v>
      </c>
      <c r="U2370">
        <v>11.35</v>
      </c>
      <c r="V2370">
        <v>63</v>
      </c>
      <c r="W2370">
        <v>68</v>
      </c>
      <c r="X2370">
        <v>5</v>
      </c>
      <c r="Y2370">
        <v>0</v>
      </c>
      <c r="Z2370">
        <v>0</v>
      </c>
      <c r="AA2370">
        <v>0</v>
      </c>
      <c r="AB2370" t="s">
        <v>33</v>
      </c>
      <c r="AC2370">
        <v>65.5</v>
      </c>
      <c r="AD2370">
        <v>4.5</v>
      </c>
    </row>
    <row r="2371" spans="1:30" x14ac:dyDescent="0.25">
      <c r="A2371" s="1">
        <v>44784.785543981481</v>
      </c>
      <c r="B2371" s="1">
        <v>43755.283437500002</v>
      </c>
      <c r="C2371">
        <v>12188</v>
      </c>
      <c r="D2371" t="s">
        <v>55</v>
      </c>
      <c r="E2371" t="s">
        <v>35</v>
      </c>
      <c r="F2371">
        <v>4.1100000000000003</v>
      </c>
      <c r="G2371">
        <v>42.927050000000001</v>
      </c>
      <c r="H2371">
        <v>-72.279610000000005</v>
      </c>
      <c r="I2371">
        <v>475</v>
      </c>
      <c r="J2371">
        <v>95</v>
      </c>
      <c r="K2371">
        <v>0</v>
      </c>
      <c r="L2371" s="1">
        <v>44784.785439814812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 t="s">
        <v>32</v>
      </c>
      <c r="V2371">
        <v>77</v>
      </c>
      <c r="W2371">
        <v>0</v>
      </c>
      <c r="X2371">
        <v>77</v>
      </c>
      <c r="Y2371">
        <v>0</v>
      </c>
      <c r="Z2371">
        <v>0</v>
      </c>
      <c r="AA2371">
        <v>0</v>
      </c>
      <c r="AB2371" t="s">
        <v>36</v>
      </c>
      <c r="AC2371">
        <v>77</v>
      </c>
    </row>
    <row r="2372" spans="1:30" x14ac:dyDescent="0.25">
      <c r="A2372" s="1">
        <v>44784.785543981481</v>
      </c>
      <c r="B2372" s="1">
        <v>44784.785196759258</v>
      </c>
      <c r="C2372">
        <v>1224</v>
      </c>
      <c r="D2372" t="s">
        <v>56</v>
      </c>
      <c r="E2372" t="s">
        <v>35</v>
      </c>
      <c r="F2372" t="s">
        <v>57</v>
      </c>
      <c r="G2372">
        <v>42.938034000000002</v>
      </c>
      <c r="H2372">
        <v>-72.259299999999996</v>
      </c>
      <c r="I2372">
        <v>792</v>
      </c>
      <c r="J2372">
        <v>87</v>
      </c>
      <c r="K2372">
        <v>0</v>
      </c>
      <c r="L2372" s="1">
        <v>44784.785439814812</v>
      </c>
      <c r="M2372">
        <v>6.8</v>
      </c>
      <c r="N2372">
        <v>0.3</v>
      </c>
      <c r="O2372">
        <v>6.5</v>
      </c>
      <c r="P2372">
        <v>183</v>
      </c>
      <c r="Q2372">
        <v>0.3</v>
      </c>
      <c r="R2372">
        <v>0.1</v>
      </c>
      <c r="S2372">
        <v>0.2</v>
      </c>
      <c r="T2372" t="s">
        <v>33</v>
      </c>
      <c r="U2372">
        <v>3.55</v>
      </c>
      <c r="V2372">
        <v>42</v>
      </c>
      <c r="W2372">
        <v>0</v>
      </c>
      <c r="X2372">
        <v>42</v>
      </c>
      <c r="Y2372">
        <v>1</v>
      </c>
      <c r="Z2372">
        <v>0</v>
      </c>
      <c r="AA2372">
        <v>1</v>
      </c>
      <c r="AB2372" t="s">
        <v>36</v>
      </c>
      <c r="AC2372">
        <v>42</v>
      </c>
      <c r="AD2372">
        <v>1.39</v>
      </c>
    </row>
    <row r="2373" spans="1:30" x14ac:dyDescent="0.25">
      <c r="A2373" s="1">
        <v>44784.785543981481</v>
      </c>
      <c r="B2373" s="1">
        <v>44784.784641203703</v>
      </c>
      <c r="C2373">
        <v>1202</v>
      </c>
      <c r="D2373" t="s">
        <v>58</v>
      </c>
      <c r="E2373" t="s">
        <v>35</v>
      </c>
      <c r="F2373" t="s">
        <v>57</v>
      </c>
      <c r="G2373">
        <v>42.936554000000001</v>
      </c>
      <c r="H2373">
        <v>-72.271019999999993</v>
      </c>
      <c r="I2373">
        <v>488</v>
      </c>
      <c r="J2373">
        <v>0</v>
      </c>
      <c r="K2373">
        <v>0</v>
      </c>
      <c r="L2373" s="1">
        <v>44784.785439814812</v>
      </c>
      <c r="M2373">
        <v>8</v>
      </c>
      <c r="N2373">
        <v>7.1</v>
      </c>
      <c r="O2373">
        <v>0.9</v>
      </c>
      <c r="P2373">
        <v>12</v>
      </c>
      <c r="Q2373">
        <v>0.1</v>
      </c>
      <c r="R2373">
        <v>0.1</v>
      </c>
      <c r="S2373">
        <v>0.1</v>
      </c>
      <c r="T2373" t="s">
        <v>33</v>
      </c>
      <c r="U2373">
        <v>7.55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 t="s">
        <v>38</v>
      </c>
    </row>
    <row r="2374" spans="1:30" x14ac:dyDescent="0.25">
      <c r="A2374" s="1">
        <v>44784.785555555558</v>
      </c>
      <c r="B2374" s="1">
        <v>44612.080023148148</v>
      </c>
      <c r="C2374">
        <v>25985</v>
      </c>
      <c r="D2374" t="s">
        <v>59</v>
      </c>
      <c r="E2374" t="s">
        <v>35</v>
      </c>
      <c r="F2374">
        <v>6.01</v>
      </c>
      <c r="G2374">
        <v>42.927326000000001</v>
      </c>
      <c r="H2374">
        <v>-72.279979999999995</v>
      </c>
      <c r="I2374">
        <v>477</v>
      </c>
      <c r="J2374">
        <v>78</v>
      </c>
      <c r="K2374">
        <v>0</v>
      </c>
      <c r="L2374" s="1">
        <v>44784.785439814812</v>
      </c>
      <c r="M2374">
        <v>1.1000000000000001</v>
      </c>
      <c r="N2374">
        <v>1</v>
      </c>
      <c r="O2374">
        <v>0.1</v>
      </c>
      <c r="P2374">
        <v>10</v>
      </c>
      <c r="Q2374">
        <v>0</v>
      </c>
      <c r="R2374">
        <v>0</v>
      </c>
      <c r="S2374">
        <v>0</v>
      </c>
      <c r="T2374" t="s">
        <v>32</v>
      </c>
      <c r="V2374">
        <v>22</v>
      </c>
      <c r="W2374">
        <v>0</v>
      </c>
      <c r="X2374">
        <v>22</v>
      </c>
      <c r="Y2374">
        <v>0</v>
      </c>
      <c r="Z2374">
        <v>0</v>
      </c>
      <c r="AA2374">
        <v>0</v>
      </c>
      <c r="AB2374" t="s">
        <v>36</v>
      </c>
      <c r="AC2374">
        <v>22</v>
      </c>
    </row>
    <row r="2375" spans="1:30" x14ac:dyDescent="0.25">
      <c r="A2375" s="1">
        <v>44784.792384259257</v>
      </c>
      <c r="B2375" s="1">
        <v>44775.701319444444</v>
      </c>
      <c r="C2375">
        <v>151708</v>
      </c>
      <c r="D2375" t="s">
        <v>30</v>
      </c>
      <c r="E2375" t="s">
        <v>31</v>
      </c>
      <c r="F2375">
        <v>7</v>
      </c>
      <c r="G2375">
        <v>43.192042999999998</v>
      </c>
      <c r="H2375">
        <v>-71.541579999999996</v>
      </c>
      <c r="I2375">
        <v>291</v>
      </c>
      <c r="J2375">
        <v>93</v>
      </c>
      <c r="K2375">
        <v>94</v>
      </c>
      <c r="L2375" s="1">
        <v>44784.792384259257</v>
      </c>
      <c r="M2375">
        <v>7.9</v>
      </c>
      <c r="N2375">
        <v>7.6</v>
      </c>
      <c r="O2375">
        <v>0.3</v>
      </c>
      <c r="P2375">
        <v>4</v>
      </c>
      <c r="Q2375">
        <v>0</v>
      </c>
      <c r="R2375">
        <v>0</v>
      </c>
      <c r="S2375">
        <v>0</v>
      </c>
      <c r="T2375" t="s">
        <v>32</v>
      </c>
      <c r="V2375">
        <v>42</v>
      </c>
      <c r="W2375">
        <v>41</v>
      </c>
      <c r="X2375">
        <v>1</v>
      </c>
      <c r="Y2375">
        <v>0</v>
      </c>
      <c r="Z2375">
        <v>0</v>
      </c>
      <c r="AA2375">
        <v>0</v>
      </c>
      <c r="AB2375" t="s">
        <v>33</v>
      </c>
      <c r="AC2375">
        <v>41.5</v>
      </c>
    </row>
    <row r="2376" spans="1:30" x14ac:dyDescent="0.25">
      <c r="A2376" s="1">
        <v>44784.792395833334</v>
      </c>
      <c r="B2376" s="1">
        <v>44784.79078703704</v>
      </c>
      <c r="C2376">
        <v>143456</v>
      </c>
      <c r="D2376" t="s">
        <v>34</v>
      </c>
      <c r="E2376" t="s">
        <v>35</v>
      </c>
      <c r="F2376">
        <v>7</v>
      </c>
      <c r="G2376">
        <v>43.08963</v>
      </c>
      <c r="H2376">
        <v>-71.502440000000007</v>
      </c>
      <c r="I2376">
        <v>619</v>
      </c>
      <c r="J2376">
        <v>80</v>
      </c>
      <c r="K2376">
        <v>0</v>
      </c>
      <c r="L2376" s="1">
        <v>44784.792384259257</v>
      </c>
      <c r="M2376">
        <v>4.0999999999999996</v>
      </c>
      <c r="N2376">
        <v>4.3</v>
      </c>
      <c r="O2376">
        <v>0.2</v>
      </c>
      <c r="P2376">
        <v>5</v>
      </c>
      <c r="Q2376">
        <v>0.3</v>
      </c>
      <c r="R2376">
        <v>0.4</v>
      </c>
      <c r="S2376">
        <v>0.35</v>
      </c>
      <c r="T2376" t="s">
        <v>33</v>
      </c>
      <c r="U2376">
        <v>4.2</v>
      </c>
      <c r="V2376">
        <v>54</v>
      </c>
      <c r="W2376">
        <v>0</v>
      </c>
      <c r="X2376">
        <v>54</v>
      </c>
      <c r="Y2376">
        <v>0</v>
      </c>
      <c r="Z2376">
        <v>0</v>
      </c>
      <c r="AA2376">
        <v>0</v>
      </c>
      <c r="AB2376" t="s">
        <v>36</v>
      </c>
      <c r="AC2376">
        <v>54</v>
      </c>
      <c r="AD2376">
        <v>0.94</v>
      </c>
    </row>
    <row r="2377" spans="1:30" x14ac:dyDescent="0.25">
      <c r="A2377" s="1">
        <v>44784.792395833334</v>
      </c>
      <c r="B2377" s="1">
        <v>44784.790937500002</v>
      </c>
      <c r="C2377">
        <v>151702</v>
      </c>
      <c r="D2377" t="s">
        <v>37</v>
      </c>
      <c r="E2377" t="s">
        <v>31</v>
      </c>
      <c r="F2377">
        <v>7</v>
      </c>
      <c r="G2377">
        <v>43.118609999999997</v>
      </c>
      <c r="H2377">
        <v>-71.61618</v>
      </c>
      <c r="I2377">
        <v>885</v>
      </c>
      <c r="J2377">
        <v>0</v>
      </c>
      <c r="K2377">
        <v>0</v>
      </c>
      <c r="L2377" s="1">
        <v>44784.792384259257</v>
      </c>
      <c r="M2377">
        <v>4</v>
      </c>
      <c r="N2377">
        <v>4.0999999999999996</v>
      </c>
      <c r="O2377">
        <v>0.1</v>
      </c>
      <c r="P2377">
        <v>2</v>
      </c>
      <c r="Q2377">
        <v>0.1</v>
      </c>
      <c r="R2377">
        <v>0.1</v>
      </c>
      <c r="S2377">
        <v>0.1</v>
      </c>
      <c r="T2377" t="s">
        <v>33</v>
      </c>
      <c r="U2377">
        <v>4.05</v>
      </c>
      <c r="V2377">
        <v>0</v>
      </c>
      <c r="W2377">
        <v>0</v>
      </c>
      <c r="X2377">
        <v>0</v>
      </c>
      <c r="Y2377">
        <v>0</v>
      </c>
      <c r="Z2377">
        <v>0</v>
      </c>
      <c r="AA2377">
        <v>0</v>
      </c>
      <c r="AB2377" t="s">
        <v>38</v>
      </c>
    </row>
    <row r="2378" spans="1:30" x14ac:dyDescent="0.25">
      <c r="A2378" s="1">
        <v>44784.792407407411</v>
      </c>
      <c r="B2378" s="1">
        <v>44784.790833333333</v>
      </c>
      <c r="C2378">
        <v>151700</v>
      </c>
      <c r="D2378" t="s">
        <v>30</v>
      </c>
      <c r="E2378" t="s">
        <v>31</v>
      </c>
      <c r="F2378">
        <v>7</v>
      </c>
      <c r="G2378">
        <v>43.19211</v>
      </c>
      <c r="H2378">
        <v>-71.541460000000001</v>
      </c>
      <c r="I2378">
        <v>286</v>
      </c>
      <c r="J2378">
        <v>85</v>
      </c>
      <c r="K2378">
        <v>0</v>
      </c>
      <c r="L2378" s="1">
        <v>44784.792384259257</v>
      </c>
      <c r="M2378">
        <v>2.8</v>
      </c>
      <c r="N2378">
        <v>3.3</v>
      </c>
      <c r="O2378">
        <v>0.5</v>
      </c>
      <c r="P2378">
        <v>16</v>
      </c>
      <c r="Q2378">
        <v>0.1</v>
      </c>
      <c r="R2378">
        <v>0.1</v>
      </c>
      <c r="S2378">
        <v>0.1</v>
      </c>
      <c r="T2378" t="s">
        <v>33</v>
      </c>
      <c r="U2378">
        <v>3.05</v>
      </c>
      <c r="V2378">
        <v>43</v>
      </c>
      <c r="W2378">
        <v>0</v>
      </c>
      <c r="X2378">
        <v>43</v>
      </c>
      <c r="Y2378">
        <v>2</v>
      </c>
      <c r="Z2378">
        <v>0</v>
      </c>
      <c r="AA2378">
        <v>2</v>
      </c>
      <c r="AB2378" t="s">
        <v>36</v>
      </c>
      <c r="AC2378">
        <v>43</v>
      </c>
      <c r="AD2378">
        <v>1.01</v>
      </c>
    </row>
    <row r="2379" spans="1:30" x14ac:dyDescent="0.25">
      <c r="A2379" s="1">
        <v>44784.792407407411</v>
      </c>
      <c r="B2379" s="1">
        <v>44784.791273148148</v>
      </c>
      <c r="C2379">
        <v>135984</v>
      </c>
      <c r="D2379" t="s">
        <v>39</v>
      </c>
      <c r="E2379" t="s">
        <v>31</v>
      </c>
      <c r="F2379">
        <v>7</v>
      </c>
      <c r="G2379">
        <v>43.565852999999997</v>
      </c>
      <c r="H2379">
        <v>-71.496129999999994</v>
      </c>
      <c r="I2379">
        <v>708</v>
      </c>
      <c r="J2379">
        <v>80</v>
      </c>
      <c r="K2379">
        <v>0</v>
      </c>
      <c r="L2379" s="1">
        <v>44784.792384259257</v>
      </c>
      <c r="M2379">
        <v>4.7</v>
      </c>
      <c r="N2379">
        <v>4.4000000000000004</v>
      </c>
      <c r="O2379">
        <v>0.3</v>
      </c>
      <c r="P2379">
        <v>7</v>
      </c>
      <c r="Q2379">
        <v>0</v>
      </c>
      <c r="R2379">
        <v>0.1</v>
      </c>
      <c r="S2379">
        <v>0.05</v>
      </c>
      <c r="T2379" t="s">
        <v>33</v>
      </c>
      <c r="U2379">
        <v>4.55</v>
      </c>
      <c r="V2379">
        <v>61</v>
      </c>
      <c r="W2379">
        <v>0</v>
      </c>
      <c r="X2379">
        <v>61</v>
      </c>
      <c r="Y2379">
        <v>1</v>
      </c>
      <c r="Z2379">
        <v>0</v>
      </c>
      <c r="AA2379">
        <v>1</v>
      </c>
      <c r="AB2379" t="s">
        <v>36</v>
      </c>
      <c r="AC2379">
        <v>61</v>
      </c>
      <c r="AD2379">
        <v>0.67</v>
      </c>
    </row>
    <row r="2380" spans="1:30" x14ac:dyDescent="0.25">
      <c r="A2380" s="1">
        <v>44784.79241898148</v>
      </c>
      <c r="B2380" s="1">
        <v>44780.394780092596</v>
      </c>
      <c r="C2380">
        <v>151712</v>
      </c>
      <c r="D2380" t="s">
        <v>40</v>
      </c>
      <c r="E2380" t="s">
        <v>31</v>
      </c>
      <c r="F2380">
        <v>7</v>
      </c>
      <c r="G2380">
        <v>43.289763999999998</v>
      </c>
      <c r="H2380">
        <v>-71.564260000000004</v>
      </c>
      <c r="I2380">
        <v>370</v>
      </c>
      <c r="J2380">
        <v>86</v>
      </c>
      <c r="K2380">
        <v>0</v>
      </c>
      <c r="L2380" s="1">
        <v>44784.792384259257</v>
      </c>
      <c r="M2380">
        <v>14</v>
      </c>
      <c r="N2380">
        <v>13.2</v>
      </c>
      <c r="O2380">
        <v>0.8</v>
      </c>
      <c r="P2380">
        <v>6</v>
      </c>
      <c r="Q2380">
        <v>0</v>
      </c>
      <c r="R2380">
        <v>0</v>
      </c>
      <c r="S2380">
        <v>0</v>
      </c>
      <c r="T2380" t="s">
        <v>32</v>
      </c>
      <c r="V2380">
        <v>59</v>
      </c>
      <c r="W2380">
        <v>0</v>
      </c>
      <c r="X2380">
        <v>59</v>
      </c>
      <c r="Y2380">
        <v>0</v>
      </c>
      <c r="Z2380">
        <v>0</v>
      </c>
      <c r="AA2380">
        <v>0</v>
      </c>
      <c r="AB2380" t="s">
        <v>36</v>
      </c>
      <c r="AC2380">
        <v>59</v>
      </c>
    </row>
    <row r="2381" spans="1:30" x14ac:dyDescent="0.25">
      <c r="A2381" s="1">
        <v>44784.79241898148</v>
      </c>
      <c r="B2381" s="1">
        <v>44784.790601851855</v>
      </c>
      <c r="C2381">
        <v>151710</v>
      </c>
      <c r="D2381" t="s">
        <v>41</v>
      </c>
      <c r="E2381" t="s">
        <v>31</v>
      </c>
      <c r="F2381">
        <v>7</v>
      </c>
      <c r="G2381">
        <v>43.132477000000002</v>
      </c>
      <c r="H2381">
        <v>-71.458374000000006</v>
      </c>
      <c r="I2381">
        <v>230</v>
      </c>
      <c r="J2381">
        <v>86</v>
      </c>
      <c r="K2381">
        <v>0</v>
      </c>
      <c r="L2381" s="1">
        <v>44784.792384259257</v>
      </c>
      <c r="M2381">
        <v>5.3</v>
      </c>
      <c r="N2381">
        <v>3.9</v>
      </c>
      <c r="O2381">
        <v>1.4</v>
      </c>
      <c r="P2381">
        <v>30</v>
      </c>
      <c r="Q2381">
        <v>0.3</v>
      </c>
      <c r="R2381">
        <v>0.2</v>
      </c>
      <c r="S2381">
        <v>0.25</v>
      </c>
      <c r="T2381" t="s">
        <v>33</v>
      </c>
      <c r="U2381">
        <v>4.5999999999999996</v>
      </c>
      <c r="V2381">
        <v>39</v>
      </c>
      <c r="W2381">
        <v>0</v>
      </c>
      <c r="X2381">
        <v>39</v>
      </c>
      <c r="Y2381">
        <v>2</v>
      </c>
      <c r="Z2381">
        <v>0</v>
      </c>
      <c r="AA2381">
        <v>2</v>
      </c>
      <c r="AB2381" t="s">
        <v>36</v>
      </c>
      <c r="AC2381">
        <v>39</v>
      </c>
      <c r="AD2381">
        <v>2.2400000000000002</v>
      </c>
    </row>
    <row r="2382" spans="1:30" x14ac:dyDescent="0.25">
      <c r="A2382" s="1">
        <v>44784.79241898148</v>
      </c>
      <c r="B2382" s="1">
        <v>44784.791620370372</v>
      </c>
      <c r="C2382">
        <v>151706</v>
      </c>
      <c r="D2382" t="s">
        <v>42</v>
      </c>
      <c r="E2382" t="s">
        <v>31</v>
      </c>
      <c r="F2382">
        <v>7</v>
      </c>
      <c r="G2382">
        <v>43.004080000000002</v>
      </c>
      <c r="H2382">
        <v>-71.177040000000005</v>
      </c>
      <c r="I2382">
        <v>194</v>
      </c>
      <c r="J2382">
        <v>82</v>
      </c>
      <c r="K2382">
        <v>0</v>
      </c>
      <c r="L2382" s="1">
        <v>44784.792384259257</v>
      </c>
      <c r="M2382">
        <v>10.6</v>
      </c>
      <c r="N2382">
        <v>0</v>
      </c>
      <c r="O2382">
        <v>10.6</v>
      </c>
      <c r="P2382">
        <v>200</v>
      </c>
      <c r="Q2382">
        <v>0.1</v>
      </c>
      <c r="R2382">
        <v>0</v>
      </c>
      <c r="S2382">
        <v>0.05</v>
      </c>
      <c r="T2382" t="s">
        <v>43</v>
      </c>
      <c r="V2382">
        <v>55</v>
      </c>
      <c r="W2382">
        <v>0</v>
      </c>
      <c r="X2382">
        <v>55</v>
      </c>
      <c r="Y2382">
        <v>0</v>
      </c>
      <c r="Z2382">
        <v>0</v>
      </c>
      <c r="AA2382">
        <v>0</v>
      </c>
      <c r="AB2382" t="s">
        <v>36</v>
      </c>
      <c r="AC2382">
        <v>55</v>
      </c>
    </row>
    <row r="2383" spans="1:30" x14ac:dyDescent="0.25">
      <c r="A2383" s="1">
        <v>44784.792430555557</v>
      </c>
      <c r="B2383" s="1">
        <v>44784.791435185187</v>
      </c>
      <c r="C2383">
        <v>12212</v>
      </c>
      <c r="D2383" t="s">
        <v>44</v>
      </c>
      <c r="E2383" t="s">
        <v>35</v>
      </c>
      <c r="F2383">
        <v>7</v>
      </c>
      <c r="G2383">
        <v>42.930529999999997</v>
      </c>
      <c r="H2383">
        <v>-72.272350000000003</v>
      </c>
      <c r="I2383">
        <v>476</v>
      </c>
      <c r="J2383">
        <v>88</v>
      </c>
      <c r="K2383">
        <v>0</v>
      </c>
      <c r="L2383" s="1">
        <v>44784.792384259257</v>
      </c>
      <c r="M2383">
        <v>6.9</v>
      </c>
      <c r="N2383">
        <v>6.2</v>
      </c>
      <c r="O2383">
        <v>0.7</v>
      </c>
      <c r="P2383">
        <v>11</v>
      </c>
      <c r="Q2383">
        <v>0.1</v>
      </c>
      <c r="R2383">
        <v>0.1</v>
      </c>
      <c r="S2383">
        <v>0.1</v>
      </c>
      <c r="T2383" t="s">
        <v>33</v>
      </c>
      <c r="U2383">
        <v>6.55</v>
      </c>
      <c r="V2383">
        <v>36</v>
      </c>
      <c r="W2383">
        <v>0</v>
      </c>
      <c r="X2383">
        <v>36</v>
      </c>
      <c r="Y2383">
        <v>1</v>
      </c>
      <c r="Z2383">
        <v>0</v>
      </c>
      <c r="AA2383">
        <v>1</v>
      </c>
      <c r="AB2383" t="s">
        <v>36</v>
      </c>
      <c r="AC2383">
        <v>36</v>
      </c>
      <c r="AD2383">
        <v>3.64</v>
      </c>
    </row>
    <row r="2384" spans="1:30" x14ac:dyDescent="0.25">
      <c r="A2384" s="1">
        <v>44784.792430555557</v>
      </c>
      <c r="B2384" s="1">
        <v>44769.376736111109</v>
      </c>
      <c r="C2384">
        <v>12178</v>
      </c>
      <c r="D2384" t="s">
        <v>45</v>
      </c>
      <c r="E2384" t="s">
        <v>35</v>
      </c>
      <c r="F2384">
        <v>7</v>
      </c>
      <c r="G2384">
        <v>42.899563000000001</v>
      </c>
      <c r="H2384">
        <v>-71.464650000000006</v>
      </c>
      <c r="I2384">
        <v>301</v>
      </c>
      <c r="J2384">
        <v>85</v>
      </c>
      <c r="K2384">
        <v>0</v>
      </c>
      <c r="L2384" s="1">
        <v>44784.792384259257</v>
      </c>
      <c r="M2384">
        <v>3.8</v>
      </c>
      <c r="N2384">
        <v>3.1</v>
      </c>
      <c r="O2384">
        <v>0.7</v>
      </c>
      <c r="P2384">
        <v>20</v>
      </c>
      <c r="Q2384">
        <v>0</v>
      </c>
      <c r="R2384">
        <v>0</v>
      </c>
      <c r="S2384">
        <v>0</v>
      </c>
      <c r="T2384" t="s">
        <v>32</v>
      </c>
      <c r="V2384">
        <v>35</v>
      </c>
      <c r="W2384">
        <v>0</v>
      </c>
      <c r="X2384">
        <v>35</v>
      </c>
      <c r="Y2384">
        <v>0</v>
      </c>
      <c r="Z2384">
        <v>0</v>
      </c>
      <c r="AA2384">
        <v>0</v>
      </c>
      <c r="AB2384" t="s">
        <v>36</v>
      </c>
      <c r="AC2384">
        <v>35</v>
      </c>
    </row>
    <row r="2385" spans="1:30" x14ac:dyDescent="0.25">
      <c r="A2385" s="1">
        <v>44784.792442129627</v>
      </c>
      <c r="B2385" s="1">
        <v>44784.790694444448</v>
      </c>
      <c r="C2385">
        <v>75981</v>
      </c>
      <c r="D2385" t="s">
        <v>46</v>
      </c>
      <c r="E2385" t="s">
        <v>35</v>
      </c>
      <c r="F2385">
        <v>7</v>
      </c>
      <c r="G2385">
        <v>42.97</v>
      </c>
      <c r="H2385">
        <v>-71.06</v>
      </c>
      <c r="I2385">
        <v>136</v>
      </c>
      <c r="J2385">
        <v>88</v>
      </c>
      <c r="K2385">
        <v>0</v>
      </c>
      <c r="L2385" s="1">
        <v>44784.792384259257</v>
      </c>
      <c r="M2385">
        <v>10.8</v>
      </c>
      <c r="N2385">
        <v>9.9</v>
      </c>
      <c r="O2385">
        <v>0.9</v>
      </c>
      <c r="P2385">
        <v>9</v>
      </c>
      <c r="Q2385">
        <v>0.1</v>
      </c>
      <c r="R2385">
        <v>0.1</v>
      </c>
      <c r="S2385">
        <v>0.1</v>
      </c>
      <c r="T2385" t="s">
        <v>33</v>
      </c>
      <c r="U2385">
        <v>10.35</v>
      </c>
      <c r="V2385">
        <v>48</v>
      </c>
      <c r="W2385">
        <v>0</v>
      </c>
      <c r="X2385">
        <v>48</v>
      </c>
      <c r="Y2385">
        <v>1</v>
      </c>
      <c r="Z2385">
        <v>0</v>
      </c>
      <c r="AA2385">
        <v>1</v>
      </c>
      <c r="AB2385" t="s">
        <v>36</v>
      </c>
      <c r="AC2385">
        <v>48</v>
      </c>
      <c r="AD2385">
        <v>5.1100000000000003</v>
      </c>
    </row>
    <row r="2386" spans="1:30" x14ac:dyDescent="0.25">
      <c r="A2386" s="1">
        <v>44784.79247685185</v>
      </c>
      <c r="B2386" s="1">
        <v>44784.791226851848</v>
      </c>
      <c r="C2386">
        <v>115703</v>
      </c>
      <c r="D2386" t="s">
        <v>47</v>
      </c>
      <c r="E2386" t="s">
        <v>35</v>
      </c>
      <c r="F2386">
        <v>7</v>
      </c>
      <c r="G2386">
        <v>43.953625000000002</v>
      </c>
      <c r="H2386">
        <v>-71.508859999999999</v>
      </c>
      <c r="I2386">
        <v>1493</v>
      </c>
      <c r="J2386">
        <v>81</v>
      </c>
      <c r="K2386">
        <v>0</v>
      </c>
      <c r="L2386" s="1">
        <v>44784.792384259257</v>
      </c>
      <c r="M2386">
        <v>0.3</v>
      </c>
      <c r="N2386">
        <v>41.1</v>
      </c>
      <c r="O2386">
        <v>40.799999999999997</v>
      </c>
      <c r="P2386">
        <v>197</v>
      </c>
      <c r="Q2386">
        <v>0.2</v>
      </c>
      <c r="R2386">
        <v>0</v>
      </c>
      <c r="S2386">
        <v>0.1</v>
      </c>
      <c r="T2386" t="s">
        <v>60</v>
      </c>
      <c r="V2386">
        <v>42</v>
      </c>
      <c r="W2386">
        <v>0</v>
      </c>
      <c r="X2386">
        <v>42</v>
      </c>
      <c r="Y2386">
        <v>2</v>
      </c>
      <c r="Z2386">
        <v>0</v>
      </c>
      <c r="AA2386">
        <v>2</v>
      </c>
      <c r="AB2386" t="s">
        <v>36</v>
      </c>
      <c r="AC2386">
        <v>42</v>
      </c>
    </row>
    <row r="2387" spans="1:30" x14ac:dyDescent="0.25">
      <c r="A2387" s="1">
        <v>44784.79247685185</v>
      </c>
      <c r="B2387" s="1">
        <v>44784.792037037034</v>
      </c>
      <c r="C2387">
        <v>12050</v>
      </c>
      <c r="D2387" t="s">
        <v>49</v>
      </c>
      <c r="E2387" t="s">
        <v>35</v>
      </c>
      <c r="F2387">
        <v>7</v>
      </c>
      <c r="G2387">
        <v>44.220573000000002</v>
      </c>
      <c r="H2387">
        <v>-71.732315</v>
      </c>
      <c r="I2387">
        <v>999</v>
      </c>
      <c r="J2387">
        <v>80</v>
      </c>
      <c r="K2387">
        <v>0</v>
      </c>
      <c r="L2387" s="1">
        <v>44784.792384259257</v>
      </c>
      <c r="M2387">
        <v>5.0999999999999996</v>
      </c>
      <c r="N2387">
        <v>4.5999999999999996</v>
      </c>
      <c r="O2387">
        <v>0.5</v>
      </c>
      <c r="P2387">
        <v>10</v>
      </c>
      <c r="Q2387">
        <v>0</v>
      </c>
      <c r="R2387">
        <v>0</v>
      </c>
      <c r="S2387">
        <v>0</v>
      </c>
      <c r="T2387" t="s">
        <v>33</v>
      </c>
      <c r="U2387">
        <v>4.8499999999999996</v>
      </c>
      <c r="V2387">
        <v>46</v>
      </c>
      <c r="W2387">
        <v>0</v>
      </c>
      <c r="X2387">
        <v>46</v>
      </c>
      <c r="Y2387">
        <v>1</v>
      </c>
      <c r="Z2387">
        <v>0</v>
      </c>
      <c r="AA2387">
        <v>1</v>
      </c>
      <c r="AB2387" t="s">
        <v>36</v>
      </c>
      <c r="AC2387">
        <v>46</v>
      </c>
      <c r="AD2387">
        <v>1.9</v>
      </c>
    </row>
    <row r="2388" spans="1:30" x14ac:dyDescent="0.25">
      <c r="A2388" s="1">
        <v>44784.792488425926</v>
      </c>
      <c r="B2388" s="1">
        <v>44784.79215277778</v>
      </c>
      <c r="C2388">
        <v>23443</v>
      </c>
      <c r="D2388" t="s">
        <v>50</v>
      </c>
      <c r="E2388" t="s">
        <v>35</v>
      </c>
      <c r="F2388">
        <v>7</v>
      </c>
      <c r="G2388">
        <v>43.556139999999999</v>
      </c>
      <c r="H2388">
        <v>-72.370990000000006</v>
      </c>
      <c r="I2388">
        <v>523</v>
      </c>
      <c r="J2388">
        <v>78</v>
      </c>
      <c r="K2388">
        <v>0</v>
      </c>
      <c r="L2388" s="1">
        <v>44784.792384259257</v>
      </c>
      <c r="M2388">
        <v>4.5</v>
      </c>
      <c r="N2388">
        <v>4</v>
      </c>
      <c r="O2388">
        <v>0.5</v>
      </c>
      <c r="P2388">
        <v>12</v>
      </c>
      <c r="Q2388">
        <v>0.7</v>
      </c>
      <c r="R2388">
        <v>0.7</v>
      </c>
      <c r="S2388">
        <v>0.7</v>
      </c>
      <c r="T2388" t="s">
        <v>33</v>
      </c>
      <c r="U2388">
        <v>4.25</v>
      </c>
      <c r="V2388">
        <v>57</v>
      </c>
      <c r="W2388">
        <v>0</v>
      </c>
      <c r="X2388">
        <v>57</v>
      </c>
      <c r="Y2388">
        <v>4</v>
      </c>
      <c r="Z2388">
        <v>0</v>
      </c>
      <c r="AA2388">
        <v>4</v>
      </c>
      <c r="AB2388" t="s">
        <v>36</v>
      </c>
      <c r="AC2388">
        <v>57</v>
      </c>
      <c r="AD2388">
        <v>0.76</v>
      </c>
    </row>
    <row r="2389" spans="1:30" x14ac:dyDescent="0.25">
      <c r="A2389" s="1">
        <v>44784.792488425926</v>
      </c>
      <c r="B2389" s="1">
        <v>44784.792268518519</v>
      </c>
      <c r="C2389">
        <v>58135</v>
      </c>
      <c r="D2389" t="s">
        <v>51</v>
      </c>
      <c r="E2389" t="s">
        <v>35</v>
      </c>
      <c r="F2389">
        <v>7</v>
      </c>
      <c r="G2389">
        <v>42.883873000000001</v>
      </c>
      <c r="H2389">
        <v>-71.972915999999998</v>
      </c>
      <c r="I2389">
        <v>808</v>
      </c>
      <c r="J2389">
        <v>82</v>
      </c>
      <c r="K2389">
        <v>0</v>
      </c>
      <c r="L2389" s="1">
        <v>44784.792384259257</v>
      </c>
      <c r="M2389">
        <v>5.2</v>
      </c>
      <c r="N2389">
        <v>3.4</v>
      </c>
      <c r="O2389">
        <v>1.8</v>
      </c>
      <c r="P2389">
        <v>42</v>
      </c>
      <c r="Q2389">
        <v>0.3</v>
      </c>
      <c r="R2389">
        <v>0.1</v>
      </c>
      <c r="S2389">
        <v>0.2</v>
      </c>
      <c r="T2389" t="s">
        <v>33</v>
      </c>
      <c r="U2389">
        <v>4.3</v>
      </c>
      <c r="V2389">
        <v>52</v>
      </c>
      <c r="W2389">
        <v>0</v>
      </c>
      <c r="X2389">
        <v>52</v>
      </c>
      <c r="Y2389">
        <v>4</v>
      </c>
      <c r="Z2389">
        <v>0</v>
      </c>
      <c r="AA2389">
        <v>4</v>
      </c>
      <c r="AB2389" t="s">
        <v>36</v>
      </c>
      <c r="AC2389">
        <v>52</v>
      </c>
      <c r="AD2389">
        <v>1.1399999999999999</v>
      </c>
    </row>
    <row r="2390" spans="1:30" x14ac:dyDescent="0.25">
      <c r="A2390" s="1">
        <v>44784.792500000003</v>
      </c>
      <c r="B2390" s="1">
        <v>44784.792245370372</v>
      </c>
      <c r="C2390">
        <v>148555</v>
      </c>
      <c r="D2390" t="s">
        <v>52</v>
      </c>
      <c r="E2390" t="s">
        <v>53</v>
      </c>
      <c r="F2390">
        <v>7</v>
      </c>
      <c r="G2390">
        <v>42.904949999999999</v>
      </c>
      <c r="H2390">
        <v>-71.386764999999997</v>
      </c>
      <c r="I2390">
        <v>363</v>
      </c>
      <c r="J2390">
        <v>0</v>
      </c>
      <c r="K2390">
        <v>0</v>
      </c>
      <c r="L2390" s="1">
        <v>44784.792384259257</v>
      </c>
      <c r="M2390">
        <v>1.9</v>
      </c>
      <c r="N2390">
        <v>2.2999999999999998</v>
      </c>
      <c r="O2390">
        <v>0.4</v>
      </c>
      <c r="P2390">
        <v>19</v>
      </c>
      <c r="Q2390">
        <v>0.1</v>
      </c>
      <c r="R2390">
        <v>0.1</v>
      </c>
      <c r="S2390">
        <v>0.1</v>
      </c>
      <c r="T2390" t="s">
        <v>33</v>
      </c>
      <c r="U2390">
        <v>2.1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 t="s">
        <v>38</v>
      </c>
    </row>
    <row r="2391" spans="1:30" x14ac:dyDescent="0.25">
      <c r="A2391" s="1">
        <v>44784.792500000003</v>
      </c>
      <c r="B2391" s="1">
        <v>44784.791747685187</v>
      </c>
      <c r="C2391">
        <v>146644</v>
      </c>
      <c r="D2391" t="s">
        <v>54</v>
      </c>
      <c r="E2391" t="s">
        <v>53</v>
      </c>
      <c r="F2391">
        <v>7</v>
      </c>
      <c r="G2391">
        <v>43.06015</v>
      </c>
      <c r="H2391">
        <v>-70.758930000000007</v>
      </c>
      <c r="I2391">
        <v>35</v>
      </c>
      <c r="J2391">
        <v>74</v>
      </c>
      <c r="K2391">
        <v>76</v>
      </c>
      <c r="L2391" s="1">
        <v>44784.792384259257</v>
      </c>
      <c r="M2391">
        <v>11.9</v>
      </c>
      <c r="N2391">
        <v>10.8</v>
      </c>
      <c r="O2391">
        <v>1.1000000000000001</v>
      </c>
      <c r="P2391">
        <v>10</v>
      </c>
      <c r="Q2391">
        <v>0</v>
      </c>
      <c r="R2391">
        <v>0</v>
      </c>
      <c r="S2391">
        <v>0</v>
      </c>
      <c r="T2391" t="s">
        <v>33</v>
      </c>
      <c r="U2391">
        <v>11.35</v>
      </c>
      <c r="V2391">
        <v>64</v>
      </c>
      <c r="W2391">
        <v>68</v>
      </c>
      <c r="X2391">
        <v>4</v>
      </c>
      <c r="Y2391">
        <v>1</v>
      </c>
      <c r="Z2391">
        <v>0</v>
      </c>
      <c r="AA2391">
        <v>1</v>
      </c>
      <c r="AB2391" t="s">
        <v>33</v>
      </c>
      <c r="AC2391">
        <v>66</v>
      </c>
      <c r="AD2391">
        <v>4.46</v>
      </c>
    </row>
    <row r="2392" spans="1:30" x14ac:dyDescent="0.25">
      <c r="A2392" s="1">
        <v>44784.792500000003</v>
      </c>
      <c r="B2392" s="1">
        <v>43755.283437500002</v>
      </c>
      <c r="C2392">
        <v>12188</v>
      </c>
      <c r="D2392" t="s">
        <v>55</v>
      </c>
      <c r="E2392" t="s">
        <v>35</v>
      </c>
      <c r="F2392">
        <v>4.1100000000000003</v>
      </c>
      <c r="G2392">
        <v>42.927050000000001</v>
      </c>
      <c r="H2392">
        <v>-72.279610000000005</v>
      </c>
      <c r="I2392">
        <v>475</v>
      </c>
      <c r="J2392">
        <v>95</v>
      </c>
      <c r="K2392">
        <v>0</v>
      </c>
      <c r="L2392" s="1">
        <v>44784.792384259257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 t="s">
        <v>32</v>
      </c>
      <c r="V2392">
        <v>77</v>
      </c>
      <c r="W2392">
        <v>0</v>
      </c>
      <c r="X2392">
        <v>77</v>
      </c>
      <c r="Y2392">
        <v>0</v>
      </c>
      <c r="Z2392">
        <v>0</v>
      </c>
      <c r="AA2392">
        <v>0</v>
      </c>
      <c r="AB2392" t="s">
        <v>36</v>
      </c>
      <c r="AC2392">
        <v>77</v>
      </c>
    </row>
    <row r="2393" spans="1:30" x14ac:dyDescent="0.25">
      <c r="A2393" s="1">
        <v>44784.792511574073</v>
      </c>
      <c r="B2393" s="1">
        <v>44784.792141203703</v>
      </c>
      <c r="C2393">
        <v>1224</v>
      </c>
      <c r="D2393" t="s">
        <v>56</v>
      </c>
      <c r="E2393" t="s">
        <v>35</v>
      </c>
      <c r="F2393" t="s">
        <v>57</v>
      </c>
      <c r="G2393">
        <v>42.938034000000002</v>
      </c>
      <c r="H2393">
        <v>-72.259299999999996</v>
      </c>
      <c r="I2393">
        <v>792</v>
      </c>
      <c r="J2393">
        <v>88</v>
      </c>
      <c r="K2393">
        <v>0</v>
      </c>
      <c r="L2393" s="1">
        <v>44784.792384259257</v>
      </c>
      <c r="M2393">
        <v>7</v>
      </c>
      <c r="N2393">
        <v>0.2</v>
      </c>
      <c r="O2393">
        <v>6.8</v>
      </c>
      <c r="P2393">
        <v>189</v>
      </c>
      <c r="Q2393">
        <v>0.2</v>
      </c>
      <c r="R2393">
        <v>0.1</v>
      </c>
      <c r="S2393">
        <v>0.15</v>
      </c>
      <c r="T2393" t="s">
        <v>33</v>
      </c>
      <c r="U2393">
        <v>3.6</v>
      </c>
      <c r="V2393">
        <v>43</v>
      </c>
      <c r="W2393">
        <v>0</v>
      </c>
      <c r="X2393">
        <v>43</v>
      </c>
      <c r="Y2393">
        <v>1</v>
      </c>
      <c r="Z2393">
        <v>0</v>
      </c>
      <c r="AA2393">
        <v>1</v>
      </c>
      <c r="AB2393" t="s">
        <v>36</v>
      </c>
      <c r="AC2393">
        <v>43</v>
      </c>
      <c r="AD2393">
        <v>1.35</v>
      </c>
    </row>
    <row r="2394" spans="1:30" x14ac:dyDescent="0.25">
      <c r="A2394" s="1">
        <v>44784.792511574073</v>
      </c>
      <c r="B2394" s="1">
        <v>44784.791585648149</v>
      </c>
      <c r="C2394">
        <v>1202</v>
      </c>
      <c r="D2394" t="s">
        <v>58</v>
      </c>
      <c r="E2394" t="s">
        <v>35</v>
      </c>
      <c r="F2394" t="s">
        <v>57</v>
      </c>
      <c r="G2394">
        <v>42.936554000000001</v>
      </c>
      <c r="H2394">
        <v>-72.271019999999993</v>
      </c>
      <c r="I2394">
        <v>488</v>
      </c>
      <c r="J2394">
        <v>0</v>
      </c>
      <c r="K2394">
        <v>0</v>
      </c>
      <c r="L2394" s="1">
        <v>44784.792384259257</v>
      </c>
      <c r="M2394">
        <v>7.9</v>
      </c>
      <c r="N2394">
        <v>7.1</v>
      </c>
      <c r="O2394">
        <v>0.8</v>
      </c>
      <c r="P2394">
        <v>11</v>
      </c>
      <c r="Q2394">
        <v>0.1</v>
      </c>
      <c r="R2394">
        <v>0</v>
      </c>
      <c r="S2394">
        <v>0.05</v>
      </c>
      <c r="T2394" t="s">
        <v>33</v>
      </c>
      <c r="U2394">
        <v>7.5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 t="s">
        <v>38</v>
      </c>
    </row>
    <row r="2395" spans="1:30" x14ac:dyDescent="0.25">
      <c r="A2395" s="1">
        <v>44784.792523148149</v>
      </c>
      <c r="B2395" s="1">
        <v>44612.080023148148</v>
      </c>
      <c r="C2395">
        <v>25985</v>
      </c>
      <c r="D2395" t="s">
        <v>59</v>
      </c>
      <c r="E2395" t="s">
        <v>35</v>
      </c>
      <c r="F2395">
        <v>6.01</v>
      </c>
      <c r="G2395">
        <v>42.927326000000001</v>
      </c>
      <c r="H2395">
        <v>-72.279979999999995</v>
      </c>
      <c r="I2395">
        <v>477</v>
      </c>
      <c r="J2395">
        <v>78</v>
      </c>
      <c r="K2395">
        <v>0</v>
      </c>
      <c r="L2395" s="1">
        <v>44784.792384259257</v>
      </c>
      <c r="M2395">
        <v>1.1000000000000001</v>
      </c>
      <c r="N2395">
        <v>1</v>
      </c>
      <c r="O2395">
        <v>0.1</v>
      </c>
      <c r="P2395">
        <v>10</v>
      </c>
      <c r="Q2395">
        <v>0</v>
      </c>
      <c r="R2395">
        <v>0</v>
      </c>
      <c r="S2395">
        <v>0</v>
      </c>
      <c r="T2395" t="s">
        <v>32</v>
      </c>
      <c r="V2395">
        <v>22</v>
      </c>
      <c r="W2395">
        <v>0</v>
      </c>
      <c r="X2395">
        <v>22</v>
      </c>
      <c r="Y2395">
        <v>0</v>
      </c>
      <c r="Z2395">
        <v>0</v>
      </c>
      <c r="AA2395">
        <v>0</v>
      </c>
      <c r="AB2395" t="s">
        <v>36</v>
      </c>
      <c r="AC2395">
        <v>22</v>
      </c>
    </row>
    <row r="2396" spans="1:30" x14ac:dyDescent="0.25">
      <c r="A2396" s="1">
        <v>44784.799328703702</v>
      </c>
      <c r="B2396" s="1">
        <v>44775.701319444444</v>
      </c>
      <c r="C2396">
        <v>151708</v>
      </c>
      <c r="D2396" t="s">
        <v>30</v>
      </c>
      <c r="E2396" t="s">
        <v>31</v>
      </c>
      <c r="F2396">
        <v>7</v>
      </c>
      <c r="G2396">
        <v>43.192042999999998</v>
      </c>
      <c r="H2396">
        <v>-71.541579999999996</v>
      </c>
      <c r="I2396">
        <v>291</v>
      </c>
      <c r="J2396">
        <v>93</v>
      </c>
      <c r="K2396">
        <v>94</v>
      </c>
      <c r="L2396" s="1">
        <v>44784.799328703702</v>
      </c>
      <c r="M2396">
        <v>7.9</v>
      </c>
      <c r="N2396">
        <v>7.6</v>
      </c>
      <c r="O2396">
        <v>0.3</v>
      </c>
      <c r="P2396">
        <v>4</v>
      </c>
      <c r="Q2396">
        <v>0</v>
      </c>
      <c r="R2396">
        <v>0</v>
      </c>
      <c r="S2396">
        <v>0</v>
      </c>
      <c r="T2396" t="s">
        <v>32</v>
      </c>
      <c r="V2396">
        <v>42</v>
      </c>
      <c r="W2396">
        <v>41</v>
      </c>
      <c r="X2396">
        <v>1</v>
      </c>
      <c r="Y2396">
        <v>0</v>
      </c>
      <c r="Z2396">
        <v>0</v>
      </c>
      <c r="AA2396">
        <v>0</v>
      </c>
      <c r="AB2396" t="s">
        <v>33</v>
      </c>
      <c r="AC2396">
        <v>41.5</v>
      </c>
    </row>
    <row r="2397" spans="1:30" x14ac:dyDescent="0.25">
      <c r="A2397" s="1">
        <v>44784.799340277779</v>
      </c>
      <c r="B2397" s="1">
        <v>44784.797731481478</v>
      </c>
      <c r="C2397">
        <v>143456</v>
      </c>
      <c r="D2397" t="s">
        <v>34</v>
      </c>
      <c r="E2397" t="s">
        <v>35</v>
      </c>
      <c r="F2397">
        <v>7</v>
      </c>
      <c r="G2397">
        <v>43.08963</v>
      </c>
      <c r="H2397">
        <v>-71.502440000000007</v>
      </c>
      <c r="I2397">
        <v>619</v>
      </c>
      <c r="J2397">
        <v>80</v>
      </c>
      <c r="K2397">
        <v>0</v>
      </c>
      <c r="L2397" s="1">
        <v>44784.799328703702</v>
      </c>
      <c r="M2397">
        <v>4</v>
      </c>
      <c r="N2397">
        <v>4.2</v>
      </c>
      <c r="O2397">
        <v>0.2</v>
      </c>
      <c r="P2397">
        <v>5</v>
      </c>
      <c r="Q2397">
        <v>0.1</v>
      </c>
      <c r="R2397">
        <v>0.1</v>
      </c>
      <c r="S2397">
        <v>0.1</v>
      </c>
      <c r="T2397" t="s">
        <v>33</v>
      </c>
      <c r="U2397">
        <v>4.0999999999999996</v>
      </c>
      <c r="V2397">
        <v>55</v>
      </c>
      <c r="W2397">
        <v>0</v>
      </c>
      <c r="X2397">
        <v>55</v>
      </c>
      <c r="Y2397">
        <v>1</v>
      </c>
      <c r="Z2397">
        <v>0</v>
      </c>
      <c r="AA2397">
        <v>1</v>
      </c>
      <c r="AB2397" t="s">
        <v>36</v>
      </c>
      <c r="AC2397">
        <v>55</v>
      </c>
      <c r="AD2397">
        <v>0.81</v>
      </c>
    </row>
    <row r="2398" spans="1:30" x14ac:dyDescent="0.25">
      <c r="A2398" s="1">
        <v>44784.799340277779</v>
      </c>
      <c r="B2398" s="1">
        <v>44784.797881944447</v>
      </c>
      <c r="C2398">
        <v>151702</v>
      </c>
      <c r="D2398" t="s">
        <v>37</v>
      </c>
      <c r="E2398" t="s">
        <v>31</v>
      </c>
      <c r="F2398">
        <v>7</v>
      </c>
      <c r="G2398">
        <v>43.118609999999997</v>
      </c>
      <c r="H2398">
        <v>-71.61618</v>
      </c>
      <c r="I2398">
        <v>885</v>
      </c>
      <c r="J2398">
        <v>0</v>
      </c>
      <c r="K2398">
        <v>0</v>
      </c>
      <c r="L2398" s="1">
        <v>44784.799328703702</v>
      </c>
      <c r="M2398">
        <v>4.2</v>
      </c>
      <c r="N2398">
        <v>4.2</v>
      </c>
      <c r="O2398">
        <v>0</v>
      </c>
      <c r="P2398">
        <v>0</v>
      </c>
      <c r="Q2398">
        <v>0.2</v>
      </c>
      <c r="R2398">
        <v>0.1</v>
      </c>
      <c r="S2398">
        <v>0.15</v>
      </c>
      <c r="T2398" t="s">
        <v>33</v>
      </c>
      <c r="U2398">
        <v>4.2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 t="s">
        <v>38</v>
      </c>
    </row>
    <row r="2399" spans="1:30" x14ac:dyDescent="0.25">
      <c r="A2399" s="1">
        <v>44784.799351851849</v>
      </c>
      <c r="B2399" s="1">
        <v>44784.797777777778</v>
      </c>
      <c r="C2399">
        <v>151700</v>
      </c>
      <c r="D2399" t="s">
        <v>30</v>
      </c>
      <c r="E2399" t="s">
        <v>31</v>
      </c>
      <c r="F2399">
        <v>7</v>
      </c>
      <c r="G2399">
        <v>43.19211</v>
      </c>
      <c r="H2399">
        <v>-71.541460000000001</v>
      </c>
      <c r="I2399">
        <v>286</v>
      </c>
      <c r="J2399">
        <v>85</v>
      </c>
      <c r="K2399">
        <v>0</v>
      </c>
      <c r="L2399" s="1">
        <v>44784.799328703702</v>
      </c>
      <c r="M2399">
        <v>2.8</v>
      </c>
      <c r="N2399">
        <v>3.3</v>
      </c>
      <c r="O2399">
        <v>0.5</v>
      </c>
      <c r="P2399">
        <v>16</v>
      </c>
      <c r="Q2399">
        <v>0</v>
      </c>
      <c r="R2399">
        <v>0</v>
      </c>
      <c r="S2399">
        <v>0</v>
      </c>
      <c r="T2399" t="s">
        <v>33</v>
      </c>
      <c r="U2399">
        <v>3.05</v>
      </c>
      <c r="V2399">
        <v>44</v>
      </c>
      <c r="W2399">
        <v>0</v>
      </c>
      <c r="X2399">
        <v>44</v>
      </c>
      <c r="Y2399">
        <v>1</v>
      </c>
      <c r="Z2399">
        <v>0</v>
      </c>
      <c r="AA2399">
        <v>1</v>
      </c>
      <c r="AB2399" t="s">
        <v>36</v>
      </c>
      <c r="AC2399">
        <v>44</v>
      </c>
      <c r="AD2399">
        <v>0.94</v>
      </c>
    </row>
    <row r="2400" spans="1:30" x14ac:dyDescent="0.25">
      <c r="A2400" s="1">
        <v>44784.799351851849</v>
      </c>
      <c r="B2400" s="1">
        <v>44784.798229166663</v>
      </c>
      <c r="C2400">
        <v>135984</v>
      </c>
      <c r="D2400" t="s">
        <v>39</v>
      </c>
      <c r="E2400" t="s">
        <v>31</v>
      </c>
      <c r="F2400">
        <v>7</v>
      </c>
      <c r="G2400">
        <v>43.565852999999997</v>
      </c>
      <c r="H2400">
        <v>-71.496129999999994</v>
      </c>
      <c r="I2400">
        <v>708</v>
      </c>
      <c r="J2400">
        <v>80</v>
      </c>
      <c r="K2400">
        <v>0</v>
      </c>
      <c r="L2400" s="1">
        <v>44784.799328703702</v>
      </c>
      <c r="M2400">
        <v>4.5999999999999996</v>
      </c>
      <c r="N2400">
        <v>4.3</v>
      </c>
      <c r="O2400">
        <v>0.3</v>
      </c>
      <c r="P2400">
        <v>7</v>
      </c>
      <c r="Q2400">
        <v>0.1</v>
      </c>
      <c r="R2400">
        <v>0.1</v>
      </c>
      <c r="S2400">
        <v>0.1</v>
      </c>
      <c r="T2400" t="s">
        <v>33</v>
      </c>
      <c r="U2400">
        <v>4.45</v>
      </c>
      <c r="V2400">
        <v>61</v>
      </c>
      <c r="W2400">
        <v>0</v>
      </c>
      <c r="X2400">
        <v>61</v>
      </c>
      <c r="Y2400">
        <v>0</v>
      </c>
      <c r="Z2400">
        <v>0</v>
      </c>
      <c r="AA2400">
        <v>0</v>
      </c>
      <c r="AB2400" t="s">
        <v>36</v>
      </c>
      <c r="AC2400">
        <v>61</v>
      </c>
      <c r="AD2400">
        <v>0.6</v>
      </c>
    </row>
    <row r="2401" spans="1:30" x14ac:dyDescent="0.25">
      <c r="A2401" s="1">
        <v>44784.799363425926</v>
      </c>
      <c r="B2401" s="1">
        <v>44780.394780092596</v>
      </c>
      <c r="C2401">
        <v>151712</v>
      </c>
      <c r="D2401" t="s">
        <v>40</v>
      </c>
      <c r="E2401" t="s">
        <v>31</v>
      </c>
      <c r="F2401">
        <v>7</v>
      </c>
      <c r="G2401">
        <v>43.289763999999998</v>
      </c>
      <c r="H2401">
        <v>-71.564260000000004</v>
      </c>
      <c r="I2401">
        <v>370</v>
      </c>
      <c r="J2401">
        <v>86</v>
      </c>
      <c r="K2401">
        <v>0</v>
      </c>
      <c r="L2401" s="1">
        <v>44784.799328703702</v>
      </c>
      <c r="M2401">
        <v>14</v>
      </c>
      <c r="N2401">
        <v>13.2</v>
      </c>
      <c r="O2401">
        <v>0.8</v>
      </c>
      <c r="P2401">
        <v>6</v>
      </c>
      <c r="Q2401">
        <v>0</v>
      </c>
      <c r="R2401">
        <v>0</v>
      </c>
      <c r="S2401">
        <v>0</v>
      </c>
      <c r="T2401" t="s">
        <v>32</v>
      </c>
      <c r="V2401">
        <v>59</v>
      </c>
      <c r="W2401">
        <v>0</v>
      </c>
      <c r="X2401">
        <v>59</v>
      </c>
      <c r="Y2401">
        <v>0</v>
      </c>
      <c r="Z2401">
        <v>0</v>
      </c>
      <c r="AA2401">
        <v>0</v>
      </c>
      <c r="AB2401" t="s">
        <v>36</v>
      </c>
      <c r="AC2401">
        <v>59</v>
      </c>
    </row>
    <row r="2402" spans="1:30" x14ac:dyDescent="0.25">
      <c r="A2402" s="1">
        <v>44784.799363425926</v>
      </c>
      <c r="B2402" s="1">
        <v>44784.797546296293</v>
      </c>
      <c r="C2402">
        <v>151710</v>
      </c>
      <c r="D2402" t="s">
        <v>41</v>
      </c>
      <c r="E2402" t="s">
        <v>31</v>
      </c>
      <c r="F2402">
        <v>7</v>
      </c>
      <c r="G2402">
        <v>43.132477000000002</v>
      </c>
      <c r="H2402">
        <v>-71.458374000000006</v>
      </c>
      <c r="I2402">
        <v>230</v>
      </c>
      <c r="J2402">
        <v>84</v>
      </c>
      <c r="K2402">
        <v>0</v>
      </c>
      <c r="L2402" s="1">
        <v>44784.799328703702</v>
      </c>
      <c r="M2402">
        <v>5.7</v>
      </c>
      <c r="N2402">
        <v>4</v>
      </c>
      <c r="O2402">
        <v>1.7</v>
      </c>
      <c r="P2402">
        <v>35</v>
      </c>
      <c r="Q2402">
        <v>0.4</v>
      </c>
      <c r="R2402">
        <v>0.1</v>
      </c>
      <c r="S2402">
        <v>0.25</v>
      </c>
      <c r="T2402" t="s">
        <v>33</v>
      </c>
      <c r="U2402">
        <v>4.8499999999999996</v>
      </c>
      <c r="V2402">
        <v>43</v>
      </c>
      <c r="W2402">
        <v>0</v>
      </c>
      <c r="X2402">
        <v>43</v>
      </c>
      <c r="Y2402">
        <v>4</v>
      </c>
      <c r="Z2402">
        <v>0</v>
      </c>
      <c r="AA2402">
        <v>4</v>
      </c>
      <c r="AB2402" t="s">
        <v>36</v>
      </c>
      <c r="AC2402">
        <v>43</v>
      </c>
      <c r="AD2402">
        <v>2.11</v>
      </c>
    </row>
    <row r="2403" spans="1:30" x14ac:dyDescent="0.25">
      <c r="A2403" s="1">
        <v>44784.799363425926</v>
      </c>
      <c r="B2403" s="1">
        <v>44784.798564814817</v>
      </c>
      <c r="C2403">
        <v>151706</v>
      </c>
      <c r="D2403" t="s">
        <v>42</v>
      </c>
      <c r="E2403" t="s">
        <v>31</v>
      </c>
      <c r="F2403">
        <v>7</v>
      </c>
      <c r="G2403">
        <v>43.004080000000002</v>
      </c>
      <c r="H2403">
        <v>-71.177040000000005</v>
      </c>
      <c r="I2403">
        <v>194</v>
      </c>
      <c r="J2403">
        <v>82</v>
      </c>
      <c r="K2403">
        <v>0</v>
      </c>
      <c r="L2403" s="1">
        <v>44784.799328703702</v>
      </c>
      <c r="M2403">
        <v>10.7</v>
      </c>
      <c r="N2403">
        <v>0</v>
      </c>
      <c r="O2403">
        <v>10.7</v>
      </c>
      <c r="P2403">
        <v>200</v>
      </c>
      <c r="Q2403">
        <v>0.1</v>
      </c>
      <c r="R2403">
        <v>0</v>
      </c>
      <c r="S2403">
        <v>0.05</v>
      </c>
      <c r="T2403" t="s">
        <v>43</v>
      </c>
      <c r="V2403">
        <v>56</v>
      </c>
      <c r="W2403">
        <v>0</v>
      </c>
      <c r="X2403">
        <v>56</v>
      </c>
      <c r="Y2403">
        <v>1</v>
      </c>
      <c r="Z2403">
        <v>0</v>
      </c>
      <c r="AA2403">
        <v>1</v>
      </c>
      <c r="AB2403" t="s">
        <v>36</v>
      </c>
      <c r="AC2403">
        <v>56</v>
      </c>
    </row>
    <row r="2404" spans="1:30" x14ac:dyDescent="0.25">
      <c r="A2404" s="1">
        <v>44784.799375000002</v>
      </c>
      <c r="B2404" s="1">
        <v>44784.798368055555</v>
      </c>
      <c r="C2404">
        <v>12212</v>
      </c>
      <c r="D2404" t="s">
        <v>44</v>
      </c>
      <c r="E2404" t="s">
        <v>35</v>
      </c>
      <c r="F2404">
        <v>7</v>
      </c>
      <c r="G2404">
        <v>42.930529999999997</v>
      </c>
      <c r="H2404">
        <v>-72.272350000000003</v>
      </c>
      <c r="I2404">
        <v>476</v>
      </c>
      <c r="J2404">
        <v>89</v>
      </c>
      <c r="K2404">
        <v>0</v>
      </c>
      <c r="L2404" s="1">
        <v>44784.799328703702</v>
      </c>
      <c r="M2404">
        <v>7</v>
      </c>
      <c r="N2404">
        <v>6.5</v>
      </c>
      <c r="O2404">
        <v>0.5</v>
      </c>
      <c r="P2404">
        <v>7</v>
      </c>
      <c r="Q2404">
        <v>0.1</v>
      </c>
      <c r="R2404">
        <v>0.3</v>
      </c>
      <c r="S2404">
        <v>0.2</v>
      </c>
      <c r="T2404" t="s">
        <v>33</v>
      </c>
      <c r="U2404">
        <v>6.75</v>
      </c>
      <c r="V2404">
        <v>36</v>
      </c>
      <c r="W2404">
        <v>0</v>
      </c>
      <c r="X2404">
        <v>36</v>
      </c>
      <c r="Y2404">
        <v>0</v>
      </c>
      <c r="Z2404">
        <v>0</v>
      </c>
      <c r="AA2404">
        <v>0</v>
      </c>
      <c r="AB2404" t="s">
        <v>36</v>
      </c>
      <c r="AC2404">
        <v>36</v>
      </c>
      <c r="AD2404">
        <v>3.76</v>
      </c>
    </row>
    <row r="2405" spans="1:30" x14ac:dyDescent="0.25">
      <c r="A2405" s="1">
        <v>44784.799375000002</v>
      </c>
      <c r="B2405" s="1">
        <v>44769.376736111109</v>
      </c>
      <c r="C2405">
        <v>12178</v>
      </c>
      <c r="D2405" t="s">
        <v>45</v>
      </c>
      <c r="E2405" t="s">
        <v>35</v>
      </c>
      <c r="F2405">
        <v>7</v>
      </c>
      <c r="G2405">
        <v>42.899563000000001</v>
      </c>
      <c r="H2405">
        <v>-71.464650000000006</v>
      </c>
      <c r="I2405">
        <v>301</v>
      </c>
      <c r="J2405">
        <v>85</v>
      </c>
      <c r="K2405">
        <v>0</v>
      </c>
      <c r="L2405" s="1">
        <v>44784.799328703702</v>
      </c>
      <c r="M2405">
        <v>3.8</v>
      </c>
      <c r="N2405">
        <v>3.1</v>
      </c>
      <c r="O2405">
        <v>0.7</v>
      </c>
      <c r="P2405">
        <v>20</v>
      </c>
      <c r="Q2405">
        <v>0</v>
      </c>
      <c r="R2405">
        <v>0</v>
      </c>
      <c r="S2405">
        <v>0</v>
      </c>
      <c r="T2405" t="s">
        <v>32</v>
      </c>
      <c r="V2405">
        <v>35</v>
      </c>
      <c r="W2405">
        <v>0</v>
      </c>
      <c r="X2405">
        <v>35</v>
      </c>
      <c r="Y2405">
        <v>0</v>
      </c>
      <c r="Z2405">
        <v>0</v>
      </c>
      <c r="AA2405">
        <v>0</v>
      </c>
      <c r="AB2405" t="s">
        <v>36</v>
      </c>
      <c r="AC2405">
        <v>35</v>
      </c>
    </row>
    <row r="2406" spans="1:30" x14ac:dyDescent="0.25">
      <c r="A2406" s="1">
        <v>44784.799386574072</v>
      </c>
      <c r="B2406" s="1">
        <v>44784.797638888886</v>
      </c>
      <c r="C2406">
        <v>75981</v>
      </c>
      <c r="D2406" t="s">
        <v>46</v>
      </c>
      <c r="E2406" t="s">
        <v>35</v>
      </c>
      <c r="F2406">
        <v>7</v>
      </c>
      <c r="G2406">
        <v>42.97</v>
      </c>
      <c r="H2406">
        <v>-71.06</v>
      </c>
      <c r="I2406">
        <v>136</v>
      </c>
      <c r="J2406">
        <v>87</v>
      </c>
      <c r="K2406">
        <v>0</v>
      </c>
      <c r="L2406" s="1">
        <v>44784.799328703702</v>
      </c>
      <c r="M2406">
        <v>10.6</v>
      </c>
      <c r="N2406">
        <v>10</v>
      </c>
      <c r="O2406">
        <v>0.6</v>
      </c>
      <c r="P2406">
        <v>6</v>
      </c>
      <c r="Q2406">
        <v>0.2</v>
      </c>
      <c r="R2406">
        <v>0.1</v>
      </c>
      <c r="S2406">
        <v>0.15</v>
      </c>
      <c r="T2406" t="s">
        <v>33</v>
      </c>
      <c r="U2406">
        <v>10.3</v>
      </c>
      <c r="V2406">
        <v>49</v>
      </c>
      <c r="W2406">
        <v>0</v>
      </c>
      <c r="X2406">
        <v>49</v>
      </c>
      <c r="Y2406">
        <v>1</v>
      </c>
      <c r="Z2406">
        <v>0</v>
      </c>
      <c r="AA2406">
        <v>1</v>
      </c>
      <c r="AB2406" t="s">
        <v>36</v>
      </c>
      <c r="AC2406">
        <v>49</v>
      </c>
      <c r="AD2406">
        <v>5.01</v>
      </c>
    </row>
    <row r="2407" spans="1:30" x14ac:dyDescent="0.25">
      <c r="A2407" s="1">
        <v>44784.799386574072</v>
      </c>
      <c r="B2407" s="1">
        <v>44784.798171296294</v>
      </c>
      <c r="C2407">
        <v>115703</v>
      </c>
      <c r="D2407" t="s">
        <v>47</v>
      </c>
      <c r="E2407" t="s">
        <v>35</v>
      </c>
      <c r="F2407">
        <v>7</v>
      </c>
      <c r="G2407">
        <v>43.953625000000002</v>
      </c>
      <c r="H2407">
        <v>-71.508859999999999</v>
      </c>
      <c r="I2407">
        <v>1493</v>
      </c>
      <c r="J2407">
        <v>81</v>
      </c>
      <c r="K2407">
        <v>0</v>
      </c>
      <c r="L2407" s="1">
        <v>44784.799328703702</v>
      </c>
      <c r="M2407">
        <v>0.4</v>
      </c>
      <c r="N2407">
        <v>41.1</v>
      </c>
      <c r="O2407">
        <v>40.700000000000003</v>
      </c>
      <c r="P2407">
        <v>196</v>
      </c>
      <c r="Q2407">
        <v>0.1</v>
      </c>
      <c r="R2407">
        <v>0</v>
      </c>
      <c r="S2407">
        <v>0.05</v>
      </c>
      <c r="T2407" t="s">
        <v>60</v>
      </c>
      <c r="V2407">
        <v>42</v>
      </c>
      <c r="W2407">
        <v>0</v>
      </c>
      <c r="X2407">
        <v>42</v>
      </c>
      <c r="Y2407">
        <v>0</v>
      </c>
      <c r="Z2407">
        <v>0</v>
      </c>
      <c r="AA2407">
        <v>0</v>
      </c>
      <c r="AB2407" t="s">
        <v>36</v>
      </c>
      <c r="AC2407">
        <v>42</v>
      </c>
    </row>
    <row r="2408" spans="1:30" x14ac:dyDescent="0.25">
      <c r="A2408" s="1">
        <v>44784.799398148149</v>
      </c>
      <c r="B2408" s="1">
        <v>44784.797592592593</v>
      </c>
      <c r="C2408">
        <v>12050</v>
      </c>
      <c r="D2408" t="s">
        <v>49</v>
      </c>
      <c r="E2408" t="s">
        <v>35</v>
      </c>
      <c r="F2408">
        <v>7</v>
      </c>
      <c r="G2408">
        <v>44.220573000000002</v>
      </c>
      <c r="H2408">
        <v>-71.732315</v>
      </c>
      <c r="I2408">
        <v>999</v>
      </c>
      <c r="J2408">
        <v>80</v>
      </c>
      <c r="K2408">
        <v>0</v>
      </c>
      <c r="L2408" s="1">
        <v>44784.799328703702</v>
      </c>
      <c r="M2408">
        <v>5.0999999999999996</v>
      </c>
      <c r="N2408">
        <v>4.5</v>
      </c>
      <c r="O2408">
        <v>0.6</v>
      </c>
      <c r="P2408">
        <v>12</v>
      </c>
      <c r="Q2408">
        <v>0</v>
      </c>
      <c r="R2408">
        <v>0.1</v>
      </c>
      <c r="S2408">
        <v>0.05</v>
      </c>
      <c r="T2408" t="s">
        <v>33</v>
      </c>
      <c r="U2408">
        <v>4.8</v>
      </c>
      <c r="V2408">
        <v>48</v>
      </c>
      <c r="W2408">
        <v>0</v>
      </c>
      <c r="X2408">
        <v>48</v>
      </c>
      <c r="Y2408">
        <v>2</v>
      </c>
      <c r="Z2408">
        <v>0</v>
      </c>
      <c r="AA2408">
        <v>2</v>
      </c>
      <c r="AB2408" t="s">
        <v>36</v>
      </c>
      <c r="AC2408">
        <v>48</v>
      </c>
      <c r="AD2408">
        <v>1.73</v>
      </c>
    </row>
    <row r="2409" spans="1:30" x14ac:dyDescent="0.25">
      <c r="A2409" s="1">
        <v>44784.799398148149</v>
      </c>
      <c r="B2409" s="1">
        <v>44784.799097222225</v>
      </c>
      <c r="C2409">
        <v>23443</v>
      </c>
      <c r="D2409" t="s">
        <v>50</v>
      </c>
      <c r="E2409" t="s">
        <v>35</v>
      </c>
      <c r="F2409">
        <v>7</v>
      </c>
      <c r="G2409">
        <v>43.556139999999999</v>
      </c>
      <c r="H2409">
        <v>-72.370990000000006</v>
      </c>
      <c r="I2409">
        <v>523</v>
      </c>
      <c r="J2409">
        <v>77</v>
      </c>
      <c r="K2409">
        <v>0</v>
      </c>
      <c r="L2409" s="1">
        <v>44784.799328703702</v>
      </c>
      <c r="M2409">
        <v>5.2</v>
      </c>
      <c r="N2409">
        <v>4.5</v>
      </c>
      <c r="O2409">
        <v>0.7</v>
      </c>
      <c r="P2409">
        <v>14</v>
      </c>
      <c r="Q2409">
        <v>0.7</v>
      </c>
      <c r="R2409">
        <v>0.5</v>
      </c>
      <c r="S2409">
        <v>0.6</v>
      </c>
      <c r="T2409" t="s">
        <v>33</v>
      </c>
      <c r="U2409">
        <v>4.8499999999999996</v>
      </c>
      <c r="V2409">
        <v>61</v>
      </c>
      <c r="W2409">
        <v>0</v>
      </c>
      <c r="X2409">
        <v>61</v>
      </c>
      <c r="Y2409">
        <v>4</v>
      </c>
      <c r="Z2409">
        <v>0</v>
      </c>
      <c r="AA2409">
        <v>4</v>
      </c>
      <c r="AB2409" t="s">
        <v>36</v>
      </c>
      <c r="AC2409">
        <v>61</v>
      </c>
      <c r="AD2409">
        <v>0.85</v>
      </c>
    </row>
    <row r="2410" spans="1:30" x14ac:dyDescent="0.25">
      <c r="A2410" s="1">
        <v>44784.799409722225</v>
      </c>
      <c r="B2410" s="1">
        <v>44784.797824074078</v>
      </c>
      <c r="C2410">
        <v>58135</v>
      </c>
      <c r="D2410" t="s">
        <v>51</v>
      </c>
      <c r="E2410" t="s">
        <v>35</v>
      </c>
      <c r="F2410">
        <v>7</v>
      </c>
      <c r="G2410">
        <v>42.883873000000001</v>
      </c>
      <c r="H2410">
        <v>-71.972915999999998</v>
      </c>
      <c r="I2410">
        <v>808</v>
      </c>
      <c r="J2410">
        <v>81</v>
      </c>
      <c r="K2410">
        <v>0</v>
      </c>
      <c r="L2410" s="1">
        <v>44784.799328703702</v>
      </c>
      <c r="M2410">
        <v>5.3</v>
      </c>
      <c r="N2410">
        <v>3.5</v>
      </c>
      <c r="O2410">
        <v>1.8</v>
      </c>
      <c r="P2410">
        <v>41</v>
      </c>
      <c r="Q2410">
        <v>0.1</v>
      </c>
      <c r="R2410">
        <v>0.1</v>
      </c>
      <c r="S2410">
        <v>0.1</v>
      </c>
      <c r="T2410" t="s">
        <v>33</v>
      </c>
      <c r="U2410">
        <v>4.4000000000000004</v>
      </c>
      <c r="V2410">
        <v>54</v>
      </c>
      <c r="W2410">
        <v>0</v>
      </c>
      <c r="X2410">
        <v>54</v>
      </c>
      <c r="Y2410">
        <v>2</v>
      </c>
      <c r="Z2410">
        <v>0</v>
      </c>
      <c r="AA2410">
        <v>2</v>
      </c>
      <c r="AB2410" t="s">
        <v>36</v>
      </c>
      <c r="AC2410">
        <v>54</v>
      </c>
      <c r="AD2410">
        <v>1.06</v>
      </c>
    </row>
    <row r="2411" spans="1:30" x14ac:dyDescent="0.25">
      <c r="A2411" s="1">
        <v>44784.799409722225</v>
      </c>
      <c r="B2411" s="1">
        <v>44784.797800925924</v>
      </c>
      <c r="C2411">
        <v>148555</v>
      </c>
      <c r="D2411" t="s">
        <v>52</v>
      </c>
      <c r="E2411" t="s">
        <v>53</v>
      </c>
      <c r="F2411">
        <v>7</v>
      </c>
      <c r="G2411">
        <v>42.904949999999999</v>
      </c>
      <c r="H2411">
        <v>-71.386764999999997</v>
      </c>
      <c r="I2411">
        <v>363</v>
      </c>
      <c r="J2411">
        <v>0</v>
      </c>
      <c r="K2411">
        <v>0</v>
      </c>
      <c r="L2411" s="1">
        <v>44784.799328703702</v>
      </c>
      <c r="M2411">
        <v>1.9</v>
      </c>
      <c r="N2411">
        <v>2.4</v>
      </c>
      <c r="O2411">
        <v>0.5</v>
      </c>
      <c r="P2411">
        <v>23</v>
      </c>
      <c r="Q2411">
        <v>0</v>
      </c>
      <c r="R2411">
        <v>0.1</v>
      </c>
      <c r="S2411">
        <v>0.05</v>
      </c>
      <c r="T2411" t="s">
        <v>33</v>
      </c>
      <c r="U2411">
        <v>2.15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 t="s">
        <v>38</v>
      </c>
    </row>
    <row r="2412" spans="1:30" x14ac:dyDescent="0.25">
      <c r="A2412" s="1">
        <v>44784.799421296295</v>
      </c>
      <c r="B2412" s="1">
        <v>44784.798692129632</v>
      </c>
      <c r="C2412">
        <v>146644</v>
      </c>
      <c r="D2412" t="s">
        <v>54</v>
      </c>
      <c r="E2412" t="s">
        <v>53</v>
      </c>
      <c r="F2412">
        <v>7</v>
      </c>
      <c r="G2412">
        <v>43.06015</v>
      </c>
      <c r="H2412">
        <v>-70.758930000000007</v>
      </c>
      <c r="I2412">
        <v>35</v>
      </c>
      <c r="J2412">
        <v>74</v>
      </c>
      <c r="K2412">
        <v>76</v>
      </c>
      <c r="L2412" s="1">
        <v>44784.799328703702</v>
      </c>
      <c r="M2412">
        <v>11.7</v>
      </c>
      <c r="N2412">
        <v>10.6</v>
      </c>
      <c r="O2412">
        <v>1.1000000000000001</v>
      </c>
      <c r="P2412">
        <v>10</v>
      </c>
      <c r="Q2412">
        <v>0.2</v>
      </c>
      <c r="R2412">
        <v>0.2</v>
      </c>
      <c r="S2412">
        <v>0.2</v>
      </c>
      <c r="T2412" t="s">
        <v>33</v>
      </c>
      <c r="U2412">
        <v>11.15</v>
      </c>
      <c r="V2412">
        <v>65</v>
      </c>
      <c r="W2412">
        <v>69</v>
      </c>
      <c r="X2412">
        <v>4</v>
      </c>
      <c r="Y2412">
        <v>1</v>
      </c>
      <c r="Z2412">
        <v>1</v>
      </c>
      <c r="AA2412">
        <v>0</v>
      </c>
      <c r="AB2412" t="s">
        <v>33</v>
      </c>
      <c r="AC2412">
        <v>67</v>
      </c>
      <c r="AD2412">
        <v>4.2699999999999996</v>
      </c>
    </row>
    <row r="2413" spans="1:30" x14ac:dyDescent="0.25">
      <c r="A2413" s="1">
        <v>44784.799421296295</v>
      </c>
      <c r="B2413" s="1">
        <v>43755.283437500002</v>
      </c>
      <c r="C2413">
        <v>12188</v>
      </c>
      <c r="D2413" t="s">
        <v>55</v>
      </c>
      <c r="E2413" t="s">
        <v>35</v>
      </c>
      <c r="F2413">
        <v>4.1100000000000003</v>
      </c>
      <c r="G2413">
        <v>42.927050000000001</v>
      </c>
      <c r="H2413">
        <v>-72.279610000000005</v>
      </c>
      <c r="I2413">
        <v>475</v>
      </c>
      <c r="J2413">
        <v>95</v>
      </c>
      <c r="K2413">
        <v>0</v>
      </c>
      <c r="L2413" s="1">
        <v>44784.799328703702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 t="s">
        <v>32</v>
      </c>
      <c r="V2413">
        <v>77</v>
      </c>
      <c r="W2413">
        <v>0</v>
      </c>
      <c r="X2413">
        <v>77</v>
      </c>
      <c r="Y2413">
        <v>0</v>
      </c>
      <c r="Z2413">
        <v>0</v>
      </c>
      <c r="AA2413">
        <v>0</v>
      </c>
      <c r="AB2413" t="s">
        <v>36</v>
      </c>
      <c r="AC2413">
        <v>77</v>
      </c>
    </row>
    <row r="2414" spans="1:30" x14ac:dyDescent="0.25">
      <c r="A2414" s="1">
        <v>44784.799421296295</v>
      </c>
      <c r="B2414" s="1">
        <v>44784.797696759262</v>
      </c>
      <c r="C2414">
        <v>1224</v>
      </c>
      <c r="D2414" t="s">
        <v>56</v>
      </c>
      <c r="E2414" t="s">
        <v>35</v>
      </c>
      <c r="F2414" t="s">
        <v>57</v>
      </c>
      <c r="G2414">
        <v>42.938034000000002</v>
      </c>
      <c r="H2414">
        <v>-72.259299999999996</v>
      </c>
      <c r="I2414">
        <v>792</v>
      </c>
      <c r="J2414">
        <v>87</v>
      </c>
      <c r="K2414">
        <v>0</v>
      </c>
      <c r="L2414" s="1">
        <v>44784.799328703702</v>
      </c>
      <c r="M2414">
        <v>7</v>
      </c>
      <c r="N2414">
        <v>0.1</v>
      </c>
      <c r="O2414">
        <v>6.9</v>
      </c>
      <c r="P2414">
        <v>194</v>
      </c>
      <c r="Q2414">
        <v>0</v>
      </c>
      <c r="R2414">
        <v>0.1</v>
      </c>
      <c r="S2414">
        <v>0.05</v>
      </c>
      <c r="T2414" t="s">
        <v>33</v>
      </c>
      <c r="U2414">
        <v>3.55</v>
      </c>
      <c r="V2414">
        <v>44</v>
      </c>
      <c r="W2414">
        <v>0</v>
      </c>
      <c r="X2414">
        <v>44</v>
      </c>
      <c r="Y2414">
        <v>1</v>
      </c>
      <c r="Z2414">
        <v>0</v>
      </c>
      <c r="AA2414">
        <v>1</v>
      </c>
      <c r="AB2414" t="s">
        <v>36</v>
      </c>
      <c r="AC2414">
        <v>44</v>
      </c>
      <c r="AD2414">
        <v>1.25</v>
      </c>
    </row>
    <row r="2415" spans="1:30" x14ac:dyDescent="0.25">
      <c r="A2415" s="1">
        <v>44784.799432870372</v>
      </c>
      <c r="B2415" s="1">
        <v>44784.798541666663</v>
      </c>
      <c r="C2415">
        <v>1202</v>
      </c>
      <c r="D2415" t="s">
        <v>58</v>
      </c>
      <c r="E2415" t="s">
        <v>35</v>
      </c>
      <c r="F2415" t="s">
        <v>57</v>
      </c>
      <c r="G2415">
        <v>42.936554000000001</v>
      </c>
      <c r="H2415">
        <v>-72.271019999999993</v>
      </c>
      <c r="I2415">
        <v>488</v>
      </c>
      <c r="J2415">
        <v>0</v>
      </c>
      <c r="K2415">
        <v>0</v>
      </c>
      <c r="L2415" s="1">
        <v>44784.799328703702</v>
      </c>
      <c r="M2415">
        <v>8.1</v>
      </c>
      <c r="N2415">
        <v>7.1</v>
      </c>
      <c r="O2415">
        <v>1</v>
      </c>
      <c r="P2415">
        <v>13</v>
      </c>
      <c r="Q2415">
        <v>0.2</v>
      </c>
      <c r="R2415">
        <v>0</v>
      </c>
      <c r="S2415">
        <v>0.1</v>
      </c>
      <c r="T2415" t="s">
        <v>33</v>
      </c>
      <c r="U2415">
        <v>7.6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 t="s">
        <v>38</v>
      </c>
    </row>
    <row r="2416" spans="1:30" x14ac:dyDescent="0.25">
      <c r="A2416" s="1">
        <v>44784.799432870372</v>
      </c>
      <c r="B2416" s="1">
        <v>44612.080023148148</v>
      </c>
      <c r="C2416">
        <v>25985</v>
      </c>
      <c r="D2416" t="s">
        <v>59</v>
      </c>
      <c r="E2416" t="s">
        <v>35</v>
      </c>
      <c r="F2416">
        <v>6.01</v>
      </c>
      <c r="G2416">
        <v>42.927326000000001</v>
      </c>
      <c r="H2416">
        <v>-72.279979999999995</v>
      </c>
      <c r="I2416">
        <v>477</v>
      </c>
      <c r="J2416">
        <v>78</v>
      </c>
      <c r="K2416">
        <v>0</v>
      </c>
      <c r="L2416" s="1">
        <v>44784.799328703702</v>
      </c>
      <c r="M2416">
        <v>1.1000000000000001</v>
      </c>
      <c r="N2416">
        <v>1</v>
      </c>
      <c r="O2416">
        <v>0.1</v>
      </c>
      <c r="P2416">
        <v>10</v>
      </c>
      <c r="Q2416">
        <v>0</v>
      </c>
      <c r="R2416">
        <v>0</v>
      </c>
      <c r="S2416">
        <v>0</v>
      </c>
      <c r="T2416" t="s">
        <v>32</v>
      </c>
      <c r="V2416">
        <v>22</v>
      </c>
      <c r="W2416">
        <v>0</v>
      </c>
      <c r="X2416">
        <v>22</v>
      </c>
      <c r="Y2416">
        <v>0</v>
      </c>
      <c r="Z2416">
        <v>0</v>
      </c>
      <c r="AA2416">
        <v>0</v>
      </c>
      <c r="AB2416" t="s">
        <v>36</v>
      </c>
      <c r="AC2416">
        <v>22</v>
      </c>
    </row>
    <row r="2417" spans="1:30" x14ac:dyDescent="0.25">
      <c r="A2417" s="1">
        <v>44784.806273148148</v>
      </c>
      <c r="B2417" s="1">
        <v>44775.701319444444</v>
      </c>
      <c r="C2417">
        <v>151708</v>
      </c>
      <c r="D2417" t="s">
        <v>30</v>
      </c>
      <c r="E2417" t="s">
        <v>31</v>
      </c>
      <c r="F2417">
        <v>7</v>
      </c>
      <c r="G2417">
        <v>43.192042999999998</v>
      </c>
      <c r="H2417">
        <v>-71.541579999999996</v>
      </c>
      <c r="I2417">
        <v>291</v>
      </c>
      <c r="J2417">
        <v>93</v>
      </c>
      <c r="K2417">
        <v>94</v>
      </c>
      <c r="L2417" s="1">
        <v>44784.806273148148</v>
      </c>
      <c r="M2417">
        <v>7.9</v>
      </c>
      <c r="N2417">
        <v>7.6</v>
      </c>
      <c r="O2417">
        <v>0.3</v>
      </c>
      <c r="P2417">
        <v>4</v>
      </c>
      <c r="Q2417">
        <v>0</v>
      </c>
      <c r="R2417">
        <v>0</v>
      </c>
      <c r="S2417">
        <v>0</v>
      </c>
      <c r="T2417" t="s">
        <v>32</v>
      </c>
      <c r="V2417">
        <v>42</v>
      </c>
      <c r="W2417">
        <v>41</v>
      </c>
      <c r="X2417">
        <v>1</v>
      </c>
      <c r="Y2417">
        <v>0</v>
      </c>
      <c r="Z2417">
        <v>0</v>
      </c>
      <c r="AA2417">
        <v>0</v>
      </c>
      <c r="AB2417" t="s">
        <v>33</v>
      </c>
      <c r="AC2417">
        <v>41.5</v>
      </c>
    </row>
    <row r="2418" spans="1:30" x14ac:dyDescent="0.25">
      <c r="A2418" s="1">
        <v>44784.806284722225</v>
      </c>
      <c r="B2418" s="1">
        <v>44784.8046875</v>
      </c>
      <c r="C2418">
        <v>143456</v>
      </c>
      <c r="D2418" t="s">
        <v>34</v>
      </c>
      <c r="E2418" t="s">
        <v>35</v>
      </c>
      <c r="F2418">
        <v>7</v>
      </c>
      <c r="G2418">
        <v>43.08963</v>
      </c>
      <c r="H2418">
        <v>-71.502440000000007</v>
      </c>
      <c r="I2418">
        <v>619</v>
      </c>
      <c r="J2418">
        <v>79</v>
      </c>
      <c r="K2418">
        <v>0</v>
      </c>
      <c r="L2418" s="1">
        <v>44784.806273148148</v>
      </c>
      <c r="M2418">
        <v>3.8</v>
      </c>
      <c r="N2418">
        <v>4</v>
      </c>
      <c r="O2418">
        <v>0.2</v>
      </c>
      <c r="P2418">
        <v>5</v>
      </c>
      <c r="Q2418">
        <v>0.2</v>
      </c>
      <c r="R2418">
        <v>0.2</v>
      </c>
      <c r="S2418">
        <v>0.2</v>
      </c>
      <c r="T2418" t="s">
        <v>33</v>
      </c>
      <c r="U2418">
        <v>3.9</v>
      </c>
      <c r="V2418">
        <v>56</v>
      </c>
      <c r="W2418">
        <v>0</v>
      </c>
      <c r="X2418">
        <v>56</v>
      </c>
      <c r="Y2418">
        <v>1</v>
      </c>
      <c r="Z2418">
        <v>0</v>
      </c>
      <c r="AA2418">
        <v>1</v>
      </c>
      <c r="AB2418" t="s">
        <v>36</v>
      </c>
      <c r="AC2418">
        <v>56</v>
      </c>
      <c r="AD2418">
        <v>0.62</v>
      </c>
    </row>
    <row r="2419" spans="1:30" x14ac:dyDescent="0.25">
      <c r="A2419" s="1">
        <v>44784.806284722225</v>
      </c>
      <c r="B2419" s="1">
        <v>44784.804826388892</v>
      </c>
      <c r="C2419">
        <v>151702</v>
      </c>
      <c r="D2419" t="s">
        <v>37</v>
      </c>
      <c r="E2419" t="s">
        <v>31</v>
      </c>
      <c r="F2419">
        <v>7</v>
      </c>
      <c r="G2419">
        <v>43.118609999999997</v>
      </c>
      <c r="H2419">
        <v>-71.61618</v>
      </c>
      <c r="I2419">
        <v>885</v>
      </c>
      <c r="J2419">
        <v>0</v>
      </c>
      <c r="K2419">
        <v>0</v>
      </c>
      <c r="L2419" s="1">
        <v>44784.806273148148</v>
      </c>
      <c r="M2419">
        <v>4.0999999999999996</v>
      </c>
      <c r="N2419">
        <v>4.3</v>
      </c>
      <c r="O2419">
        <v>0.2</v>
      </c>
      <c r="P2419">
        <v>5</v>
      </c>
      <c r="Q2419">
        <v>0.1</v>
      </c>
      <c r="R2419">
        <v>0.1</v>
      </c>
      <c r="S2419">
        <v>0.1</v>
      </c>
      <c r="T2419" t="s">
        <v>33</v>
      </c>
      <c r="U2419">
        <v>4.2</v>
      </c>
      <c r="V2419">
        <v>0</v>
      </c>
      <c r="W2419">
        <v>0</v>
      </c>
      <c r="X2419">
        <v>0</v>
      </c>
      <c r="Y2419">
        <v>0</v>
      </c>
      <c r="Z2419">
        <v>0</v>
      </c>
      <c r="AA2419">
        <v>0</v>
      </c>
      <c r="AB2419" t="s">
        <v>38</v>
      </c>
    </row>
    <row r="2420" spans="1:30" x14ac:dyDescent="0.25">
      <c r="A2420" s="1">
        <v>44784.806296296294</v>
      </c>
      <c r="B2420" s="1">
        <v>44784.8047337963</v>
      </c>
      <c r="C2420">
        <v>151700</v>
      </c>
      <c r="D2420" t="s">
        <v>30</v>
      </c>
      <c r="E2420" t="s">
        <v>31</v>
      </c>
      <c r="F2420">
        <v>7</v>
      </c>
      <c r="G2420">
        <v>43.19211</v>
      </c>
      <c r="H2420">
        <v>-71.541460000000001</v>
      </c>
      <c r="I2420">
        <v>286</v>
      </c>
      <c r="J2420">
        <v>85</v>
      </c>
      <c r="K2420">
        <v>0</v>
      </c>
      <c r="L2420" s="1">
        <v>44784.806273148148</v>
      </c>
      <c r="M2420">
        <v>2.8</v>
      </c>
      <c r="N2420">
        <v>3.4</v>
      </c>
      <c r="O2420">
        <v>0.6</v>
      </c>
      <c r="P2420">
        <v>19</v>
      </c>
      <c r="Q2420">
        <v>0</v>
      </c>
      <c r="R2420">
        <v>0.1</v>
      </c>
      <c r="S2420">
        <v>0.05</v>
      </c>
      <c r="T2420" t="s">
        <v>33</v>
      </c>
      <c r="U2420">
        <v>3.1</v>
      </c>
      <c r="V2420">
        <v>45</v>
      </c>
      <c r="W2420">
        <v>0</v>
      </c>
      <c r="X2420">
        <v>45</v>
      </c>
      <c r="Y2420">
        <v>1</v>
      </c>
      <c r="Z2420">
        <v>0</v>
      </c>
      <c r="AA2420">
        <v>1</v>
      </c>
      <c r="AB2420" t="s">
        <v>36</v>
      </c>
      <c r="AC2420">
        <v>45</v>
      </c>
      <c r="AD2420">
        <v>0.9</v>
      </c>
    </row>
    <row r="2421" spans="1:30" x14ac:dyDescent="0.25">
      <c r="A2421" s="1">
        <v>44784.806354166663</v>
      </c>
      <c r="B2421" s="1">
        <v>44784.805173611108</v>
      </c>
      <c r="C2421">
        <v>135984</v>
      </c>
      <c r="D2421" t="s">
        <v>39</v>
      </c>
      <c r="E2421" t="s">
        <v>31</v>
      </c>
      <c r="F2421">
        <v>7</v>
      </c>
      <c r="G2421">
        <v>43.565852999999997</v>
      </c>
      <c r="H2421">
        <v>-71.496129999999994</v>
      </c>
      <c r="I2421">
        <v>708</v>
      </c>
      <c r="J2421">
        <v>80</v>
      </c>
      <c r="K2421">
        <v>0</v>
      </c>
      <c r="L2421" s="1">
        <v>44784.806273148148</v>
      </c>
      <c r="M2421">
        <v>4.5</v>
      </c>
      <c r="N2421">
        <v>4.2</v>
      </c>
      <c r="O2421">
        <v>0.3</v>
      </c>
      <c r="P2421">
        <v>7</v>
      </c>
      <c r="Q2421">
        <v>0.1</v>
      </c>
      <c r="R2421">
        <v>0.1</v>
      </c>
      <c r="S2421">
        <v>0.1</v>
      </c>
      <c r="T2421" t="s">
        <v>33</v>
      </c>
      <c r="U2421">
        <v>4.3499999999999996</v>
      </c>
      <c r="V2421">
        <v>64</v>
      </c>
      <c r="W2421">
        <v>0</v>
      </c>
      <c r="X2421">
        <v>64</v>
      </c>
      <c r="Y2421">
        <v>3</v>
      </c>
      <c r="Z2421">
        <v>0</v>
      </c>
      <c r="AA2421">
        <v>3</v>
      </c>
      <c r="AB2421" t="s">
        <v>36</v>
      </c>
      <c r="AC2421">
        <v>64</v>
      </c>
      <c r="AD2421">
        <v>0.33</v>
      </c>
    </row>
    <row r="2422" spans="1:30" x14ac:dyDescent="0.25">
      <c r="A2422" s="1">
        <v>44784.806354166663</v>
      </c>
      <c r="B2422" s="1">
        <v>44780.394780092596</v>
      </c>
      <c r="C2422">
        <v>151712</v>
      </c>
      <c r="D2422" t="s">
        <v>40</v>
      </c>
      <c r="E2422" t="s">
        <v>31</v>
      </c>
      <c r="F2422">
        <v>7</v>
      </c>
      <c r="G2422">
        <v>43.289763999999998</v>
      </c>
      <c r="H2422">
        <v>-71.564260000000004</v>
      </c>
      <c r="I2422">
        <v>370</v>
      </c>
      <c r="J2422">
        <v>86</v>
      </c>
      <c r="K2422">
        <v>0</v>
      </c>
      <c r="L2422" s="1">
        <v>44784.806273148148</v>
      </c>
      <c r="M2422">
        <v>14</v>
      </c>
      <c r="N2422">
        <v>13.2</v>
      </c>
      <c r="O2422">
        <v>0.8</v>
      </c>
      <c r="P2422">
        <v>6</v>
      </c>
      <c r="Q2422">
        <v>0</v>
      </c>
      <c r="R2422">
        <v>0</v>
      </c>
      <c r="S2422">
        <v>0</v>
      </c>
      <c r="T2422" t="s">
        <v>32</v>
      </c>
      <c r="V2422">
        <v>59</v>
      </c>
      <c r="W2422">
        <v>0</v>
      </c>
      <c r="X2422">
        <v>59</v>
      </c>
      <c r="Y2422">
        <v>0</v>
      </c>
      <c r="Z2422">
        <v>0</v>
      </c>
      <c r="AA2422">
        <v>0</v>
      </c>
      <c r="AB2422" t="s">
        <v>36</v>
      </c>
      <c r="AC2422">
        <v>59</v>
      </c>
    </row>
    <row r="2423" spans="1:30" x14ac:dyDescent="0.25">
      <c r="A2423" s="1">
        <v>44784.806354166663</v>
      </c>
      <c r="B2423" s="1">
        <v>44784.805879629632</v>
      </c>
      <c r="C2423">
        <v>151710</v>
      </c>
      <c r="D2423" t="s">
        <v>41</v>
      </c>
      <c r="E2423" t="s">
        <v>31</v>
      </c>
      <c r="F2423">
        <v>7</v>
      </c>
      <c r="G2423">
        <v>43.132477000000002</v>
      </c>
      <c r="H2423">
        <v>-71.458374000000006</v>
      </c>
      <c r="I2423">
        <v>230</v>
      </c>
      <c r="J2423">
        <v>83</v>
      </c>
      <c r="K2423">
        <v>0</v>
      </c>
      <c r="L2423" s="1">
        <v>44784.806273148148</v>
      </c>
      <c r="M2423">
        <v>6.1</v>
      </c>
      <c r="N2423">
        <v>4</v>
      </c>
      <c r="O2423">
        <v>2.1</v>
      </c>
      <c r="P2423">
        <v>42</v>
      </c>
      <c r="Q2423">
        <v>0.4</v>
      </c>
      <c r="R2423">
        <v>0</v>
      </c>
      <c r="S2423">
        <v>0.2</v>
      </c>
      <c r="T2423" t="s">
        <v>33</v>
      </c>
      <c r="U2423">
        <v>5.05</v>
      </c>
      <c r="V2423">
        <v>46</v>
      </c>
      <c r="W2423">
        <v>0</v>
      </c>
      <c r="X2423">
        <v>46</v>
      </c>
      <c r="Y2423">
        <v>3</v>
      </c>
      <c r="Z2423">
        <v>0</v>
      </c>
      <c r="AA2423">
        <v>3</v>
      </c>
      <c r="AB2423" t="s">
        <v>36</v>
      </c>
      <c r="AC2423">
        <v>46</v>
      </c>
      <c r="AD2423">
        <v>2.02</v>
      </c>
    </row>
    <row r="2424" spans="1:30" x14ac:dyDescent="0.25">
      <c r="A2424" s="1">
        <v>44784.80636574074</v>
      </c>
      <c r="B2424" s="1">
        <v>44784.805509259262</v>
      </c>
      <c r="C2424">
        <v>151706</v>
      </c>
      <c r="D2424" t="s">
        <v>42</v>
      </c>
      <c r="E2424" t="s">
        <v>31</v>
      </c>
      <c r="F2424">
        <v>7</v>
      </c>
      <c r="G2424">
        <v>43.004080000000002</v>
      </c>
      <c r="H2424">
        <v>-71.177040000000005</v>
      </c>
      <c r="I2424">
        <v>194</v>
      </c>
      <c r="J2424">
        <v>82</v>
      </c>
      <c r="K2424">
        <v>0</v>
      </c>
      <c r="L2424" s="1">
        <v>44784.806273148148</v>
      </c>
      <c r="M2424">
        <v>10.5</v>
      </c>
      <c r="N2424">
        <v>0</v>
      </c>
      <c r="O2424">
        <v>10.5</v>
      </c>
      <c r="P2424">
        <v>200</v>
      </c>
      <c r="Q2424">
        <v>0.2</v>
      </c>
      <c r="R2424">
        <v>0</v>
      </c>
      <c r="S2424">
        <v>0.1</v>
      </c>
      <c r="T2424" t="s">
        <v>43</v>
      </c>
      <c r="V2424">
        <v>57</v>
      </c>
      <c r="W2424">
        <v>0</v>
      </c>
      <c r="X2424">
        <v>57</v>
      </c>
      <c r="Y2424">
        <v>1</v>
      </c>
      <c r="Z2424">
        <v>0</v>
      </c>
      <c r="AA2424">
        <v>1</v>
      </c>
      <c r="AB2424" t="s">
        <v>36</v>
      </c>
      <c r="AC2424">
        <v>57</v>
      </c>
    </row>
    <row r="2425" spans="1:30" x14ac:dyDescent="0.25">
      <c r="A2425" s="1">
        <v>44784.80636574074</v>
      </c>
      <c r="B2425" s="1">
        <v>44784.805324074077</v>
      </c>
      <c r="C2425">
        <v>12212</v>
      </c>
      <c r="D2425" t="s">
        <v>44</v>
      </c>
      <c r="E2425" t="s">
        <v>35</v>
      </c>
      <c r="F2425">
        <v>7</v>
      </c>
      <c r="G2425">
        <v>42.930529999999997</v>
      </c>
      <c r="H2425">
        <v>-72.272350000000003</v>
      </c>
      <c r="I2425">
        <v>476</v>
      </c>
      <c r="J2425">
        <v>89</v>
      </c>
      <c r="K2425">
        <v>0</v>
      </c>
      <c r="L2425" s="1">
        <v>44784.806273148148</v>
      </c>
      <c r="M2425">
        <v>7.1</v>
      </c>
      <c r="N2425">
        <v>6.4</v>
      </c>
      <c r="O2425">
        <v>0.7</v>
      </c>
      <c r="P2425">
        <v>10</v>
      </c>
      <c r="Q2425">
        <v>0.1</v>
      </c>
      <c r="R2425">
        <v>0.1</v>
      </c>
      <c r="S2425">
        <v>0.1</v>
      </c>
      <c r="T2425" t="s">
        <v>33</v>
      </c>
      <c r="U2425">
        <v>6.75</v>
      </c>
      <c r="V2425">
        <v>36</v>
      </c>
      <c r="W2425">
        <v>0</v>
      </c>
      <c r="X2425">
        <v>36</v>
      </c>
      <c r="Y2425">
        <v>0</v>
      </c>
      <c r="Z2425">
        <v>0</v>
      </c>
      <c r="AA2425">
        <v>0</v>
      </c>
      <c r="AB2425" t="s">
        <v>36</v>
      </c>
      <c r="AC2425">
        <v>36</v>
      </c>
      <c r="AD2425">
        <v>3.76</v>
      </c>
    </row>
    <row r="2426" spans="1:30" x14ac:dyDescent="0.25">
      <c r="A2426" s="1">
        <v>44784.806377314817</v>
      </c>
      <c r="B2426" s="1">
        <v>44769.376736111109</v>
      </c>
      <c r="C2426">
        <v>12178</v>
      </c>
      <c r="D2426" t="s">
        <v>45</v>
      </c>
      <c r="E2426" t="s">
        <v>35</v>
      </c>
      <c r="F2426">
        <v>7</v>
      </c>
      <c r="G2426">
        <v>42.899563000000001</v>
      </c>
      <c r="H2426">
        <v>-71.464650000000006</v>
      </c>
      <c r="I2426">
        <v>301</v>
      </c>
      <c r="J2426">
        <v>85</v>
      </c>
      <c r="K2426">
        <v>0</v>
      </c>
      <c r="L2426" s="1">
        <v>44784.806273148148</v>
      </c>
      <c r="M2426">
        <v>3.8</v>
      </c>
      <c r="N2426">
        <v>3.1</v>
      </c>
      <c r="O2426">
        <v>0.7</v>
      </c>
      <c r="P2426">
        <v>20</v>
      </c>
      <c r="Q2426">
        <v>0</v>
      </c>
      <c r="R2426">
        <v>0</v>
      </c>
      <c r="S2426">
        <v>0</v>
      </c>
      <c r="T2426" t="s">
        <v>32</v>
      </c>
      <c r="V2426">
        <v>35</v>
      </c>
      <c r="W2426">
        <v>0</v>
      </c>
      <c r="X2426">
        <v>35</v>
      </c>
      <c r="Y2426">
        <v>0</v>
      </c>
      <c r="Z2426">
        <v>0</v>
      </c>
      <c r="AA2426">
        <v>0</v>
      </c>
      <c r="AB2426" t="s">
        <v>36</v>
      </c>
      <c r="AC2426">
        <v>35</v>
      </c>
    </row>
    <row r="2427" spans="1:30" x14ac:dyDescent="0.25">
      <c r="A2427" s="1">
        <v>44784.806377314817</v>
      </c>
      <c r="B2427" s="1">
        <v>44784.805972222224</v>
      </c>
      <c r="C2427">
        <v>75981</v>
      </c>
      <c r="D2427" t="s">
        <v>46</v>
      </c>
      <c r="E2427" t="s">
        <v>35</v>
      </c>
      <c r="F2427">
        <v>7</v>
      </c>
      <c r="G2427">
        <v>42.97</v>
      </c>
      <c r="H2427">
        <v>-71.06</v>
      </c>
      <c r="I2427">
        <v>136</v>
      </c>
      <c r="J2427">
        <v>87</v>
      </c>
      <c r="K2427">
        <v>0</v>
      </c>
      <c r="L2427" s="1">
        <v>44784.806273148148</v>
      </c>
      <c r="M2427">
        <v>10.6</v>
      </c>
      <c r="N2427">
        <v>10</v>
      </c>
      <c r="O2427">
        <v>0.6</v>
      </c>
      <c r="P2427">
        <v>6</v>
      </c>
      <c r="Q2427">
        <v>0</v>
      </c>
      <c r="R2427">
        <v>0</v>
      </c>
      <c r="S2427">
        <v>0</v>
      </c>
      <c r="T2427" t="s">
        <v>33</v>
      </c>
      <c r="U2427">
        <v>10.3</v>
      </c>
      <c r="V2427">
        <v>50</v>
      </c>
      <c r="W2427">
        <v>0</v>
      </c>
      <c r="X2427">
        <v>50</v>
      </c>
      <c r="Y2427">
        <v>1</v>
      </c>
      <c r="Z2427">
        <v>0</v>
      </c>
      <c r="AA2427">
        <v>1</v>
      </c>
      <c r="AB2427" t="s">
        <v>36</v>
      </c>
      <c r="AC2427">
        <v>50</v>
      </c>
      <c r="AD2427">
        <v>4.9400000000000004</v>
      </c>
    </row>
    <row r="2428" spans="1:30" x14ac:dyDescent="0.25">
      <c r="A2428" s="1">
        <v>44784.806388888886</v>
      </c>
      <c r="B2428" s="1">
        <v>44784.805115740739</v>
      </c>
      <c r="C2428">
        <v>115703</v>
      </c>
      <c r="D2428" t="s">
        <v>47</v>
      </c>
      <c r="E2428" t="s">
        <v>35</v>
      </c>
      <c r="F2428">
        <v>7</v>
      </c>
      <c r="G2428">
        <v>43.953625000000002</v>
      </c>
      <c r="H2428">
        <v>-71.508859999999999</v>
      </c>
      <c r="I2428">
        <v>1493</v>
      </c>
      <c r="J2428">
        <v>80</v>
      </c>
      <c r="K2428">
        <v>0</v>
      </c>
      <c r="L2428" s="1">
        <v>44784.806273148148</v>
      </c>
      <c r="M2428">
        <v>0.5</v>
      </c>
      <c r="N2428">
        <v>41.1</v>
      </c>
      <c r="O2428">
        <v>40.6</v>
      </c>
      <c r="P2428">
        <v>195</v>
      </c>
      <c r="Q2428">
        <v>0.1</v>
      </c>
      <c r="R2428">
        <v>0</v>
      </c>
      <c r="S2428">
        <v>0.05</v>
      </c>
      <c r="T2428" t="s">
        <v>60</v>
      </c>
      <c r="V2428">
        <v>43</v>
      </c>
      <c r="W2428">
        <v>0</v>
      </c>
      <c r="X2428">
        <v>43</v>
      </c>
      <c r="Y2428">
        <v>1</v>
      </c>
      <c r="Z2428">
        <v>0</v>
      </c>
      <c r="AA2428">
        <v>1</v>
      </c>
      <c r="AB2428" t="s">
        <v>36</v>
      </c>
      <c r="AC2428">
        <v>43</v>
      </c>
    </row>
    <row r="2429" spans="1:30" x14ac:dyDescent="0.25">
      <c r="A2429" s="1">
        <v>44784.806388888886</v>
      </c>
      <c r="B2429" s="1">
        <v>44784.805925925924</v>
      </c>
      <c r="C2429">
        <v>12050</v>
      </c>
      <c r="D2429" t="s">
        <v>49</v>
      </c>
      <c r="E2429" t="s">
        <v>35</v>
      </c>
      <c r="F2429">
        <v>7</v>
      </c>
      <c r="G2429">
        <v>44.220573000000002</v>
      </c>
      <c r="H2429">
        <v>-71.732315</v>
      </c>
      <c r="I2429">
        <v>999</v>
      </c>
      <c r="J2429">
        <v>79</v>
      </c>
      <c r="K2429">
        <v>0</v>
      </c>
      <c r="L2429" s="1">
        <v>44784.806273148148</v>
      </c>
      <c r="M2429">
        <v>5.3</v>
      </c>
      <c r="N2429">
        <v>5</v>
      </c>
      <c r="O2429">
        <v>0.3</v>
      </c>
      <c r="P2429">
        <v>6</v>
      </c>
      <c r="Q2429">
        <v>0.2</v>
      </c>
      <c r="R2429">
        <v>0.5</v>
      </c>
      <c r="S2429">
        <v>0.35</v>
      </c>
      <c r="T2429" t="s">
        <v>33</v>
      </c>
      <c r="U2429">
        <v>5.15</v>
      </c>
      <c r="V2429">
        <v>51</v>
      </c>
      <c r="W2429">
        <v>0</v>
      </c>
      <c r="X2429">
        <v>51</v>
      </c>
      <c r="Y2429">
        <v>3</v>
      </c>
      <c r="Z2429">
        <v>0</v>
      </c>
      <c r="AA2429">
        <v>3</v>
      </c>
      <c r="AB2429" t="s">
        <v>36</v>
      </c>
      <c r="AC2429">
        <v>51</v>
      </c>
      <c r="AD2429">
        <v>1.73</v>
      </c>
    </row>
    <row r="2430" spans="1:30" x14ac:dyDescent="0.25">
      <c r="A2430" s="1">
        <v>44784.806388888886</v>
      </c>
      <c r="B2430" s="1">
        <v>44784.806041666663</v>
      </c>
      <c r="C2430">
        <v>23443</v>
      </c>
      <c r="D2430" t="s">
        <v>50</v>
      </c>
      <c r="E2430" t="s">
        <v>35</v>
      </c>
      <c r="F2430">
        <v>7</v>
      </c>
      <c r="G2430">
        <v>43.556139999999999</v>
      </c>
      <c r="H2430">
        <v>-72.370990000000006</v>
      </c>
      <c r="I2430">
        <v>523</v>
      </c>
      <c r="J2430">
        <v>76</v>
      </c>
      <c r="K2430">
        <v>0</v>
      </c>
      <c r="L2430" s="1">
        <v>44784.806273148148</v>
      </c>
      <c r="M2430">
        <v>5.5</v>
      </c>
      <c r="N2430">
        <v>5.2</v>
      </c>
      <c r="O2430">
        <v>0.3</v>
      </c>
      <c r="P2430">
        <v>6</v>
      </c>
      <c r="Q2430">
        <v>0.3</v>
      </c>
      <c r="R2430">
        <v>0.7</v>
      </c>
      <c r="S2430">
        <v>0.5</v>
      </c>
      <c r="T2430" t="s">
        <v>33</v>
      </c>
      <c r="U2430">
        <v>5.35</v>
      </c>
      <c r="V2430">
        <v>62</v>
      </c>
      <c r="W2430">
        <v>0</v>
      </c>
      <c r="X2430">
        <v>62</v>
      </c>
      <c r="Y2430">
        <v>1</v>
      </c>
      <c r="Z2430">
        <v>0</v>
      </c>
      <c r="AA2430">
        <v>1</v>
      </c>
      <c r="AB2430" t="s">
        <v>36</v>
      </c>
      <c r="AC2430">
        <v>62</v>
      </c>
      <c r="AD2430">
        <v>1.08</v>
      </c>
    </row>
    <row r="2431" spans="1:30" x14ac:dyDescent="0.25">
      <c r="A2431" s="1">
        <v>44784.806400462963</v>
      </c>
      <c r="B2431" s="1">
        <v>44784.806157407409</v>
      </c>
      <c r="C2431">
        <v>58135</v>
      </c>
      <c r="D2431" t="s">
        <v>51</v>
      </c>
      <c r="E2431" t="s">
        <v>35</v>
      </c>
      <c r="F2431">
        <v>7</v>
      </c>
      <c r="G2431">
        <v>42.883873000000001</v>
      </c>
      <c r="H2431">
        <v>-71.972915999999998</v>
      </c>
      <c r="I2431">
        <v>808</v>
      </c>
      <c r="J2431">
        <v>79</v>
      </c>
      <c r="K2431">
        <v>0</v>
      </c>
      <c r="L2431" s="1">
        <v>44784.806273148148</v>
      </c>
      <c r="M2431">
        <v>5.5</v>
      </c>
      <c r="N2431">
        <v>3.8</v>
      </c>
      <c r="O2431">
        <v>1.7</v>
      </c>
      <c r="P2431">
        <v>37</v>
      </c>
      <c r="Q2431">
        <v>0.2</v>
      </c>
      <c r="R2431">
        <v>0.3</v>
      </c>
      <c r="S2431">
        <v>0.25</v>
      </c>
      <c r="T2431" t="s">
        <v>33</v>
      </c>
      <c r="U2431">
        <v>4.6500000000000004</v>
      </c>
      <c r="V2431">
        <v>58</v>
      </c>
      <c r="W2431">
        <v>0</v>
      </c>
      <c r="X2431">
        <v>58</v>
      </c>
      <c r="Y2431">
        <v>4</v>
      </c>
      <c r="Z2431">
        <v>0</v>
      </c>
      <c r="AA2431">
        <v>4</v>
      </c>
      <c r="AB2431" t="s">
        <v>36</v>
      </c>
      <c r="AC2431">
        <v>58</v>
      </c>
      <c r="AD2431">
        <v>0.94</v>
      </c>
    </row>
    <row r="2432" spans="1:30" x14ac:dyDescent="0.25">
      <c r="A2432" s="1">
        <v>44784.806400462963</v>
      </c>
      <c r="B2432" s="1">
        <v>44784.806145833332</v>
      </c>
      <c r="C2432">
        <v>148555</v>
      </c>
      <c r="D2432" t="s">
        <v>52</v>
      </c>
      <c r="E2432" t="s">
        <v>53</v>
      </c>
      <c r="F2432">
        <v>7</v>
      </c>
      <c r="G2432">
        <v>42.904949999999999</v>
      </c>
      <c r="H2432">
        <v>-71.386764999999997</v>
      </c>
      <c r="I2432">
        <v>363</v>
      </c>
      <c r="J2432">
        <v>0</v>
      </c>
      <c r="K2432">
        <v>0</v>
      </c>
      <c r="L2432" s="1">
        <v>44784.806273148148</v>
      </c>
      <c r="M2432">
        <v>1.9</v>
      </c>
      <c r="N2432">
        <v>2.4</v>
      </c>
      <c r="O2432">
        <v>0.5</v>
      </c>
      <c r="P2432">
        <v>23</v>
      </c>
      <c r="Q2432">
        <v>0</v>
      </c>
      <c r="R2432">
        <v>0</v>
      </c>
      <c r="S2432">
        <v>0</v>
      </c>
      <c r="T2432" t="s">
        <v>33</v>
      </c>
      <c r="U2432">
        <v>2.15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 t="s">
        <v>38</v>
      </c>
    </row>
    <row r="2433" spans="1:30" x14ac:dyDescent="0.25">
      <c r="A2433" s="1">
        <v>44784.80641203704</v>
      </c>
      <c r="B2433" s="1">
        <v>44784.805636574078</v>
      </c>
      <c r="C2433">
        <v>146644</v>
      </c>
      <c r="D2433" t="s">
        <v>54</v>
      </c>
      <c r="E2433" t="s">
        <v>53</v>
      </c>
      <c r="F2433">
        <v>7</v>
      </c>
      <c r="G2433">
        <v>43.06015</v>
      </c>
      <c r="H2433">
        <v>-70.758930000000007</v>
      </c>
      <c r="I2433">
        <v>35</v>
      </c>
      <c r="J2433">
        <v>73</v>
      </c>
      <c r="K2433">
        <v>74</v>
      </c>
      <c r="L2433" s="1">
        <v>44784.806273148148</v>
      </c>
      <c r="M2433">
        <v>11.5</v>
      </c>
      <c r="N2433">
        <v>10.3</v>
      </c>
      <c r="O2433">
        <v>1.2</v>
      </c>
      <c r="P2433">
        <v>11</v>
      </c>
      <c r="Q2433">
        <v>0.2</v>
      </c>
      <c r="R2433">
        <v>0.3</v>
      </c>
      <c r="S2433">
        <v>0.25</v>
      </c>
      <c r="T2433" t="s">
        <v>33</v>
      </c>
      <c r="U2433">
        <v>10.9</v>
      </c>
      <c r="V2433">
        <v>66</v>
      </c>
      <c r="W2433">
        <v>71</v>
      </c>
      <c r="X2433">
        <v>5</v>
      </c>
      <c r="Y2433">
        <v>1</v>
      </c>
      <c r="Z2433">
        <v>2</v>
      </c>
      <c r="AA2433">
        <v>1</v>
      </c>
      <c r="AB2433" t="s">
        <v>33</v>
      </c>
      <c r="AC2433">
        <v>68.5</v>
      </c>
      <c r="AD2433">
        <v>4.01</v>
      </c>
    </row>
    <row r="2434" spans="1:30" x14ac:dyDescent="0.25">
      <c r="A2434" s="1">
        <v>44784.80641203704</v>
      </c>
      <c r="B2434" s="1">
        <v>43755.283437500002</v>
      </c>
      <c r="C2434">
        <v>12188</v>
      </c>
      <c r="D2434" t="s">
        <v>55</v>
      </c>
      <c r="E2434" t="s">
        <v>35</v>
      </c>
      <c r="F2434">
        <v>4.1100000000000003</v>
      </c>
      <c r="G2434">
        <v>42.927050000000001</v>
      </c>
      <c r="H2434">
        <v>-72.279610000000005</v>
      </c>
      <c r="I2434">
        <v>475</v>
      </c>
      <c r="J2434">
        <v>95</v>
      </c>
      <c r="K2434">
        <v>0</v>
      </c>
      <c r="L2434" s="1">
        <v>44784.806273148148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 t="s">
        <v>32</v>
      </c>
      <c r="V2434">
        <v>77</v>
      </c>
      <c r="W2434">
        <v>0</v>
      </c>
      <c r="X2434">
        <v>77</v>
      </c>
      <c r="Y2434">
        <v>0</v>
      </c>
      <c r="Z2434">
        <v>0</v>
      </c>
      <c r="AA2434">
        <v>0</v>
      </c>
      <c r="AB2434" t="s">
        <v>36</v>
      </c>
      <c r="AC2434">
        <v>77</v>
      </c>
    </row>
    <row r="2435" spans="1:30" x14ac:dyDescent="0.25">
      <c r="A2435" s="1">
        <v>44784.80641203704</v>
      </c>
      <c r="B2435" s="1">
        <v>44784.806030092594</v>
      </c>
      <c r="C2435">
        <v>1224</v>
      </c>
      <c r="D2435" t="s">
        <v>56</v>
      </c>
      <c r="E2435" t="s">
        <v>35</v>
      </c>
      <c r="F2435" t="s">
        <v>57</v>
      </c>
      <c r="G2435">
        <v>42.938034000000002</v>
      </c>
      <c r="H2435">
        <v>-72.259299999999996</v>
      </c>
      <c r="I2435">
        <v>792</v>
      </c>
      <c r="J2435">
        <v>87</v>
      </c>
      <c r="K2435">
        <v>0</v>
      </c>
      <c r="L2435" s="1">
        <v>44784.806273148148</v>
      </c>
      <c r="M2435">
        <v>7.2</v>
      </c>
      <c r="N2435">
        <v>0.1</v>
      </c>
      <c r="O2435">
        <v>7.1</v>
      </c>
      <c r="P2435">
        <v>195</v>
      </c>
      <c r="Q2435">
        <v>0.2</v>
      </c>
      <c r="R2435">
        <v>0</v>
      </c>
      <c r="S2435">
        <v>0.1</v>
      </c>
      <c r="T2435" t="s">
        <v>33</v>
      </c>
      <c r="U2435">
        <v>3.65</v>
      </c>
      <c r="V2435">
        <v>45</v>
      </c>
      <c r="W2435">
        <v>0</v>
      </c>
      <c r="X2435">
        <v>45</v>
      </c>
      <c r="Y2435">
        <v>1</v>
      </c>
      <c r="Z2435">
        <v>0</v>
      </c>
      <c r="AA2435">
        <v>1</v>
      </c>
      <c r="AB2435" t="s">
        <v>36</v>
      </c>
      <c r="AC2435">
        <v>45</v>
      </c>
      <c r="AD2435">
        <v>1.24</v>
      </c>
    </row>
    <row r="2436" spans="1:30" x14ac:dyDescent="0.25">
      <c r="A2436" s="1">
        <v>44784.806423611109</v>
      </c>
      <c r="B2436" s="1">
        <v>44784.805486111109</v>
      </c>
      <c r="C2436">
        <v>1202</v>
      </c>
      <c r="D2436" t="s">
        <v>58</v>
      </c>
      <c r="E2436" t="s">
        <v>35</v>
      </c>
      <c r="F2436" t="s">
        <v>57</v>
      </c>
      <c r="G2436">
        <v>42.936554000000001</v>
      </c>
      <c r="H2436">
        <v>-72.271019999999993</v>
      </c>
      <c r="I2436">
        <v>488</v>
      </c>
      <c r="J2436">
        <v>0</v>
      </c>
      <c r="K2436">
        <v>0</v>
      </c>
      <c r="L2436" s="1">
        <v>44784.806273148148</v>
      </c>
      <c r="M2436">
        <v>8</v>
      </c>
      <c r="N2436">
        <v>7.2</v>
      </c>
      <c r="O2436">
        <v>0.8</v>
      </c>
      <c r="P2436">
        <v>11</v>
      </c>
      <c r="Q2436">
        <v>0.1</v>
      </c>
      <c r="R2436">
        <v>0.1</v>
      </c>
      <c r="S2436">
        <v>0.1</v>
      </c>
      <c r="T2436" t="s">
        <v>33</v>
      </c>
      <c r="U2436">
        <v>7.6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 t="s">
        <v>38</v>
      </c>
    </row>
    <row r="2437" spans="1:30" x14ac:dyDescent="0.25">
      <c r="A2437" s="1">
        <v>44784.806423611109</v>
      </c>
      <c r="B2437" s="1">
        <v>44612.080023148148</v>
      </c>
      <c r="C2437">
        <v>25985</v>
      </c>
      <c r="D2437" t="s">
        <v>59</v>
      </c>
      <c r="E2437" t="s">
        <v>35</v>
      </c>
      <c r="F2437">
        <v>6.01</v>
      </c>
      <c r="G2437">
        <v>42.927326000000001</v>
      </c>
      <c r="H2437">
        <v>-72.279979999999995</v>
      </c>
      <c r="I2437">
        <v>477</v>
      </c>
      <c r="J2437">
        <v>78</v>
      </c>
      <c r="K2437">
        <v>0</v>
      </c>
      <c r="L2437" s="1">
        <v>44784.806273148148</v>
      </c>
      <c r="M2437">
        <v>1.1000000000000001</v>
      </c>
      <c r="N2437">
        <v>1</v>
      </c>
      <c r="O2437">
        <v>0.1</v>
      </c>
      <c r="P2437">
        <v>10</v>
      </c>
      <c r="Q2437">
        <v>0</v>
      </c>
      <c r="R2437">
        <v>0</v>
      </c>
      <c r="S2437">
        <v>0</v>
      </c>
      <c r="T2437" t="s">
        <v>32</v>
      </c>
      <c r="V2437">
        <v>22</v>
      </c>
      <c r="W2437">
        <v>0</v>
      </c>
      <c r="X2437">
        <v>22</v>
      </c>
      <c r="Y2437">
        <v>0</v>
      </c>
      <c r="Z2437">
        <v>0</v>
      </c>
      <c r="AA2437">
        <v>0</v>
      </c>
      <c r="AB2437" t="s">
        <v>36</v>
      </c>
      <c r="AC2437">
        <v>22</v>
      </c>
    </row>
    <row r="2438" spans="1:30" x14ac:dyDescent="0.25">
      <c r="A2438" s="1">
        <v>44784.81322916667</v>
      </c>
      <c r="B2438" s="1">
        <v>44775.701319444444</v>
      </c>
      <c r="C2438">
        <v>151708</v>
      </c>
      <c r="D2438" t="s">
        <v>30</v>
      </c>
      <c r="E2438" t="s">
        <v>31</v>
      </c>
      <c r="F2438">
        <v>7</v>
      </c>
      <c r="G2438">
        <v>43.192042999999998</v>
      </c>
      <c r="H2438">
        <v>-71.541579999999996</v>
      </c>
      <c r="I2438">
        <v>291</v>
      </c>
      <c r="J2438">
        <v>93</v>
      </c>
      <c r="K2438">
        <v>94</v>
      </c>
      <c r="L2438" s="1">
        <v>44784.813217592593</v>
      </c>
      <c r="M2438">
        <v>7.9</v>
      </c>
      <c r="N2438">
        <v>7.6</v>
      </c>
      <c r="O2438">
        <v>0.3</v>
      </c>
      <c r="P2438">
        <v>4</v>
      </c>
      <c r="Q2438">
        <v>0</v>
      </c>
      <c r="R2438">
        <v>0</v>
      </c>
      <c r="S2438">
        <v>0</v>
      </c>
      <c r="T2438" t="s">
        <v>32</v>
      </c>
      <c r="V2438">
        <v>42</v>
      </c>
      <c r="W2438">
        <v>41</v>
      </c>
      <c r="X2438">
        <v>1</v>
      </c>
      <c r="Y2438">
        <v>0</v>
      </c>
      <c r="Z2438">
        <v>0</v>
      </c>
      <c r="AA2438">
        <v>0</v>
      </c>
      <c r="AB2438" t="s">
        <v>33</v>
      </c>
      <c r="AC2438">
        <v>41.5</v>
      </c>
    </row>
    <row r="2439" spans="1:30" x14ac:dyDescent="0.25">
      <c r="A2439" s="1">
        <v>44784.81322916667</v>
      </c>
      <c r="B2439" s="1">
        <v>44784.811631944445</v>
      </c>
      <c r="C2439">
        <v>143456</v>
      </c>
      <c r="D2439" t="s">
        <v>34</v>
      </c>
      <c r="E2439" t="s">
        <v>35</v>
      </c>
      <c r="F2439">
        <v>7</v>
      </c>
      <c r="G2439">
        <v>43.08963</v>
      </c>
      <c r="H2439">
        <v>-71.502440000000007</v>
      </c>
      <c r="I2439">
        <v>619</v>
      </c>
      <c r="J2439">
        <v>78</v>
      </c>
      <c r="K2439">
        <v>0</v>
      </c>
      <c r="L2439" s="1">
        <v>44784.813217592593</v>
      </c>
      <c r="M2439">
        <v>3.7</v>
      </c>
      <c r="N2439">
        <v>3.9</v>
      </c>
      <c r="O2439">
        <v>0.2</v>
      </c>
      <c r="P2439">
        <v>5</v>
      </c>
      <c r="Q2439">
        <v>0.1</v>
      </c>
      <c r="R2439">
        <v>0.1</v>
      </c>
      <c r="S2439">
        <v>0.1</v>
      </c>
      <c r="T2439" t="s">
        <v>33</v>
      </c>
      <c r="U2439">
        <v>3.8</v>
      </c>
      <c r="V2439">
        <v>55</v>
      </c>
      <c r="W2439">
        <v>0</v>
      </c>
      <c r="X2439">
        <v>55</v>
      </c>
      <c r="Y2439">
        <v>1</v>
      </c>
      <c r="Z2439">
        <v>0</v>
      </c>
      <c r="AA2439">
        <v>1</v>
      </c>
      <c r="AB2439" t="s">
        <v>36</v>
      </c>
      <c r="AC2439">
        <v>55</v>
      </c>
      <c r="AD2439">
        <v>0.63</v>
      </c>
    </row>
    <row r="2440" spans="1:30" x14ac:dyDescent="0.25">
      <c r="A2440" s="1">
        <v>44784.813240740739</v>
      </c>
      <c r="B2440" s="1">
        <v>44784.81177083333</v>
      </c>
      <c r="C2440">
        <v>151702</v>
      </c>
      <c r="D2440" t="s">
        <v>37</v>
      </c>
      <c r="E2440" t="s">
        <v>31</v>
      </c>
      <c r="F2440">
        <v>7</v>
      </c>
      <c r="G2440">
        <v>43.118609999999997</v>
      </c>
      <c r="H2440">
        <v>-71.61618</v>
      </c>
      <c r="I2440">
        <v>885</v>
      </c>
      <c r="J2440">
        <v>0</v>
      </c>
      <c r="K2440">
        <v>0</v>
      </c>
      <c r="L2440" s="1">
        <v>44784.813217592593</v>
      </c>
      <c r="M2440">
        <v>4.3</v>
      </c>
      <c r="N2440">
        <v>4.5</v>
      </c>
      <c r="O2440">
        <v>0.2</v>
      </c>
      <c r="P2440">
        <v>5</v>
      </c>
      <c r="Q2440">
        <v>0.2</v>
      </c>
      <c r="R2440">
        <v>0.2</v>
      </c>
      <c r="S2440">
        <v>0.2</v>
      </c>
      <c r="T2440" t="s">
        <v>33</v>
      </c>
      <c r="U2440">
        <v>4.4000000000000004</v>
      </c>
      <c r="V2440">
        <v>0</v>
      </c>
      <c r="W2440">
        <v>0</v>
      </c>
      <c r="X2440">
        <v>0</v>
      </c>
      <c r="Y2440">
        <v>0</v>
      </c>
      <c r="Z2440">
        <v>0</v>
      </c>
      <c r="AA2440">
        <v>0</v>
      </c>
      <c r="AB2440" t="s">
        <v>38</v>
      </c>
    </row>
    <row r="2441" spans="1:30" x14ac:dyDescent="0.25">
      <c r="A2441" s="1">
        <v>44784.813240740739</v>
      </c>
      <c r="B2441" s="1">
        <v>44784.811678240738</v>
      </c>
      <c r="C2441">
        <v>151700</v>
      </c>
      <c r="D2441" t="s">
        <v>30</v>
      </c>
      <c r="E2441" t="s">
        <v>31</v>
      </c>
      <c r="F2441">
        <v>7</v>
      </c>
      <c r="G2441">
        <v>43.19211</v>
      </c>
      <c r="H2441">
        <v>-71.541460000000001</v>
      </c>
      <c r="I2441">
        <v>286</v>
      </c>
      <c r="J2441">
        <v>84</v>
      </c>
      <c r="K2441">
        <v>0</v>
      </c>
      <c r="L2441" s="1">
        <v>44784.813217592593</v>
      </c>
      <c r="M2441">
        <v>3</v>
      </c>
      <c r="N2441">
        <v>3.5</v>
      </c>
      <c r="O2441">
        <v>0.5</v>
      </c>
      <c r="P2441">
        <v>15</v>
      </c>
      <c r="Q2441">
        <v>0.2</v>
      </c>
      <c r="R2441">
        <v>0.1</v>
      </c>
      <c r="S2441">
        <v>0.15</v>
      </c>
      <c r="T2441" t="s">
        <v>33</v>
      </c>
      <c r="U2441">
        <v>3.25</v>
      </c>
      <c r="V2441">
        <v>46</v>
      </c>
      <c r="W2441">
        <v>0</v>
      </c>
      <c r="X2441">
        <v>46</v>
      </c>
      <c r="Y2441">
        <v>1</v>
      </c>
      <c r="Z2441">
        <v>0</v>
      </c>
      <c r="AA2441">
        <v>1</v>
      </c>
      <c r="AB2441" t="s">
        <v>36</v>
      </c>
      <c r="AC2441">
        <v>46</v>
      </c>
      <c r="AD2441">
        <v>0.92</v>
      </c>
    </row>
    <row r="2442" spans="1:30" x14ac:dyDescent="0.25">
      <c r="A2442" s="1">
        <v>44784.813252314816</v>
      </c>
      <c r="B2442" s="1">
        <v>44784.812118055554</v>
      </c>
      <c r="C2442">
        <v>135984</v>
      </c>
      <c r="D2442" t="s">
        <v>39</v>
      </c>
      <c r="E2442" t="s">
        <v>31</v>
      </c>
      <c r="F2442">
        <v>7</v>
      </c>
      <c r="G2442">
        <v>43.565852999999997</v>
      </c>
      <c r="H2442">
        <v>-71.496129999999994</v>
      </c>
      <c r="I2442">
        <v>708</v>
      </c>
      <c r="J2442">
        <v>79</v>
      </c>
      <c r="K2442">
        <v>0</v>
      </c>
      <c r="L2442" s="1">
        <v>44784.813217592593</v>
      </c>
      <c r="M2442">
        <v>4.4000000000000004</v>
      </c>
      <c r="N2442">
        <v>4.0999999999999996</v>
      </c>
      <c r="O2442">
        <v>0.3</v>
      </c>
      <c r="P2442">
        <v>7</v>
      </c>
      <c r="Q2442">
        <v>0.1</v>
      </c>
      <c r="R2442">
        <v>0.1</v>
      </c>
      <c r="S2442">
        <v>0.1</v>
      </c>
      <c r="T2442" t="s">
        <v>33</v>
      </c>
      <c r="U2442">
        <v>4.25</v>
      </c>
      <c r="V2442">
        <v>64</v>
      </c>
      <c r="W2442">
        <v>0</v>
      </c>
      <c r="X2442">
        <v>64</v>
      </c>
      <c r="Y2442">
        <v>0</v>
      </c>
      <c r="Z2442">
        <v>0</v>
      </c>
      <c r="AA2442">
        <v>0</v>
      </c>
      <c r="AB2442" t="s">
        <v>36</v>
      </c>
      <c r="AC2442">
        <v>64</v>
      </c>
      <c r="AD2442">
        <v>0.27</v>
      </c>
    </row>
    <row r="2443" spans="1:30" x14ac:dyDescent="0.25">
      <c r="A2443" s="1">
        <v>44784.813252314816</v>
      </c>
      <c r="B2443" s="1">
        <v>44780.394780092596</v>
      </c>
      <c r="C2443">
        <v>151712</v>
      </c>
      <c r="D2443" t="s">
        <v>40</v>
      </c>
      <c r="E2443" t="s">
        <v>31</v>
      </c>
      <c r="F2443">
        <v>7</v>
      </c>
      <c r="G2443">
        <v>43.289763999999998</v>
      </c>
      <c r="H2443">
        <v>-71.564260000000004</v>
      </c>
      <c r="I2443">
        <v>370</v>
      </c>
      <c r="J2443">
        <v>86</v>
      </c>
      <c r="K2443">
        <v>0</v>
      </c>
      <c r="L2443" s="1">
        <v>44784.813217592593</v>
      </c>
      <c r="M2443">
        <v>14</v>
      </c>
      <c r="N2443">
        <v>13.2</v>
      </c>
      <c r="O2443">
        <v>0.8</v>
      </c>
      <c r="P2443">
        <v>6</v>
      </c>
      <c r="Q2443">
        <v>0</v>
      </c>
      <c r="R2443">
        <v>0</v>
      </c>
      <c r="S2443">
        <v>0</v>
      </c>
      <c r="T2443" t="s">
        <v>32</v>
      </c>
      <c r="V2443">
        <v>59</v>
      </c>
      <c r="W2443">
        <v>0</v>
      </c>
      <c r="X2443">
        <v>59</v>
      </c>
      <c r="Y2443">
        <v>0</v>
      </c>
      <c r="Z2443">
        <v>0</v>
      </c>
      <c r="AA2443">
        <v>0</v>
      </c>
      <c r="AB2443" t="s">
        <v>36</v>
      </c>
      <c r="AC2443">
        <v>59</v>
      </c>
    </row>
    <row r="2444" spans="1:30" x14ac:dyDescent="0.25">
      <c r="A2444" s="1">
        <v>44784.813263888886</v>
      </c>
      <c r="B2444" s="1">
        <v>44784.811435185184</v>
      </c>
      <c r="C2444">
        <v>151710</v>
      </c>
      <c r="D2444" t="s">
        <v>41</v>
      </c>
      <c r="E2444" t="s">
        <v>31</v>
      </c>
      <c r="F2444">
        <v>7</v>
      </c>
      <c r="G2444">
        <v>43.132477000000002</v>
      </c>
      <c r="H2444">
        <v>-71.458374000000006</v>
      </c>
      <c r="I2444">
        <v>230</v>
      </c>
      <c r="J2444">
        <v>82</v>
      </c>
      <c r="K2444">
        <v>0</v>
      </c>
      <c r="L2444" s="1">
        <v>44784.813217592593</v>
      </c>
      <c r="M2444">
        <v>5.8</v>
      </c>
      <c r="N2444">
        <v>4</v>
      </c>
      <c r="O2444">
        <v>1.8</v>
      </c>
      <c r="P2444">
        <v>37</v>
      </c>
      <c r="Q2444">
        <v>0.3</v>
      </c>
      <c r="R2444">
        <v>0</v>
      </c>
      <c r="S2444">
        <v>0.15</v>
      </c>
      <c r="T2444" t="s">
        <v>33</v>
      </c>
      <c r="U2444">
        <v>4.9000000000000004</v>
      </c>
      <c r="V2444">
        <v>47</v>
      </c>
      <c r="W2444">
        <v>0</v>
      </c>
      <c r="X2444">
        <v>47</v>
      </c>
      <c r="Y2444">
        <v>1</v>
      </c>
      <c r="Z2444">
        <v>0</v>
      </c>
      <c r="AA2444">
        <v>1</v>
      </c>
      <c r="AB2444" t="s">
        <v>36</v>
      </c>
      <c r="AC2444">
        <v>47</v>
      </c>
      <c r="AD2444">
        <v>1.86</v>
      </c>
    </row>
    <row r="2445" spans="1:30" x14ac:dyDescent="0.25">
      <c r="A2445" s="1">
        <v>44784.813263888886</v>
      </c>
      <c r="B2445" s="1">
        <v>44784.8124537037</v>
      </c>
      <c r="C2445">
        <v>151706</v>
      </c>
      <c r="D2445" t="s">
        <v>42</v>
      </c>
      <c r="E2445" t="s">
        <v>31</v>
      </c>
      <c r="F2445">
        <v>7</v>
      </c>
      <c r="G2445">
        <v>43.004080000000002</v>
      </c>
      <c r="H2445">
        <v>-71.177040000000005</v>
      </c>
      <c r="I2445">
        <v>194</v>
      </c>
      <c r="J2445">
        <v>81</v>
      </c>
      <c r="K2445">
        <v>0</v>
      </c>
      <c r="L2445" s="1">
        <v>44784.813217592593</v>
      </c>
      <c r="M2445">
        <v>10.8</v>
      </c>
      <c r="N2445">
        <v>0</v>
      </c>
      <c r="O2445">
        <v>10.8</v>
      </c>
      <c r="P2445">
        <v>200</v>
      </c>
      <c r="Q2445">
        <v>0.3</v>
      </c>
      <c r="R2445">
        <v>0</v>
      </c>
      <c r="S2445">
        <v>0.15</v>
      </c>
      <c r="T2445" t="s">
        <v>43</v>
      </c>
      <c r="V2445">
        <v>58</v>
      </c>
      <c r="W2445">
        <v>0</v>
      </c>
      <c r="X2445">
        <v>58</v>
      </c>
      <c r="Y2445">
        <v>1</v>
      </c>
      <c r="Z2445">
        <v>0</v>
      </c>
      <c r="AA2445">
        <v>1</v>
      </c>
      <c r="AB2445" t="s">
        <v>36</v>
      </c>
      <c r="AC2445">
        <v>58</v>
      </c>
    </row>
    <row r="2446" spans="1:30" x14ac:dyDescent="0.25">
      <c r="A2446" s="1">
        <v>44784.813275462962</v>
      </c>
      <c r="B2446" s="1">
        <v>44784.812268518515</v>
      </c>
      <c r="C2446">
        <v>12212</v>
      </c>
      <c r="D2446" t="s">
        <v>44</v>
      </c>
      <c r="E2446" t="s">
        <v>35</v>
      </c>
      <c r="F2446">
        <v>7</v>
      </c>
      <c r="G2446">
        <v>42.930529999999997</v>
      </c>
      <c r="H2446">
        <v>-72.272350000000003</v>
      </c>
      <c r="I2446">
        <v>476</v>
      </c>
      <c r="J2446">
        <v>88</v>
      </c>
      <c r="K2446">
        <v>0</v>
      </c>
      <c r="L2446" s="1">
        <v>44784.813217592593</v>
      </c>
      <c r="M2446">
        <v>7.2</v>
      </c>
      <c r="N2446">
        <v>6.5</v>
      </c>
      <c r="O2446">
        <v>0.7</v>
      </c>
      <c r="P2446">
        <v>10</v>
      </c>
      <c r="Q2446">
        <v>0.1</v>
      </c>
      <c r="R2446">
        <v>0.1</v>
      </c>
      <c r="S2446">
        <v>0.1</v>
      </c>
      <c r="T2446" t="s">
        <v>33</v>
      </c>
      <c r="U2446">
        <v>6.85</v>
      </c>
      <c r="V2446">
        <v>37</v>
      </c>
      <c r="W2446">
        <v>0</v>
      </c>
      <c r="X2446">
        <v>37</v>
      </c>
      <c r="Y2446">
        <v>1</v>
      </c>
      <c r="Z2446">
        <v>0</v>
      </c>
      <c r="AA2446">
        <v>1</v>
      </c>
      <c r="AB2446" t="s">
        <v>36</v>
      </c>
      <c r="AC2446">
        <v>37</v>
      </c>
      <c r="AD2446">
        <v>3.75</v>
      </c>
    </row>
    <row r="2447" spans="1:30" x14ac:dyDescent="0.25">
      <c r="A2447" s="1">
        <v>44784.813275462962</v>
      </c>
      <c r="B2447" s="1">
        <v>44769.376736111109</v>
      </c>
      <c r="C2447">
        <v>12178</v>
      </c>
      <c r="D2447" t="s">
        <v>45</v>
      </c>
      <c r="E2447" t="s">
        <v>35</v>
      </c>
      <c r="F2447">
        <v>7</v>
      </c>
      <c r="G2447">
        <v>42.899563000000001</v>
      </c>
      <c r="H2447">
        <v>-71.464650000000006</v>
      </c>
      <c r="I2447">
        <v>301</v>
      </c>
      <c r="J2447">
        <v>85</v>
      </c>
      <c r="K2447">
        <v>0</v>
      </c>
      <c r="L2447" s="1">
        <v>44784.813217592593</v>
      </c>
      <c r="M2447">
        <v>3.8</v>
      </c>
      <c r="N2447">
        <v>3.1</v>
      </c>
      <c r="O2447">
        <v>0.7</v>
      </c>
      <c r="P2447">
        <v>20</v>
      </c>
      <c r="Q2447">
        <v>0</v>
      </c>
      <c r="R2447">
        <v>0</v>
      </c>
      <c r="S2447">
        <v>0</v>
      </c>
      <c r="T2447" t="s">
        <v>32</v>
      </c>
      <c r="V2447">
        <v>35</v>
      </c>
      <c r="W2447">
        <v>0</v>
      </c>
      <c r="X2447">
        <v>35</v>
      </c>
      <c r="Y2447">
        <v>0</v>
      </c>
      <c r="Z2447">
        <v>0</v>
      </c>
      <c r="AA2447">
        <v>0</v>
      </c>
      <c r="AB2447" t="s">
        <v>36</v>
      </c>
      <c r="AC2447">
        <v>35</v>
      </c>
    </row>
    <row r="2448" spans="1:30" x14ac:dyDescent="0.25">
      <c r="A2448" s="1">
        <v>44784.813275462962</v>
      </c>
      <c r="B2448" s="1">
        <v>44784.812916666669</v>
      </c>
      <c r="C2448">
        <v>75981</v>
      </c>
      <c r="D2448" t="s">
        <v>46</v>
      </c>
      <c r="E2448" t="s">
        <v>35</v>
      </c>
      <c r="F2448">
        <v>7</v>
      </c>
      <c r="G2448">
        <v>42.97</v>
      </c>
      <c r="H2448">
        <v>-71.06</v>
      </c>
      <c r="I2448">
        <v>136</v>
      </c>
      <c r="J2448">
        <v>86</v>
      </c>
      <c r="K2448">
        <v>0</v>
      </c>
      <c r="L2448" s="1">
        <v>44784.813217592593</v>
      </c>
      <c r="M2448">
        <v>11</v>
      </c>
      <c r="N2448">
        <v>10.3</v>
      </c>
      <c r="O2448">
        <v>0.7</v>
      </c>
      <c r="P2448">
        <v>7</v>
      </c>
      <c r="Q2448">
        <v>0.4</v>
      </c>
      <c r="R2448">
        <v>0.3</v>
      </c>
      <c r="S2448">
        <v>0.35</v>
      </c>
      <c r="T2448" t="s">
        <v>33</v>
      </c>
      <c r="U2448">
        <v>10.65</v>
      </c>
      <c r="V2448">
        <v>51</v>
      </c>
      <c r="W2448">
        <v>0</v>
      </c>
      <c r="X2448">
        <v>51</v>
      </c>
      <c r="Y2448">
        <v>1</v>
      </c>
      <c r="Z2448">
        <v>0</v>
      </c>
      <c r="AA2448">
        <v>1</v>
      </c>
      <c r="AB2448" t="s">
        <v>36</v>
      </c>
      <c r="AC2448">
        <v>51</v>
      </c>
      <c r="AD2448">
        <v>5.09</v>
      </c>
    </row>
    <row r="2449" spans="1:30" x14ac:dyDescent="0.25">
      <c r="A2449" s="1">
        <v>44784.813287037039</v>
      </c>
      <c r="B2449" s="1">
        <v>44784.812071759261</v>
      </c>
      <c r="C2449">
        <v>115703</v>
      </c>
      <c r="D2449" t="s">
        <v>47</v>
      </c>
      <c r="E2449" t="s">
        <v>35</v>
      </c>
      <c r="F2449">
        <v>7</v>
      </c>
      <c r="G2449">
        <v>43.953625000000002</v>
      </c>
      <c r="H2449">
        <v>-71.508859999999999</v>
      </c>
      <c r="I2449">
        <v>1493</v>
      </c>
      <c r="J2449">
        <v>80</v>
      </c>
      <c r="K2449">
        <v>0</v>
      </c>
      <c r="L2449" s="1">
        <v>44784.813217592593</v>
      </c>
      <c r="M2449">
        <v>0.6</v>
      </c>
      <c r="N2449">
        <v>41.1</v>
      </c>
      <c r="O2449">
        <v>40.5</v>
      </c>
      <c r="P2449">
        <v>194</v>
      </c>
      <c r="Q2449">
        <v>0.1</v>
      </c>
      <c r="R2449">
        <v>0</v>
      </c>
      <c r="S2449">
        <v>0.05</v>
      </c>
      <c r="T2449" t="s">
        <v>60</v>
      </c>
      <c r="V2449">
        <v>44</v>
      </c>
      <c r="W2449">
        <v>0</v>
      </c>
      <c r="X2449">
        <v>44</v>
      </c>
      <c r="Y2449">
        <v>1</v>
      </c>
      <c r="Z2449">
        <v>0</v>
      </c>
      <c r="AA2449">
        <v>1</v>
      </c>
      <c r="AB2449" t="s">
        <v>36</v>
      </c>
      <c r="AC2449">
        <v>44</v>
      </c>
    </row>
    <row r="2450" spans="1:30" x14ac:dyDescent="0.25">
      <c r="A2450" s="1">
        <v>44784.813287037039</v>
      </c>
      <c r="B2450" s="1">
        <v>44784.81287037037</v>
      </c>
      <c r="C2450">
        <v>12050</v>
      </c>
      <c r="D2450" t="s">
        <v>49</v>
      </c>
      <c r="E2450" t="s">
        <v>35</v>
      </c>
      <c r="F2450">
        <v>7</v>
      </c>
      <c r="G2450">
        <v>44.220573000000002</v>
      </c>
      <c r="H2450">
        <v>-71.732315</v>
      </c>
      <c r="I2450">
        <v>999</v>
      </c>
      <c r="J2450">
        <v>78</v>
      </c>
      <c r="K2450">
        <v>0</v>
      </c>
      <c r="L2450" s="1">
        <v>44784.813217592593</v>
      </c>
      <c r="M2450">
        <v>5.5</v>
      </c>
      <c r="N2450">
        <v>5</v>
      </c>
      <c r="O2450">
        <v>0.5</v>
      </c>
      <c r="P2450">
        <v>10</v>
      </c>
      <c r="Q2450">
        <v>0.2</v>
      </c>
      <c r="R2450">
        <v>0</v>
      </c>
      <c r="S2450">
        <v>0.1</v>
      </c>
      <c r="T2450" t="s">
        <v>33</v>
      </c>
      <c r="U2450">
        <v>5.25</v>
      </c>
      <c r="V2450">
        <v>54</v>
      </c>
      <c r="W2450">
        <v>0</v>
      </c>
      <c r="X2450">
        <v>54</v>
      </c>
      <c r="Y2450">
        <v>3</v>
      </c>
      <c r="Z2450">
        <v>0</v>
      </c>
      <c r="AA2450">
        <v>3</v>
      </c>
      <c r="AB2450" t="s">
        <v>36</v>
      </c>
      <c r="AC2450">
        <v>54</v>
      </c>
      <c r="AD2450">
        <v>1.58</v>
      </c>
    </row>
    <row r="2451" spans="1:30" x14ac:dyDescent="0.25">
      <c r="A2451" s="1">
        <v>44784.813298611109</v>
      </c>
      <c r="B2451" s="1">
        <v>44784.812986111108</v>
      </c>
      <c r="C2451">
        <v>23443</v>
      </c>
      <c r="D2451" t="s">
        <v>50</v>
      </c>
      <c r="E2451" t="s">
        <v>35</v>
      </c>
      <c r="F2451">
        <v>7</v>
      </c>
      <c r="G2451">
        <v>43.556139999999999</v>
      </c>
      <c r="H2451">
        <v>-72.370990000000006</v>
      </c>
      <c r="I2451">
        <v>523</v>
      </c>
      <c r="J2451">
        <v>76</v>
      </c>
      <c r="K2451">
        <v>0</v>
      </c>
      <c r="L2451" s="1">
        <v>44784.813217592593</v>
      </c>
      <c r="M2451">
        <v>6.1</v>
      </c>
      <c r="N2451">
        <v>5.3</v>
      </c>
      <c r="O2451">
        <v>0.8</v>
      </c>
      <c r="P2451">
        <v>14</v>
      </c>
      <c r="Q2451">
        <v>0.6</v>
      </c>
      <c r="R2451">
        <v>0.1</v>
      </c>
      <c r="S2451">
        <v>0.35</v>
      </c>
      <c r="T2451" t="s">
        <v>33</v>
      </c>
      <c r="U2451">
        <v>5.7</v>
      </c>
      <c r="V2451">
        <v>64</v>
      </c>
      <c r="W2451">
        <v>0</v>
      </c>
      <c r="X2451">
        <v>64</v>
      </c>
      <c r="Y2451">
        <v>2</v>
      </c>
      <c r="Z2451">
        <v>0</v>
      </c>
      <c r="AA2451">
        <v>2</v>
      </c>
      <c r="AB2451" t="s">
        <v>36</v>
      </c>
      <c r="AC2451">
        <v>64</v>
      </c>
      <c r="AD2451">
        <v>1.1599999999999999</v>
      </c>
    </row>
    <row r="2452" spans="1:30" x14ac:dyDescent="0.25">
      <c r="A2452" s="1">
        <v>44784.813298611109</v>
      </c>
      <c r="B2452" s="1">
        <v>44784.813101851854</v>
      </c>
      <c r="C2452">
        <v>58135</v>
      </c>
      <c r="D2452" t="s">
        <v>51</v>
      </c>
      <c r="E2452" t="s">
        <v>35</v>
      </c>
      <c r="F2452">
        <v>7</v>
      </c>
      <c r="G2452">
        <v>42.883873000000001</v>
      </c>
      <c r="H2452">
        <v>-71.972915999999998</v>
      </c>
      <c r="I2452">
        <v>808</v>
      </c>
      <c r="J2452">
        <v>78</v>
      </c>
      <c r="K2452">
        <v>0</v>
      </c>
      <c r="L2452" s="1">
        <v>44784.813217592593</v>
      </c>
      <c r="M2452">
        <v>5.5</v>
      </c>
      <c r="N2452">
        <v>4</v>
      </c>
      <c r="O2452">
        <v>1.5</v>
      </c>
      <c r="P2452">
        <v>32</v>
      </c>
      <c r="Q2452">
        <v>0</v>
      </c>
      <c r="R2452">
        <v>0.2</v>
      </c>
      <c r="S2452">
        <v>0.1</v>
      </c>
      <c r="T2452" t="s">
        <v>33</v>
      </c>
      <c r="U2452">
        <v>4.75</v>
      </c>
      <c r="V2452">
        <v>58</v>
      </c>
      <c r="W2452">
        <v>0</v>
      </c>
      <c r="X2452">
        <v>58</v>
      </c>
      <c r="Y2452">
        <v>0</v>
      </c>
      <c r="Z2452">
        <v>0</v>
      </c>
      <c r="AA2452">
        <v>0</v>
      </c>
      <c r="AB2452" t="s">
        <v>36</v>
      </c>
      <c r="AC2452">
        <v>58</v>
      </c>
      <c r="AD2452">
        <v>1</v>
      </c>
    </row>
    <row r="2453" spans="1:30" x14ac:dyDescent="0.25">
      <c r="A2453" s="1">
        <v>44784.813310185185</v>
      </c>
      <c r="B2453" s="1">
        <v>44784.813090277778</v>
      </c>
      <c r="C2453">
        <v>148555</v>
      </c>
      <c r="D2453" t="s">
        <v>52</v>
      </c>
      <c r="E2453" t="s">
        <v>53</v>
      </c>
      <c r="F2453">
        <v>7</v>
      </c>
      <c r="G2453">
        <v>42.904949999999999</v>
      </c>
      <c r="H2453">
        <v>-71.386764999999997</v>
      </c>
      <c r="I2453">
        <v>363</v>
      </c>
      <c r="J2453">
        <v>0</v>
      </c>
      <c r="K2453">
        <v>0</v>
      </c>
      <c r="L2453" s="1">
        <v>44784.813217592593</v>
      </c>
      <c r="M2453">
        <v>1.9</v>
      </c>
      <c r="N2453">
        <v>2.4</v>
      </c>
      <c r="O2453">
        <v>0.5</v>
      </c>
      <c r="P2453">
        <v>23</v>
      </c>
      <c r="Q2453">
        <v>0</v>
      </c>
      <c r="R2453">
        <v>0</v>
      </c>
      <c r="S2453">
        <v>0</v>
      </c>
      <c r="T2453" t="s">
        <v>33</v>
      </c>
      <c r="U2453">
        <v>2.15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 t="s">
        <v>38</v>
      </c>
    </row>
    <row r="2454" spans="1:30" x14ac:dyDescent="0.25">
      <c r="A2454" s="1">
        <v>44784.813310185185</v>
      </c>
      <c r="B2454" s="1">
        <v>44784.812581018516</v>
      </c>
      <c r="C2454">
        <v>146644</v>
      </c>
      <c r="D2454" t="s">
        <v>54</v>
      </c>
      <c r="E2454" t="s">
        <v>53</v>
      </c>
      <c r="F2454">
        <v>7</v>
      </c>
      <c r="G2454">
        <v>43.06015</v>
      </c>
      <c r="H2454">
        <v>-70.758930000000007</v>
      </c>
      <c r="I2454">
        <v>35</v>
      </c>
      <c r="J2454">
        <v>72</v>
      </c>
      <c r="K2454">
        <v>74</v>
      </c>
      <c r="L2454" s="1">
        <v>44784.813217592593</v>
      </c>
      <c r="M2454">
        <v>11.1</v>
      </c>
      <c r="N2454">
        <v>10.199999999999999</v>
      </c>
      <c r="O2454">
        <v>0.9</v>
      </c>
      <c r="P2454">
        <v>8</v>
      </c>
      <c r="Q2454">
        <v>0.4</v>
      </c>
      <c r="R2454">
        <v>0.1</v>
      </c>
      <c r="S2454">
        <v>0.25</v>
      </c>
      <c r="T2454" t="s">
        <v>33</v>
      </c>
      <c r="U2454">
        <v>10.65</v>
      </c>
      <c r="V2454">
        <v>67</v>
      </c>
      <c r="W2454">
        <v>72</v>
      </c>
      <c r="X2454">
        <v>5</v>
      </c>
      <c r="Y2454">
        <v>1</v>
      </c>
      <c r="Z2454">
        <v>1</v>
      </c>
      <c r="AA2454">
        <v>0</v>
      </c>
      <c r="AB2454" t="s">
        <v>33</v>
      </c>
      <c r="AC2454">
        <v>69.5</v>
      </c>
      <c r="AD2454">
        <v>3.79</v>
      </c>
    </row>
    <row r="2455" spans="1:30" x14ac:dyDescent="0.25">
      <c r="A2455" s="1">
        <v>44784.813310185185</v>
      </c>
      <c r="B2455" s="1">
        <v>43755.283437500002</v>
      </c>
      <c r="C2455">
        <v>12188</v>
      </c>
      <c r="D2455" t="s">
        <v>55</v>
      </c>
      <c r="E2455" t="s">
        <v>35</v>
      </c>
      <c r="F2455">
        <v>4.1100000000000003</v>
      </c>
      <c r="G2455">
        <v>42.927050000000001</v>
      </c>
      <c r="H2455">
        <v>-72.279610000000005</v>
      </c>
      <c r="I2455">
        <v>475</v>
      </c>
      <c r="J2455">
        <v>95</v>
      </c>
      <c r="K2455">
        <v>0</v>
      </c>
      <c r="L2455" s="1">
        <v>44784.813217592593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 t="s">
        <v>32</v>
      </c>
      <c r="V2455">
        <v>77</v>
      </c>
      <c r="W2455">
        <v>0</v>
      </c>
      <c r="X2455">
        <v>77</v>
      </c>
      <c r="Y2455">
        <v>0</v>
      </c>
      <c r="Z2455">
        <v>0</v>
      </c>
      <c r="AA2455">
        <v>0</v>
      </c>
      <c r="AB2455" t="s">
        <v>36</v>
      </c>
      <c r="AC2455">
        <v>77</v>
      </c>
    </row>
    <row r="2456" spans="1:30" x14ac:dyDescent="0.25">
      <c r="A2456" s="1">
        <v>44784.813321759262</v>
      </c>
      <c r="B2456" s="1">
        <v>44784.812974537039</v>
      </c>
      <c r="C2456">
        <v>1224</v>
      </c>
      <c r="D2456" t="s">
        <v>56</v>
      </c>
      <c r="E2456" t="s">
        <v>35</v>
      </c>
      <c r="F2456" t="s">
        <v>57</v>
      </c>
      <c r="G2456">
        <v>42.938034000000002</v>
      </c>
      <c r="H2456">
        <v>-72.259299999999996</v>
      </c>
      <c r="I2456">
        <v>792</v>
      </c>
      <c r="J2456">
        <v>87</v>
      </c>
      <c r="K2456">
        <v>0</v>
      </c>
      <c r="L2456" s="1">
        <v>44784.813217592593</v>
      </c>
      <c r="M2456">
        <v>7.1</v>
      </c>
      <c r="N2456">
        <v>0</v>
      </c>
      <c r="O2456">
        <v>7.1</v>
      </c>
      <c r="P2456">
        <v>200</v>
      </c>
      <c r="Q2456">
        <v>0.1</v>
      </c>
      <c r="R2456">
        <v>0.1</v>
      </c>
      <c r="S2456">
        <v>0.1</v>
      </c>
      <c r="T2456" t="s">
        <v>43</v>
      </c>
      <c r="V2456">
        <v>45</v>
      </c>
      <c r="W2456">
        <v>0</v>
      </c>
      <c r="X2456">
        <v>45</v>
      </c>
      <c r="Y2456">
        <v>0</v>
      </c>
      <c r="Z2456">
        <v>0</v>
      </c>
      <c r="AA2456">
        <v>0</v>
      </c>
      <c r="AB2456" t="s">
        <v>36</v>
      </c>
      <c r="AC2456">
        <v>45</v>
      </c>
    </row>
    <row r="2457" spans="1:30" x14ac:dyDescent="0.25">
      <c r="A2457" s="1">
        <v>44784.813321759262</v>
      </c>
      <c r="B2457" s="1">
        <v>44784.812430555554</v>
      </c>
      <c r="C2457">
        <v>1202</v>
      </c>
      <c r="D2457" t="s">
        <v>58</v>
      </c>
      <c r="E2457" t="s">
        <v>35</v>
      </c>
      <c r="F2457" t="s">
        <v>57</v>
      </c>
      <c r="G2457">
        <v>42.936554000000001</v>
      </c>
      <c r="H2457">
        <v>-72.271019999999993</v>
      </c>
      <c r="I2457">
        <v>488</v>
      </c>
      <c r="J2457">
        <v>0</v>
      </c>
      <c r="K2457">
        <v>0</v>
      </c>
      <c r="L2457" s="1">
        <v>44784.813217592593</v>
      </c>
      <c r="M2457">
        <v>8</v>
      </c>
      <c r="N2457">
        <v>7.3</v>
      </c>
      <c r="O2457">
        <v>0.7</v>
      </c>
      <c r="P2457">
        <v>9</v>
      </c>
      <c r="Q2457">
        <v>0</v>
      </c>
      <c r="R2457">
        <v>0.1</v>
      </c>
      <c r="S2457">
        <v>0.05</v>
      </c>
      <c r="T2457" t="s">
        <v>33</v>
      </c>
      <c r="U2457">
        <v>7.65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 t="s">
        <v>38</v>
      </c>
    </row>
    <row r="2458" spans="1:30" x14ac:dyDescent="0.25">
      <c r="A2458" s="1">
        <v>44784.813333333332</v>
      </c>
      <c r="B2458" s="1">
        <v>44612.080023148148</v>
      </c>
      <c r="C2458">
        <v>25985</v>
      </c>
      <c r="D2458" t="s">
        <v>59</v>
      </c>
      <c r="E2458" t="s">
        <v>35</v>
      </c>
      <c r="F2458">
        <v>6.01</v>
      </c>
      <c r="G2458">
        <v>42.927326000000001</v>
      </c>
      <c r="H2458">
        <v>-72.279979999999995</v>
      </c>
      <c r="I2458">
        <v>477</v>
      </c>
      <c r="J2458">
        <v>78</v>
      </c>
      <c r="K2458">
        <v>0</v>
      </c>
      <c r="L2458" s="1">
        <v>44784.813217592593</v>
      </c>
      <c r="M2458">
        <v>1.1000000000000001</v>
      </c>
      <c r="N2458">
        <v>1</v>
      </c>
      <c r="O2458">
        <v>0.1</v>
      </c>
      <c r="P2458">
        <v>10</v>
      </c>
      <c r="Q2458">
        <v>0</v>
      </c>
      <c r="R2458">
        <v>0</v>
      </c>
      <c r="S2458">
        <v>0</v>
      </c>
      <c r="T2458" t="s">
        <v>32</v>
      </c>
      <c r="V2458">
        <v>22</v>
      </c>
      <c r="W2458">
        <v>0</v>
      </c>
      <c r="X2458">
        <v>22</v>
      </c>
      <c r="Y2458">
        <v>0</v>
      </c>
      <c r="Z2458">
        <v>0</v>
      </c>
      <c r="AA2458">
        <v>0</v>
      </c>
      <c r="AB2458" t="s">
        <v>36</v>
      </c>
      <c r="AC2458">
        <v>22</v>
      </c>
    </row>
    <row r="2459" spans="1:30" x14ac:dyDescent="0.25">
      <c r="A2459" s="1">
        <v>44784.820173611108</v>
      </c>
      <c r="B2459" s="1">
        <v>44775.701319444444</v>
      </c>
      <c r="C2459">
        <v>151708</v>
      </c>
      <c r="D2459" t="s">
        <v>30</v>
      </c>
      <c r="E2459" t="s">
        <v>31</v>
      </c>
      <c r="F2459">
        <v>7</v>
      </c>
      <c r="G2459">
        <v>43.192042999999998</v>
      </c>
      <c r="H2459">
        <v>-71.541579999999996</v>
      </c>
      <c r="I2459">
        <v>291</v>
      </c>
      <c r="J2459">
        <v>93</v>
      </c>
      <c r="K2459">
        <v>94</v>
      </c>
      <c r="L2459" s="1">
        <v>44784.820162037038</v>
      </c>
      <c r="M2459">
        <v>7.9</v>
      </c>
      <c r="N2459">
        <v>7.6</v>
      </c>
      <c r="O2459">
        <v>0.3</v>
      </c>
      <c r="P2459">
        <v>4</v>
      </c>
      <c r="Q2459">
        <v>0</v>
      </c>
      <c r="R2459">
        <v>0</v>
      </c>
      <c r="S2459">
        <v>0</v>
      </c>
      <c r="T2459" t="s">
        <v>32</v>
      </c>
      <c r="V2459">
        <v>42</v>
      </c>
      <c r="W2459">
        <v>41</v>
      </c>
      <c r="X2459">
        <v>1</v>
      </c>
      <c r="Y2459">
        <v>0</v>
      </c>
      <c r="Z2459">
        <v>0</v>
      </c>
      <c r="AA2459">
        <v>0</v>
      </c>
      <c r="AB2459" t="s">
        <v>33</v>
      </c>
      <c r="AC2459">
        <v>41.5</v>
      </c>
    </row>
    <row r="2460" spans="1:30" x14ac:dyDescent="0.25">
      <c r="A2460" s="1">
        <v>44784.820173611108</v>
      </c>
      <c r="B2460" s="1">
        <v>44784.818576388891</v>
      </c>
      <c r="C2460">
        <v>143456</v>
      </c>
      <c r="D2460" t="s">
        <v>34</v>
      </c>
      <c r="E2460" t="s">
        <v>35</v>
      </c>
      <c r="F2460">
        <v>7</v>
      </c>
      <c r="G2460">
        <v>43.08963</v>
      </c>
      <c r="H2460">
        <v>-71.502440000000007</v>
      </c>
      <c r="I2460">
        <v>619</v>
      </c>
      <c r="J2460">
        <v>78</v>
      </c>
      <c r="K2460">
        <v>0</v>
      </c>
      <c r="L2460" s="1">
        <v>44784.820162037038</v>
      </c>
      <c r="M2460">
        <v>3.6</v>
      </c>
      <c r="N2460">
        <v>4</v>
      </c>
      <c r="O2460">
        <v>0.4</v>
      </c>
      <c r="P2460">
        <v>11</v>
      </c>
      <c r="Q2460">
        <v>0.1</v>
      </c>
      <c r="R2460">
        <v>0.1</v>
      </c>
      <c r="S2460">
        <v>0.1</v>
      </c>
      <c r="T2460" t="s">
        <v>33</v>
      </c>
      <c r="U2460">
        <v>3.8</v>
      </c>
      <c r="V2460">
        <v>56</v>
      </c>
      <c r="W2460">
        <v>0</v>
      </c>
      <c r="X2460">
        <v>56</v>
      </c>
      <c r="Y2460">
        <v>1</v>
      </c>
      <c r="Z2460">
        <v>0</v>
      </c>
      <c r="AA2460">
        <v>1</v>
      </c>
      <c r="AB2460" t="s">
        <v>36</v>
      </c>
      <c r="AC2460">
        <v>56</v>
      </c>
      <c r="AD2460">
        <v>0.56000000000000005</v>
      </c>
    </row>
    <row r="2461" spans="1:30" x14ac:dyDescent="0.25">
      <c r="A2461" s="1">
        <v>44784.820173611108</v>
      </c>
      <c r="B2461" s="1">
        <v>44784.820104166669</v>
      </c>
      <c r="C2461">
        <v>151702</v>
      </c>
      <c r="D2461" t="s">
        <v>37</v>
      </c>
      <c r="E2461" t="s">
        <v>31</v>
      </c>
      <c r="F2461">
        <v>7</v>
      </c>
      <c r="G2461">
        <v>43.118609999999997</v>
      </c>
      <c r="H2461">
        <v>-71.61618</v>
      </c>
      <c r="I2461">
        <v>885</v>
      </c>
      <c r="J2461">
        <v>0</v>
      </c>
      <c r="K2461">
        <v>0</v>
      </c>
      <c r="L2461" s="1">
        <v>44784.820162037038</v>
      </c>
      <c r="M2461">
        <v>4.3</v>
      </c>
      <c r="N2461">
        <v>4.2</v>
      </c>
      <c r="O2461">
        <v>0.1</v>
      </c>
      <c r="P2461">
        <v>2</v>
      </c>
      <c r="Q2461">
        <v>0</v>
      </c>
      <c r="R2461">
        <v>0.3</v>
      </c>
      <c r="S2461">
        <v>0.15</v>
      </c>
      <c r="T2461" t="s">
        <v>33</v>
      </c>
      <c r="U2461">
        <v>4.25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 t="s">
        <v>38</v>
      </c>
    </row>
    <row r="2462" spans="1:30" x14ac:dyDescent="0.25">
      <c r="A2462" s="1">
        <v>44784.820185185185</v>
      </c>
      <c r="B2462" s="1">
        <v>44784.820011574076</v>
      </c>
      <c r="C2462">
        <v>151700</v>
      </c>
      <c r="D2462" t="s">
        <v>30</v>
      </c>
      <c r="E2462" t="s">
        <v>31</v>
      </c>
      <c r="F2462">
        <v>7</v>
      </c>
      <c r="G2462">
        <v>43.19211</v>
      </c>
      <c r="H2462">
        <v>-71.541460000000001</v>
      </c>
      <c r="I2462">
        <v>286</v>
      </c>
      <c r="J2462">
        <v>83</v>
      </c>
      <c r="K2462">
        <v>0</v>
      </c>
      <c r="L2462" s="1">
        <v>44784.820162037038</v>
      </c>
      <c r="M2462">
        <v>3.4</v>
      </c>
      <c r="N2462">
        <v>4</v>
      </c>
      <c r="O2462">
        <v>0.6</v>
      </c>
      <c r="P2462">
        <v>16</v>
      </c>
      <c r="Q2462">
        <v>0.4</v>
      </c>
      <c r="R2462">
        <v>0.5</v>
      </c>
      <c r="S2462">
        <v>0.45</v>
      </c>
      <c r="T2462" t="s">
        <v>33</v>
      </c>
      <c r="U2462">
        <v>3.7</v>
      </c>
      <c r="V2462">
        <v>47</v>
      </c>
      <c r="W2462">
        <v>0</v>
      </c>
      <c r="X2462">
        <v>47</v>
      </c>
      <c r="Y2462">
        <v>1</v>
      </c>
      <c r="Z2462">
        <v>0</v>
      </c>
      <c r="AA2462">
        <v>1</v>
      </c>
      <c r="AB2462" t="s">
        <v>36</v>
      </c>
      <c r="AC2462">
        <v>47</v>
      </c>
      <c r="AD2462">
        <v>1.1299999999999999</v>
      </c>
    </row>
    <row r="2463" spans="1:30" x14ac:dyDescent="0.25">
      <c r="A2463" s="1">
        <v>44784.820185185185</v>
      </c>
      <c r="B2463" s="1">
        <v>44784.819062499999</v>
      </c>
      <c r="C2463">
        <v>135984</v>
      </c>
      <c r="D2463" t="s">
        <v>39</v>
      </c>
      <c r="E2463" t="s">
        <v>31</v>
      </c>
      <c r="F2463">
        <v>7</v>
      </c>
      <c r="G2463">
        <v>43.565852999999997</v>
      </c>
      <c r="H2463">
        <v>-71.496129999999994</v>
      </c>
      <c r="I2463">
        <v>708</v>
      </c>
      <c r="J2463">
        <v>79</v>
      </c>
      <c r="K2463">
        <v>0</v>
      </c>
      <c r="L2463" s="1">
        <v>44784.820162037038</v>
      </c>
      <c r="M2463">
        <v>4.3</v>
      </c>
      <c r="N2463">
        <v>4</v>
      </c>
      <c r="O2463">
        <v>0.3</v>
      </c>
      <c r="P2463">
        <v>7</v>
      </c>
      <c r="Q2463">
        <v>0.1</v>
      </c>
      <c r="R2463">
        <v>0.1</v>
      </c>
      <c r="S2463">
        <v>0.1</v>
      </c>
      <c r="T2463" t="s">
        <v>33</v>
      </c>
      <c r="U2463">
        <v>4.1500000000000004</v>
      </c>
      <c r="V2463">
        <v>66</v>
      </c>
      <c r="W2463">
        <v>0</v>
      </c>
      <c r="X2463">
        <v>66</v>
      </c>
      <c r="Y2463">
        <v>2</v>
      </c>
      <c r="Z2463">
        <v>0</v>
      </c>
      <c r="AA2463">
        <v>2</v>
      </c>
      <c r="AB2463" t="s">
        <v>36</v>
      </c>
      <c r="AC2463">
        <v>66</v>
      </c>
      <c r="AD2463">
        <v>7.0000000000000007E-2</v>
      </c>
    </row>
    <row r="2464" spans="1:30" x14ac:dyDescent="0.25">
      <c r="A2464" s="1">
        <v>44784.820196759261</v>
      </c>
      <c r="B2464" s="1">
        <v>44780.394780092596</v>
      </c>
      <c r="C2464">
        <v>151712</v>
      </c>
      <c r="D2464" t="s">
        <v>40</v>
      </c>
      <c r="E2464" t="s">
        <v>31</v>
      </c>
      <c r="F2464">
        <v>7</v>
      </c>
      <c r="G2464">
        <v>43.289763999999998</v>
      </c>
      <c r="H2464">
        <v>-71.564260000000004</v>
      </c>
      <c r="I2464">
        <v>370</v>
      </c>
      <c r="J2464">
        <v>86</v>
      </c>
      <c r="K2464">
        <v>0</v>
      </c>
      <c r="L2464" s="1">
        <v>44784.820162037038</v>
      </c>
      <c r="M2464">
        <v>14</v>
      </c>
      <c r="N2464">
        <v>13.2</v>
      </c>
      <c r="O2464">
        <v>0.8</v>
      </c>
      <c r="P2464">
        <v>6</v>
      </c>
      <c r="Q2464">
        <v>0</v>
      </c>
      <c r="R2464">
        <v>0</v>
      </c>
      <c r="S2464">
        <v>0</v>
      </c>
      <c r="T2464" t="s">
        <v>32</v>
      </c>
      <c r="V2464">
        <v>59</v>
      </c>
      <c r="W2464">
        <v>0</v>
      </c>
      <c r="X2464">
        <v>59</v>
      </c>
      <c r="Y2464">
        <v>0</v>
      </c>
      <c r="Z2464">
        <v>0</v>
      </c>
      <c r="AA2464">
        <v>0</v>
      </c>
      <c r="AB2464" t="s">
        <v>36</v>
      </c>
      <c r="AC2464">
        <v>59</v>
      </c>
    </row>
    <row r="2465" spans="1:30" x14ac:dyDescent="0.25">
      <c r="A2465" s="1">
        <v>44784.820196759261</v>
      </c>
      <c r="B2465" s="1">
        <v>44784.819768518515</v>
      </c>
      <c r="C2465">
        <v>151710</v>
      </c>
      <c r="D2465" t="s">
        <v>41</v>
      </c>
      <c r="E2465" t="s">
        <v>31</v>
      </c>
      <c r="F2465">
        <v>7</v>
      </c>
      <c r="G2465">
        <v>43.132477000000002</v>
      </c>
      <c r="H2465">
        <v>-71.458374000000006</v>
      </c>
      <c r="I2465">
        <v>230</v>
      </c>
      <c r="J2465">
        <v>81</v>
      </c>
      <c r="K2465">
        <v>0</v>
      </c>
      <c r="L2465" s="1">
        <v>44784.820162037038</v>
      </c>
      <c r="M2465">
        <v>5.9</v>
      </c>
      <c r="N2465">
        <v>4.0999999999999996</v>
      </c>
      <c r="O2465">
        <v>1.8</v>
      </c>
      <c r="P2465">
        <v>36</v>
      </c>
      <c r="Q2465">
        <v>0.1</v>
      </c>
      <c r="R2465">
        <v>0.1</v>
      </c>
      <c r="S2465">
        <v>0.1</v>
      </c>
      <c r="T2465" t="s">
        <v>33</v>
      </c>
      <c r="U2465">
        <v>5</v>
      </c>
      <c r="V2465">
        <v>50</v>
      </c>
      <c r="W2465">
        <v>0</v>
      </c>
      <c r="X2465">
        <v>50</v>
      </c>
      <c r="Y2465">
        <v>3</v>
      </c>
      <c r="Z2465">
        <v>0</v>
      </c>
      <c r="AA2465">
        <v>3</v>
      </c>
      <c r="AB2465" t="s">
        <v>36</v>
      </c>
      <c r="AC2465">
        <v>50</v>
      </c>
      <c r="AD2465">
        <v>1.71</v>
      </c>
    </row>
    <row r="2466" spans="1:30" x14ac:dyDescent="0.25">
      <c r="A2466" s="1">
        <v>44784.820208333331</v>
      </c>
      <c r="B2466" s="1">
        <v>44784.819398148145</v>
      </c>
      <c r="C2466">
        <v>151706</v>
      </c>
      <c r="D2466" t="s">
        <v>42</v>
      </c>
      <c r="E2466" t="s">
        <v>31</v>
      </c>
      <c r="F2466">
        <v>7</v>
      </c>
      <c r="G2466">
        <v>43.004080000000002</v>
      </c>
      <c r="H2466">
        <v>-71.177040000000005</v>
      </c>
      <c r="I2466">
        <v>194</v>
      </c>
      <c r="J2466">
        <v>81</v>
      </c>
      <c r="K2466">
        <v>0</v>
      </c>
      <c r="L2466" s="1">
        <v>44784.820162037038</v>
      </c>
      <c r="M2466">
        <v>10.6</v>
      </c>
      <c r="N2466">
        <v>0</v>
      </c>
      <c r="O2466">
        <v>10.6</v>
      </c>
      <c r="P2466">
        <v>200</v>
      </c>
      <c r="Q2466">
        <v>0.2</v>
      </c>
      <c r="R2466">
        <v>0</v>
      </c>
      <c r="S2466">
        <v>0.1</v>
      </c>
      <c r="T2466" t="s">
        <v>43</v>
      </c>
      <c r="V2466">
        <v>59</v>
      </c>
      <c r="W2466">
        <v>0</v>
      </c>
      <c r="X2466">
        <v>59</v>
      </c>
      <c r="Y2466">
        <v>1</v>
      </c>
      <c r="Z2466">
        <v>0</v>
      </c>
      <c r="AA2466">
        <v>1</v>
      </c>
      <c r="AB2466" t="s">
        <v>36</v>
      </c>
      <c r="AC2466">
        <v>59</v>
      </c>
    </row>
    <row r="2467" spans="1:30" x14ac:dyDescent="0.25">
      <c r="A2467" s="1">
        <v>44784.820208333331</v>
      </c>
      <c r="B2467" s="1">
        <v>44784.819212962961</v>
      </c>
      <c r="C2467">
        <v>12212</v>
      </c>
      <c r="D2467" t="s">
        <v>44</v>
      </c>
      <c r="E2467" t="s">
        <v>35</v>
      </c>
      <c r="F2467">
        <v>7</v>
      </c>
      <c r="G2467">
        <v>42.930529999999997</v>
      </c>
      <c r="H2467">
        <v>-72.272350000000003</v>
      </c>
      <c r="I2467">
        <v>476</v>
      </c>
      <c r="J2467">
        <v>88</v>
      </c>
      <c r="K2467">
        <v>0</v>
      </c>
      <c r="L2467" s="1">
        <v>44784.820162037038</v>
      </c>
      <c r="M2467">
        <v>7.4</v>
      </c>
      <c r="N2467">
        <v>6.6</v>
      </c>
      <c r="O2467">
        <v>0.8</v>
      </c>
      <c r="P2467">
        <v>11</v>
      </c>
      <c r="Q2467">
        <v>0.2</v>
      </c>
      <c r="R2467">
        <v>0.1</v>
      </c>
      <c r="S2467">
        <v>0.15</v>
      </c>
      <c r="T2467" t="s">
        <v>33</v>
      </c>
      <c r="U2467">
        <v>7</v>
      </c>
      <c r="V2467">
        <v>38</v>
      </c>
      <c r="W2467">
        <v>0</v>
      </c>
      <c r="X2467">
        <v>38</v>
      </c>
      <c r="Y2467">
        <v>1</v>
      </c>
      <c r="Z2467">
        <v>0</v>
      </c>
      <c r="AA2467">
        <v>1</v>
      </c>
      <c r="AB2467" t="s">
        <v>36</v>
      </c>
      <c r="AC2467">
        <v>38</v>
      </c>
      <c r="AD2467">
        <v>3.77</v>
      </c>
    </row>
    <row r="2468" spans="1:30" x14ac:dyDescent="0.25">
      <c r="A2468" s="1">
        <v>44784.820219907408</v>
      </c>
      <c r="B2468" s="1">
        <v>44769.376736111109</v>
      </c>
      <c r="C2468">
        <v>12178</v>
      </c>
      <c r="D2468" t="s">
        <v>45</v>
      </c>
      <c r="E2468" t="s">
        <v>35</v>
      </c>
      <c r="F2468">
        <v>7</v>
      </c>
      <c r="G2468">
        <v>42.899563000000001</v>
      </c>
      <c r="H2468">
        <v>-71.464650000000006</v>
      </c>
      <c r="I2468">
        <v>301</v>
      </c>
      <c r="J2468">
        <v>85</v>
      </c>
      <c r="K2468">
        <v>0</v>
      </c>
      <c r="L2468" s="1">
        <v>44784.820162037038</v>
      </c>
      <c r="M2468">
        <v>3.8</v>
      </c>
      <c r="N2468">
        <v>3.1</v>
      </c>
      <c r="O2468">
        <v>0.7</v>
      </c>
      <c r="P2468">
        <v>20</v>
      </c>
      <c r="Q2468">
        <v>0</v>
      </c>
      <c r="R2468">
        <v>0</v>
      </c>
      <c r="S2468">
        <v>0</v>
      </c>
      <c r="T2468" t="s">
        <v>32</v>
      </c>
      <c r="V2468">
        <v>35</v>
      </c>
      <c r="W2468">
        <v>0</v>
      </c>
      <c r="X2468">
        <v>35</v>
      </c>
      <c r="Y2468">
        <v>0</v>
      </c>
      <c r="Z2468">
        <v>0</v>
      </c>
      <c r="AA2468">
        <v>0</v>
      </c>
      <c r="AB2468" t="s">
        <v>36</v>
      </c>
      <c r="AC2468">
        <v>35</v>
      </c>
    </row>
    <row r="2469" spans="1:30" x14ac:dyDescent="0.25">
      <c r="A2469" s="1">
        <v>44784.820219907408</v>
      </c>
      <c r="B2469" s="1">
        <v>44784.819861111115</v>
      </c>
      <c r="C2469">
        <v>75981</v>
      </c>
      <c r="D2469" t="s">
        <v>46</v>
      </c>
      <c r="E2469" t="s">
        <v>35</v>
      </c>
      <c r="F2469">
        <v>7</v>
      </c>
      <c r="G2469">
        <v>42.97</v>
      </c>
      <c r="H2469">
        <v>-71.06</v>
      </c>
      <c r="I2469">
        <v>136</v>
      </c>
      <c r="J2469">
        <v>86</v>
      </c>
      <c r="K2469">
        <v>0</v>
      </c>
      <c r="L2469" s="1">
        <v>44784.820162037038</v>
      </c>
      <c r="M2469">
        <v>10.9</v>
      </c>
      <c r="N2469">
        <v>10.4</v>
      </c>
      <c r="O2469">
        <v>0.5</v>
      </c>
      <c r="P2469">
        <v>5</v>
      </c>
      <c r="Q2469">
        <v>0.1</v>
      </c>
      <c r="R2469">
        <v>0.1</v>
      </c>
      <c r="S2469">
        <v>0.1</v>
      </c>
      <c r="T2469" t="s">
        <v>33</v>
      </c>
      <c r="U2469">
        <v>10.65</v>
      </c>
      <c r="V2469">
        <v>51</v>
      </c>
      <c r="W2469">
        <v>0</v>
      </c>
      <c r="X2469">
        <v>51</v>
      </c>
      <c r="Y2469">
        <v>0</v>
      </c>
      <c r="Z2469">
        <v>0</v>
      </c>
      <c r="AA2469">
        <v>0</v>
      </c>
      <c r="AB2469" t="s">
        <v>36</v>
      </c>
      <c r="AC2469">
        <v>51</v>
      </c>
      <c r="AD2469">
        <v>5.09</v>
      </c>
    </row>
    <row r="2470" spans="1:30" x14ac:dyDescent="0.25">
      <c r="A2470" s="1">
        <v>44784.820231481484</v>
      </c>
      <c r="B2470" s="1">
        <v>44784.819016203706</v>
      </c>
      <c r="C2470">
        <v>115703</v>
      </c>
      <c r="D2470" t="s">
        <v>47</v>
      </c>
      <c r="E2470" t="s">
        <v>35</v>
      </c>
      <c r="F2470">
        <v>7</v>
      </c>
      <c r="G2470">
        <v>43.953625000000002</v>
      </c>
      <c r="H2470">
        <v>-71.508859999999999</v>
      </c>
      <c r="I2470">
        <v>1493</v>
      </c>
      <c r="J2470">
        <v>79</v>
      </c>
      <c r="K2470">
        <v>0</v>
      </c>
      <c r="L2470" s="1">
        <v>44784.820162037038</v>
      </c>
      <c r="M2470">
        <v>0.4</v>
      </c>
      <c r="N2470">
        <v>164.5</v>
      </c>
      <c r="O2470">
        <v>164.1</v>
      </c>
      <c r="P2470">
        <v>199</v>
      </c>
      <c r="Q2470">
        <v>0.2</v>
      </c>
      <c r="R2470">
        <v>123.4</v>
      </c>
      <c r="S2470">
        <v>61.8</v>
      </c>
      <c r="T2470" t="s">
        <v>60</v>
      </c>
      <c r="V2470">
        <v>44</v>
      </c>
      <c r="W2470">
        <v>0</v>
      </c>
      <c r="X2470">
        <v>44</v>
      </c>
      <c r="Y2470">
        <v>0</v>
      </c>
      <c r="Z2470">
        <v>0</v>
      </c>
      <c r="AA2470">
        <v>0</v>
      </c>
      <c r="AB2470" t="s">
        <v>36</v>
      </c>
      <c r="AC2470">
        <v>44</v>
      </c>
    </row>
    <row r="2471" spans="1:30" x14ac:dyDescent="0.25">
      <c r="A2471" s="1">
        <v>44784.820231481484</v>
      </c>
      <c r="B2471" s="1">
        <v>44784.819814814815</v>
      </c>
      <c r="C2471">
        <v>12050</v>
      </c>
      <c r="D2471" t="s">
        <v>49</v>
      </c>
      <c r="E2471" t="s">
        <v>35</v>
      </c>
      <c r="F2471">
        <v>7</v>
      </c>
      <c r="G2471">
        <v>44.220573000000002</v>
      </c>
      <c r="H2471">
        <v>-71.732315</v>
      </c>
      <c r="I2471">
        <v>999</v>
      </c>
      <c r="J2471">
        <v>78</v>
      </c>
      <c r="K2471">
        <v>0</v>
      </c>
      <c r="L2471" s="1">
        <v>44784.820162037038</v>
      </c>
      <c r="M2471">
        <v>5.8</v>
      </c>
      <c r="N2471">
        <v>5.3</v>
      </c>
      <c r="O2471">
        <v>0.5</v>
      </c>
      <c r="P2471">
        <v>9</v>
      </c>
      <c r="Q2471">
        <v>0.3</v>
      </c>
      <c r="R2471">
        <v>0.3</v>
      </c>
      <c r="S2471">
        <v>0.3</v>
      </c>
      <c r="T2471" t="s">
        <v>33</v>
      </c>
      <c r="U2471">
        <v>5.55</v>
      </c>
      <c r="V2471">
        <v>56</v>
      </c>
      <c r="W2471">
        <v>0</v>
      </c>
      <c r="X2471">
        <v>56</v>
      </c>
      <c r="Y2471">
        <v>2</v>
      </c>
      <c r="Z2471">
        <v>0</v>
      </c>
      <c r="AA2471">
        <v>2</v>
      </c>
      <c r="AB2471" t="s">
        <v>36</v>
      </c>
      <c r="AC2471">
        <v>56</v>
      </c>
      <c r="AD2471">
        <v>1.63</v>
      </c>
    </row>
    <row r="2472" spans="1:30" x14ac:dyDescent="0.25">
      <c r="A2472" s="1">
        <v>44784.820243055554</v>
      </c>
      <c r="B2472" s="1">
        <v>44784.818541666667</v>
      </c>
      <c r="C2472">
        <v>23443</v>
      </c>
      <c r="D2472" t="s">
        <v>50</v>
      </c>
      <c r="E2472" t="s">
        <v>35</v>
      </c>
      <c r="F2472">
        <v>7</v>
      </c>
      <c r="G2472">
        <v>43.556139999999999</v>
      </c>
      <c r="H2472">
        <v>-72.370990000000006</v>
      </c>
      <c r="I2472">
        <v>523</v>
      </c>
      <c r="J2472">
        <v>75</v>
      </c>
      <c r="K2472">
        <v>0</v>
      </c>
      <c r="L2472" s="1">
        <v>44784.820162037038</v>
      </c>
      <c r="M2472">
        <v>6.1</v>
      </c>
      <c r="N2472">
        <v>5.4</v>
      </c>
      <c r="O2472">
        <v>0.7</v>
      </c>
      <c r="P2472">
        <v>12</v>
      </c>
      <c r="Q2472">
        <v>0</v>
      </c>
      <c r="R2472">
        <v>0.1</v>
      </c>
      <c r="S2472">
        <v>0.05</v>
      </c>
      <c r="T2472" t="s">
        <v>33</v>
      </c>
      <c r="U2472">
        <v>5.75</v>
      </c>
      <c r="V2472">
        <v>63</v>
      </c>
      <c r="W2472">
        <v>0</v>
      </c>
      <c r="X2472">
        <v>63</v>
      </c>
      <c r="Y2472">
        <v>1</v>
      </c>
      <c r="Z2472">
        <v>0</v>
      </c>
      <c r="AA2472">
        <v>1</v>
      </c>
      <c r="AB2472" t="s">
        <v>36</v>
      </c>
      <c r="AC2472">
        <v>63</v>
      </c>
      <c r="AD2472">
        <v>1.26</v>
      </c>
    </row>
    <row r="2473" spans="1:30" x14ac:dyDescent="0.25">
      <c r="A2473" s="1">
        <v>44784.820243055554</v>
      </c>
      <c r="B2473" s="1">
        <v>44784.818657407406</v>
      </c>
      <c r="C2473">
        <v>58135</v>
      </c>
      <c r="D2473" t="s">
        <v>51</v>
      </c>
      <c r="E2473" t="s">
        <v>35</v>
      </c>
      <c r="F2473">
        <v>7</v>
      </c>
      <c r="G2473">
        <v>42.883873000000001</v>
      </c>
      <c r="H2473">
        <v>-71.972915999999998</v>
      </c>
      <c r="I2473">
        <v>808</v>
      </c>
      <c r="J2473">
        <v>78</v>
      </c>
      <c r="K2473">
        <v>0</v>
      </c>
      <c r="L2473" s="1">
        <v>44784.820162037038</v>
      </c>
      <c r="M2473">
        <v>5.4</v>
      </c>
      <c r="N2473">
        <v>3.9</v>
      </c>
      <c r="O2473">
        <v>1.5</v>
      </c>
      <c r="P2473">
        <v>32</v>
      </c>
      <c r="Q2473">
        <v>0.1</v>
      </c>
      <c r="R2473">
        <v>0.1</v>
      </c>
      <c r="S2473">
        <v>0.1</v>
      </c>
      <c r="T2473" t="s">
        <v>33</v>
      </c>
      <c r="U2473">
        <v>4.6500000000000004</v>
      </c>
      <c r="V2473">
        <v>59</v>
      </c>
      <c r="W2473">
        <v>0</v>
      </c>
      <c r="X2473">
        <v>59</v>
      </c>
      <c r="Y2473">
        <v>1</v>
      </c>
      <c r="Z2473">
        <v>0</v>
      </c>
      <c r="AA2473">
        <v>1</v>
      </c>
      <c r="AB2473" t="s">
        <v>36</v>
      </c>
      <c r="AC2473">
        <v>59</v>
      </c>
      <c r="AD2473">
        <v>0.87</v>
      </c>
    </row>
    <row r="2474" spans="1:30" x14ac:dyDescent="0.25">
      <c r="A2474" s="1">
        <v>44784.820254629631</v>
      </c>
      <c r="B2474" s="1">
        <v>44784.818645833337</v>
      </c>
      <c r="C2474">
        <v>148555</v>
      </c>
      <c r="D2474" t="s">
        <v>52</v>
      </c>
      <c r="E2474" t="s">
        <v>53</v>
      </c>
      <c r="F2474">
        <v>7</v>
      </c>
      <c r="G2474">
        <v>42.904949999999999</v>
      </c>
      <c r="H2474">
        <v>-71.386764999999997</v>
      </c>
      <c r="I2474">
        <v>363</v>
      </c>
      <c r="J2474">
        <v>0</v>
      </c>
      <c r="K2474">
        <v>0</v>
      </c>
      <c r="L2474" s="1">
        <v>44784.820162037038</v>
      </c>
      <c r="M2474">
        <v>1.9</v>
      </c>
      <c r="N2474">
        <v>2.5</v>
      </c>
      <c r="O2474">
        <v>0.6</v>
      </c>
      <c r="P2474">
        <v>27</v>
      </c>
      <c r="Q2474">
        <v>0</v>
      </c>
      <c r="R2474">
        <v>0.1</v>
      </c>
      <c r="S2474">
        <v>0.05</v>
      </c>
      <c r="T2474" t="s">
        <v>33</v>
      </c>
      <c r="U2474">
        <v>2.2000000000000002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 t="s">
        <v>38</v>
      </c>
    </row>
    <row r="2475" spans="1:30" x14ac:dyDescent="0.25">
      <c r="A2475" s="1">
        <v>44784.820254629631</v>
      </c>
      <c r="B2475" s="1">
        <v>44784.819525462961</v>
      </c>
      <c r="C2475">
        <v>146644</v>
      </c>
      <c r="D2475" t="s">
        <v>54</v>
      </c>
      <c r="E2475" t="s">
        <v>53</v>
      </c>
      <c r="F2475">
        <v>7</v>
      </c>
      <c r="G2475">
        <v>43.06015</v>
      </c>
      <c r="H2475">
        <v>-70.758930000000007</v>
      </c>
      <c r="I2475">
        <v>35</v>
      </c>
      <c r="J2475">
        <v>72</v>
      </c>
      <c r="K2475">
        <v>74</v>
      </c>
      <c r="L2475" s="1">
        <v>44784.820162037038</v>
      </c>
      <c r="M2475">
        <v>11.1</v>
      </c>
      <c r="N2475">
        <v>10.199999999999999</v>
      </c>
      <c r="O2475">
        <v>0.9</v>
      </c>
      <c r="P2475">
        <v>8</v>
      </c>
      <c r="Q2475">
        <v>0</v>
      </c>
      <c r="R2475">
        <v>0</v>
      </c>
      <c r="S2475">
        <v>0</v>
      </c>
      <c r="T2475" t="s">
        <v>33</v>
      </c>
      <c r="U2475">
        <v>10.65</v>
      </c>
      <c r="V2475">
        <v>68</v>
      </c>
      <c r="W2475">
        <v>73</v>
      </c>
      <c r="X2475">
        <v>5</v>
      </c>
      <c r="Y2475">
        <v>1</v>
      </c>
      <c r="Z2475">
        <v>1</v>
      </c>
      <c r="AA2475">
        <v>0</v>
      </c>
      <c r="AB2475" t="s">
        <v>33</v>
      </c>
      <c r="AC2475">
        <v>70.5</v>
      </c>
      <c r="AD2475">
        <v>3.72</v>
      </c>
    </row>
    <row r="2476" spans="1:30" x14ac:dyDescent="0.25">
      <c r="A2476" s="1">
        <v>44784.820254629631</v>
      </c>
      <c r="B2476" s="1">
        <v>43755.283437500002</v>
      </c>
      <c r="C2476">
        <v>12188</v>
      </c>
      <c r="D2476" t="s">
        <v>55</v>
      </c>
      <c r="E2476" t="s">
        <v>35</v>
      </c>
      <c r="F2476">
        <v>4.1100000000000003</v>
      </c>
      <c r="G2476">
        <v>42.927050000000001</v>
      </c>
      <c r="H2476">
        <v>-72.279610000000005</v>
      </c>
      <c r="I2476">
        <v>475</v>
      </c>
      <c r="J2476">
        <v>95</v>
      </c>
      <c r="K2476">
        <v>0</v>
      </c>
      <c r="L2476" s="1">
        <v>44784.820162037038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 t="s">
        <v>32</v>
      </c>
      <c r="V2476">
        <v>77</v>
      </c>
      <c r="W2476">
        <v>0</v>
      </c>
      <c r="X2476">
        <v>77</v>
      </c>
      <c r="Y2476">
        <v>0</v>
      </c>
      <c r="Z2476">
        <v>0</v>
      </c>
      <c r="AA2476">
        <v>0</v>
      </c>
      <c r="AB2476" t="s">
        <v>36</v>
      </c>
      <c r="AC2476">
        <v>77</v>
      </c>
    </row>
    <row r="2477" spans="1:30" x14ac:dyDescent="0.25">
      <c r="A2477" s="1">
        <v>44784.8202662037</v>
      </c>
      <c r="B2477" s="1">
        <v>44784.819918981484</v>
      </c>
      <c r="C2477">
        <v>1224</v>
      </c>
      <c r="D2477" t="s">
        <v>56</v>
      </c>
      <c r="E2477" t="s">
        <v>35</v>
      </c>
      <c r="F2477" t="s">
        <v>57</v>
      </c>
      <c r="G2477">
        <v>42.938034000000002</v>
      </c>
      <c r="H2477">
        <v>-72.259299999999996</v>
      </c>
      <c r="I2477">
        <v>792</v>
      </c>
      <c r="J2477">
        <v>88</v>
      </c>
      <c r="K2477">
        <v>0</v>
      </c>
      <c r="L2477" s="1">
        <v>44784.820162037038</v>
      </c>
      <c r="M2477">
        <v>7.1</v>
      </c>
      <c r="N2477">
        <v>0</v>
      </c>
      <c r="O2477">
        <v>7.1</v>
      </c>
      <c r="P2477">
        <v>200</v>
      </c>
      <c r="Q2477">
        <v>0</v>
      </c>
      <c r="R2477">
        <v>0</v>
      </c>
      <c r="S2477">
        <v>0</v>
      </c>
      <c r="T2477" t="s">
        <v>43</v>
      </c>
      <c r="V2477">
        <v>45</v>
      </c>
      <c r="W2477">
        <v>0</v>
      </c>
      <c r="X2477">
        <v>45</v>
      </c>
      <c r="Y2477">
        <v>0</v>
      </c>
      <c r="Z2477">
        <v>0</v>
      </c>
      <c r="AA2477">
        <v>0</v>
      </c>
      <c r="AB2477" t="s">
        <v>36</v>
      </c>
      <c r="AC2477">
        <v>45</v>
      </c>
    </row>
    <row r="2478" spans="1:30" x14ac:dyDescent="0.25">
      <c r="A2478" s="1">
        <v>44784.8202662037</v>
      </c>
      <c r="B2478" s="1">
        <v>44784.819374999999</v>
      </c>
      <c r="C2478">
        <v>1202</v>
      </c>
      <c r="D2478" t="s">
        <v>58</v>
      </c>
      <c r="E2478" t="s">
        <v>35</v>
      </c>
      <c r="F2478" t="s">
        <v>57</v>
      </c>
      <c r="G2478">
        <v>42.936554000000001</v>
      </c>
      <c r="H2478">
        <v>-72.271019999999993</v>
      </c>
      <c r="I2478">
        <v>488</v>
      </c>
      <c r="J2478">
        <v>0</v>
      </c>
      <c r="K2478">
        <v>0</v>
      </c>
      <c r="L2478" s="1">
        <v>44784.820162037038</v>
      </c>
      <c r="M2478">
        <v>8</v>
      </c>
      <c r="N2478">
        <v>7.3</v>
      </c>
      <c r="O2478">
        <v>0.7</v>
      </c>
      <c r="P2478">
        <v>9</v>
      </c>
      <c r="Q2478">
        <v>0</v>
      </c>
      <c r="R2478">
        <v>0</v>
      </c>
      <c r="S2478">
        <v>0</v>
      </c>
      <c r="T2478" t="s">
        <v>33</v>
      </c>
      <c r="U2478">
        <v>7.65</v>
      </c>
      <c r="V2478">
        <v>0</v>
      </c>
      <c r="W2478">
        <v>0</v>
      </c>
      <c r="X2478">
        <v>0</v>
      </c>
      <c r="Y2478">
        <v>0</v>
      </c>
      <c r="Z2478">
        <v>0</v>
      </c>
      <c r="AA2478">
        <v>0</v>
      </c>
      <c r="AB2478" t="s">
        <v>38</v>
      </c>
    </row>
    <row r="2479" spans="1:30" x14ac:dyDescent="0.25">
      <c r="A2479" s="1">
        <v>44784.820277777777</v>
      </c>
      <c r="B2479" s="1">
        <v>44612.080023148148</v>
      </c>
      <c r="C2479">
        <v>25985</v>
      </c>
      <c r="D2479" t="s">
        <v>59</v>
      </c>
      <c r="E2479" t="s">
        <v>35</v>
      </c>
      <c r="F2479">
        <v>6.01</v>
      </c>
      <c r="G2479">
        <v>42.927326000000001</v>
      </c>
      <c r="H2479">
        <v>-72.279979999999995</v>
      </c>
      <c r="I2479">
        <v>477</v>
      </c>
      <c r="J2479">
        <v>78</v>
      </c>
      <c r="K2479">
        <v>0</v>
      </c>
      <c r="L2479" s="1">
        <v>44784.820162037038</v>
      </c>
      <c r="M2479">
        <v>1.1000000000000001</v>
      </c>
      <c r="N2479">
        <v>1</v>
      </c>
      <c r="O2479">
        <v>0.1</v>
      </c>
      <c r="P2479">
        <v>10</v>
      </c>
      <c r="Q2479">
        <v>0</v>
      </c>
      <c r="R2479">
        <v>0</v>
      </c>
      <c r="S2479">
        <v>0</v>
      </c>
      <c r="T2479" t="s">
        <v>32</v>
      </c>
      <c r="V2479">
        <v>22</v>
      </c>
      <c r="W2479">
        <v>0</v>
      </c>
      <c r="X2479">
        <v>22</v>
      </c>
      <c r="Y2479">
        <v>0</v>
      </c>
      <c r="Z2479">
        <v>0</v>
      </c>
      <c r="AA2479">
        <v>0</v>
      </c>
      <c r="AB2479" t="s">
        <v>36</v>
      </c>
      <c r="AC2479">
        <v>22</v>
      </c>
    </row>
    <row r="2480" spans="1:30" x14ac:dyDescent="0.25">
      <c r="A2480" s="1">
        <v>44784.827118055553</v>
      </c>
      <c r="B2480" s="1">
        <v>44775.701319444444</v>
      </c>
      <c r="C2480">
        <v>151708</v>
      </c>
      <c r="D2480" t="s">
        <v>30</v>
      </c>
      <c r="E2480" t="s">
        <v>31</v>
      </c>
      <c r="F2480">
        <v>7</v>
      </c>
      <c r="G2480">
        <v>43.192042999999998</v>
      </c>
      <c r="H2480">
        <v>-71.541579999999996</v>
      </c>
      <c r="I2480">
        <v>291</v>
      </c>
      <c r="J2480">
        <v>93</v>
      </c>
      <c r="K2480">
        <v>94</v>
      </c>
      <c r="L2480" s="1">
        <v>44784.827106481483</v>
      </c>
      <c r="M2480">
        <v>7.9</v>
      </c>
      <c r="N2480">
        <v>7.6</v>
      </c>
      <c r="O2480">
        <v>0.3</v>
      </c>
      <c r="P2480">
        <v>4</v>
      </c>
      <c r="Q2480">
        <v>0</v>
      </c>
      <c r="R2480">
        <v>0</v>
      </c>
      <c r="S2480">
        <v>0</v>
      </c>
      <c r="T2480" t="s">
        <v>32</v>
      </c>
      <c r="V2480">
        <v>42</v>
      </c>
      <c r="W2480">
        <v>41</v>
      </c>
      <c r="X2480">
        <v>1</v>
      </c>
      <c r="Y2480">
        <v>0</v>
      </c>
      <c r="Z2480">
        <v>0</v>
      </c>
      <c r="AA2480">
        <v>0</v>
      </c>
      <c r="AB2480" t="s">
        <v>33</v>
      </c>
      <c r="AC2480">
        <v>41.5</v>
      </c>
    </row>
    <row r="2481" spans="1:30" x14ac:dyDescent="0.25">
      <c r="A2481" s="1">
        <v>44784.827118055553</v>
      </c>
      <c r="B2481" s="1">
        <v>44784.825520833336</v>
      </c>
      <c r="C2481">
        <v>143456</v>
      </c>
      <c r="D2481" t="s">
        <v>34</v>
      </c>
      <c r="E2481" t="s">
        <v>35</v>
      </c>
      <c r="F2481">
        <v>7</v>
      </c>
      <c r="G2481">
        <v>43.08963</v>
      </c>
      <c r="H2481">
        <v>-71.502440000000007</v>
      </c>
      <c r="I2481">
        <v>619</v>
      </c>
      <c r="J2481">
        <v>77</v>
      </c>
      <c r="K2481">
        <v>0</v>
      </c>
      <c r="L2481" s="1">
        <v>44784.827106481483</v>
      </c>
      <c r="M2481">
        <v>3.7</v>
      </c>
      <c r="N2481">
        <v>4</v>
      </c>
      <c r="O2481">
        <v>0.3</v>
      </c>
      <c r="P2481">
        <v>8</v>
      </c>
      <c r="Q2481">
        <v>0.1</v>
      </c>
      <c r="R2481">
        <v>0</v>
      </c>
      <c r="S2481">
        <v>0.05</v>
      </c>
      <c r="T2481" t="s">
        <v>33</v>
      </c>
      <c r="U2481">
        <v>3.85</v>
      </c>
      <c r="V2481">
        <v>56</v>
      </c>
      <c r="W2481">
        <v>0</v>
      </c>
      <c r="X2481">
        <v>56</v>
      </c>
      <c r="Y2481">
        <v>0</v>
      </c>
      <c r="Z2481">
        <v>0</v>
      </c>
      <c r="AA2481">
        <v>0</v>
      </c>
      <c r="AB2481" t="s">
        <v>36</v>
      </c>
      <c r="AC2481">
        <v>56</v>
      </c>
      <c r="AD2481">
        <v>0.59</v>
      </c>
    </row>
    <row r="2482" spans="1:30" x14ac:dyDescent="0.25">
      <c r="A2482" s="1">
        <v>44784.82712962963</v>
      </c>
      <c r="B2482" s="1">
        <v>44784.825659722221</v>
      </c>
      <c r="C2482">
        <v>151702</v>
      </c>
      <c r="D2482" t="s">
        <v>37</v>
      </c>
      <c r="E2482" t="s">
        <v>31</v>
      </c>
      <c r="F2482">
        <v>7</v>
      </c>
      <c r="G2482">
        <v>43.118609999999997</v>
      </c>
      <c r="H2482">
        <v>-71.61618</v>
      </c>
      <c r="I2482">
        <v>885</v>
      </c>
      <c r="J2482">
        <v>0</v>
      </c>
      <c r="K2482">
        <v>0</v>
      </c>
      <c r="L2482" s="1">
        <v>44784.827106481483</v>
      </c>
      <c r="M2482">
        <v>4.2</v>
      </c>
      <c r="N2482">
        <v>4.2</v>
      </c>
      <c r="O2482">
        <v>0</v>
      </c>
      <c r="P2482">
        <v>0</v>
      </c>
      <c r="Q2482">
        <v>0.1</v>
      </c>
      <c r="R2482">
        <v>0</v>
      </c>
      <c r="S2482">
        <v>0.05</v>
      </c>
      <c r="T2482" t="s">
        <v>33</v>
      </c>
      <c r="U2482">
        <v>4.2</v>
      </c>
      <c r="V2482">
        <v>0</v>
      </c>
      <c r="W2482">
        <v>0</v>
      </c>
      <c r="X2482">
        <v>0</v>
      </c>
      <c r="Y2482">
        <v>0</v>
      </c>
      <c r="Z2482">
        <v>0</v>
      </c>
      <c r="AA2482">
        <v>0</v>
      </c>
      <c r="AB2482" t="s">
        <v>38</v>
      </c>
    </row>
    <row r="2483" spans="1:30" x14ac:dyDescent="0.25">
      <c r="A2483" s="1">
        <v>44784.82712962963</v>
      </c>
      <c r="B2483" s="1">
        <v>44784.825567129628</v>
      </c>
      <c r="C2483">
        <v>151700</v>
      </c>
      <c r="D2483" t="s">
        <v>30</v>
      </c>
      <c r="E2483" t="s">
        <v>31</v>
      </c>
      <c r="F2483">
        <v>7</v>
      </c>
      <c r="G2483">
        <v>43.19211</v>
      </c>
      <c r="H2483">
        <v>-71.541460000000001</v>
      </c>
      <c r="I2483">
        <v>286</v>
      </c>
      <c r="J2483">
        <v>83</v>
      </c>
      <c r="K2483">
        <v>0</v>
      </c>
      <c r="L2483" s="1">
        <v>44784.827106481483</v>
      </c>
      <c r="M2483">
        <v>4.0999999999999996</v>
      </c>
      <c r="N2483">
        <v>4.7</v>
      </c>
      <c r="O2483">
        <v>0.6</v>
      </c>
      <c r="P2483">
        <v>14</v>
      </c>
      <c r="Q2483">
        <v>0.7</v>
      </c>
      <c r="R2483">
        <v>0.7</v>
      </c>
      <c r="S2483">
        <v>0.7</v>
      </c>
      <c r="T2483" t="s">
        <v>33</v>
      </c>
      <c r="U2483">
        <v>4.4000000000000004</v>
      </c>
      <c r="V2483">
        <v>48</v>
      </c>
      <c r="W2483">
        <v>0</v>
      </c>
      <c r="X2483">
        <v>48</v>
      </c>
      <c r="Y2483">
        <v>1</v>
      </c>
      <c r="Z2483">
        <v>0</v>
      </c>
      <c r="AA2483">
        <v>1</v>
      </c>
      <c r="AB2483" t="s">
        <v>36</v>
      </c>
      <c r="AC2483">
        <v>48</v>
      </c>
      <c r="AD2483">
        <v>1.48</v>
      </c>
    </row>
    <row r="2484" spans="1:30" x14ac:dyDescent="0.25">
      <c r="A2484" s="1">
        <v>44784.82712962963</v>
      </c>
      <c r="B2484" s="1">
        <v>44784.826006944444</v>
      </c>
      <c r="C2484">
        <v>135984</v>
      </c>
      <c r="D2484" t="s">
        <v>39</v>
      </c>
      <c r="E2484" t="s">
        <v>31</v>
      </c>
      <c r="F2484">
        <v>7</v>
      </c>
      <c r="G2484">
        <v>43.565852999999997</v>
      </c>
      <c r="H2484">
        <v>-71.496129999999994</v>
      </c>
      <c r="I2484">
        <v>708</v>
      </c>
      <c r="J2484">
        <v>78</v>
      </c>
      <c r="K2484">
        <v>0</v>
      </c>
      <c r="L2484" s="1">
        <v>44784.827106481483</v>
      </c>
      <c r="M2484">
        <v>4.4000000000000004</v>
      </c>
      <c r="N2484">
        <v>4.0999999999999996</v>
      </c>
      <c r="O2484">
        <v>0.3</v>
      </c>
      <c r="P2484">
        <v>7</v>
      </c>
      <c r="Q2484">
        <v>0.1</v>
      </c>
      <c r="R2484">
        <v>0.1</v>
      </c>
      <c r="S2484">
        <v>0.1</v>
      </c>
      <c r="T2484" t="s">
        <v>33</v>
      </c>
      <c r="U2484">
        <v>4.25</v>
      </c>
      <c r="V2484">
        <v>69</v>
      </c>
      <c r="W2484">
        <v>0</v>
      </c>
      <c r="X2484">
        <v>69</v>
      </c>
      <c r="Y2484">
        <v>3</v>
      </c>
      <c r="Z2484">
        <v>0</v>
      </c>
      <c r="AA2484">
        <v>3</v>
      </c>
      <c r="AB2484" t="s">
        <v>36</v>
      </c>
      <c r="AC2484">
        <v>69</v>
      </c>
      <c r="AD2484">
        <v>-0.08</v>
      </c>
    </row>
    <row r="2485" spans="1:30" x14ac:dyDescent="0.25">
      <c r="A2485" s="1">
        <v>44784.827141203707</v>
      </c>
      <c r="B2485" s="1">
        <v>44780.394780092596</v>
      </c>
      <c r="C2485">
        <v>151712</v>
      </c>
      <c r="D2485" t="s">
        <v>40</v>
      </c>
      <c r="E2485" t="s">
        <v>31</v>
      </c>
      <c r="F2485">
        <v>7</v>
      </c>
      <c r="G2485">
        <v>43.289763999999998</v>
      </c>
      <c r="H2485">
        <v>-71.564260000000004</v>
      </c>
      <c r="I2485">
        <v>370</v>
      </c>
      <c r="J2485">
        <v>86</v>
      </c>
      <c r="K2485">
        <v>0</v>
      </c>
      <c r="L2485" s="1">
        <v>44784.827106481483</v>
      </c>
      <c r="M2485">
        <v>14</v>
      </c>
      <c r="N2485">
        <v>13.2</v>
      </c>
      <c r="O2485">
        <v>0.8</v>
      </c>
      <c r="P2485">
        <v>6</v>
      </c>
      <c r="Q2485">
        <v>0</v>
      </c>
      <c r="R2485">
        <v>0</v>
      </c>
      <c r="S2485">
        <v>0</v>
      </c>
      <c r="T2485" t="s">
        <v>32</v>
      </c>
      <c r="V2485">
        <v>59</v>
      </c>
      <c r="W2485">
        <v>0</v>
      </c>
      <c r="X2485">
        <v>59</v>
      </c>
      <c r="Y2485">
        <v>0</v>
      </c>
      <c r="Z2485">
        <v>0</v>
      </c>
      <c r="AA2485">
        <v>0</v>
      </c>
      <c r="AB2485" t="s">
        <v>36</v>
      </c>
      <c r="AC2485">
        <v>59</v>
      </c>
    </row>
    <row r="2486" spans="1:30" x14ac:dyDescent="0.25">
      <c r="A2486" s="1">
        <v>44784.827141203707</v>
      </c>
      <c r="B2486" s="1">
        <v>44784.825324074074</v>
      </c>
      <c r="C2486">
        <v>151710</v>
      </c>
      <c r="D2486" t="s">
        <v>41</v>
      </c>
      <c r="E2486" t="s">
        <v>31</v>
      </c>
      <c r="F2486">
        <v>7</v>
      </c>
      <c r="G2486">
        <v>43.132477000000002</v>
      </c>
      <c r="H2486">
        <v>-71.458374000000006</v>
      </c>
      <c r="I2486">
        <v>230</v>
      </c>
      <c r="J2486">
        <v>81</v>
      </c>
      <c r="K2486">
        <v>0</v>
      </c>
      <c r="L2486" s="1">
        <v>44784.827106481483</v>
      </c>
      <c r="M2486">
        <v>5.8</v>
      </c>
      <c r="N2486">
        <v>4.2</v>
      </c>
      <c r="O2486">
        <v>1.6</v>
      </c>
      <c r="P2486">
        <v>32</v>
      </c>
      <c r="Q2486">
        <v>0.1</v>
      </c>
      <c r="R2486">
        <v>0.1</v>
      </c>
      <c r="S2486">
        <v>0.1</v>
      </c>
      <c r="T2486" t="s">
        <v>33</v>
      </c>
      <c r="U2486">
        <v>5</v>
      </c>
      <c r="V2486">
        <v>50</v>
      </c>
      <c r="W2486">
        <v>0</v>
      </c>
      <c r="X2486">
        <v>50</v>
      </c>
      <c r="Y2486">
        <v>0</v>
      </c>
      <c r="Z2486">
        <v>0</v>
      </c>
      <c r="AA2486">
        <v>0</v>
      </c>
      <c r="AB2486" t="s">
        <v>36</v>
      </c>
      <c r="AC2486">
        <v>50</v>
      </c>
      <c r="AD2486">
        <v>1.71</v>
      </c>
    </row>
    <row r="2487" spans="1:30" x14ac:dyDescent="0.25">
      <c r="A2487" s="1">
        <v>44784.827152777776</v>
      </c>
      <c r="B2487" s="1">
        <v>44784.826342592591</v>
      </c>
      <c r="C2487">
        <v>151706</v>
      </c>
      <c r="D2487" t="s">
        <v>42</v>
      </c>
      <c r="E2487" t="s">
        <v>31</v>
      </c>
      <c r="F2487">
        <v>7</v>
      </c>
      <c r="G2487">
        <v>43.004080000000002</v>
      </c>
      <c r="H2487">
        <v>-71.177040000000005</v>
      </c>
      <c r="I2487">
        <v>194</v>
      </c>
      <c r="J2487">
        <v>80</v>
      </c>
      <c r="K2487">
        <v>0</v>
      </c>
      <c r="L2487" s="1">
        <v>44784.827106481483</v>
      </c>
      <c r="M2487">
        <v>10.7</v>
      </c>
      <c r="N2487">
        <v>0</v>
      </c>
      <c r="O2487">
        <v>10.7</v>
      </c>
      <c r="P2487">
        <v>200</v>
      </c>
      <c r="Q2487">
        <v>0.1</v>
      </c>
      <c r="R2487">
        <v>0</v>
      </c>
      <c r="S2487">
        <v>0.05</v>
      </c>
      <c r="T2487" t="s">
        <v>43</v>
      </c>
      <c r="V2487">
        <v>59</v>
      </c>
      <c r="W2487">
        <v>0</v>
      </c>
      <c r="X2487">
        <v>59</v>
      </c>
      <c r="Y2487">
        <v>0</v>
      </c>
      <c r="Z2487">
        <v>0</v>
      </c>
      <c r="AA2487">
        <v>0</v>
      </c>
      <c r="AB2487" t="s">
        <v>36</v>
      </c>
      <c r="AC2487">
        <v>59</v>
      </c>
    </row>
    <row r="2488" spans="1:30" x14ac:dyDescent="0.25">
      <c r="A2488" s="1">
        <v>44784.827152777776</v>
      </c>
      <c r="B2488" s="1">
        <v>44784.826157407406</v>
      </c>
      <c r="C2488">
        <v>12212</v>
      </c>
      <c r="D2488" t="s">
        <v>44</v>
      </c>
      <c r="E2488" t="s">
        <v>35</v>
      </c>
      <c r="F2488">
        <v>7</v>
      </c>
      <c r="G2488">
        <v>42.930529999999997</v>
      </c>
      <c r="H2488">
        <v>-72.272350000000003</v>
      </c>
      <c r="I2488">
        <v>476</v>
      </c>
      <c r="J2488">
        <v>88</v>
      </c>
      <c r="K2488">
        <v>0</v>
      </c>
      <c r="L2488" s="1">
        <v>44784.827106481483</v>
      </c>
      <c r="M2488">
        <v>7.5</v>
      </c>
      <c r="N2488">
        <v>6.6</v>
      </c>
      <c r="O2488">
        <v>0.9</v>
      </c>
      <c r="P2488">
        <v>13</v>
      </c>
      <c r="Q2488">
        <v>0.1</v>
      </c>
      <c r="R2488">
        <v>0</v>
      </c>
      <c r="S2488">
        <v>0.05</v>
      </c>
      <c r="T2488" t="s">
        <v>33</v>
      </c>
      <c r="U2488">
        <v>7.05</v>
      </c>
      <c r="V2488">
        <v>38</v>
      </c>
      <c r="W2488">
        <v>0</v>
      </c>
      <c r="X2488">
        <v>38</v>
      </c>
      <c r="Y2488">
        <v>0</v>
      </c>
      <c r="Z2488">
        <v>0</v>
      </c>
      <c r="AA2488">
        <v>0</v>
      </c>
      <c r="AB2488" t="s">
        <v>36</v>
      </c>
      <c r="AC2488">
        <v>38</v>
      </c>
      <c r="AD2488">
        <v>3.8</v>
      </c>
    </row>
    <row r="2489" spans="1:30" x14ac:dyDescent="0.25">
      <c r="A2489" s="1">
        <v>44784.827164351853</v>
      </c>
      <c r="B2489" s="1">
        <v>44769.376736111109</v>
      </c>
      <c r="C2489">
        <v>12178</v>
      </c>
      <c r="D2489" t="s">
        <v>45</v>
      </c>
      <c r="E2489" t="s">
        <v>35</v>
      </c>
      <c r="F2489">
        <v>7</v>
      </c>
      <c r="G2489">
        <v>42.899563000000001</v>
      </c>
      <c r="H2489">
        <v>-71.464650000000006</v>
      </c>
      <c r="I2489">
        <v>301</v>
      </c>
      <c r="J2489">
        <v>85</v>
      </c>
      <c r="K2489">
        <v>0</v>
      </c>
      <c r="L2489" s="1">
        <v>44784.827106481483</v>
      </c>
      <c r="M2489">
        <v>3.8</v>
      </c>
      <c r="N2489">
        <v>3.1</v>
      </c>
      <c r="O2489">
        <v>0.7</v>
      </c>
      <c r="P2489">
        <v>20</v>
      </c>
      <c r="Q2489">
        <v>0</v>
      </c>
      <c r="R2489">
        <v>0</v>
      </c>
      <c r="S2489">
        <v>0</v>
      </c>
      <c r="T2489" t="s">
        <v>32</v>
      </c>
      <c r="V2489">
        <v>35</v>
      </c>
      <c r="W2489">
        <v>0</v>
      </c>
      <c r="X2489">
        <v>35</v>
      </c>
      <c r="Y2489">
        <v>0</v>
      </c>
      <c r="Z2489">
        <v>0</v>
      </c>
      <c r="AA2489">
        <v>0</v>
      </c>
      <c r="AB2489" t="s">
        <v>36</v>
      </c>
      <c r="AC2489">
        <v>35</v>
      </c>
    </row>
    <row r="2490" spans="1:30" x14ac:dyDescent="0.25">
      <c r="A2490" s="1">
        <v>44784.827164351853</v>
      </c>
      <c r="B2490" s="1">
        <v>44784.825416666667</v>
      </c>
      <c r="C2490">
        <v>75981</v>
      </c>
      <c r="D2490" t="s">
        <v>46</v>
      </c>
      <c r="E2490" t="s">
        <v>35</v>
      </c>
      <c r="F2490">
        <v>7</v>
      </c>
      <c r="G2490">
        <v>42.97</v>
      </c>
      <c r="H2490">
        <v>-71.06</v>
      </c>
      <c r="I2490">
        <v>136</v>
      </c>
      <c r="J2490">
        <v>85</v>
      </c>
      <c r="K2490">
        <v>0</v>
      </c>
      <c r="L2490" s="1">
        <v>44784.827106481483</v>
      </c>
      <c r="M2490">
        <v>10.9</v>
      </c>
      <c r="N2490">
        <v>10.5</v>
      </c>
      <c r="O2490">
        <v>0.4</v>
      </c>
      <c r="P2490">
        <v>4</v>
      </c>
      <c r="Q2490">
        <v>0</v>
      </c>
      <c r="R2490">
        <v>0.1</v>
      </c>
      <c r="S2490">
        <v>0.05</v>
      </c>
      <c r="T2490" t="s">
        <v>33</v>
      </c>
      <c r="U2490">
        <v>10.7</v>
      </c>
      <c r="V2490">
        <v>52</v>
      </c>
      <c r="W2490">
        <v>0</v>
      </c>
      <c r="X2490">
        <v>52</v>
      </c>
      <c r="Y2490">
        <v>1</v>
      </c>
      <c r="Z2490">
        <v>0</v>
      </c>
      <c r="AA2490">
        <v>1</v>
      </c>
      <c r="AB2490" t="s">
        <v>36</v>
      </c>
      <c r="AC2490">
        <v>52</v>
      </c>
      <c r="AD2490">
        <v>5.05</v>
      </c>
    </row>
    <row r="2491" spans="1:30" x14ac:dyDescent="0.25">
      <c r="A2491" s="1">
        <v>44784.827164351853</v>
      </c>
      <c r="B2491" s="1">
        <v>44784.825960648152</v>
      </c>
      <c r="C2491">
        <v>115703</v>
      </c>
      <c r="D2491" t="s">
        <v>47</v>
      </c>
      <c r="E2491" t="s">
        <v>35</v>
      </c>
      <c r="F2491">
        <v>7</v>
      </c>
      <c r="G2491">
        <v>43.953625000000002</v>
      </c>
      <c r="H2491">
        <v>-71.508859999999999</v>
      </c>
      <c r="I2491">
        <v>1493</v>
      </c>
      <c r="J2491">
        <v>79</v>
      </c>
      <c r="K2491">
        <v>0</v>
      </c>
      <c r="L2491" s="1">
        <v>44784.827106481483</v>
      </c>
      <c r="M2491">
        <v>0.4</v>
      </c>
      <c r="N2491">
        <v>97.3</v>
      </c>
      <c r="O2491">
        <v>96.9</v>
      </c>
      <c r="P2491">
        <v>198</v>
      </c>
      <c r="Q2491">
        <v>0</v>
      </c>
      <c r="R2491">
        <v>67.2</v>
      </c>
      <c r="S2491">
        <v>33.6</v>
      </c>
      <c r="T2491" t="s">
        <v>60</v>
      </c>
      <c r="V2491">
        <v>45</v>
      </c>
      <c r="W2491">
        <v>0</v>
      </c>
      <c r="X2491">
        <v>45</v>
      </c>
      <c r="Y2491">
        <v>1</v>
      </c>
      <c r="Z2491">
        <v>0</v>
      </c>
      <c r="AA2491">
        <v>1</v>
      </c>
      <c r="AB2491" t="s">
        <v>36</v>
      </c>
      <c r="AC2491">
        <v>45</v>
      </c>
    </row>
    <row r="2492" spans="1:30" x14ac:dyDescent="0.25">
      <c r="A2492" s="1">
        <v>44784.827175925922</v>
      </c>
      <c r="B2492" s="1">
        <v>44784.825370370374</v>
      </c>
      <c r="C2492">
        <v>12050</v>
      </c>
      <c r="D2492" t="s">
        <v>49</v>
      </c>
      <c r="E2492" t="s">
        <v>35</v>
      </c>
      <c r="F2492">
        <v>7</v>
      </c>
      <c r="G2492">
        <v>44.220573000000002</v>
      </c>
      <c r="H2492">
        <v>-71.732315</v>
      </c>
      <c r="I2492">
        <v>999</v>
      </c>
      <c r="J2492">
        <v>78</v>
      </c>
      <c r="K2492">
        <v>0</v>
      </c>
      <c r="L2492" s="1">
        <v>44784.827106481483</v>
      </c>
      <c r="M2492">
        <v>5.8</v>
      </c>
      <c r="N2492">
        <v>5.4</v>
      </c>
      <c r="O2492">
        <v>0.4</v>
      </c>
      <c r="P2492">
        <v>7</v>
      </c>
      <c r="Q2492">
        <v>0</v>
      </c>
      <c r="R2492">
        <v>0.1</v>
      </c>
      <c r="S2492">
        <v>0.05</v>
      </c>
      <c r="T2492" t="s">
        <v>33</v>
      </c>
      <c r="U2492">
        <v>5.6</v>
      </c>
      <c r="V2492">
        <v>55</v>
      </c>
      <c r="W2492">
        <v>0</v>
      </c>
      <c r="X2492">
        <v>55</v>
      </c>
      <c r="Y2492">
        <v>1</v>
      </c>
      <c r="Z2492">
        <v>0</v>
      </c>
      <c r="AA2492">
        <v>1</v>
      </c>
      <c r="AB2492" t="s">
        <v>36</v>
      </c>
      <c r="AC2492">
        <v>55</v>
      </c>
      <c r="AD2492">
        <v>1.73</v>
      </c>
    </row>
    <row r="2493" spans="1:30" x14ac:dyDescent="0.25">
      <c r="A2493" s="1">
        <v>44784.827175925922</v>
      </c>
      <c r="B2493" s="1">
        <v>44784.825497685182</v>
      </c>
      <c r="C2493">
        <v>23443</v>
      </c>
      <c r="D2493" t="s">
        <v>50</v>
      </c>
      <c r="E2493" t="s">
        <v>35</v>
      </c>
      <c r="F2493">
        <v>7</v>
      </c>
      <c r="G2493">
        <v>43.556139999999999</v>
      </c>
      <c r="H2493">
        <v>-72.370990000000006</v>
      </c>
      <c r="I2493">
        <v>523</v>
      </c>
      <c r="J2493">
        <v>75</v>
      </c>
      <c r="K2493">
        <v>0</v>
      </c>
      <c r="L2493" s="1">
        <v>44784.827106481483</v>
      </c>
      <c r="M2493">
        <v>6.1</v>
      </c>
      <c r="N2493">
        <v>5.5</v>
      </c>
      <c r="O2493">
        <v>0.6</v>
      </c>
      <c r="P2493">
        <v>10</v>
      </c>
      <c r="Q2493">
        <v>0</v>
      </c>
      <c r="R2493">
        <v>0.1</v>
      </c>
      <c r="S2493">
        <v>0.05</v>
      </c>
      <c r="T2493" t="s">
        <v>33</v>
      </c>
      <c r="U2493">
        <v>5.8</v>
      </c>
      <c r="V2493">
        <v>64</v>
      </c>
      <c r="W2493">
        <v>0</v>
      </c>
      <c r="X2493">
        <v>64</v>
      </c>
      <c r="Y2493">
        <v>1</v>
      </c>
      <c r="Z2493">
        <v>0</v>
      </c>
      <c r="AA2493">
        <v>1</v>
      </c>
      <c r="AB2493" t="s">
        <v>36</v>
      </c>
      <c r="AC2493">
        <v>64</v>
      </c>
      <c r="AD2493">
        <v>1.22</v>
      </c>
    </row>
    <row r="2494" spans="1:30" x14ac:dyDescent="0.25">
      <c r="A2494" s="1">
        <v>44784.827187499999</v>
      </c>
      <c r="B2494" s="1">
        <v>44784.825601851851</v>
      </c>
      <c r="C2494">
        <v>58135</v>
      </c>
      <c r="D2494" t="s">
        <v>51</v>
      </c>
      <c r="E2494" t="s">
        <v>35</v>
      </c>
      <c r="F2494">
        <v>7</v>
      </c>
      <c r="G2494">
        <v>42.883873000000001</v>
      </c>
      <c r="H2494">
        <v>-71.972915999999998</v>
      </c>
      <c r="I2494">
        <v>808</v>
      </c>
      <c r="J2494">
        <v>77</v>
      </c>
      <c r="K2494">
        <v>0</v>
      </c>
      <c r="L2494" s="1">
        <v>44784.827106481483</v>
      </c>
      <c r="M2494">
        <v>5.7</v>
      </c>
      <c r="N2494">
        <v>3.8</v>
      </c>
      <c r="O2494">
        <v>1.9</v>
      </c>
      <c r="P2494">
        <v>40</v>
      </c>
      <c r="Q2494">
        <v>0.3</v>
      </c>
      <c r="R2494">
        <v>0.1</v>
      </c>
      <c r="S2494">
        <v>0.2</v>
      </c>
      <c r="T2494" t="s">
        <v>33</v>
      </c>
      <c r="U2494">
        <v>4.75</v>
      </c>
      <c r="V2494">
        <v>60</v>
      </c>
      <c r="W2494">
        <v>0</v>
      </c>
      <c r="X2494">
        <v>60</v>
      </c>
      <c r="Y2494">
        <v>1</v>
      </c>
      <c r="Z2494">
        <v>0</v>
      </c>
      <c r="AA2494">
        <v>1</v>
      </c>
      <c r="AB2494" t="s">
        <v>36</v>
      </c>
      <c r="AC2494">
        <v>60</v>
      </c>
      <c r="AD2494">
        <v>0.86</v>
      </c>
    </row>
    <row r="2495" spans="1:30" x14ac:dyDescent="0.25">
      <c r="A2495" s="1">
        <v>44784.827187499999</v>
      </c>
      <c r="B2495" s="1">
        <v>44784.825590277775</v>
      </c>
      <c r="C2495">
        <v>148555</v>
      </c>
      <c r="D2495" t="s">
        <v>52</v>
      </c>
      <c r="E2495" t="s">
        <v>53</v>
      </c>
      <c r="F2495">
        <v>7</v>
      </c>
      <c r="G2495">
        <v>42.904949999999999</v>
      </c>
      <c r="H2495">
        <v>-71.386764999999997</v>
      </c>
      <c r="I2495">
        <v>363</v>
      </c>
      <c r="J2495">
        <v>0</v>
      </c>
      <c r="K2495">
        <v>0</v>
      </c>
      <c r="L2495" s="1">
        <v>44784.827106481483</v>
      </c>
      <c r="M2495">
        <v>2</v>
      </c>
      <c r="N2495">
        <v>2.5</v>
      </c>
      <c r="O2495">
        <v>0.5</v>
      </c>
      <c r="P2495">
        <v>22</v>
      </c>
      <c r="Q2495">
        <v>0.1</v>
      </c>
      <c r="R2495">
        <v>0</v>
      </c>
      <c r="S2495">
        <v>0.05</v>
      </c>
      <c r="T2495" t="s">
        <v>33</v>
      </c>
      <c r="U2495">
        <v>2.25</v>
      </c>
      <c r="V2495">
        <v>0</v>
      </c>
      <c r="W2495">
        <v>0</v>
      </c>
      <c r="X2495">
        <v>0</v>
      </c>
      <c r="Y2495">
        <v>0</v>
      </c>
      <c r="Z2495">
        <v>0</v>
      </c>
      <c r="AA2495">
        <v>0</v>
      </c>
      <c r="AB2495" t="s">
        <v>38</v>
      </c>
    </row>
    <row r="2496" spans="1:30" x14ac:dyDescent="0.25">
      <c r="A2496" s="1">
        <v>44784.827199074076</v>
      </c>
      <c r="B2496" s="1">
        <v>44784.826469907406</v>
      </c>
      <c r="C2496">
        <v>146644</v>
      </c>
      <c r="D2496" t="s">
        <v>54</v>
      </c>
      <c r="E2496" t="s">
        <v>53</v>
      </c>
      <c r="F2496">
        <v>7</v>
      </c>
      <c r="G2496">
        <v>43.06015</v>
      </c>
      <c r="H2496">
        <v>-70.758930000000007</v>
      </c>
      <c r="I2496">
        <v>35</v>
      </c>
      <c r="J2496">
        <v>72</v>
      </c>
      <c r="K2496">
        <v>73</v>
      </c>
      <c r="L2496" s="1">
        <v>44784.827106481483</v>
      </c>
      <c r="M2496">
        <v>11.3</v>
      </c>
      <c r="N2496">
        <v>10.199999999999999</v>
      </c>
      <c r="O2496">
        <v>1.1000000000000001</v>
      </c>
      <c r="P2496">
        <v>10</v>
      </c>
      <c r="Q2496">
        <v>0.2</v>
      </c>
      <c r="R2496">
        <v>0</v>
      </c>
      <c r="S2496">
        <v>0.1</v>
      </c>
      <c r="T2496" t="s">
        <v>33</v>
      </c>
      <c r="U2496">
        <v>10.75</v>
      </c>
      <c r="V2496">
        <v>69</v>
      </c>
      <c r="W2496">
        <v>73</v>
      </c>
      <c r="X2496">
        <v>4</v>
      </c>
      <c r="Y2496">
        <v>1</v>
      </c>
      <c r="Z2496">
        <v>0</v>
      </c>
      <c r="AA2496">
        <v>1</v>
      </c>
      <c r="AB2496" t="s">
        <v>33</v>
      </c>
      <c r="AC2496">
        <v>71</v>
      </c>
      <c r="AD2496">
        <v>3.75</v>
      </c>
    </row>
    <row r="2497" spans="1:30" x14ac:dyDescent="0.25">
      <c r="A2497" s="1">
        <v>44784.827199074076</v>
      </c>
      <c r="B2497" s="1">
        <v>43755.283437500002</v>
      </c>
      <c r="C2497">
        <v>12188</v>
      </c>
      <c r="D2497" t="s">
        <v>55</v>
      </c>
      <c r="E2497" t="s">
        <v>35</v>
      </c>
      <c r="F2497">
        <v>4.1100000000000003</v>
      </c>
      <c r="G2497">
        <v>42.927050000000001</v>
      </c>
      <c r="H2497">
        <v>-72.279610000000005</v>
      </c>
      <c r="I2497">
        <v>475</v>
      </c>
      <c r="J2497">
        <v>95</v>
      </c>
      <c r="K2497">
        <v>0</v>
      </c>
      <c r="L2497" s="1">
        <v>44784.827106481483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 t="s">
        <v>32</v>
      </c>
      <c r="V2497">
        <v>77</v>
      </c>
      <c r="W2497">
        <v>0</v>
      </c>
      <c r="X2497">
        <v>77</v>
      </c>
      <c r="Y2497">
        <v>0</v>
      </c>
      <c r="Z2497">
        <v>0</v>
      </c>
      <c r="AA2497">
        <v>0</v>
      </c>
      <c r="AB2497" t="s">
        <v>36</v>
      </c>
      <c r="AC2497">
        <v>77</v>
      </c>
    </row>
    <row r="2498" spans="1:30" x14ac:dyDescent="0.25">
      <c r="A2498" s="1">
        <v>44784.827199074076</v>
      </c>
      <c r="B2498" s="1">
        <v>44784.825486111113</v>
      </c>
      <c r="C2498">
        <v>1224</v>
      </c>
      <c r="D2498" t="s">
        <v>56</v>
      </c>
      <c r="E2498" t="s">
        <v>35</v>
      </c>
      <c r="F2498" t="s">
        <v>57</v>
      </c>
      <c r="G2498">
        <v>42.938034000000002</v>
      </c>
      <c r="H2498">
        <v>-72.259299999999996</v>
      </c>
      <c r="I2498">
        <v>792</v>
      </c>
      <c r="J2498">
        <v>88</v>
      </c>
      <c r="K2498">
        <v>0</v>
      </c>
      <c r="L2498" s="1">
        <v>44784.827106481483</v>
      </c>
      <c r="M2498">
        <v>7.1</v>
      </c>
      <c r="N2498">
        <v>0</v>
      </c>
      <c r="O2498">
        <v>7.1</v>
      </c>
      <c r="P2498">
        <v>200</v>
      </c>
      <c r="Q2498">
        <v>0</v>
      </c>
      <c r="R2498">
        <v>0</v>
      </c>
      <c r="S2498">
        <v>0</v>
      </c>
      <c r="T2498" t="s">
        <v>43</v>
      </c>
      <c r="V2498">
        <v>45</v>
      </c>
      <c r="W2498">
        <v>0</v>
      </c>
      <c r="X2498">
        <v>45</v>
      </c>
      <c r="Y2498">
        <v>0</v>
      </c>
      <c r="Z2498">
        <v>0</v>
      </c>
      <c r="AA2498">
        <v>0</v>
      </c>
      <c r="AB2498" t="s">
        <v>36</v>
      </c>
      <c r="AC2498">
        <v>45</v>
      </c>
    </row>
    <row r="2499" spans="1:30" x14ac:dyDescent="0.25">
      <c r="A2499" s="1">
        <v>44784.827210648145</v>
      </c>
      <c r="B2499" s="1">
        <v>44784.826319444444</v>
      </c>
      <c r="C2499">
        <v>1202</v>
      </c>
      <c r="D2499" t="s">
        <v>58</v>
      </c>
      <c r="E2499" t="s">
        <v>35</v>
      </c>
      <c r="F2499" t="s">
        <v>57</v>
      </c>
      <c r="G2499">
        <v>42.936554000000001</v>
      </c>
      <c r="H2499">
        <v>-72.271019999999993</v>
      </c>
      <c r="I2499">
        <v>488</v>
      </c>
      <c r="J2499">
        <v>0</v>
      </c>
      <c r="K2499">
        <v>0</v>
      </c>
      <c r="L2499" s="1">
        <v>44784.827106481483</v>
      </c>
      <c r="M2499">
        <v>8.1</v>
      </c>
      <c r="N2499">
        <v>7.5</v>
      </c>
      <c r="O2499">
        <v>0.6</v>
      </c>
      <c r="P2499">
        <v>8</v>
      </c>
      <c r="Q2499">
        <v>0.1</v>
      </c>
      <c r="R2499">
        <v>0.2</v>
      </c>
      <c r="S2499">
        <v>0.15</v>
      </c>
      <c r="T2499" t="s">
        <v>33</v>
      </c>
      <c r="U2499">
        <v>7.8</v>
      </c>
      <c r="V2499">
        <v>0</v>
      </c>
      <c r="W2499">
        <v>0</v>
      </c>
      <c r="X2499">
        <v>0</v>
      </c>
      <c r="Y2499">
        <v>0</v>
      </c>
      <c r="Z2499">
        <v>0</v>
      </c>
      <c r="AA2499">
        <v>0</v>
      </c>
      <c r="AB2499" t="s">
        <v>38</v>
      </c>
    </row>
    <row r="2500" spans="1:30" x14ac:dyDescent="0.25">
      <c r="A2500" s="1">
        <v>44784.827210648145</v>
      </c>
      <c r="B2500" s="1">
        <v>44612.080023148148</v>
      </c>
      <c r="C2500">
        <v>25985</v>
      </c>
      <c r="D2500" t="s">
        <v>59</v>
      </c>
      <c r="E2500" t="s">
        <v>35</v>
      </c>
      <c r="F2500">
        <v>6.01</v>
      </c>
      <c r="G2500">
        <v>42.927326000000001</v>
      </c>
      <c r="H2500">
        <v>-72.279979999999995</v>
      </c>
      <c r="I2500">
        <v>477</v>
      </c>
      <c r="J2500">
        <v>78</v>
      </c>
      <c r="K2500">
        <v>0</v>
      </c>
      <c r="L2500" s="1">
        <v>44784.827106481483</v>
      </c>
      <c r="M2500">
        <v>1.1000000000000001</v>
      </c>
      <c r="N2500">
        <v>1</v>
      </c>
      <c r="O2500">
        <v>0.1</v>
      </c>
      <c r="P2500">
        <v>10</v>
      </c>
      <c r="Q2500">
        <v>0</v>
      </c>
      <c r="R2500">
        <v>0</v>
      </c>
      <c r="S2500">
        <v>0</v>
      </c>
      <c r="T2500" t="s">
        <v>32</v>
      </c>
      <c r="V2500">
        <v>22</v>
      </c>
      <c r="W2500">
        <v>0</v>
      </c>
      <c r="X2500">
        <v>22</v>
      </c>
      <c r="Y2500">
        <v>0</v>
      </c>
      <c r="Z2500">
        <v>0</v>
      </c>
      <c r="AA2500">
        <v>0</v>
      </c>
      <c r="AB2500" t="s">
        <v>36</v>
      </c>
      <c r="AC2500">
        <v>22</v>
      </c>
    </row>
    <row r="2501" spans="1:30" x14ac:dyDescent="0.25">
      <c r="A2501" s="1">
        <v>44784.834062499998</v>
      </c>
      <c r="B2501" s="1">
        <v>44775.701319444444</v>
      </c>
      <c r="C2501">
        <v>151708</v>
      </c>
      <c r="D2501" t="s">
        <v>30</v>
      </c>
      <c r="E2501" t="s">
        <v>31</v>
      </c>
      <c r="F2501">
        <v>7</v>
      </c>
      <c r="G2501">
        <v>43.192042999999998</v>
      </c>
      <c r="H2501">
        <v>-71.541579999999996</v>
      </c>
      <c r="I2501">
        <v>291</v>
      </c>
      <c r="J2501">
        <v>93</v>
      </c>
      <c r="K2501">
        <v>94</v>
      </c>
      <c r="L2501" s="1">
        <v>44784.834050925929</v>
      </c>
      <c r="M2501">
        <v>7.9</v>
      </c>
      <c r="N2501">
        <v>7.6</v>
      </c>
      <c r="O2501">
        <v>0.3</v>
      </c>
      <c r="P2501">
        <v>4</v>
      </c>
      <c r="Q2501">
        <v>0</v>
      </c>
      <c r="R2501">
        <v>0</v>
      </c>
      <c r="S2501">
        <v>0</v>
      </c>
      <c r="T2501" t="s">
        <v>32</v>
      </c>
      <c r="V2501">
        <v>42</v>
      </c>
      <c r="W2501">
        <v>41</v>
      </c>
      <c r="X2501">
        <v>1</v>
      </c>
      <c r="Y2501">
        <v>0</v>
      </c>
      <c r="Z2501">
        <v>0</v>
      </c>
      <c r="AA2501">
        <v>0</v>
      </c>
      <c r="AB2501" t="s">
        <v>33</v>
      </c>
      <c r="AC2501">
        <v>41.5</v>
      </c>
    </row>
    <row r="2502" spans="1:30" x14ac:dyDescent="0.25">
      <c r="A2502" s="1">
        <v>44784.834062499998</v>
      </c>
      <c r="B2502" s="1">
        <v>44784.832465277781</v>
      </c>
      <c r="C2502">
        <v>143456</v>
      </c>
      <c r="D2502" t="s">
        <v>34</v>
      </c>
      <c r="E2502" t="s">
        <v>35</v>
      </c>
      <c r="F2502">
        <v>7</v>
      </c>
      <c r="G2502">
        <v>43.08963</v>
      </c>
      <c r="H2502">
        <v>-71.502440000000007</v>
      </c>
      <c r="I2502">
        <v>619</v>
      </c>
      <c r="J2502">
        <v>76</v>
      </c>
      <c r="K2502">
        <v>0</v>
      </c>
      <c r="L2502" s="1">
        <v>44784.834050925929</v>
      </c>
      <c r="M2502">
        <v>3.7</v>
      </c>
      <c r="N2502">
        <v>4</v>
      </c>
      <c r="O2502">
        <v>0.3</v>
      </c>
      <c r="P2502">
        <v>8</v>
      </c>
      <c r="Q2502">
        <v>0</v>
      </c>
      <c r="R2502">
        <v>0</v>
      </c>
      <c r="S2502">
        <v>0</v>
      </c>
      <c r="T2502" t="s">
        <v>33</v>
      </c>
      <c r="U2502">
        <v>3.85</v>
      </c>
      <c r="V2502">
        <v>56</v>
      </c>
      <c r="W2502">
        <v>0</v>
      </c>
      <c r="X2502">
        <v>56</v>
      </c>
      <c r="Y2502">
        <v>0</v>
      </c>
      <c r="Z2502">
        <v>0</v>
      </c>
      <c r="AA2502">
        <v>0</v>
      </c>
      <c r="AB2502" t="s">
        <v>36</v>
      </c>
      <c r="AC2502">
        <v>56</v>
      </c>
      <c r="AD2502">
        <v>0.59</v>
      </c>
    </row>
    <row r="2503" spans="1:30" x14ac:dyDescent="0.25">
      <c r="A2503" s="1">
        <v>44784.834062499998</v>
      </c>
      <c r="B2503" s="1">
        <v>44784.832604166666</v>
      </c>
      <c r="C2503">
        <v>151702</v>
      </c>
      <c r="D2503" t="s">
        <v>37</v>
      </c>
      <c r="E2503" t="s">
        <v>31</v>
      </c>
      <c r="F2503">
        <v>7</v>
      </c>
      <c r="G2503">
        <v>43.118609999999997</v>
      </c>
      <c r="H2503">
        <v>-71.61618</v>
      </c>
      <c r="I2503">
        <v>885</v>
      </c>
      <c r="J2503">
        <v>0</v>
      </c>
      <c r="K2503">
        <v>0</v>
      </c>
      <c r="L2503" s="1">
        <v>44784.834050925929</v>
      </c>
      <c r="M2503">
        <v>4.2</v>
      </c>
      <c r="N2503">
        <v>4.2</v>
      </c>
      <c r="O2503">
        <v>0</v>
      </c>
      <c r="P2503">
        <v>0</v>
      </c>
      <c r="Q2503">
        <v>0</v>
      </c>
      <c r="R2503">
        <v>0</v>
      </c>
      <c r="S2503">
        <v>0</v>
      </c>
      <c r="T2503" t="s">
        <v>33</v>
      </c>
      <c r="U2503">
        <v>4.2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 t="s">
        <v>38</v>
      </c>
    </row>
    <row r="2504" spans="1:30" x14ac:dyDescent="0.25">
      <c r="A2504" s="1">
        <v>44784.834074074075</v>
      </c>
      <c r="B2504" s="1">
        <v>44784.832511574074</v>
      </c>
      <c r="C2504">
        <v>151700</v>
      </c>
      <c r="D2504" t="s">
        <v>30</v>
      </c>
      <c r="E2504" t="s">
        <v>31</v>
      </c>
      <c r="F2504">
        <v>7</v>
      </c>
      <c r="G2504">
        <v>43.19211</v>
      </c>
      <c r="H2504">
        <v>-71.541460000000001</v>
      </c>
      <c r="I2504">
        <v>286</v>
      </c>
      <c r="J2504">
        <v>82</v>
      </c>
      <c r="K2504">
        <v>0</v>
      </c>
      <c r="L2504" s="1">
        <v>44784.834050925929</v>
      </c>
      <c r="M2504">
        <v>5</v>
      </c>
      <c r="N2504">
        <v>5.8</v>
      </c>
      <c r="O2504">
        <v>0.8</v>
      </c>
      <c r="P2504">
        <v>15</v>
      </c>
      <c r="Q2504">
        <v>0.9</v>
      </c>
      <c r="R2504">
        <v>1.1000000000000001</v>
      </c>
      <c r="S2504">
        <v>1</v>
      </c>
      <c r="T2504" t="s">
        <v>33</v>
      </c>
      <c r="U2504">
        <v>5.4</v>
      </c>
      <c r="V2504">
        <v>50</v>
      </c>
      <c r="W2504">
        <v>0</v>
      </c>
      <c r="X2504">
        <v>50</v>
      </c>
      <c r="Y2504">
        <v>2</v>
      </c>
      <c r="Z2504">
        <v>0</v>
      </c>
      <c r="AA2504">
        <v>2</v>
      </c>
      <c r="AB2504" t="s">
        <v>36</v>
      </c>
      <c r="AC2504">
        <v>50</v>
      </c>
      <c r="AD2504">
        <v>1.95</v>
      </c>
    </row>
    <row r="2505" spans="1:30" x14ac:dyDescent="0.25">
      <c r="A2505" s="1">
        <v>44784.834074074075</v>
      </c>
      <c r="B2505" s="1">
        <v>44784.832951388889</v>
      </c>
      <c r="C2505">
        <v>135984</v>
      </c>
      <c r="D2505" t="s">
        <v>39</v>
      </c>
      <c r="E2505" t="s">
        <v>31</v>
      </c>
      <c r="F2505">
        <v>7</v>
      </c>
      <c r="G2505">
        <v>43.565852999999997</v>
      </c>
      <c r="H2505">
        <v>-71.496129999999994</v>
      </c>
      <c r="I2505">
        <v>708</v>
      </c>
      <c r="J2505">
        <v>78</v>
      </c>
      <c r="K2505">
        <v>0</v>
      </c>
      <c r="L2505" s="1">
        <v>44784.834050925929</v>
      </c>
      <c r="M2505">
        <v>4.4000000000000004</v>
      </c>
      <c r="N2505">
        <v>4.0999999999999996</v>
      </c>
      <c r="O2505">
        <v>0.3</v>
      </c>
      <c r="P2505">
        <v>7</v>
      </c>
      <c r="Q2505">
        <v>0</v>
      </c>
      <c r="R2505">
        <v>0</v>
      </c>
      <c r="S2505">
        <v>0</v>
      </c>
      <c r="T2505" t="s">
        <v>33</v>
      </c>
      <c r="U2505">
        <v>4.25</v>
      </c>
      <c r="V2505">
        <v>69</v>
      </c>
      <c r="W2505">
        <v>0</v>
      </c>
      <c r="X2505">
        <v>69</v>
      </c>
      <c r="Y2505">
        <v>0</v>
      </c>
      <c r="Z2505">
        <v>0</v>
      </c>
      <c r="AA2505">
        <v>0</v>
      </c>
      <c r="AB2505" t="s">
        <v>36</v>
      </c>
      <c r="AC2505">
        <v>69</v>
      </c>
      <c r="AD2505">
        <v>-0.08</v>
      </c>
    </row>
    <row r="2506" spans="1:30" x14ac:dyDescent="0.25">
      <c r="A2506" s="1">
        <v>44784.834085648145</v>
      </c>
      <c r="B2506" s="1">
        <v>44780.394780092596</v>
      </c>
      <c r="C2506">
        <v>151712</v>
      </c>
      <c r="D2506" t="s">
        <v>40</v>
      </c>
      <c r="E2506" t="s">
        <v>31</v>
      </c>
      <c r="F2506">
        <v>7</v>
      </c>
      <c r="G2506">
        <v>43.289763999999998</v>
      </c>
      <c r="H2506">
        <v>-71.564260000000004</v>
      </c>
      <c r="I2506">
        <v>370</v>
      </c>
      <c r="J2506">
        <v>86</v>
      </c>
      <c r="K2506">
        <v>0</v>
      </c>
      <c r="L2506" s="1">
        <v>44784.834050925929</v>
      </c>
      <c r="M2506">
        <v>14</v>
      </c>
      <c r="N2506">
        <v>13.2</v>
      </c>
      <c r="O2506">
        <v>0.8</v>
      </c>
      <c r="P2506">
        <v>6</v>
      </c>
      <c r="Q2506">
        <v>0</v>
      </c>
      <c r="R2506">
        <v>0</v>
      </c>
      <c r="S2506">
        <v>0</v>
      </c>
      <c r="T2506" t="s">
        <v>32</v>
      </c>
      <c r="V2506">
        <v>59</v>
      </c>
      <c r="W2506">
        <v>0</v>
      </c>
      <c r="X2506">
        <v>59</v>
      </c>
      <c r="Y2506">
        <v>0</v>
      </c>
      <c r="Z2506">
        <v>0</v>
      </c>
      <c r="AA2506">
        <v>0</v>
      </c>
      <c r="AB2506" t="s">
        <v>36</v>
      </c>
      <c r="AC2506">
        <v>59</v>
      </c>
    </row>
    <row r="2507" spans="1:30" x14ac:dyDescent="0.25">
      <c r="A2507" s="1">
        <v>44784.834085648145</v>
      </c>
      <c r="B2507" s="1">
        <v>44784.832280092596</v>
      </c>
      <c r="C2507">
        <v>151710</v>
      </c>
      <c r="D2507" t="s">
        <v>41</v>
      </c>
      <c r="E2507" t="s">
        <v>31</v>
      </c>
      <c r="F2507">
        <v>7</v>
      </c>
      <c r="G2507">
        <v>43.132477000000002</v>
      </c>
      <c r="H2507">
        <v>-71.458374000000006</v>
      </c>
      <c r="I2507">
        <v>230</v>
      </c>
      <c r="J2507">
        <v>80</v>
      </c>
      <c r="K2507">
        <v>0</v>
      </c>
      <c r="L2507" s="1">
        <v>44784.834050925929</v>
      </c>
      <c r="M2507">
        <v>5.6</v>
      </c>
      <c r="N2507">
        <v>4.5</v>
      </c>
      <c r="O2507">
        <v>1.1000000000000001</v>
      </c>
      <c r="P2507">
        <v>22</v>
      </c>
      <c r="Q2507">
        <v>0.2</v>
      </c>
      <c r="R2507">
        <v>0.3</v>
      </c>
      <c r="S2507">
        <v>0.25</v>
      </c>
      <c r="T2507" t="s">
        <v>33</v>
      </c>
      <c r="U2507">
        <v>5.05</v>
      </c>
      <c r="V2507">
        <v>52</v>
      </c>
      <c r="W2507">
        <v>0</v>
      </c>
      <c r="X2507">
        <v>52</v>
      </c>
      <c r="Y2507">
        <v>2</v>
      </c>
      <c r="Z2507">
        <v>0</v>
      </c>
      <c r="AA2507">
        <v>2</v>
      </c>
      <c r="AB2507" t="s">
        <v>36</v>
      </c>
      <c r="AC2507">
        <v>52</v>
      </c>
      <c r="AD2507">
        <v>1.6</v>
      </c>
    </row>
    <row r="2508" spans="1:30" x14ac:dyDescent="0.25">
      <c r="A2508" s="1">
        <v>44784.834085648145</v>
      </c>
      <c r="B2508" s="1">
        <v>44784.833287037036</v>
      </c>
      <c r="C2508">
        <v>151706</v>
      </c>
      <c r="D2508" t="s">
        <v>42</v>
      </c>
      <c r="E2508" t="s">
        <v>31</v>
      </c>
      <c r="F2508">
        <v>7</v>
      </c>
      <c r="G2508">
        <v>43.004080000000002</v>
      </c>
      <c r="H2508">
        <v>-71.177040000000005</v>
      </c>
      <c r="I2508">
        <v>194</v>
      </c>
      <c r="J2508">
        <v>80</v>
      </c>
      <c r="K2508">
        <v>0</v>
      </c>
      <c r="L2508" s="1">
        <v>44784.834050925929</v>
      </c>
      <c r="M2508">
        <v>10.9</v>
      </c>
      <c r="N2508">
        <v>0</v>
      </c>
      <c r="O2508">
        <v>10.9</v>
      </c>
      <c r="P2508">
        <v>200</v>
      </c>
      <c r="Q2508">
        <v>0.2</v>
      </c>
      <c r="R2508">
        <v>0</v>
      </c>
      <c r="S2508">
        <v>0.1</v>
      </c>
      <c r="T2508" t="s">
        <v>43</v>
      </c>
      <c r="V2508">
        <v>60</v>
      </c>
      <c r="W2508">
        <v>0</v>
      </c>
      <c r="X2508">
        <v>60</v>
      </c>
      <c r="Y2508">
        <v>1</v>
      </c>
      <c r="Z2508">
        <v>0</v>
      </c>
      <c r="AA2508">
        <v>1</v>
      </c>
      <c r="AB2508" t="s">
        <v>36</v>
      </c>
      <c r="AC2508">
        <v>60</v>
      </c>
    </row>
    <row r="2509" spans="1:30" x14ac:dyDescent="0.25">
      <c r="A2509" s="1">
        <v>44784.834097222221</v>
      </c>
      <c r="B2509" s="1">
        <v>44784.833101851851</v>
      </c>
      <c r="C2509">
        <v>12212</v>
      </c>
      <c r="D2509" t="s">
        <v>44</v>
      </c>
      <c r="E2509" t="s">
        <v>35</v>
      </c>
      <c r="F2509">
        <v>7</v>
      </c>
      <c r="G2509">
        <v>42.930529999999997</v>
      </c>
      <c r="H2509">
        <v>-72.272350000000003</v>
      </c>
      <c r="I2509">
        <v>476</v>
      </c>
      <c r="J2509">
        <v>85</v>
      </c>
      <c r="K2509">
        <v>0</v>
      </c>
      <c r="L2509" s="1">
        <v>44784.834050925929</v>
      </c>
      <c r="M2509">
        <v>6.9</v>
      </c>
      <c r="N2509">
        <v>6</v>
      </c>
      <c r="O2509">
        <v>0.9</v>
      </c>
      <c r="P2509">
        <v>14</v>
      </c>
      <c r="Q2509">
        <v>0.6</v>
      </c>
      <c r="R2509">
        <v>0.6</v>
      </c>
      <c r="S2509">
        <v>0.6</v>
      </c>
      <c r="T2509" t="s">
        <v>33</v>
      </c>
      <c r="U2509">
        <v>6.45</v>
      </c>
      <c r="V2509">
        <v>41</v>
      </c>
      <c r="W2509">
        <v>0</v>
      </c>
      <c r="X2509">
        <v>41</v>
      </c>
      <c r="Y2509">
        <v>3</v>
      </c>
      <c r="Z2509">
        <v>0</v>
      </c>
      <c r="AA2509">
        <v>3</v>
      </c>
      <c r="AB2509" t="s">
        <v>36</v>
      </c>
      <c r="AC2509">
        <v>41</v>
      </c>
      <c r="AD2509">
        <v>3.22</v>
      </c>
    </row>
    <row r="2510" spans="1:30" x14ac:dyDescent="0.25">
      <c r="A2510" s="1">
        <v>44784.834097222221</v>
      </c>
      <c r="B2510" s="1">
        <v>44769.376736111109</v>
      </c>
      <c r="C2510">
        <v>12178</v>
      </c>
      <c r="D2510" t="s">
        <v>45</v>
      </c>
      <c r="E2510" t="s">
        <v>35</v>
      </c>
      <c r="F2510">
        <v>7</v>
      </c>
      <c r="G2510">
        <v>42.899563000000001</v>
      </c>
      <c r="H2510">
        <v>-71.464650000000006</v>
      </c>
      <c r="I2510">
        <v>301</v>
      </c>
      <c r="J2510">
        <v>85</v>
      </c>
      <c r="K2510">
        <v>0</v>
      </c>
      <c r="L2510" s="1">
        <v>44784.834050925929</v>
      </c>
      <c r="M2510">
        <v>3.8</v>
      </c>
      <c r="N2510">
        <v>3.1</v>
      </c>
      <c r="O2510">
        <v>0.7</v>
      </c>
      <c r="P2510">
        <v>20</v>
      </c>
      <c r="Q2510">
        <v>0</v>
      </c>
      <c r="R2510">
        <v>0</v>
      </c>
      <c r="S2510">
        <v>0</v>
      </c>
      <c r="T2510" t="s">
        <v>32</v>
      </c>
      <c r="V2510">
        <v>35</v>
      </c>
      <c r="W2510">
        <v>0</v>
      </c>
      <c r="X2510">
        <v>35</v>
      </c>
      <c r="Y2510">
        <v>0</v>
      </c>
      <c r="Z2510">
        <v>0</v>
      </c>
      <c r="AA2510">
        <v>0</v>
      </c>
      <c r="AB2510" t="s">
        <v>36</v>
      </c>
      <c r="AC2510">
        <v>35</v>
      </c>
    </row>
    <row r="2511" spans="1:30" x14ac:dyDescent="0.25">
      <c r="A2511" s="1">
        <v>44784.834108796298</v>
      </c>
      <c r="B2511" s="1">
        <v>44784.832361111112</v>
      </c>
      <c r="C2511">
        <v>75981</v>
      </c>
      <c r="D2511" t="s">
        <v>46</v>
      </c>
      <c r="E2511" t="s">
        <v>35</v>
      </c>
      <c r="F2511">
        <v>7</v>
      </c>
      <c r="G2511">
        <v>42.97</v>
      </c>
      <c r="H2511">
        <v>-71.06</v>
      </c>
      <c r="I2511">
        <v>136</v>
      </c>
      <c r="J2511">
        <v>84</v>
      </c>
      <c r="K2511">
        <v>0</v>
      </c>
      <c r="L2511" s="1">
        <v>44784.834050925929</v>
      </c>
      <c r="M2511">
        <v>11</v>
      </c>
      <c r="N2511">
        <v>10.7</v>
      </c>
      <c r="O2511">
        <v>0.3</v>
      </c>
      <c r="P2511">
        <v>3</v>
      </c>
      <c r="Q2511">
        <v>0.1</v>
      </c>
      <c r="R2511">
        <v>0.2</v>
      </c>
      <c r="S2511">
        <v>0.15</v>
      </c>
      <c r="T2511" t="s">
        <v>33</v>
      </c>
      <c r="U2511">
        <v>10.85</v>
      </c>
      <c r="V2511">
        <v>53</v>
      </c>
      <c r="W2511">
        <v>0</v>
      </c>
      <c r="X2511">
        <v>53</v>
      </c>
      <c r="Y2511">
        <v>1</v>
      </c>
      <c r="Z2511">
        <v>0</v>
      </c>
      <c r="AA2511">
        <v>1</v>
      </c>
      <c r="AB2511" t="s">
        <v>36</v>
      </c>
      <c r="AC2511">
        <v>53</v>
      </c>
      <c r="AD2511">
        <v>5.07</v>
      </c>
    </row>
    <row r="2512" spans="1:30" x14ac:dyDescent="0.25">
      <c r="A2512" s="1">
        <v>44784.834108796298</v>
      </c>
      <c r="B2512" s="1">
        <v>44784.832905092589</v>
      </c>
      <c r="C2512">
        <v>115703</v>
      </c>
      <c r="D2512" t="s">
        <v>47</v>
      </c>
      <c r="E2512" t="s">
        <v>35</v>
      </c>
      <c r="F2512">
        <v>7</v>
      </c>
      <c r="G2512">
        <v>43.953625000000002</v>
      </c>
      <c r="H2512">
        <v>-71.508859999999999</v>
      </c>
      <c r="I2512">
        <v>1493</v>
      </c>
      <c r="J2512">
        <v>78</v>
      </c>
      <c r="K2512">
        <v>0</v>
      </c>
      <c r="L2512" s="1">
        <v>44784.834050925929</v>
      </c>
      <c r="M2512">
        <v>0.4</v>
      </c>
      <c r="N2512">
        <v>135.19999999999999</v>
      </c>
      <c r="O2512">
        <v>134.80000000000001</v>
      </c>
      <c r="P2512">
        <v>199</v>
      </c>
      <c r="Q2512">
        <v>0</v>
      </c>
      <c r="R2512">
        <v>37.9</v>
      </c>
      <c r="S2512">
        <v>18.95</v>
      </c>
      <c r="T2512" t="s">
        <v>60</v>
      </c>
      <c r="V2512">
        <v>40</v>
      </c>
      <c r="W2512">
        <v>0</v>
      </c>
      <c r="X2512">
        <v>40</v>
      </c>
      <c r="Y2512">
        <v>5</v>
      </c>
      <c r="Z2512">
        <v>0</v>
      </c>
      <c r="AA2512">
        <v>5</v>
      </c>
      <c r="AB2512" t="s">
        <v>36</v>
      </c>
      <c r="AC2512">
        <v>40</v>
      </c>
    </row>
    <row r="2513" spans="1:30" x14ac:dyDescent="0.25">
      <c r="A2513" s="1">
        <v>44784.834108796298</v>
      </c>
      <c r="B2513" s="1">
        <v>44784.832326388889</v>
      </c>
      <c r="C2513">
        <v>12050</v>
      </c>
      <c r="D2513" t="s">
        <v>49</v>
      </c>
      <c r="E2513" t="s">
        <v>35</v>
      </c>
      <c r="F2513">
        <v>7</v>
      </c>
      <c r="G2513">
        <v>44.220573000000002</v>
      </c>
      <c r="H2513">
        <v>-71.732315</v>
      </c>
      <c r="I2513">
        <v>999</v>
      </c>
      <c r="J2513">
        <v>78</v>
      </c>
      <c r="K2513">
        <v>0</v>
      </c>
      <c r="L2513" s="1">
        <v>44784.834050925929</v>
      </c>
      <c r="M2513">
        <v>6</v>
      </c>
      <c r="N2513">
        <v>5.5</v>
      </c>
      <c r="O2513">
        <v>0.5</v>
      </c>
      <c r="P2513">
        <v>9</v>
      </c>
      <c r="Q2513">
        <v>0.2</v>
      </c>
      <c r="R2513">
        <v>0.1</v>
      </c>
      <c r="S2513">
        <v>0.15</v>
      </c>
      <c r="T2513" t="s">
        <v>33</v>
      </c>
      <c r="U2513">
        <v>5.75</v>
      </c>
      <c r="V2513">
        <v>57</v>
      </c>
      <c r="W2513">
        <v>0</v>
      </c>
      <c r="X2513">
        <v>57</v>
      </c>
      <c r="Y2513">
        <v>2</v>
      </c>
      <c r="Z2513">
        <v>0</v>
      </c>
      <c r="AA2513">
        <v>2</v>
      </c>
      <c r="AB2513" t="s">
        <v>36</v>
      </c>
      <c r="AC2513">
        <v>57</v>
      </c>
      <c r="AD2513">
        <v>1.68</v>
      </c>
    </row>
    <row r="2514" spans="1:30" x14ac:dyDescent="0.25">
      <c r="A2514" s="1">
        <v>44784.834120370368</v>
      </c>
      <c r="B2514" s="1">
        <v>44784.832442129627</v>
      </c>
      <c r="C2514">
        <v>23443</v>
      </c>
      <c r="D2514" t="s">
        <v>50</v>
      </c>
      <c r="E2514" t="s">
        <v>35</v>
      </c>
      <c r="F2514">
        <v>7</v>
      </c>
      <c r="G2514">
        <v>43.556139999999999</v>
      </c>
      <c r="H2514">
        <v>-72.370990000000006</v>
      </c>
      <c r="I2514">
        <v>523</v>
      </c>
      <c r="J2514">
        <v>75</v>
      </c>
      <c r="K2514">
        <v>0</v>
      </c>
      <c r="L2514" s="1">
        <v>44784.834050925929</v>
      </c>
      <c r="M2514">
        <v>6.2</v>
      </c>
      <c r="N2514">
        <v>5.4</v>
      </c>
      <c r="O2514">
        <v>0.8</v>
      </c>
      <c r="P2514">
        <v>14</v>
      </c>
      <c r="Q2514">
        <v>0.1</v>
      </c>
      <c r="R2514">
        <v>0.1</v>
      </c>
      <c r="S2514">
        <v>0.1</v>
      </c>
      <c r="T2514" t="s">
        <v>33</v>
      </c>
      <c r="U2514">
        <v>5.8</v>
      </c>
      <c r="V2514">
        <v>65</v>
      </c>
      <c r="W2514">
        <v>0</v>
      </c>
      <c r="X2514">
        <v>65</v>
      </c>
      <c r="Y2514">
        <v>1</v>
      </c>
      <c r="Z2514">
        <v>0</v>
      </c>
      <c r="AA2514">
        <v>1</v>
      </c>
      <c r="AB2514" t="s">
        <v>36</v>
      </c>
      <c r="AC2514">
        <v>65</v>
      </c>
      <c r="AD2514">
        <v>1.1499999999999999</v>
      </c>
    </row>
    <row r="2515" spans="1:30" x14ac:dyDescent="0.25">
      <c r="A2515" s="1">
        <v>44784.834120370368</v>
      </c>
      <c r="B2515" s="1">
        <v>44784.832546296297</v>
      </c>
      <c r="C2515">
        <v>58135</v>
      </c>
      <c r="D2515" t="s">
        <v>51</v>
      </c>
      <c r="E2515" t="s">
        <v>35</v>
      </c>
      <c r="F2515">
        <v>7</v>
      </c>
      <c r="G2515">
        <v>42.883873000000001</v>
      </c>
      <c r="H2515">
        <v>-71.972915999999998</v>
      </c>
      <c r="I2515">
        <v>808</v>
      </c>
      <c r="J2515">
        <v>77</v>
      </c>
      <c r="K2515">
        <v>0</v>
      </c>
      <c r="L2515" s="1">
        <v>44784.834050925929</v>
      </c>
      <c r="M2515">
        <v>5.8</v>
      </c>
      <c r="N2515">
        <v>4</v>
      </c>
      <c r="O2515">
        <v>1.8</v>
      </c>
      <c r="P2515">
        <v>37</v>
      </c>
      <c r="Q2515">
        <v>0.1</v>
      </c>
      <c r="R2515">
        <v>0.2</v>
      </c>
      <c r="S2515">
        <v>0.15</v>
      </c>
      <c r="T2515" t="s">
        <v>33</v>
      </c>
      <c r="U2515">
        <v>4.9000000000000004</v>
      </c>
      <c r="V2515">
        <v>61</v>
      </c>
      <c r="W2515">
        <v>0</v>
      </c>
      <c r="X2515">
        <v>61</v>
      </c>
      <c r="Y2515">
        <v>1</v>
      </c>
      <c r="Z2515">
        <v>0</v>
      </c>
      <c r="AA2515">
        <v>1</v>
      </c>
      <c r="AB2515" t="s">
        <v>36</v>
      </c>
      <c r="AC2515">
        <v>61</v>
      </c>
      <c r="AD2515">
        <v>0.88</v>
      </c>
    </row>
    <row r="2516" spans="1:30" x14ac:dyDescent="0.25">
      <c r="A2516" s="1">
        <v>44784.834131944444</v>
      </c>
      <c r="B2516" s="1">
        <v>44784.83253472222</v>
      </c>
      <c r="C2516">
        <v>148555</v>
      </c>
      <c r="D2516" t="s">
        <v>52</v>
      </c>
      <c r="E2516" t="s">
        <v>53</v>
      </c>
      <c r="F2516">
        <v>7</v>
      </c>
      <c r="G2516">
        <v>42.904949999999999</v>
      </c>
      <c r="H2516">
        <v>-71.386764999999997</v>
      </c>
      <c r="I2516">
        <v>363</v>
      </c>
      <c r="J2516">
        <v>0</v>
      </c>
      <c r="K2516">
        <v>0</v>
      </c>
      <c r="L2516" s="1">
        <v>44784.834050925929</v>
      </c>
      <c r="M2516">
        <v>2.1</v>
      </c>
      <c r="N2516">
        <v>2.6</v>
      </c>
      <c r="O2516">
        <v>0.5</v>
      </c>
      <c r="P2516">
        <v>21</v>
      </c>
      <c r="Q2516">
        <v>0.1</v>
      </c>
      <c r="R2516">
        <v>0.1</v>
      </c>
      <c r="S2516">
        <v>0.1</v>
      </c>
      <c r="T2516" t="s">
        <v>33</v>
      </c>
      <c r="U2516">
        <v>2.35</v>
      </c>
      <c r="V2516">
        <v>0</v>
      </c>
      <c r="W2516">
        <v>0</v>
      </c>
      <c r="X2516">
        <v>0</v>
      </c>
      <c r="Y2516">
        <v>0</v>
      </c>
      <c r="Z2516">
        <v>0</v>
      </c>
      <c r="AA2516">
        <v>0</v>
      </c>
      <c r="AB2516" t="s">
        <v>38</v>
      </c>
    </row>
    <row r="2517" spans="1:30" x14ac:dyDescent="0.25">
      <c r="A2517" s="1">
        <v>44784.834131944444</v>
      </c>
      <c r="B2517" s="1">
        <v>44784.833425925928</v>
      </c>
      <c r="C2517">
        <v>146644</v>
      </c>
      <c r="D2517" t="s">
        <v>54</v>
      </c>
      <c r="E2517" t="s">
        <v>53</v>
      </c>
      <c r="F2517">
        <v>7</v>
      </c>
      <c r="G2517">
        <v>43.06015</v>
      </c>
      <c r="H2517">
        <v>-70.758930000000007</v>
      </c>
      <c r="I2517">
        <v>35</v>
      </c>
      <c r="J2517">
        <v>72</v>
      </c>
      <c r="K2517">
        <v>73</v>
      </c>
      <c r="L2517" s="1">
        <v>44784.834050925929</v>
      </c>
      <c r="M2517">
        <v>11.4</v>
      </c>
      <c r="N2517">
        <v>10.1</v>
      </c>
      <c r="O2517">
        <v>1.3</v>
      </c>
      <c r="P2517">
        <v>12</v>
      </c>
      <c r="Q2517">
        <v>0.1</v>
      </c>
      <c r="R2517">
        <v>0.1</v>
      </c>
      <c r="S2517">
        <v>0.1</v>
      </c>
      <c r="T2517" t="s">
        <v>33</v>
      </c>
      <c r="U2517">
        <v>10.75</v>
      </c>
      <c r="V2517">
        <v>69</v>
      </c>
      <c r="W2517">
        <v>73</v>
      </c>
      <c r="X2517">
        <v>4</v>
      </c>
      <c r="Y2517">
        <v>0</v>
      </c>
      <c r="Z2517">
        <v>0</v>
      </c>
      <c r="AA2517">
        <v>0</v>
      </c>
      <c r="AB2517" t="s">
        <v>33</v>
      </c>
      <c r="AC2517">
        <v>71</v>
      </c>
      <c r="AD2517">
        <v>3.75</v>
      </c>
    </row>
    <row r="2518" spans="1:30" x14ac:dyDescent="0.25">
      <c r="A2518" s="1">
        <v>44784.834143518521</v>
      </c>
      <c r="B2518" s="1">
        <v>43755.283437500002</v>
      </c>
      <c r="C2518">
        <v>12188</v>
      </c>
      <c r="D2518" t="s">
        <v>55</v>
      </c>
      <c r="E2518" t="s">
        <v>35</v>
      </c>
      <c r="F2518">
        <v>4.1100000000000003</v>
      </c>
      <c r="G2518">
        <v>42.927050000000001</v>
      </c>
      <c r="H2518">
        <v>-72.279610000000005</v>
      </c>
      <c r="I2518">
        <v>475</v>
      </c>
      <c r="J2518">
        <v>95</v>
      </c>
      <c r="K2518">
        <v>0</v>
      </c>
      <c r="L2518" s="1">
        <v>44784.834050925929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 t="s">
        <v>32</v>
      </c>
      <c r="V2518">
        <v>77</v>
      </c>
      <c r="W2518">
        <v>0</v>
      </c>
      <c r="X2518">
        <v>77</v>
      </c>
      <c r="Y2518">
        <v>0</v>
      </c>
      <c r="Z2518">
        <v>0</v>
      </c>
      <c r="AA2518">
        <v>0</v>
      </c>
      <c r="AB2518" t="s">
        <v>36</v>
      </c>
      <c r="AC2518">
        <v>77</v>
      </c>
    </row>
    <row r="2519" spans="1:30" x14ac:dyDescent="0.25">
      <c r="A2519" s="1">
        <v>44784.834143518521</v>
      </c>
      <c r="B2519" s="1">
        <v>44784.832430555558</v>
      </c>
      <c r="C2519">
        <v>1224</v>
      </c>
      <c r="D2519" t="s">
        <v>56</v>
      </c>
      <c r="E2519" t="s">
        <v>35</v>
      </c>
      <c r="F2519" t="s">
        <v>57</v>
      </c>
      <c r="G2519">
        <v>42.938034000000002</v>
      </c>
      <c r="H2519">
        <v>-72.259299999999996</v>
      </c>
      <c r="I2519">
        <v>792</v>
      </c>
      <c r="J2519">
        <v>84</v>
      </c>
      <c r="K2519">
        <v>0</v>
      </c>
      <c r="L2519" s="1">
        <v>44784.834050925929</v>
      </c>
      <c r="M2519">
        <v>6.8</v>
      </c>
      <c r="N2519">
        <v>0.1</v>
      </c>
      <c r="O2519">
        <v>6.7</v>
      </c>
      <c r="P2519">
        <v>194</v>
      </c>
      <c r="Q2519">
        <v>0.3</v>
      </c>
      <c r="R2519">
        <v>0.1</v>
      </c>
      <c r="S2519">
        <v>0.2</v>
      </c>
      <c r="T2519" t="s">
        <v>33</v>
      </c>
      <c r="U2519">
        <v>3.45</v>
      </c>
      <c r="V2519">
        <v>49</v>
      </c>
      <c r="W2519">
        <v>0</v>
      </c>
      <c r="X2519">
        <v>49</v>
      </c>
      <c r="Y2519">
        <v>4</v>
      </c>
      <c r="Z2519">
        <v>0</v>
      </c>
      <c r="AA2519">
        <v>4</v>
      </c>
      <c r="AB2519" t="s">
        <v>36</v>
      </c>
      <c r="AC2519">
        <v>49</v>
      </c>
      <c r="AD2519">
        <v>0.83</v>
      </c>
    </row>
    <row r="2520" spans="1:30" x14ac:dyDescent="0.25">
      <c r="A2520" s="1">
        <v>44784.834143518521</v>
      </c>
      <c r="B2520" s="1">
        <v>44784.83326388889</v>
      </c>
      <c r="C2520">
        <v>1202</v>
      </c>
      <c r="D2520" t="s">
        <v>58</v>
      </c>
      <c r="E2520" t="s">
        <v>35</v>
      </c>
      <c r="F2520" t="s">
        <v>57</v>
      </c>
      <c r="G2520">
        <v>42.936554000000001</v>
      </c>
      <c r="H2520">
        <v>-72.271019999999993</v>
      </c>
      <c r="I2520">
        <v>488</v>
      </c>
      <c r="J2520">
        <v>0</v>
      </c>
      <c r="K2520">
        <v>0</v>
      </c>
      <c r="L2520" s="1">
        <v>44784.834050925929</v>
      </c>
      <c r="M2520">
        <v>7.7</v>
      </c>
      <c r="N2520">
        <v>7</v>
      </c>
      <c r="O2520">
        <v>0.7</v>
      </c>
      <c r="P2520">
        <v>10</v>
      </c>
      <c r="Q2520">
        <v>0.4</v>
      </c>
      <c r="R2520">
        <v>0.5</v>
      </c>
      <c r="S2520">
        <v>0.45</v>
      </c>
      <c r="T2520" t="s">
        <v>33</v>
      </c>
      <c r="U2520">
        <v>7.35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 t="s">
        <v>38</v>
      </c>
    </row>
    <row r="2521" spans="1:30" x14ac:dyDescent="0.25">
      <c r="A2521" s="1">
        <v>44784.834155092591</v>
      </c>
      <c r="B2521" s="1">
        <v>44612.080023148148</v>
      </c>
      <c r="C2521">
        <v>25985</v>
      </c>
      <c r="D2521" t="s">
        <v>59</v>
      </c>
      <c r="E2521" t="s">
        <v>35</v>
      </c>
      <c r="F2521">
        <v>6.01</v>
      </c>
      <c r="G2521">
        <v>42.927326000000001</v>
      </c>
      <c r="H2521">
        <v>-72.279979999999995</v>
      </c>
      <c r="I2521">
        <v>477</v>
      </c>
      <c r="J2521">
        <v>78</v>
      </c>
      <c r="K2521">
        <v>0</v>
      </c>
      <c r="L2521" s="1">
        <v>44784.834050925929</v>
      </c>
      <c r="M2521">
        <v>1.1000000000000001</v>
      </c>
      <c r="N2521">
        <v>1</v>
      </c>
      <c r="O2521">
        <v>0.1</v>
      </c>
      <c r="P2521">
        <v>10</v>
      </c>
      <c r="Q2521">
        <v>0</v>
      </c>
      <c r="R2521">
        <v>0</v>
      </c>
      <c r="S2521">
        <v>0</v>
      </c>
      <c r="T2521" t="s">
        <v>32</v>
      </c>
      <c r="V2521">
        <v>22</v>
      </c>
      <c r="W2521">
        <v>0</v>
      </c>
      <c r="X2521">
        <v>22</v>
      </c>
      <c r="Y2521">
        <v>0</v>
      </c>
      <c r="Z2521">
        <v>0</v>
      </c>
      <c r="AA2521">
        <v>0</v>
      </c>
      <c r="AB2521" t="s">
        <v>36</v>
      </c>
      <c r="AC2521">
        <v>22</v>
      </c>
    </row>
    <row r="2522" spans="1:30" x14ac:dyDescent="0.25">
      <c r="A2522" s="1">
        <v>44784.841006944444</v>
      </c>
      <c r="B2522" s="1">
        <v>44775.701319444444</v>
      </c>
      <c r="C2522">
        <v>151708</v>
      </c>
      <c r="D2522" t="s">
        <v>30</v>
      </c>
      <c r="E2522" t="s">
        <v>31</v>
      </c>
      <c r="F2522">
        <v>7</v>
      </c>
      <c r="G2522">
        <v>43.192042999999998</v>
      </c>
      <c r="H2522">
        <v>-71.541579999999996</v>
      </c>
      <c r="I2522">
        <v>291</v>
      </c>
      <c r="J2522">
        <v>93</v>
      </c>
      <c r="K2522">
        <v>94</v>
      </c>
      <c r="L2522" s="1">
        <v>44784.840995370374</v>
      </c>
      <c r="M2522">
        <v>7.9</v>
      </c>
      <c r="N2522">
        <v>7.6</v>
      </c>
      <c r="O2522">
        <v>0.3</v>
      </c>
      <c r="P2522">
        <v>4</v>
      </c>
      <c r="Q2522">
        <v>0</v>
      </c>
      <c r="R2522">
        <v>0</v>
      </c>
      <c r="S2522">
        <v>0</v>
      </c>
      <c r="T2522" t="s">
        <v>32</v>
      </c>
      <c r="V2522">
        <v>42</v>
      </c>
      <c r="W2522">
        <v>41</v>
      </c>
      <c r="X2522">
        <v>1</v>
      </c>
      <c r="Y2522">
        <v>0</v>
      </c>
      <c r="Z2522">
        <v>0</v>
      </c>
      <c r="AA2522">
        <v>0</v>
      </c>
      <c r="AB2522" t="s">
        <v>33</v>
      </c>
      <c r="AC2522">
        <v>41.5</v>
      </c>
    </row>
    <row r="2523" spans="1:30" x14ac:dyDescent="0.25">
      <c r="A2523" s="1">
        <v>44784.841006944444</v>
      </c>
      <c r="B2523" s="1">
        <v>44784.839409722219</v>
      </c>
      <c r="C2523">
        <v>143456</v>
      </c>
      <c r="D2523" t="s">
        <v>34</v>
      </c>
      <c r="E2523" t="s">
        <v>35</v>
      </c>
      <c r="F2523">
        <v>7</v>
      </c>
      <c r="G2523">
        <v>43.08963</v>
      </c>
      <c r="H2523">
        <v>-71.502440000000007</v>
      </c>
      <c r="I2523">
        <v>619</v>
      </c>
      <c r="J2523">
        <v>76</v>
      </c>
      <c r="K2523">
        <v>0</v>
      </c>
      <c r="L2523" s="1">
        <v>44784.840995370374</v>
      </c>
      <c r="M2523">
        <v>3.7</v>
      </c>
      <c r="N2523">
        <v>4.0999999999999996</v>
      </c>
      <c r="O2523">
        <v>0.4</v>
      </c>
      <c r="P2523">
        <v>10</v>
      </c>
      <c r="Q2523">
        <v>0</v>
      </c>
      <c r="R2523">
        <v>0.1</v>
      </c>
      <c r="S2523">
        <v>0.05</v>
      </c>
      <c r="T2523" t="s">
        <v>33</v>
      </c>
      <c r="U2523">
        <v>3.9</v>
      </c>
      <c r="V2523">
        <v>56</v>
      </c>
      <c r="W2523">
        <v>0</v>
      </c>
      <c r="X2523">
        <v>56</v>
      </c>
      <c r="Y2523">
        <v>0</v>
      </c>
      <c r="Z2523">
        <v>0</v>
      </c>
      <c r="AA2523">
        <v>0</v>
      </c>
      <c r="AB2523" t="s">
        <v>36</v>
      </c>
      <c r="AC2523">
        <v>56</v>
      </c>
      <c r="AD2523">
        <v>0.62</v>
      </c>
    </row>
    <row r="2524" spans="1:30" x14ac:dyDescent="0.25">
      <c r="A2524" s="1">
        <v>44784.84101851852</v>
      </c>
      <c r="B2524" s="1">
        <v>44784.839548611111</v>
      </c>
      <c r="C2524">
        <v>151702</v>
      </c>
      <c r="D2524" t="s">
        <v>37</v>
      </c>
      <c r="E2524" t="s">
        <v>31</v>
      </c>
      <c r="F2524">
        <v>7</v>
      </c>
      <c r="G2524">
        <v>43.118609999999997</v>
      </c>
      <c r="H2524">
        <v>-71.61618</v>
      </c>
      <c r="I2524">
        <v>885</v>
      </c>
      <c r="J2524">
        <v>0</v>
      </c>
      <c r="K2524">
        <v>0</v>
      </c>
      <c r="L2524" s="1">
        <v>44784.840995370374</v>
      </c>
      <c r="M2524">
        <v>4.2</v>
      </c>
      <c r="N2524">
        <v>4.0999999999999996</v>
      </c>
      <c r="O2524">
        <v>0.1</v>
      </c>
      <c r="P2524">
        <v>2</v>
      </c>
      <c r="Q2524">
        <v>0</v>
      </c>
      <c r="R2524">
        <v>0.1</v>
      </c>
      <c r="S2524">
        <v>0.05</v>
      </c>
      <c r="T2524" t="s">
        <v>33</v>
      </c>
      <c r="U2524">
        <v>4.1500000000000004</v>
      </c>
      <c r="V2524">
        <v>0</v>
      </c>
      <c r="W2524">
        <v>0</v>
      </c>
      <c r="X2524">
        <v>0</v>
      </c>
      <c r="Y2524">
        <v>0</v>
      </c>
      <c r="Z2524">
        <v>0</v>
      </c>
      <c r="AA2524">
        <v>0</v>
      </c>
      <c r="AB2524" t="s">
        <v>38</v>
      </c>
    </row>
    <row r="2525" spans="1:30" x14ac:dyDescent="0.25">
      <c r="A2525" s="1">
        <v>44784.84101851852</v>
      </c>
      <c r="B2525" s="1">
        <v>44784.839456018519</v>
      </c>
      <c r="C2525">
        <v>151700</v>
      </c>
      <c r="D2525" t="s">
        <v>30</v>
      </c>
      <c r="E2525" t="s">
        <v>31</v>
      </c>
      <c r="F2525">
        <v>7</v>
      </c>
      <c r="G2525">
        <v>43.19211</v>
      </c>
      <c r="H2525">
        <v>-71.541460000000001</v>
      </c>
      <c r="I2525">
        <v>286</v>
      </c>
      <c r="J2525">
        <v>82</v>
      </c>
      <c r="K2525">
        <v>0</v>
      </c>
      <c r="L2525" s="1">
        <v>44784.840995370374</v>
      </c>
      <c r="M2525">
        <v>5.2</v>
      </c>
      <c r="N2525">
        <v>5.7</v>
      </c>
      <c r="O2525">
        <v>0.5</v>
      </c>
      <c r="P2525">
        <v>9</v>
      </c>
      <c r="Q2525">
        <v>0.2</v>
      </c>
      <c r="R2525">
        <v>0.1</v>
      </c>
      <c r="S2525">
        <v>0.15</v>
      </c>
      <c r="T2525" t="s">
        <v>33</v>
      </c>
      <c r="U2525">
        <v>5.45</v>
      </c>
      <c r="V2525">
        <v>51</v>
      </c>
      <c r="W2525">
        <v>0</v>
      </c>
      <c r="X2525">
        <v>51</v>
      </c>
      <c r="Y2525">
        <v>1</v>
      </c>
      <c r="Z2525">
        <v>0</v>
      </c>
      <c r="AA2525">
        <v>1</v>
      </c>
      <c r="AB2525" t="s">
        <v>36</v>
      </c>
      <c r="AC2525">
        <v>51</v>
      </c>
      <c r="AD2525">
        <v>1.91</v>
      </c>
    </row>
    <row r="2526" spans="1:30" x14ac:dyDescent="0.25">
      <c r="A2526" s="1">
        <v>44784.84101851852</v>
      </c>
      <c r="B2526" s="1">
        <v>44784.839895833335</v>
      </c>
      <c r="C2526">
        <v>135984</v>
      </c>
      <c r="D2526" t="s">
        <v>39</v>
      </c>
      <c r="E2526" t="s">
        <v>31</v>
      </c>
      <c r="F2526">
        <v>7</v>
      </c>
      <c r="G2526">
        <v>43.565852999999997</v>
      </c>
      <c r="H2526">
        <v>-71.496129999999994</v>
      </c>
      <c r="I2526">
        <v>708</v>
      </c>
      <c r="J2526">
        <v>77</v>
      </c>
      <c r="K2526">
        <v>0</v>
      </c>
      <c r="L2526" s="1">
        <v>44784.840995370374</v>
      </c>
      <c r="M2526">
        <v>4.4000000000000004</v>
      </c>
      <c r="N2526">
        <v>4</v>
      </c>
      <c r="O2526">
        <v>0.4</v>
      </c>
      <c r="P2526">
        <v>10</v>
      </c>
      <c r="Q2526">
        <v>0</v>
      </c>
      <c r="R2526">
        <v>0.1</v>
      </c>
      <c r="S2526">
        <v>0.05</v>
      </c>
      <c r="T2526" t="s">
        <v>33</v>
      </c>
      <c r="U2526">
        <v>4.2</v>
      </c>
      <c r="V2526">
        <v>64</v>
      </c>
      <c r="W2526">
        <v>0</v>
      </c>
      <c r="X2526">
        <v>64</v>
      </c>
      <c r="Y2526">
        <v>5</v>
      </c>
      <c r="Z2526">
        <v>0</v>
      </c>
      <c r="AA2526">
        <v>5</v>
      </c>
      <c r="AB2526" t="s">
        <v>36</v>
      </c>
      <c r="AC2526">
        <v>64</v>
      </c>
      <c r="AD2526">
        <v>0.24</v>
      </c>
    </row>
    <row r="2527" spans="1:30" x14ac:dyDescent="0.25">
      <c r="A2527" s="1">
        <v>44784.84103009259</v>
      </c>
      <c r="B2527" s="1">
        <v>44780.394780092596</v>
      </c>
      <c r="C2527">
        <v>151712</v>
      </c>
      <c r="D2527" t="s">
        <v>40</v>
      </c>
      <c r="E2527" t="s">
        <v>31</v>
      </c>
      <c r="F2527">
        <v>7</v>
      </c>
      <c r="G2527">
        <v>43.289763999999998</v>
      </c>
      <c r="H2527">
        <v>-71.564260000000004</v>
      </c>
      <c r="I2527">
        <v>370</v>
      </c>
      <c r="J2527">
        <v>86</v>
      </c>
      <c r="K2527">
        <v>0</v>
      </c>
      <c r="L2527" s="1">
        <v>44784.840995370374</v>
      </c>
      <c r="M2527">
        <v>14</v>
      </c>
      <c r="N2527">
        <v>13.2</v>
      </c>
      <c r="O2527">
        <v>0.8</v>
      </c>
      <c r="P2527">
        <v>6</v>
      </c>
      <c r="Q2527">
        <v>0</v>
      </c>
      <c r="R2527">
        <v>0</v>
      </c>
      <c r="S2527">
        <v>0</v>
      </c>
      <c r="T2527" t="s">
        <v>32</v>
      </c>
      <c r="V2527">
        <v>59</v>
      </c>
      <c r="W2527">
        <v>0</v>
      </c>
      <c r="X2527">
        <v>59</v>
      </c>
      <c r="Y2527">
        <v>0</v>
      </c>
      <c r="Z2527">
        <v>0</v>
      </c>
      <c r="AA2527">
        <v>0</v>
      </c>
      <c r="AB2527" t="s">
        <v>36</v>
      </c>
      <c r="AC2527">
        <v>59</v>
      </c>
    </row>
    <row r="2528" spans="1:30" x14ac:dyDescent="0.25">
      <c r="A2528" s="1">
        <v>44784.84103009259</v>
      </c>
      <c r="B2528" s="1">
        <v>44784.839224537034</v>
      </c>
      <c r="C2528">
        <v>151710</v>
      </c>
      <c r="D2528" t="s">
        <v>41</v>
      </c>
      <c r="E2528" t="s">
        <v>31</v>
      </c>
      <c r="F2528">
        <v>7</v>
      </c>
      <c r="G2528">
        <v>43.132477000000002</v>
      </c>
      <c r="H2528">
        <v>-71.458374000000006</v>
      </c>
      <c r="I2528">
        <v>230</v>
      </c>
      <c r="J2528">
        <v>79</v>
      </c>
      <c r="K2528">
        <v>0</v>
      </c>
      <c r="L2528" s="1">
        <v>44784.840995370374</v>
      </c>
      <c r="M2528">
        <v>5.9</v>
      </c>
      <c r="N2528">
        <v>4.8</v>
      </c>
      <c r="O2528">
        <v>1.1000000000000001</v>
      </c>
      <c r="P2528">
        <v>21</v>
      </c>
      <c r="Q2528">
        <v>0.3</v>
      </c>
      <c r="R2528">
        <v>0.3</v>
      </c>
      <c r="S2528">
        <v>0.3</v>
      </c>
      <c r="T2528" t="s">
        <v>33</v>
      </c>
      <c r="U2528">
        <v>5.35</v>
      </c>
      <c r="V2528">
        <v>52</v>
      </c>
      <c r="W2528">
        <v>0</v>
      </c>
      <c r="X2528">
        <v>52</v>
      </c>
      <c r="Y2528">
        <v>0</v>
      </c>
      <c r="Z2528">
        <v>0</v>
      </c>
      <c r="AA2528">
        <v>0</v>
      </c>
      <c r="AB2528" t="s">
        <v>36</v>
      </c>
      <c r="AC2528">
        <v>52</v>
      </c>
      <c r="AD2528">
        <v>1.78</v>
      </c>
    </row>
    <row r="2529" spans="1:30" x14ac:dyDescent="0.25">
      <c r="A2529" s="1">
        <v>44784.841041666667</v>
      </c>
      <c r="B2529" s="1">
        <v>44784.840231481481</v>
      </c>
      <c r="C2529">
        <v>151706</v>
      </c>
      <c r="D2529" t="s">
        <v>42</v>
      </c>
      <c r="E2529" t="s">
        <v>31</v>
      </c>
      <c r="F2529">
        <v>7</v>
      </c>
      <c r="G2529">
        <v>43.004080000000002</v>
      </c>
      <c r="H2529">
        <v>-71.177040000000005</v>
      </c>
      <c r="I2529">
        <v>194</v>
      </c>
      <c r="J2529">
        <v>79</v>
      </c>
      <c r="K2529">
        <v>0</v>
      </c>
      <c r="L2529" s="1">
        <v>44784.840995370374</v>
      </c>
      <c r="M2529">
        <v>11.1</v>
      </c>
      <c r="N2529">
        <v>0</v>
      </c>
      <c r="O2529">
        <v>11.1</v>
      </c>
      <c r="P2529">
        <v>200</v>
      </c>
      <c r="Q2529">
        <v>0.2</v>
      </c>
      <c r="R2529">
        <v>0</v>
      </c>
      <c r="S2529">
        <v>0.1</v>
      </c>
      <c r="T2529" t="s">
        <v>43</v>
      </c>
      <c r="V2529">
        <v>61</v>
      </c>
      <c r="W2529">
        <v>0</v>
      </c>
      <c r="X2529">
        <v>61</v>
      </c>
      <c r="Y2529">
        <v>1</v>
      </c>
      <c r="Z2529">
        <v>0</v>
      </c>
      <c r="AA2529">
        <v>1</v>
      </c>
      <c r="AB2529" t="s">
        <v>36</v>
      </c>
      <c r="AC2529">
        <v>61</v>
      </c>
    </row>
    <row r="2530" spans="1:30" x14ac:dyDescent="0.25">
      <c r="A2530" s="1">
        <v>44784.841041666667</v>
      </c>
      <c r="B2530" s="1">
        <v>44784.840046296296</v>
      </c>
      <c r="C2530">
        <v>12212</v>
      </c>
      <c r="D2530" t="s">
        <v>44</v>
      </c>
      <c r="E2530" t="s">
        <v>35</v>
      </c>
      <c r="F2530">
        <v>7</v>
      </c>
      <c r="G2530">
        <v>42.930529999999997</v>
      </c>
      <c r="H2530">
        <v>-72.272350000000003</v>
      </c>
      <c r="I2530">
        <v>476</v>
      </c>
      <c r="J2530">
        <v>84</v>
      </c>
      <c r="K2530">
        <v>0</v>
      </c>
      <c r="L2530" s="1">
        <v>44784.840995370374</v>
      </c>
      <c r="M2530">
        <v>6.3</v>
      </c>
      <c r="N2530">
        <v>5.4</v>
      </c>
      <c r="O2530">
        <v>0.9</v>
      </c>
      <c r="P2530">
        <v>15</v>
      </c>
      <c r="Q2530">
        <v>0.6</v>
      </c>
      <c r="R2530">
        <v>0.6</v>
      </c>
      <c r="S2530">
        <v>0.6</v>
      </c>
      <c r="T2530" t="s">
        <v>33</v>
      </c>
      <c r="U2530">
        <v>5.85</v>
      </c>
      <c r="V2530">
        <v>44</v>
      </c>
      <c r="W2530">
        <v>0</v>
      </c>
      <c r="X2530">
        <v>44</v>
      </c>
      <c r="Y2530">
        <v>3</v>
      </c>
      <c r="Z2530">
        <v>0</v>
      </c>
      <c r="AA2530">
        <v>3</v>
      </c>
      <c r="AB2530" t="s">
        <v>36</v>
      </c>
      <c r="AC2530">
        <v>44</v>
      </c>
      <c r="AD2530">
        <v>2.65</v>
      </c>
    </row>
    <row r="2531" spans="1:30" x14ac:dyDescent="0.25">
      <c r="A2531" s="1">
        <v>44784.841053240743</v>
      </c>
      <c r="B2531" s="1">
        <v>44769.376736111109</v>
      </c>
      <c r="C2531">
        <v>12178</v>
      </c>
      <c r="D2531" t="s">
        <v>45</v>
      </c>
      <c r="E2531" t="s">
        <v>35</v>
      </c>
      <c r="F2531">
        <v>7</v>
      </c>
      <c r="G2531">
        <v>42.899563000000001</v>
      </c>
      <c r="H2531">
        <v>-71.464650000000006</v>
      </c>
      <c r="I2531">
        <v>301</v>
      </c>
      <c r="J2531">
        <v>85</v>
      </c>
      <c r="K2531">
        <v>0</v>
      </c>
      <c r="L2531" s="1">
        <v>44784.840995370374</v>
      </c>
      <c r="M2531">
        <v>3.8</v>
      </c>
      <c r="N2531">
        <v>3.1</v>
      </c>
      <c r="O2531">
        <v>0.7</v>
      </c>
      <c r="P2531">
        <v>20</v>
      </c>
      <c r="Q2531">
        <v>0</v>
      </c>
      <c r="R2531">
        <v>0</v>
      </c>
      <c r="S2531">
        <v>0</v>
      </c>
      <c r="T2531" t="s">
        <v>32</v>
      </c>
      <c r="V2531">
        <v>35</v>
      </c>
      <c r="W2531">
        <v>0</v>
      </c>
      <c r="X2531">
        <v>35</v>
      </c>
      <c r="Y2531">
        <v>0</v>
      </c>
      <c r="Z2531">
        <v>0</v>
      </c>
      <c r="AA2531">
        <v>0</v>
      </c>
      <c r="AB2531" t="s">
        <v>36</v>
      </c>
      <c r="AC2531">
        <v>35</v>
      </c>
    </row>
    <row r="2532" spans="1:30" x14ac:dyDescent="0.25">
      <c r="A2532" s="1">
        <v>44784.841053240743</v>
      </c>
      <c r="B2532" s="1">
        <v>44784.840694444443</v>
      </c>
      <c r="C2532">
        <v>75981</v>
      </c>
      <c r="D2532" t="s">
        <v>46</v>
      </c>
      <c r="E2532" t="s">
        <v>35</v>
      </c>
      <c r="F2532">
        <v>7</v>
      </c>
      <c r="G2532">
        <v>42.97</v>
      </c>
      <c r="H2532">
        <v>-71.06</v>
      </c>
      <c r="I2532">
        <v>136</v>
      </c>
      <c r="J2532">
        <v>84</v>
      </c>
      <c r="K2532">
        <v>0</v>
      </c>
      <c r="L2532" s="1">
        <v>44784.840995370374</v>
      </c>
      <c r="M2532">
        <v>11</v>
      </c>
      <c r="N2532">
        <v>10.8</v>
      </c>
      <c r="O2532">
        <v>0.2</v>
      </c>
      <c r="P2532">
        <v>2</v>
      </c>
      <c r="Q2532">
        <v>0</v>
      </c>
      <c r="R2532">
        <v>0.1</v>
      </c>
      <c r="S2532">
        <v>0.05</v>
      </c>
      <c r="T2532" t="s">
        <v>33</v>
      </c>
      <c r="U2532">
        <v>10.9</v>
      </c>
      <c r="V2532">
        <v>54</v>
      </c>
      <c r="W2532">
        <v>0</v>
      </c>
      <c r="X2532">
        <v>54</v>
      </c>
      <c r="Y2532">
        <v>1</v>
      </c>
      <c r="Z2532">
        <v>0</v>
      </c>
      <c r="AA2532">
        <v>1</v>
      </c>
      <c r="AB2532" t="s">
        <v>36</v>
      </c>
      <c r="AC2532">
        <v>54</v>
      </c>
      <c r="AD2532">
        <v>5.03</v>
      </c>
    </row>
    <row r="2533" spans="1:30" x14ac:dyDescent="0.25">
      <c r="A2533" s="1">
        <v>44784.841064814813</v>
      </c>
      <c r="B2533" s="1">
        <v>44784.839872685188</v>
      </c>
      <c r="C2533">
        <v>115703</v>
      </c>
      <c r="D2533" t="s">
        <v>47</v>
      </c>
      <c r="E2533" t="s">
        <v>35</v>
      </c>
      <c r="F2533">
        <v>7</v>
      </c>
      <c r="G2533">
        <v>43.953625000000002</v>
      </c>
      <c r="H2533">
        <v>-71.508859999999999</v>
      </c>
      <c r="I2533">
        <v>1493</v>
      </c>
      <c r="J2533">
        <v>76</v>
      </c>
      <c r="K2533">
        <v>0</v>
      </c>
      <c r="L2533" s="1">
        <v>44784.840995370374</v>
      </c>
      <c r="M2533">
        <v>0.2</v>
      </c>
      <c r="N2533">
        <v>98.6</v>
      </c>
      <c r="O2533">
        <v>98.4</v>
      </c>
      <c r="P2533">
        <v>199</v>
      </c>
      <c r="Q2533">
        <v>0.2</v>
      </c>
      <c r="R2533">
        <v>36.6</v>
      </c>
      <c r="S2533">
        <v>18.399999999999999</v>
      </c>
      <c r="T2533" t="s">
        <v>60</v>
      </c>
      <c r="V2533">
        <v>45</v>
      </c>
      <c r="W2533">
        <v>0</v>
      </c>
      <c r="X2533">
        <v>45</v>
      </c>
      <c r="Y2533">
        <v>5</v>
      </c>
      <c r="Z2533">
        <v>0</v>
      </c>
      <c r="AA2533">
        <v>5</v>
      </c>
      <c r="AB2533" t="s">
        <v>36</v>
      </c>
      <c r="AC2533">
        <v>45</v>
      </c>
    </row>
    <row r="2534" spans="1:30" x14ac:dyDescent="0.25">
      <c r="A2534" s="1">
        <v>44784.841064814813</v>
      </c>
      <c r="B2534" s="1">
        <v>44784.84065972222</v>
      </c>
      <c r="C2534">
        <v>12050</v>
      </c>
      <c r="D2534" t="s">
        <v>49</v>
      </c>
      <c r="E2534" t="s">
        <v>35</v>
      </c>
      <c r="F2534">
        <v>7</v>
      </c>
      <c r="G2534">
        <v>44.220573000000002</v>
      </c>
      <c r="H2534">
        <v>-71.732315</v>
      </c>
      <c r="I2534">
        <v>999</v>
      </c>
      <c r="J2534">
        <v>77</v>
      </c>
      <c r="K2534">
        <v>0</v>
      </c>
      <c r="L2534" s="1">
        <v>44784.840995370374</v>
      </c>
      <c r="M2534">
        <v>6.2</v>
      </c>
      <c r="N2534">
        <v>5.6</v>
      </c>
      <c r="O2534">
        <v>0.6</v>
      </c>
      <c r="P2534">
        <v>10</v>
      </c>
      <c r="Q2534">
        <v>0.2</v>
      </c>
      <c r="R2534">
        <v>0.1</v>
      </c>
      <c r="S2534">
        <v>0.15</v>
      </c>
      <c r="T2534" t="s">
        <v>33</v>
      </c>
      <c r="U2534">
        <v>5.9</v>
      </c>
      <c r="V2534">
        <v>57</v>
      </c>
      <c r="W2534">
        <v>0</v>
      </c>
      <c r="X2534">
        <v>57</v>
      </c>
      <c r="Y2534">
        <v>0</v>
      </c>
      <c r="Z2534">
        <v>0</v>
      </c>
      <c r="AA2534">
        <v>0</v>
      </c>
      <c r="AB2534" t="s">
        <v>36</v>
      </c>
      <c r="AC2534">
        <v>57</v>
      </c>
      <c r="AD2534">
        <v>1.77</v>
      </c>
    </row>
    <row r="2535" spans="1:30" x14ac:dyDescent="0.25">
      <c r="A2535" s="1">
        <v>44784.84107638889</v>
      </c>
      <c r="B2535" s="1">
        <v>44784.840775462966</v>
      </c>
      <c r="C2535">
        <v>23443</v>
      </c>
      <c r="D2535" t="s">
        <v>50</v>
      </c>
      <c r="E2535" t="s">
        <v>35</v>
      </c>
      <c r="F2535">
        <v>7</v>
      </c>
      <c r="G2535">
        <v>43.556139999999999</v>
      </c>
      <c r="H2535">
        <v>-72.370990000000006</v>
      </c>
      <c r="I2535">
        <v>523</v>
      </c>
      <c r="J2535">
        <v>75</v>
      </c>
      <c r="K2535">
        <v>0</v>
      </c>
      <c r="L2535" s="1">
        <v>44784.840995370374</v>
      </c>
      <c r="M2535">
        <v>6.4</v>
      </c>
      <c r="N2535">
        <v>5.7</v>
      </c>
      <c r="O2535">
        <v>0.7</v>
      </c>
      <c r="P2535">
        <v>12</v>
      </c>
      <c r="Q2535">
        <v>0.2</v>
      </c>
      <c r="R2535">
        <v>0.3</v>
      </c>
      <c r="S2535">
        <v>0.25</v>
      </c>
      <c r="T2535" t="s">
        <v>33</v>
      </c>
      <c r="U2535">
        <v>6.05</v>
      </c>
      <c r="V2535">
        <v>65</v>
      </c>
      <c r="W2535">
        <v>0</v>
      </c>
      <c r="X2535">
        <v>65</v>
      </c>
      <c r="Y2535">
        <v>0</v>
      </c>
      <c r="Z2535">
        <v>0</v>
      </c>
      <c r="AA2535">
        <v>0</v>
      </c>
      <c r="AB2535" t="s">
        <v>36</v>
      </c>
      <c r="AC2535">
        <v>65</v>
      </c>
      <c r="AD2535">
        <v>1.3</v>
      </c>
    </row>
    <row r="2536" spans="1:30" x14ac:dyDescent="0.25">
      <c r="A2536" s="1">
        <v>44784.84107638889</v>
      </c>
      <c r="B2536" s="1">
        <v>44784.840879629628</v>
      </c>
      <c r="C2536">
        <v>58135</v>
      </c>
      <c r="D2536" t="s">
        <v>51</v>
      </c>
      <c r="E2536" t="s">
        <v>35</v>
      </c>
      <c r="F2536">
        <v>7</v>
      </c>
      <c r="G2536">
        <v>42.883873000000001</v>
      </c>
      <c r="H2536">
        <v>-71.972915999999998</v>
      </c>
      <c r="I2536">
        <v>808</v>
      </c>
      <c r="J2536">
        <v>76</v>
      </c>
      <c r="K2536">
        <v>0</v>
      </c>
      <c r="L2536" s="1">
        <v>44784.840995370374</v>
      </c>
      <c r="M2536">
        <v>6.2</v>
      </c>
      <c r="N2536">
        <v>4.4000000000000004</v>
      </c>
      <c r="O2536">
        <v>1.8</v>
      </c>
      <c r="P2536">
        <v>34</v>
      </c>
      <c r="Q2536">
        <v>0.4</v>
      </c>
      <c r="R2536">
        <v>0.4</v>
      </c>
      <c r="S2536">
        <v>0.4</v>
      </c>
      <c r="T2536" t="s">
        <v>33</v>
      </c>
      <c r="U2536">
        <v>5.3</v>
      </c>
      <c r="V2536">
        <v>62</v>
      </c>
      <c r="W2536">
        <v>0</v>
      </c>
      <c r="X2536">
        <v>62</v>
      </c>
      <c r="Y2536">
        <v>1</v>
      </c>
      <c r="Z2536">
        <v>0</v>
      </c>
      <c r="AA2536">
        <v>1</v>
      </c>
      <c r="AB2536" t="s">
        <v>36</v>
      </c>
      <c r="AC2536">
        <v>62</v>
      </c>
      <c r="AD2536">
        <v>1.05</v>
      </c>
    </row>
    <row r="2537" spans="1:30" x14ac:dyDescent="0.25">
      <c r="A2537" s="1">
        <v>44784.841087962966</v>
      </c>
      <c r="B2537" s="1">
        <v>44784.840868055559</v>
      </c>
      <c r="C2537">
        <v>148555</v>
      </c>
      <c r="D2537" t="s">
        <v>52</v>
      </c>
      <c r="E2537" t="s">
        <v>53</v>
      </c>
      <c r="F2537">
        <v>7</v>
      </c>
      <c r="G2537">
        <v>42.904949999999999</v>
      </c>
      <c r="H2537">
        <v>-71.386764999999997</v>
      </c>
      <c r="I2537">
        <v>363</v>
      </c>
      <c r="J2537">
        <v>0</v>
      </c>
      <c r="K2537">
        <v>0</v>
      </c>
      <c r="L2537" s="1">
        <v>44784.840995370374</v>
      </c>
      <c r="M2537">
        <v>2.4</v>
      </c>
      <c r="N2537">
        <v>3.1</v>
      </c>
      <c r="O2537">
        <v>0.7</v>
      </c>
      <c r="P2537">
        <v>25</v>
      </c>
      <c r="Q2537">
        <v>0.3</v>
      </c>
      <c r="R2537">
        <v>0.5</v>
      </c>
      <c r="S2537">
        <v>0.4</v>
      </c>
      <c r="T2537" t="s">
        <v>33</v>
      </c>
      <c r="U2537">
        <v>2.75</v>
      </c>
      <c r="V2537">
        <v>0</v>
      </c>
      <c r="W2537">
        <v>0</v>
      </c>
      <c r="X2537">
        <v>0</v>
      </c>
      <c r="Y2537">
        <v>0</v>
      </c>
      <c r="Z2537">
        <v>0</v>
      </c>
      <c r="AA2537">
        <v>0</v>
      </c>
      <c r="AB2537" t="s">
        <v>38</v>
      </c>
    </row>
    <row r="2538" spans="1:30" x14ac:dyDescent="0.25">
      <c r="A2538" s="1">
        <v>44784.841087962966</v>
      </c>
      <c r="B2538" s="1">
        <v>44784.840370370373</v>
      </c>
      <c r="C2538">
        <v>146644</v>
      </c>
      <c r="D2538" t="s">
        <v>54</v>
      </c>
      <c r="E2538" t="s">
        <v>53</v>
      </c>
      <c r="F2538">
        <v>7</v>
      </c>
      <c r="G2538">
        <v>43.06015</v>
      </c>
      <c r="H2538">
        <v>-70.758930000000007</v>
      </c>
      <c r="I2538">
        <v>35</v>
      </c>
      <c r="J2538">
        <v>71</v>
      </c>
      <c r="K2538">
        <v>73</v>
      </c>
      <c r="L2538" s="1">
        <v>44784.840995370374</v>
      </c>
      <c r="M2538">
        <v>11.4</v>
      </c>
      <c r="N2538">
        <v>10.4</v>
      </c>
      <c r="O2538">
        <v>1</v>
      </c>
      <c r="P2538">
        <v>9</v>
      </c>
      <c r="Q2538">
        <v>0</v>
      </c>
      <c r="R2538">
        <v>0.3</v>
      </c>
      <c r="S2538">
        <v>0.15</v>
      </c>
      <c r="T2538" t="s">
        <v>33</v>
      </c>
      <c r="U2538">
        <v>10.9</v>
      </c>
      <c r="V2538">
        <v>70</v>
      </c>
      <c r="W2538">
        <v>74</v>
      </c>
      <c r="X2538">
        <v>4</v>
      </c>
      <c r="Y2538">
        <v>1</v>
      </c>
      <c r="Z2538">
        <v>1</v>
      </c>
      <c r="AA2538">
        <v>0</v>
      </c>
      <c r="AB2538" t="s">
        <v>33</v>
      </c>
      <c r="AC2538">
        <v>72</v>
      </c>
      <c r="AD2538">
        <v>3.77</v>
      </c>
    </row>
    <row r="2539" spans="1:30" x14ac:dyDescent="0.25">
      <c r="A2539" s="1">
        <v>44784.841087962966</v>
      </c>
      <c r="B2539" s="1">
        <v>43755.283437500002</v>
      </c>
      <c r="C2539">
        <v>12188</v>
      </c>
      <c r="D2539" t="s">
        <v>55</v>
      </c>
      <c r="E2539" t="s">
        <v>35</v>
      </c>
      <c r="F2539">
        <v>4.1100000000000003</v>
      </c>
      <c r="G2539">
        <v>42.927050000000001</v>
      </c>
      <c r="H2539">
        <v>-72.279610000000005</v>
      </c>
      <c r="I2539">
        <v>475</v>
      </c>
      <c r="J2539">
        <v>95</v>
      </c>
      <c r="K2539">
        <v>0</v>
      </c>
      <c r="L2539" s="1">
        <v>44784.840995370374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 t="s">
        <v>32</v>
      </c>
      <c r="V2539">
        <v>77</v>
      </c>
      <c r="W2539">
        <v>0</v>
      </c>
      <c r="X2539">
        <v>77</v>
      </c>
      <c r="Y2539">
        <v>0</v>
      </c>
      <c r="Z2539">
        <v>0</v>
      </c>
      <c r="AA2539">
        <v>0</v>
      </c>
      <c r="AB2539" t="s">
        <v>36</v>
      </c>
      <c r="AC2539">
        <v>77</v>
      </c>
    </row>
    <row r="2540" spans="1:30" x14ac:dyDescent="0.25">
      <c r="A2540" s="1">
        <v>44784.841099537036</v>
      </c>
      <c r="B2540" s="1">
        <v>44784.840763888889</v>
      </c>
      <c r="C2540">
        <v>1224</v>
      </c>
      <c r="D2540" t="s">
        <v>56</v>
      </c>
      <c r="E2540" t="s">
        <v>35</v>
      </c>
      <c r="F2540" t="s">
        <v>57</v>
      </c>
      <c r="G2540">
        <v>42.938034000000002</v>
      </c>
      <c r="H2540">
        <v>-72.259299999999996</v>
      </c>
      <c r="I2540">
        <v>792</v>
      </c>
      <c r="J2540">
        <v>84</v>
      </c>
      <c r="K2540">
        <v>0</v>
      </c>
      <c r="L2540" s="1">
        <v>44784.840995370374</v>
      </c>
      <c r="M2540">
        <v>6.3</v>
      </c>
      <c r="N2540">
        <v>0.1</v>
      </c>
      <c r="O2540">
        <v>6.2</v>
      </c>
      <c r="P2540">
        <v>194</v>
      </c>
      <c r="Q2540">
        <v>0.5</v>
      </c>
      <c r="R2540">
        <v>0</v>
      </c>
      <c r="S2540">
        <v>0.25</v>
      </c>
      <c r="T2540" t="s">
        <v>33</v>
      </c>
      <c r="U2540">
        <v>3.2</v>
      </c>
      <c r="V2540">
        <v>51</v>
      </c>
      <c r="W2540">
        <v>0</v>
      </c>
      <c r="X2540">
        <v>51</v>
      </c>
      <c r="Y2540">
        <v>2</v>
      </c>
      <c r="Z2540">
        <v>0</v>
      </c>
      <c r="AA2540">
        <v>2</v>
      </c>
      <c r="AB2540" t="s">
        <v>36</v>
      </c>
      <c r="AC2540">
        <v>51</v>
      </c>
      <c r="AD2540">
        <v>0.54</v>
      </c>
    </row>
    <row r="2541" spans="1:30" x14ac:dyDescent="0.25">
      <c r="A2541" s="1">
        <v>44784.841099537036</v>
      </c>
      <c r="B2541" s="1">
        <v>44784.840208333335</v>
      </c>
      <c r="C2541">
        <v>1202</v>
      </c>
      <c r="D2541" t="s">
        <v>58</v>
      </c>
      <c r="E2541" t="s">
        <v>35</v>
      </c>
      <c r="F2541" t="s">
        <v>57</v>
      </c>
      <c r="G2541">
        <v>42.936554000000001</v>
      </c>
      <c r="H2541">
        <v>-72.271019999999993</v>
      </c>
      <c r="I2541">
        <v>488</v>
      </c>
      <c r="J2541">
        <v>0</v>
      </c>
      <c r="K2541">
        <v>0</v>
      </c>
      <c r="L2541" s="1">
        <v>44784.840995370374</v>
      </c>
      <c r="M2541">
        <v>6.9</v>
      </c>
      <c r="N2541">
        <v>6.4</v>
      </c>
      <c r="O2541">
        <v>0.5</v>
      </c>
      <c r="P2541">
        <v>8</v>
      </c>
      <c r="Q2541">
        <v>0.8</v>
      </c>
      <c r="R2541">
        <v>0.6</v>
      </c>
      <c r="S2541">
        <v>0.7</v>
      </c>
      <c r="T2541" t="s">
        <v>33</v>
      </c>
      <c r="U2541">
        <v>6.65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 t="s">
        <v>38</v>
      </c>
    </row>
    <row r="2542" spans="1:30" x14ac:dyDescent="0.25">
      <c r="A2542" s="1">
        <v>44784.841111111113</v>
      </c>
      <c r="B2542" s="1">
        <v>44612.080023148148</v>
      </c>
      <c r="C2542">
        <v>25985</v>
      </c>
      <c r="D2542" t="s">
        <v>59</v>
      </c>
      <c r="E2542" t="s">
        <v>35</v>
      </c>
      <c r="F2542">
        <v>6.01</v>
      </c>
      <c r="G2542">
        <v>42.927326000000001</v>
      </c>
      <c r="H2542">
        <v>-72.279979999999995</v>
      </c>
      <c r="I2542">
        <v>477</v>
      </c>
      <c r="J2542">
        <v>78</v>
      </c>
      <c r="K2542">
        <v>0</v>
      </c>
      <c r="L2542" s="1">
        <v>44784.840995370374</v>
      </c>
      <c r="M2542">
        <v>1.1000000000000001</v>
      </c>
      <c r="N2542">
        <v>1</v>
      </c>
      <c r="O2542">
        <v>0.1</v>
      </c>
      <c r="P2542">
        <v>10</v>
      </c>
      <c r="Q2542">
        <v>0</v>
      </c>
      <c r="R2542">
        <v>0</v>
      </c>
      <c r="S2542">
        <v>0</v>
      </c>
      <c r="T2542" t="s">
        <v>32</v>
      </c>
      <c r="V2542">
        <v>22</v>
      </c>
      <c r="W2542">
        <v>0</v>
      </c>
      <c r="X2542">
        <v>22</v>
      </c>
      <c r="Y2542">
        <v>0</v>
      </c>
      <c r="Z2542">
        <v>0</v>
      </c>
      <c r="AA2542">
        <v>0</v>
      </c>
      <c r="AB2542" t="s">
        <v>36</v>
      </c>
      <c r="AC2542">
        <v>22</v>
      </c>
    </row>
    <row r="2543" spans="1:30" x14ac:dyDescent="0.25">
      <c r="A2543" s="1">
        <v>44784.847951388889</v>
      </c>
      <c r="B2543" s="1">
        <v>44775.701319444444</v>
      </c>
      <c r="C2543">
        <v>151708</v>
      </c>
      <c r="D2543" t="s">
        <v>30</v>
      </c>
      <c r="E2543" t="s">
        <v>31</v>
      </c>
      <c r="F2543">
        <v>7</v>
      </c>
      <c r="G2543">
        <v>43.192042999999998</v>
      </c>
      <c r="H2543">
        <v>-71.541579999999996</v>
      </c>
      <c r="I2543">
        <v>291</v>
      </c>
      <c r="J2543">
        <v>93</v>
      </c>
      <c r="K2543">
        <v>94</v>
      </c>
      <c r="L2543" s="1">
        <v>44784.847939814812</v>
      </c>
      <c r="M2543">
        <v>7.9</v>
      </c>
      <c r="N2543">
        <v>7.6</v>
      </c>
      <c r="O2543">
        <v>0.3</v>
      </c>
      <c r="P2543">
        <v>4</v>
      </c>
      <c r="Q2543">
        <v>0</v>
      </c>
      <c r="R2543">
        <v>0</v>
      </c>
      <c r="S2543">
        <v>0</v>
      </c>
      <c r="T2543" t="s">
        <v>32</v>
      </c>
      <c r="V2543">
        <v>42</v>
      </c>
      <c r="W2543">
        <v>41</v>
      </c>
      <c r="X2543">
        <v>1</v>
      </c>
      <c r="Y2543">
        <v>0</v>
      </c>
      <c r="Z2543">
        <v>0</v>
      </c>
      <c r="AA2543">
        <v>0</v>
      </c>
      <c r="AB2543" t="s">
        <v>33</v>
      </c>
      <c r="AC2543">
        <v>41.5</v>
      </c>
    </row>
    <row r="2544" spans="1:30" x14ac:dyDescent="0.25">
      <c r="A2544" s="1">
        <v>44784.847951388889</v>
      </c>
      <c r="B2544" s="1">
        <v>44784.846354166664</v>
      </c>
      <c r="C2544">
        <v>143456</v>
      </c>
      <c r="D2544" t="s">
        <v>34</v>
      </c>
      <c r="E2544" t="s">
        <v>35</v>
      </c>
      <c r="F2544">
        <v>7</v>
      </c>
      <c r="G2544">
        <v>43.08963</v>
      </c>
      <c r="H2544">
        <v>-71.502440000000007</v>
      </c>
      <c r="I2544">
        <v>619</v>
      </c>
      <c r="J2544">
        <v>75</v>
      </c>
      <c r="K2544">
        <v>0</v>
      </c>
      <c r="L2544" s="1">
        <v>44784.847939814812</v>
      </c>
      <c r="M2544">
        <v>3.7</v>
      </c>
      <c r="N2544">
        <v>4.0999999999999996</v>
      </c>
      <c r="O2544">
        <v>0.4</v>
      </c>
      <c r="P2544">
        <v>10</v>
      </c>
      <c r="Q2544">
        <v>0</v>
      </c>
      <c r="R2544">
        <v>0</v>
      </c>
      <c r="S2544">
        <v>0</v>
      </c>
      <c r="T2544" t="s">
        <v>33</v>
      </c>
      <c r="U2544">
        <v>3.9</v>
      </c>
      <c r="V2544">
        <v>57</v>
      </c>
      <c r="W2544">
        <v>0</v>
      </c>
      <c r="X2544">
        <v>57</v>
      </c>
      <c r="Y2544">
        <v>1</v>
      </c>
      <c r="Z2544">
        <v>0</v>
      </c>
      <c r="AA2544">
        <v>1</v>
      </c>
      <c r="AB2544" t="s">
        <v>36</v>
      </c>
      <c r="AC2544">
        <v>57</v>
      </c>
      <c r="AD2544">
        <v>0.55000000000000004</v>
      </c>
    </row>
    <row r="2545" spans="1:30" x14ac:dyDescent="0.25">
      <c r="A2545" s="1">
        <v>44784.847951388889</v>
      </c>
      <c r="B2545" s="1">
        <v>44784.846493055556</v>
      </c>
      <c r="C2545">
        <v>151702</v>
      </c>
      <c r="D2545" t="s">
        <v>37</v>
      </c>
      <c r="E2545" t="s">
        <v>31</v>
      </c>
      <c r="F2545">
        <v>7</v>
      </c>
      <c r="G2545">
        <v>43.118609999999997</v>
      </c>
      <c r="H2545">
        <v>-71.61618</v>
      </c>
      <c r="I2545">
        <v>885</v>
      </c>
      <c r="J2545">
        <v>0</v>
      </c>
      <c r="K2545">
        <v>0</v>
      </c>
      <c r="L2545" s="1">
        <v>44784.847939814812</v>
      </c>
      <c r="M2545">
        <v>4.2</v>
      </c>
      <c r="N2545">
        <v>4</v>
      </c>
      <c r="O2545">
        <v>0.2</v>
      </c>
      <c r="P2545">
        <v>5</v>
      </c>
      <c r="Q2545">
        <v>0</v>
      </c>
      <c r="R2545">
        <v>0.1</v>
      </c>
      <c r="S2545">
        <v>0.05</v>
      </c>
      <c r="T2545" t="s">
        <v>33</v>
      </c>
      <c r="U2545">
        <v>4.0999999999999996</v>
      </c>
      <c r="V2545">
        <v>0</v>
      </c>
      <c r="W2545">
        <v>0</v>
      </c>
      <c r="X2545">
        <v>0</v>
      </c>
      <c r="Y2545">
        <v>0</v>
      </c>
      <c r="Z2545">
        <v>0</v>
      </c>
      <c r="AA2545">
        <v>0</v>
      </c>
      <c r="AB2545" t="s">
        <v>38</v>
      </c>
    </row>
    <row r="2546" spans="1:30" x14ac:dyDescent="0.25">
      <c r="A2546" s="1">
        <v>44784.847962962966</v>
      </c>
      <c r="B2546" s="1">
        <v>44784.846400462964</v>
      </c>
      <c r="C2546">
        <v>151700</v>
      </c>
      <c r="D2546" t="s">
        <v>30</v>
      </c>
      <c r="E2546" t="s">
        <v>31</v>
      </c>
      <c r="F2546">
        <v>7</v>
      </c>
      <c r="G2546">
        <v>43.19211</v>
      </c>
      <c r="H2546">
        <v>-71.541460000000001</v>
      </c>
      <c r="I2546">
        <v>286</v>
      </c>
      <c r="J2546">
        <v>81</v>
      </c>
      <c r="K2546">
        <v>0</v>
      </c>
      <c r="L2546" s="1">
        <v>44784.847939814812</v>
      </c>
      <c r="M2546">
        <v>4.7</v>
      </c>
      <c r="N2546">
        <v>5.2</v>
      </c>
      <c r="O2546">
        <v>0.5</v>
      </c>
      <c r="P2546">
        <v>10</v>
      </c>
      <c r="Q2546">
        <v>0.5</v>
      </c>
      <c r="R2546">
        <v>0.5</v>
      </c>
      <c r="S2546">
        <v>0.5</v>
      </c>
      <c r="T2546" t="s">
        <v>33</v>
      </c>
      <c r="U2546">
        <v>4.95</v>
      </c>
      <c r="V2546">
        <v>53</v>
      </c>
      <c r="W2546">
        <v>0</v>
      </c>
      <c r="X2546">
        <v>53</v>
      </c>
      <c r="Y2546">
        <v>2</v>
      </c>
      <c r="Z2546">
        <v>0</v>
      </c>
      <c r="AA2546">
        <v>2</v>
      </c>
      <c r="AB2546" t="s">
        <v>36</v>
      </c>
      <c r="AC2546">
        <v>53</v>
      </c>
      <c r="AD2546">
        <v>1.47</v>
      </c>
    </row>
    <row r="2547" spans="1:30" x14ac:dyDescent="0.25">
      <c r="A2547" s="1">
        <v>44784.847962962966</v>
      </c>
      <c r="B2547" s="1">
        <v>44784.84684027778</v>
      </c>
      <c r="C2547">
        <v>135984</v>
      </c>
      <c r="D2547" t="s">
        <v>39</v>
      </c>
      <c r="E2547" t="s">
        <v>31</v>
      </c>
      <c r="F2547">
        <v>7</v>
      </c>
      <c r="G2547">
        <v>43.565852999999997</v>
      </c>
      <c r="H2547">
        <v>-71.496129999999994</v>
      </c>
      <c r="I2547">
        <v>708</v>
      </c>
      <c r="J2547">
        <v>76</v>
      </c>
      <c r="K2547">
        <v>0</v>
      </c>
      <c r="L2547" s="1">
        <v>44784.847939814812</v>
      </c>
      <c r="M2547">
        <v>4</v>
      </c>
      <c r="N2547">
        <v>3.7</v>
      </c>
      <c r="O2547">
        <v>0.3</v>
      </c>
      <c r="P2547">
        <v>8</v>
      </c>
      <c r="Q2547">
        <v>0.4</v>
      </c>
      <c r="R2547">
        <v>0.3</v>
      </c>
      <c r="S2547">
        <v>0.35</v>
      </c>
      <c r="T2547" t="s">
        <v>33</v>
      </c>
      <c r="U2547">
        <v>3.85</v>
      </c>
      <c r="V2547">
        <v>62</v>
      </c>
      <c r="W2547">
        <v>0</v>
      </c>
      <c r="X2547">
        <v>62</v>
      </c>
      <c r="Y2547">
        <v>2</v>
      </c>
      <c r="Z2547">
        <v>0</v>
      </c>
      <c r="AA2547">
        <v>2</v>
      </c>
      <c r="AB2547" t="s">
        <v>36</v>
      </c>
      <c r="AC2547">
        <v>62</v>
      </c>
      <c r="AD2547">
        <v>0.17</v>
      </c>
    </row>
    <row r="2548" spans="1:30" x14ac:dyDescent="0.25">
      <c r="A2548" s="1">
        <v>44784.847974537035</v>
      </c>
      <c r="B2548" s="1">
        <v>44780.394780092596</v>
      </c>
      <c r="C2548">
        <v>151712</v>
      </c>
      <c r="D2548" t="s">
        <v>40</v>
      </c>
      <c r="E2548" t="s">
        <v>31</v>
      </c>
      <c r="F2548">
        <v>7</v>
      </c>
      <c r="G2548">
        <v>43.289763999999998</v>
      </c>
      <c r="H2548">
        <v>-71.564260000000004</v>
      </c>
      <c r="I2548">
        <v>370</v>
      </c>
      <c r="J2548">
        <v>86</v>
      </c>
      <c r="K2548">
        <v>0</v>
      </c>
      <c r="L2548" s="1">
        <v>44784.847939814812</v>
      </c>
      <c r="M2548">
        <v>14</v>
      </c>
      <c r="N2548">
        <v>13.2</v>
      </c>
      <c r="O2548">
        <v>0.8</v>
      </c>
      <c r="P2548">
        <v>6</v>
      </c>
      <c r="Q2548">
        <v>0</v>
      </c>
      <c r="R2548">
        <v>0</v>
      </c>
      <c r="S2548">
        <v>0</v>
      </c>
      <c r="T2548" t="s">
        <v>32</v>
      </c>
      <c r="V2548">
        <v>59</v>
      </c>
      <c r="W2548">
        <v>0</v>
      </c>
      <c r="X2548">
        <v>59</v>
      </c>
      <c r="Y2548">
        <v>0</v>
      </c>
      <c r="Z2548">
        <v>0</v>
      </c>
      <c r="AA2548">
        <v>0</v>
      </c>
      <c r="AB2548" t="s">
        <v>36</v>
      </c>
      <c r="AC2548">
        <v>59</v>
      </c>
    </row>
    <row r="2549" spans="1:30" x14ac:dyDescent="0.25">
      <c r="A2549" s="1">
        <v>44784.847974537035</v>
      </c>
      <c r="B2549" s="1">
        <v>44784.846168981479</v>
      </c>
      <c r="C2549">
        <v>151710</v>
      </c>
      <c r="D2549" t="s">
        <v>41</v>
      </c>
      <c r="E2549" t="s">
        <v>31</v>
      </c>
      <c r="F2549">
        <v>7</v>
      </c>
      <c r="G2549">
        <v>43.132477000000002</v>
      </c>
      <c r="H2549">
        <v>-71.458374000000006</v>
      </c>
      <c r="I2549">
        <v>230</v>
      </c>
      <c r="J2549">
        <v>79</v>
      </c>
      <c r="K2549">
        <v>0</v>
      </c>
      <c r="L2549" s="1">
        <v>44784.847939814812</v>
      </c>
      <c r="M2549">
        <v>6.5</v>
      </c>
      <c r="N2549">
        <v>5.3</v>
      </c>
      <c r="O2549">
        <v>1.2</v>
      </c>
      <c r="P2549">
        <v>20</v>
      </c>
      <c r="Q2549">
        <v>0.6</v>
      </c>
      <c r="R2549">
        <v>0.5</v>
      </c>
      <c r="S2549">
        <v>0.55000000000000004</v>
      </c>
      <c r="T2549" t="s">
        <v>33</v>
      </c>
      <c r="U2549">
        <v>5.9</v>
      </c>
      <c r="V2549">
        <v>52</v>
      </c>
      <c r="W2549">
        <v>0</v>
      </c>
      <c r="X2549">
        <v>52</v>
      </c>
      <c r="Y2549">
        <v>0</v>
      </c>
      <c r="Z2549">
        <v>0</v>
      </c>
      <c r="AA2549">
        <v>0</v>
      </c>
      <c r="AB2549" t="s">
        <v>36</v>
      </c>
      <c r="AC2549">
        <v>52</v>
      </c>
      <c r="AD2549">
        <v>2.12</v>
      </c>
    </row>
    <row r="2550" spans="1:30" x14ac:dyDescent="0.25">
      <c r="A2550" s="1">
        <v>44784.847986111112</v>
      </c>
      <c r="B2550" s="1">
        <v>44784.847175925926</v>
      </c>
      <c r="C2550">
        <v>151706</v>
      </c>
      <c r="D2550" t="s">
        <v>42</v>
      </c>
      <c r="E2550" t="s">
        <v>31</v>
      </c>
      <c r="F2550">
        <v>7</v>
      </c>
      <c r="G2550">
        <v>43.004080000000002</v>
      </c>
      <c r="H2550">
        <v>-71.177040000000005</v>
      </c>
      <c r="I2550">
        <v>194</v>
      </c>
      <c r="J2550">
        <v>78</v>
      </c>
      <c r="K2550">
        <v>0</v>
      </c>
      <c r="L2550" s="1">
        <v>44784.847939814812</v>
      </c>
      <c r="M2550">
        <v>11.5</v>
      </c>
      <c r="N2550">
        <v>0</v>
      </c>
      <c r="O2550">
        <v>11.5</v>
      </c>
      <c r="P2550">
        <v>200</v>
      </c>
      <c r="Q2550">
        <v>0.4</v>
      </c>
      <c r="R2550">
        <v>0</v>
      </c>
      <c r="S2550">
        <v>0.2</v>
      </c>
      <c r="T2550" t="s">
        <v>43</v>
      </c>
      <c r="V2550">
        <v>62</v>
      </c>
      <c r="W2550">
        <v>0</v>
      </c>
      <c r="X2550">
        <v>62</v>
      </c>
      <c r="Y2550">
        <v>1</v>
      </c>
      <c r="Z2550">
        <v>0</v>
      </c>
      <c r="AA2550">
        <v>1</v>
      </c>
      <c r="AB2550" t="s">
        <v>36</v>
      </c>
      <c r="AC2550">
        <v>62</v>
      </c>
    </row>
    <row r="2551" spans="1:30" x14ac:dyDescent="0.25">
      <c r="A2551" s="1">
        <v>44784.847986111112</v>
      </c>
      <c r="B2551" s="1">
        <v>44784.847002314818</v>
      </c>
      <c r="C2551">
        <v>12212</v>
      </c>
      <c r="D2551" t="s">
        <v>44</v>
      </c>
      <c r="E2551" t="s">
        <v>35</v>
      </c>
      <c r="F2551">
        <v>7</v>
      </c>
      <c r="G2551">
        <v>42.930529999999997</v>
      </c>
      <c r="H2551">
        <v>-72.272350000000003</v>
      </c>
      <c r="I2551">
        <v>476</v>
      </c>
      <c r="J2551">
        <v>84</v>
      </c>
      <c r="K2551">
        <v>0</v>
      </c>
      <c r="L2551" s="1">
        <v>44784.847939814812</v>
      </c>
      <c r="M2551">
        <v>5.8</v>
      </c>
      <c r="N2551">
        <v>5.0999999999999996</v>
      </c>
      <c r="O2551">
        <v>0.7</v>
      </c>
      <c r="P2551">
        <v>13</v>
      </c>
      <c r="Q2551">
        <v>0.5</v>
      </c>
      <c r="R2551">
        <v>0.3</v>
      </c>
      <c r="S2551">
        <v>0.4</v>
      </c>
      <c r="T2551" t="s">
        <v>33</v>
      </c>
      <c r="U2551">
        <v>5.45</v>
      </c>
      <c r="V2551">
        <v>46</v>
      </c>
      <c r="W2551">
        <v>0</v>
      </c>
      <c r="X2551">
        <v>46</v>
      </c>
      <c r="Y2551">
        <v>2</v>
      </c>
      <c r="Z2551">
        <v>0</v>
      </c>
      <c r="AA2551">
        <v>2</v>
      </c>
      <c r="AB2551" t="s">
        <v>36</v>
      </c>
      <c r="AC2551">
        <v>46</v>
      </c>
      <c r="AD2551">
        <v>2.2599999999999998</v>
      </c>
    </row>
    <row r="2552" spans="1:30" x14ac:dyDescent="0.25">
      <c r="A2552" s="1">
        <v>44784.847986111112</v>
      </c>
      <c r="B2552" s="1">
        <v>44769.376736111109</v>
      </c>
      <c r="C2552">
        <v>12178</v>
      </c>
      <c r="D2552" t="s">
        <v>45</v>
      </c>
      <c r="E2552" t="s">
        <v>35</v>
      </c>
      <c r="F2552">
        <v>7</v>
      </c>
      <c r="G2552">
        <v>42.899563000000001</v>
      </c>
      <c r="H2552">
        <v>-71.464650000000006</v>
      </c>
      <c r="I2552">
        <v>301</v>
      </c>
      <c r="J2552">
        <v>85</v>
      </c>
      <c r="K2552">
        <v>0</v>
      </c>
      <c r="L2552" s="1">
        <v>44784.847939814812</v>
      </c>
      <c r="M2552">
        <v>3.8</v>
      </c>
      <c r="N2552">
        <v>3.1</v>
      </c>
      <c r="O2552">
        <v>0.7</v>
      </c>
      <c r="P2552">
        <v>20</v>
      </c>
      <c r="Q2552">
        <v>0</v>
      </c>
      <c r="R2552">
        <v>0</v>
      </c>
      <c r="S2552">
        <v>0</v>
      </c>
      <c r="T2552" t="s">
        <v>32</v>
      </c>
      <c r="V2552">
        <v>35</v>
      </c>
      <c r="W2552">
        <v>0</v>
      </c>
      <c r="X2552">
        <v>35</v>
      </c>
      <c r="Y2552">
        <v>0</v>
      </c>
      <c r="Z2552">
        <v>0</v>
      </c>
      <c r="AA2552">
        <v>0</v>
      </c>
      <c r="AB2552" t="s">
        <v>36</v>
      </c>
      <c r="AC2552">
        <v>35</v>
      </c>
    </row>
    <row r="2553" spans="1:30" x14ac:dyDescent="0.25">
      <c r="A2553" s="1">
        <v>44784.847997685189</v>
      </c>
      <c r="B2553" s="1">
        <v>44784.846250000002</v>
      </c>
      <c r="C2553">
        <v>75981</v>
      </c>
      <c r="D2553" t="s">
        <v>46</v>
      </c>
      <c r="E2553" t="s">
        <v>35</v>
      </c>
      <c r="F2553">
        <v>7</v>
      </c>
      <c r="G2553">
        <v>42.97</v>
      </c>
      <c r="H2553">
        <v>-71.06</v>
      </c>
      <c r="I2553">
        <v>136</v>
      </c>
      <c r="J2553">
        <v>83</v>
      </c>
      <c r="K2553">
        <v>0</v>
      </c>
      <c r="L2553" s="1">
        <v>44784.847939814812</v>
      </c>
      <c r="M2553">
        <v>11.3</v>
      </c>
      <c r="N2553">
        <v>10.9</v>
      </c>
      <c r="O2553">
        <v>0.4</v>
      </c>
      <c r="P2553">
        <v>4</v>
      </c>
      <c r="Q2553">
        <v>0.3</v>
      </c>
      <c r="R2553">
        <v>0.1</v>
      </c>
      <c r="S2553">
        <v>0.2</v>
      </c>
      <c r="T2553" t="s">
        <v>33</v>
      </c>
      <c r="U2553">
        <v>11.1</v>
      </c>
      <c r="V2553">
        <v>54</v>
      </c>
      <c r="W2553">
        <v>0</v>
      </c>
      <c r="X2553">
        <v>54</v>
      </c>
      <c r="Y2553">
        <v>0</v>
      </c>
      <c r="Z2553">
        <v>0</v>
      </c>
      <c r="AA2553">
        <v>0</v>
      </c>
      <c r="AB2553" t="s">
        <v>36</v>
      </c>
      <c r="AC2553">
        <v>54</v>
      </c>
      <c r="AD2553">
        <v>5.15</v>
      </c>
    </row>
    <row r="2554" spans="1:30" x14ac:dyDescent="0.25">
      <c r="A2554" s="1">
        <v>44784.847997685189</v>
      </c>
      <c r="B2554" s="1">
        <v>44784.84679398148</v>
      </c>
      <c r="C2554">
        <v>115703</v>
      </c>
      <c r="D2554" t="s">
        <v>47</v>
      </c>
      <c r="E2554" t="s">
        <v>35</v>
      </c>
      <c r="F2554">
        <v>7</v>
      </c>
      <c r="G2554">
        <v>43.953625000000002</v>
      </c>
      <c r="H2554">
        <v>-71.508859999999999</v>
      </c>
      <c r="I2554">
        <v>1493</v>
      </c>
      <c r="J2554">
        <v>74</v>
      </c>
      <c r="K2554">
        <v>0</v>
      </c>
      <c r="L2554" s="1">
        <v>44784.847939814812</v>
      </c>
      <c r="M2554">
        <v>0.1</v>
      </c>
      <c r="N2554">
        <v>201</v>
      </c>
      <c r="O2554">
        <v>200.9</v>
      </c>
      <c r="P2554">
        <v>200</v>
      </c>
      <c r="Q2554">
        <v>0.1</v>
      </c>
      <c r="R2554">
        <v>102.4</v>
      </c>
      <c r="S2554">
        <v>51.25</v>
      </c>
      <c r="T2554" t="s">
        <v>60</v>
      </c>
      <c r="V2554">
        <v>51</v>
      </c>
      <c r="W2554">
        <v>0</v>
      </c>
      <c r="X2554">
        <v>51</v>
      </c>
      <c r="Y2554">
        <v>6</v>
      </c>
      <c r="Z2554">
        <v>0</v>
      </c>
      <c r="AA2554">
        <v>6</v>
      </c>
      <c r="AB2554" t="s">
        <v>36</v>
      </c>
      <c r="AC2554">
        <v>51</v>
      </c>
    </row>
    <row r="2555" spans="1:30" x14ac:dyDescent="0.25">
      <c r="A2555" s="1">
        <v>44784.848009259258</v>
      </c>
      <c r="B2555" s="1">
        <v>44784.846215277779</v>
      </c>
      <c r="C2555">
        <v>12050</v>
      </c>
      <c r="D2555" t="s">
        <v>49</v>
      </c>
      <c r="E2555" t="s">
        <v>35</v>
      </c>
      <c r="F2555">
        <v>7</v>
      </c>
      <c r="G2555">
        <v>44.220573000000002</v>
      </c>
      <c r="H2555">
        <v>-71.732315</v>
      </c>
      <c r="I2555">
        <v>999</v>
      </c>
      <c r="J2555">
        <v>77</v>
      </c>
      <c r="K2555">
        <v>0</v>
      </c>
      <c r="L2555" s="1">
        <v>44784.847939814812</v>
      </c>
      <c r="M2555">
        <v>7.8</v>
      </c>
      <c r="N2555">
        <v>7.3</v>
      </c>
      <c r="O2555">
        <v>0.5</v>
      </c>
      <c r="P2555">
        <v>7</v>
      </c>
      <c r="Q2555">
        <v>1.6</v>
      </c>
      <c r="R2555">
        <v>1.7</v>
      </c>
      <c r="S2555">
        <v>1.65</v>
      </c>
      <c r="T2555" t="s">
        <v>33</v>
      </c>
      <c r="U2555">
        <v>7.55</v>
      </c>
      <c r="V2555">
        <v>57</v>
      </c>
      <c r="W2555">
        <v>0</v>
      </c>
      <c r="X2555">
        <v>57</v>
      </c>
      <c r="Y2555">
        <v>0</v>
      </c>
      <c r="Z2555">
        <v>0</v>
      </c>
      <c r="AA2555">
        <v>0</v>
      </c>
      <c r="AB2555" t="s">
        <v>36</v>
      </c>
      <c r="AC2555">
        <v>57</v>
      </c>
      <c r="AD2555">
        <v>2.78</v>
      </c>
    </row>
    <row r="2556" spans="1:30" x14ac:dyDescent="0.25">
      <c r="A2556" s="1">
        <v>44784.848009259258</v>
      </c>
      <c r="B2556" s="1">
        <v>44784.846331018518</v>
      </c>
      <c r="C2556">
        <v>23443</v>
      </c>
      <c r="D2556" t="s">
        <v>50</v>
      </c>
      <c r="E2556" t="s">
        <v>35</v>
      </c>
      <c r="F2556">
        <v>7</v>
      </c>
      <c r="G2556">
        <v>43.556139999999999</v>
      </c>
      <c r="H2556">
        <v>-72.370990000000006</v>
      </c>
      <c r="I2556">
        <v>523</v>
      </c>
      <c r="J2556">
        <v>75</v>
      </c>
      <c r="K2556">
        <v>0</v>
      </c>
      <c r="L2556" s="1">
        <v>44784.847939814812</v>
      </c>
      <c r="M2556">
        <v>6.4</v>
      </c>
      <c r="N2556">
        <v>5.9</v>
      </c>
      <c r="O2556">
        <v>0.5</v>
      </c>
      <c r="P2556">
        <v>8</v>
      </c>
      <c r="Q2556">
        <v>0</v>
      </c>
      <c r="R2556">
        <v>0.2</v>
      </c>
      <c r="S2556">
        <v>0.1</v>
      </c>
      <c r="T2556" t="s">
        <v>33</v>
      </c>
      <c r="U2556">
        <v>6.15</v>
      </c>
      <c r="V2556">
        <v>65</v>
      </c>
      <c r="W2556">
        <v>0</v>
      </c>
      <c r="X2556">
        <v>65</v>
      </c>
      <c r="Y2556">
        <v>0</v>
      </c>
      <c r="Z2556">
        <v>0</v>
      </c>
      <c r="AA2556">
        <v>0</v>
      </c>
      <c r="AB2556" t="s">
        <v>36</v>
      </c>
      <c r="AC2556">
        <v>65</v>
      </c>
      <c r="AD2556">
        <v>1.36</v>
      </c>
    </row>
    <row r="2557" spans="1:30" x14ac:dyDescent="0.25">
      <c r="A2557" s="1">
        <v>44784.848020833335</v>
      </c>
      <c r="B2557" s="1">
        <v>44784.846435185187</v>
      </c>
      <c r="C2557">
        <v>58135</v>
      </c>
      <c r="D2557" t="s">
        <v>51</v>
      </c>
      <c r="E2557" t="s">
        <v>35</v>
      </c>
      <c r="F2557">
        <v>7</v>
      </c>
      <c r="G2557">
        <v>42.883873000000001</v>
      </c>
      <c r="H2557">
        <v>-71.972915999999998</v>
      </c>
      <c r="I2557">
        <v>808</v>
      </c>
      <c r="J2557">
        <v>72</v>
      </c>
      <c r="K2557">
        <v>0</v>
      </c>
      <c r="L2557" s="1">
        <v>44784.847939814812</v>
      </c>
      <c r="M2557">
        <v>6.3</v>
      </c>
      <c r="N2557">
        <v>4.5</v>
      </c>
      <c r="O2557">
        <v>1.8</v>
      </c>
      <c r="P2557">
        <v>33</v>
      </c>
      <c r="Q2557">
        <v>0.1</v>
      </c>
      <c r="R2557">
        <v>0.1</v>
      </c>
      <c r="S2557">
        <v>0.1</v>
      </c>
      <c r="T2557" t="s">
        <v>33</v>
      </c>
      <c r="U2557">
        <v>5.4</v>
      </c>
      <c r="V2557">
        <v>62</v>
      </c>
      <c r="W2557">
        <v>0</v>
      </c>
      <c r="X2557">
        <v>62</v>
      </c>
      <c r="Y2557">
        <v>0</v>
      </c>
      <c r="Z2557">
        <v>0</v>
      </c>
      <c r="AA2557">
        <v>0</v>
      </c>
      <c r="AB2557" t="s">
        <v>36</v>
      </c>
      <c r="AC2557">
        <v>62</v>
      </c>
      <c r="AD2557">
        <v>1.1100000000000001</v>
      </c>
    </row>
    <row r="2558" spans="1:30" x14ac:dyDescent="0.25">
      <c r="A2558" s="1">
        <v>44784.848020833335</v>
      </c>
      <c r="B2558" s="1">
        <v>44784.84642361111</v>
      </c>
      <c r="C2558">
        <v>148555</v>
      </c>
      <c r="D2558" t="s">
        <v>52</v>
      </c>
      <c r="E2558" t="s">
        <v>53</v>
      </c>
      <c r="F2558">
        <v>7</v>
      </c>
      <c r="G2558">
        <v>42.904949999999999</v>
      </c>
      <c r="H2558">
        <v>-71.386764999999997</v>
      </c>
      <c r="I2558">
        <v>363</v>
      </c>
      <c r="J2558">
        <v>0</v>
      </c>
      <c r="K2558">
        <v>0</v>
      </c>
      <c r="L2558" s="1">
        <v>44784.847939814812</v>
      </c>
      <c r="M2558">
        <v>3.1</v>
      </c>
      <c r="N2558">
        <v>3.7</v>
      </c>
      <c r="O2558">
        <v>0.6</v>
      </c>
      <c r="P2558">
        <v>18</v>
      </c>
      <c r="Q2558">
        <v>0.7</v>
      </c>
      <c r="R2558">
        <v>0.6</v>
      </c>
      <c r="S2558">
        <v>0.64999999999999902</v>
      </c>
      <c r="T2558" t="s">
        <v>33</v>
      </c>
      <c r="U2558">
        <v>3.4</v>
      </c>
      <c r="V2558">
        <v>0</v>
      </c>
      <c r="W2558">
        <v>0</v>
      </c>
      <c r="X2558">
        <v>0</v>
      </c>
      <c r="Y2558">
        <v>0</v>
      </c>
      <c r="Z2558">
        <v>0</v>
      </c>
      <c r="AA2558">
        <v>0</v>
      </c>
      <c r="AB2558" t="s">
        <v>38</v>
      </c>
    </row>
    <row r="2559" spans="1:30" x14ac:dyDescent="0.25">
      <c r="A2559" s="1">
        <v>44784.848032407404</v>
      </c>
      <c r="B2559" s="1">
        <v>44784.847314814811</v>
      </c>
      <c r="C2559">
        <v>146644</v>
      </c>
      <c r="D2559" t="s">
        <v>54</v>
      </c>
      <c r="E2559" t="s">
        <v>53</v>
      </c>
      <c r="F2559">
        <v>7</v>
      </c>
      <c r="G2559">
        <v>43.06015</v>
      </c>
      <c r="H2559">
        <v>-70.758930000000007</v>
      </c>
      <c r="I2559">
        <v>35</v>
      </c>
      <c r="J2559">
        <v>71</v>
      </c>
      <c r="K2559">
        <v>73</v>
      </c>
      <c r="L2559" s="1">
        <v>44784.847939814812</v>
      </c>
      <c r="M2559">
        <v>12</v>
      </c>
      <c r="N2559">
        <v>10.8</v>
      </c>
      <c r="O2559">
        <v>1.2</v>
      </c>
      <c r="P2559">
        <v>11</v>
      </c>
      <c r="Q2559">
        <v>0.6</v>
      </c>
      <c r="R2559">
        <v>0.4</v>
      </c>
      <c r="S2559">
        <v>0.5</v>
      </c>
      <c r="T2559" t="s">
        <v>33</v>
      </c>
      <c r="U2559">
        <v>11.4</v>
      </c>
      <c r="V2559">
        <v>70</v>
      </c>
      <c r="W2559">
        <v>74</v>
      </c>
      <c r="X2559">
        <v>4</v>
      </c>
      <c r="Y2559">
        <v>0</v>
      </c>
      <c r="Z2559">
        <v>0</v>
      </c>
      <c r="AA2559">
        <v>0</v>
      </c>
      <c r="AB2559" t="s">
        <v>33</v>
      </c>
      <c r="AC2559">
        <v>72</v>
      </c>
      <c r="AD2559">
        <v>4.07</v>
      </c>
    </row>
    <row r="2560" spans="1:30" x14ac:dyDescent="0.25">
      <c r="A2560" s="1">
        <v>44784.848032407404</v>
      </c>
      <c r="B2560" s="1">
        <v>43755.283437500002</v>
      </c>
      <c r="C2560">
        <v>12188</v>
      </c>
      <c r="D2560" t="s">
        <v>55</v>
      </c>
      <c r="E2560" t="s">
        <v>35</v>
      </c>
      <c r="F2560">
        <v>4.1100000000000003</v>
      </c>
      <c r="G2560">
        <v>42.927050000000001</v>
      </c>
      <c r="H2560">
        <v>-72.279610000000005</v>
      </c>
      <c r="I2560">
        <v>475</v>
      </c>
      <c r="J2560">
        <v>95</v>
      </c>
      <c r="K2560">
        <v>0</v>
      </c>
      <c r="L2560" s="1">
        <v>44784.847939814812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 t="s">
        <v>32</v>
      </c>
      <c r="V2560">
        <v>77</v>
      </c>
      <c r="W2560">
        <v>0</v>
      </c>
      <c r="X2560">
        <v>77</v>
      </c>
      <c r="Y2560">
        <v>0</v>
      </c>
      <c r="Z2560">
        <v>0</v>
      </c>
      <c r="AA2560">
        <v>0</v>
      </c>
      <c r="AB2560" t="s">
        <v>36</v>
      </c>
      <c r="AC2560">
        <v>77</v>
      </c>
    </row>
    <row r="2561" spans="1:30" x14ac:dyDescent="0.25">
      <c r="A2561" s="1">
        <v>44784.848032407404</v>
      </c>
      <c r="B2561" s="1">
        <v>44784.846319444441</v>
      </c>
      <c r="C2561">
        <v>1224</v>
      </c>
      <c r="D2561" t="s">
        <v>56</v>
      </c>
      <c r="E2561" t="s">
        <v>35</v>
      </c>
      <c r="F2561" t="s">
        <v>57</v>
      </c>
      <c r="G2561">
        <v>42.938034000000002</v>
      </c>
      <c r="H2561">
        <v>-72.259299999999996</v>
      </c>
      <c r="I2561">
        <v>792</v>
      </c>
      <c r="J2561">
        <v>83</v>
      </c>
      <c r="K2561">
        <v>0</v>
      </c>
      <c r="L2561" s="1">
        <v>44784.847939814812</v>
      </c>
      <c r="M2561">
        <v>6.1</v>
      </c>
      <c r="N2561">
        <v>0</v>
      </c>
      <c r="O2561">
        <v>6.1</v>
      </c>
      <c r="P2561">
        <v>200</v>
      </c>
      <c r="Q2561">
        <v>0.2</v>
      </c>
      <c r="R2561">
        <v>0.1</v>
      </c>
      <c r="S2561">
        <v>0.15</v>
      </c>
      <c r="T2561" t="s">
        <v>43</v>
      </c>
      <c r="V2561">
        <v>52</v>
      </c>
      <c r="W2561">
        <v>0</v>
      </c>
      <c r="X2561">
        <v>52</v>
      </c>
      <c r="Y2561">
        <v>1</v>
      </c>
      <c r="Z2561">
        <v>0</v>
      </c>
      <c r="AA2561">
        <v>1</v>
      </c>
      <c r="AB2561" t="s">
        <v>36</v>
      </c>
      <c r="AC2561">
        <v>52</v>
      </c>
    </row>
    <row r="2562" spans="1:30" x14ac:dyDescent="0.25">
      <c r="A2562" s="1">
        <v>44784.848043981481</v>
      </c>
      <c r="B2562" s="1">
        <v>44784.84715277778</v>
      </c>
      <c r="C2562">
        <v>1202</v>
      </c>
      <c r="D2562" t="s">
        <v>58</v>
      </c>
      <c r="E2562" t="s">
        <v>35</v>
      </c>
      <c r="F2562" t="s">
        <v>57</v>
      </c>
      <c r="G2562">
        <v>42.936554000000001</v>
      </c>
      <c r="H2562">
        <v>-72.271019999999993</v>
      </c>
      <c r="I2562">
        <v>488</v>
      </c>
      <c r="J2562">
        <v>0</v>
      </c>
      <c r="K2562">
        <v>0</v>
      </c>
      <c r="L2562" s="1">
        <v>44784.847939814812</v>
      </c>
      <c r="M2562">
        <v>6.5</v>
      </c>
      <c r="N2562">
        <v>5.9</v>
      </c>
      <c r="O2562">
        <v>0.6</v>
      </c>
      <c r="P2562">
        <v>10</v>
      </c>
      <c r="Q2562">
        <v>0.4</v>
      </c>
      <c r="R2562">
        <v>0.5</v>
      </c>
      <c r="S2562">
        <v>0.45</v>
      </c>
      <c r="T2562" t="s">
        <v>33</v>
      </c>
      <c r="U2562">
        <v>6.2</v>
      </c>
      <c r="V2562">
        <v>0</v>
      </c>
      <c r="W2562">
        <v>0</v>
      </c>
      <c r="X2562">
        <v>0</v>
      </c>
      <c r="Y2562">
        <v>0</v>
      </c>
      <c r="Z2562">
        <v>0</v>
      </c>
      <c r="AA2562">
        <v>0</v>
      </c>
      <c r="AB2562" t="s">
        <v>38</v>
      </c>
    </row>
    <row r="2563" spans="1:30" x14ac:dyDescent="0.25">
      <c r="A2563" s="1">
        <v>44784.848043981481</v>
      </c>
      <c r="B2563" s="1">
        <v>44612.080023148148</v>
      </c>
      <c r="C2563">
        <v>25985</v>
      </c>
      <c r="D2563" t="s">
        <v>59</v>
      </c>
      <c r="E2563" t="s">
        <v>35</v>
      </c>
      <c r="F2563">
        <v>6.01</v>
      </c>
      <c r="G2563">
        <v>42.927326000000001</v>
      </c>
      <c r="H2563">
        <v>-72.279979999999995</v>
      </c>
      <c r="I2563">
        <v>477</v>
      </c>
      <c r="J2563">
        <v>78</v>
      </c>
      <c r="K2563">
        <v>0</v>
      </c>
      <c r="L2563" s="1">
        <v>44784.847939814812</v>
      </c>
      <c r="M2563">
        <v>1.1000000000000001</v>
      </c>
      <c r="N2563">
        <v>1</v>
      </c>
      <c r="O2563">
        <v>0.1</v>
      </c>
      <c r="P2563">
        <v>10</v>
      </c>
      <c r="Q2563">
        <v>0</v>
      </c>
      <c r="R2563">
        <v>0</v>
      </c>
      <c r="S2563">
        <v>0</v>
      </c>
      <c r="T2563" t="s">
        <v>32</v>
      </c>
      <c r="V2563">
        <v>22</v>
      </c>
      <c r="W2563">
        <v>0</v>
      </c>
      <c r="X2563">
        <v>22</v>
      </c>
      <c r="Y2563">
        <v>0</v>
      </c>
      <c r="Z2563">
        <v>0</v>
      </c>
      <c r="AA2563">
        <v>0</v>
      </c>
      <c r="AB2563" t="s">
        <v>36</v>
      </c>
      <c r="AC2563">
        <v>22</v>
      </c>
    </row>
    <row r="2564" spans="1:30" x14ac:dyDescent="0.25">
      <c r="A2564" s="1">
        <v>44784.854895833334</v>
      </c>
      <c r="B2564" s="1">
        <v>44775.701319444444</v>
      </c>
      <c r="C2564">
        <v>151708</v>
      </c>
      <c r="D2564" t="s">
        <v>30</v>
      </c>
      <c r="E2564" t="s">
        <v>31</v>
      </c>
      <c r="F2564">
        <v>7</v>
      </c>
      <c r="G2564">
        <v>43.192042999999998</v>
      </c>
      <c r="H2564">
        <v>-71.541579999999996</v>
      </c>
      <c r="I2564">
        <v>291</v>
      </c>
      <c r="J2564">
        <v>93</v>
      </c>
      <c r="K2564">
        <v>94</v>
      </c>
      <c r="L2564" s="1">
        <v>44784.854884259257</v>
      </c>
      <c r="M2564">
        <v>7.9</v>
      </c>
      <c r="N2564">
        <v>7.6</v>
      </c>
      <c r="O2564">
        <v>0.3</v>
      </c>
      <c r="P2564">
        <v>4</v>
      </c>
      <c r="Q2564">
        <v>0</v>
      </c>
      <c r="R2564">
        <v>0</v>
      </c>
      <c r="S2564">
        <v>0</v>
      </c>
      <c r="T2564" t="s">
        <v>32</v>
      </c>
      <c r="V2564">
        <v>42</v>
      </c>
      <c r="W2564">
        <v>41</v>
      </c>
      <c r="X2564">
        <v>1</v>
      </c>
      <c r="Y2564">
        <v>0</v>
      </c>
      <c r="Z2564">
        <v>0</v>
      </c>
      <c r="AA2564">
        <v>0</v>
      </c>
      <c r="AB2564" t="s">
        <v>33</v>
      </c>
      <c r="AC2564">
        <v>41.5</v>
      </c>
    </row>
    <row r="2565" spans="1:30" x14ac:dyDescent="0.25">
      <c r="A2565" s="1">
        <v>44784.854895833334</v>
      </c>
      <c r="B2565" s="1">
        <v>44784.853298611109</v>
      </c>
      <c r="C2565">
        <v>143456</v>
      </c>
      <c r="D2565" t="s">
        <v>34</v>
      </c>
      <c r="E2565" t="s">
        <v>35</v>
      </c>
      <c r="F2565">
        <v>7</v>
      </c>
      <c r="G2565">
        <v>43.08963</v>
      </c>
      <c r="H2565">
        <v>-71.502440000000007</v>
      </c>
      <c r="I2565">
        <v>619</v>
      </c>
      <c r="J2565">
        <v>75</v>
      </c>
      <c r="K2565">
        <v>0</v>
      </c>
      <c r="L2565" s="1">
        <v>44784.854884259257</v>
      </c>
      <c r="M2565">
        <v>3.7</v>
      </c>
      <c r="N2565">
        <v>4</v>
      </c>
      <c r="O2565">
        <v>0.3</v>
      </c>
      <c r="P2565">
        <v>8</v>
      </c>
      <c r="Q2565">
        <v>0</v>
      </c>
      <c r="R2565">
        <v>0.1</v>
      </c>
      <c r="S2565">
        <v>0.05</v>
      </c>
      <c r="T2565" t="s">
        <v>33</v>
      </c>
      <c r="U2565">
        <v>3.85</v>
      </c>
      <c r="V2565">
        <v>56</v>
      </c>
      <c r="W2565">
        <v>0</v>
      </c>
      <c r="X2565">
        <v>56</v>
      </c>
      <c r="Y2565">
        <v>1</v>
      </c>
      <c r="Z2565">
        <v>0</v>
      </c>
      <c r="AA2565">
        <v>1</v>
      </c>
      <c r="AB2565" t="s">
        <v>36</v>
      </c>
      <c r="AC2565">
        <v>56</v>
      </c>
      <c r="AD2565">
        <v>0.59</v>
      </c>
    </row>
    <row r="2566" spans="1:30" x14ac:dyDescent="0.25">
      <c r="A2566" s="1">
        <v>44784.854895833334</v>
      </c>
      <c r="B2566" s="1">
        <v>44784.853437500002</v>
      </c>
      <c r="C2566">
        <v>151702</v>
      </c>
      <c r="D2566" t="s">
        <v>37</v>
      </c>
      <c r="E2566" t="s">
        <v>31</v>
      </c>
      <c r="F2566">
        <v>7</v>
      </c>
      <c r="G2566">
        <v>43.118609999999997</v>
      </c>
      <c r="H2566">
        <v>-71.61618</v>
      </c>
      <c r="I2566">
        <v>885</v>
      </c>
      <c r="J2566">
        <v>0</v>
      </c>
      <c r="K2566">
        <v>0</v>
      </c>
      <c r="L2566" s="1">
        <v>44784.854884259257</v>
      </c>
      <c r="M2566">
        <v>4.0999999999999996</v>
      </c>
      <c r="N2566">
        <v>4</v>
      </c>
      <c r="O2566">
        <v>0.1</v>
      </c>
      <c r="P2566">
        <v>2</v>
      </c>
      <c r="Q2566">
        <v>0.1</v>
      </c>
      <c r="R2566">
        <v>0</v>
      </c>
      <c r="S2566">
        <v>0.05</v>
      </c>
      <c r="T2566" t="s">
        <v>33</v>
      </c>
      <c r="U2566">
        <v>4.05</v>
      </c>
      <c r="V2566">
        <v>0</v>
      </c>
      <c r="W2566">
        <v>0</v>
      </c>
      <c r="X2566">
        <v>0</v>
      </c>
      <c r="Y2566">
        <v>0</v>
      </c>
      <c r="Z2566">
        <v>0</v>
      </c>
      <c r="AA2566">
        <v>0</v>
      </c>
      <c r="AB2566" t="s">
        <v>38</v>
      </c>
    </row>
    <row r="2567" spans="1:30" x14ac:dyDescent="0.25">
      <c r="A2567" s="1">
        <v>44784.854907407411</v>
      </c>
      <c r="B2567" s="1">
        <v>44784.853344907409</v>
      </c>
      <c r="C2567">
        <v>151700</v>
      </c>
      <c r="D2567" t="s">
        <v>30</v>
      </c>
      <c r="E2567" t="s">
        <v>31</v>
      </c>
      <c r="F2567">
        <v>7</v>
      </c>
      <c r="G2567">
        <v>43.19211</v>
      </c>
      <c r="H2567">
        <v>-71.541460000000001</v>
      </c>
      <c r="I2567">
        <v>286</v>
      </c>
      <c r="J2567">
        <v>80</v>
      </c>
      <c r="K2567">
        <v>0</v>
      </c>
      <c r="L2567" s="1">
        <v>44784.854884259257</v>
      </c>
      <c r="M2567">
        <v>4.2</v>
      </c>
      <c r="N2567">
        <v>4.8</v>
      </c>
      <c r="O2567">
        <v>0.6</v>
      </c>
      <c r="P2567">
        <v>13</v>
      </c>
      <c r="Q2567">
        <v>0.5</v>
      </c>
      <c r="R2567">
        <v>0.4</v>
      </c>
      <c r="S2567">
        <v>0.45</v>
      </c>
      <c r="T2567" t="s">
        <v>33</v>
      </c>
      <c r="U2567">
        <v>4.5</v>
      </c>
      <c r="V2567">
        <v>55</v>
      </c>
      <c r="W2567">
        <v>0</v>
      </c>
      <c r="X2567">
        <v>55</v>
      </c>
      <c r="Y2567">
        <v>2</v>
      </c>
      <c r="Z2567">
        <v>0</v>
      </c>
      <c r="AA2567">
        <v>2</v>
      </c>
      <c r="AB2567" t="s">
        <v>36</v>
      </c>
      <c r="AC2567">
        <v>55</v>
      </c>
      <c r="AD2567">
        <v>1.05</v>
      </c>
    </row>
    <row r="2568" spans="1:30" x14ac:dyDescent="0.25">
      <c r="A2568" s="1">
        <v>44784.854907407411</v>
      </c>
      <c r="B2568" s="1">
        <v>44784.853784722225</v>
      </c>
      <c r="C2568">
        <v>135984</v>
      </c>
      <c r="D2568" t="s">
        <v>39</v>
      </c>
      <c r="E2568" t="s">
        <v>31</v>
      </c>
      <c r="F2568">
        <v>7</v>
      </c>
      <c r="G2568">
        <v>43.565852999999997</v>
      </c>
      <c r="H2568">
        <v>-71.496129999999994</v>
      </c>
      <c r="I2568">
        <v>708</v>
      </c>
      <c r="J2568">
        <v>76</v>
      </c>
      <c r="K2568">
        <v>0</v>
      </c>
      <c r="L2568" s="1">
        <v>44784.854884259257</v>
      </c>
      <c r="M2568">
        <v>3.7</v>
      </c>
      <c r="N2568">
        <v>3.4</v>
      </c>
      <c r="O2568">
        <v>0.3</v>
      </c>
      <c r="P2568">
        <v>8</v>
      </c>
      <c r="Q2568">
        <v>0.3</v>
      </c>
      <c r="R2568">
        <v>0.3</v>
      </c>
      <c r="S2568">
        <v>0.3</v>
      </c>
      <c r="T2568" t="s">
        <v>33</v>
      </c>
      <c r="U2568">
        <v>3.55</v>
      </c>
      <c r="V2568">
        <v>61</v>
      </c>
      <c r="W2568">
        <v>0</v>
      </c>
      <c r="X2568">
        <v>61</v>
      </c>
      <c r="Y2568">
        <v>1</v>
      </c>
      <c r="Z2568">
        <v>0</v>
      </c>
      <c r="AA2568">
        <v>1</v>
      </c>
      <c r="AB2568" t="s">
        <v>36</v>
      </c>
      <c r="AC2568">
        <v>61</v>
      </c>
      <c r="AD2568">
        <v>0.06</v>
      </c>
    </row>
    <row r="2569" spans="1:30" x14ac:dyDescent="0.25">
      <c r="A2569" s="1">
        <v>44784.85491898148</v>
      </c>
      <c r="B2569" s="1">
        <v>44780.394780092596</v>
      </c>
      <c r="C2569">
        <v>151712</v>
      </c>
      <c r="D2569" t="s">
        <v>40</v>
      </c>
      <c r="E2569" t="s">
        <v>31</v>
      </c>
      <c r="F2569">
        <v>7</v>
      </c>
      <c r="G2569">
        <v>43.289763999999998</v>
      </c>
      <c r="H2569">
        <v>-71.564260000000004</v>
      </c>
      <c r="I2569">
        <v>370</v>
      </c>
      <c r="J2569">
        <v>86</v>
      </c>
      <c r="K2569">
        <v>0</v>
      </c>
      <c r="L2569" s="1">
        <v>44784.854884259257</v>
      </c>
      <c r="M2569">
        <v>14</v>
      </c>
      <c r="N2569">
        <v>13.2</v>
      </c>
      <c r="O2569">
        <v>0.8</v>
      </c>
      <c r="P2569">
        <v>6</v>
      </c>
      <c r="Q2569">
        <v>0</v>
      </c>
      <c r="R2569">
        <v>0</v>
      </c>
      <c r="S2569">
        <v>0</v>
      </c>
      <c r="T2569" t="s">
        <v>32</v>
      </c>
      <c r="V2569">
        <v>59</v>
      </c>
      <c r="W2569">
        <v>0</v>
      </c>
      <c r="X2569">
        <v>59</v>
      </c>
      <c r="Y2569">
        <v>0</v>
      </c>
      <c r="Z2569">
        <v>0</v>
      </c>
      <c r="AA2569">
        <v>0</v>
      </c>
      <c r="AB2569" t="s">
        <v>36</v>
      </c>
      <c r="AC2569">
        <v>59</v>
      </c>
    </row>
    <row r="2570" spans="1:30" x14ac:dyDescent="0.25">
      <c r="A2570" s="1">
        <v>44784.85491898148</v>
      </c>
      <c r="B2570" s="1">
        <v>44784.853101851855</v>
      </c>
      <c r="C2570">
        <v>151710</v>
      </c>
      <c r="D2570" t="s">
        <v>41</v>
      </c>
      <c r="E2570" t="s">
        <v>31</v>
      </c>
      <c r="F2570">
        <v>7</v>
      </c>
      <c r="G2570">
        <v>43.132477000000002</v>
      </c>
      <c r="H2570">
        <v>-71.458374000000006</v>
      </c>
      <c r="I2570">
        <v>230</v>
      </c>
      <c r="J2570">
        <v>79</v>
      </c>
      <c r="K2570">
        <v>0</v>
      </c>
      <c r="L2570" s="1">
        <v>44784.854884259257</v>
      </c>
      <c r="M2570">
        <v>8.3000000000000007</v>
      </c>
      <c r="N2570">
        <v>6.8</v>
      </c>
      <c r="O2570">
        <v>1.5</v>
      </c>
      <c r="P2570">
        <v>20</v>
      </c>
      <c r="Q2570">
        <v>1.8</v>
      </c>
      <c r="R2570">
        <v>1.5</v>
      </c>
      <c r="S2570">
        <v>1.65</v>
      </c>
      <c r="T2570" t="s">
        <v>33</v>
      </c>
      <c r="U2570">
        <v>7.55</v>
      </c>
      <c r="V2570">
        <v>53</v>
      </c>
      <c r="W2570">
        <v>0</v>
      </c>
      <c r="X2570">
        <v>53</v>
      </c>
      <c r="Y2570">
        <v>1</v>
      </c>
      <c r="Z2570">
        <v>0</v>
      </c>
      <c r="AA2570">
        <v>1</v>
      </c>
      <c r="AB2570" t="s">
        <v>36</v>
      </c>
      <c r="AC2570">
        <v>53</v>
      </c>
      <c r="AD2570">
        <v>3.06</v>
      </c>
    </row>
    <row r="2571" spans="1:30" x14ac:dyDescent="0.25">
      <c r="A2571" s="1">
        <v>44784.85491898148</v>
      </c>
      <c r="B2571" s="1">
        <v>44784.854120370372</v>
      </c>
      <c r="C2571">
        <v>151706</v>
      </c>
      <c r="D2571" t="s">
        <v>42</v>
      </c>
      <c r="E2571" t="s">
        <v>31</v>
      </c>
      <c r="F2571">
        <v>7</v>
      </c>
      <c r="G2571">
        <v>43.004080000000002</v>
      </c>
      <c r="H2571">
        <v>-71.177040000000005</v>
      </c>
      <c r="I2571">
        <v>194</v>
      </c>
      <c r="J2571">
        <v>78</v>
      </c>
      <c r="K2571">
        <v>0</v>
      </c>
      <c r="L2571" s="1">
        <v>44784.854884259257</v>
      </c>
      <c r="M2571">
        <v>11.7</v>
      </c>
      <c r="N2571">
        <v>0</v>
      </c>
      <c r="O2571">
        <v>11.7</v>
      </c>
      <c r="P2571">
        <v>200</v>
      </c>
      <c r="Q2571">
        <v>0.2</v>
      </c>
      <c r="R2571">
        <v>0</v>
      </c>
      <c r="S2571">
        <v>0.1</v>
      </c>
      <c r="T2571" t="s">
        <v>43</v>
      </c>
      <c r="V2571">
        <v>63</v>
      </c>
      <c r="W2571">
        <v>0</v>
      </c>
      <c r="X2571">
        <v>63</v>
      </c>
      <c r="Y2571">
        <v>1</v>
      </c>
      <c r="Z2571">
        <v>0</v>
      </c>
      <c r="AA2571">
        <v>1</v>
      </c>
      <c r="AB2571" t="s">
        <v>36</v>
      </c>
      <c r="AC2571">
        <v>63</v>
      </c>
    </row>
    <row r="2572" spans="1:30" x14ac:dyDescent="0.25">
      <c r="A2572" s="1">
        <v>44784.854930555557</v>
      </c>
      <c r="B2572" s="1">
        <v>44784.853946759256</v>
      </c>
      <c r="C2572">
        <v>12212</v>
      </c>
      <c r="D2572" t="s">
        <v>44</v>
      </c>
      <c r="E2572" t="s">
        <v>35</v>
      </c>
      <c r="F2572">
        <v>7</v>
      </c>
      <c r="G2572">
        <v>42.930529999999997</v>
      </c>
      <c r="H2572">
        <v>-72.272350000000003</v>
      </c>
      <c r="I2572">
        <v>476</v>
      </c>
      <c r="J2572">
        <v>83</v>
      </c>
      <c r="K2572">
        <v>0</v>
      </c>
      <c r="L2572" s="1">
        <v>44784.854884259257</v>
      </c>
      <c r="M2572">
        <v>5.5</v>
      </c>
      <c r="N2572">
        <v>4.8</v>
      </c>
      <c r="O2572">
        <v>0.7</v>
      </c>
      <c r="P2572">
        <v>14</v>
      </c>
      <c r="Q2572">
        <v>0.3</v>
      </c>
      <c r="R2572">
        <v>0.3</v>
      </c>
      <c r="S2572">
        <v>0.3</v>
      </c>
      <c r="T2572" t="s">
        <v>33</v>
      </c>
      <c r="U2572">
        <v>5.15</v>
      </c>
      <c r="V2572">
        <v>46</v>
      </c>
      <c r="W2572">
        <v>0</v>
      </c>
      <c r="X2572">
        <v>46</v>
      </c>
      <c r="Y2572">
        <v>0</v>
      </c>
      <c r="Z2572">
        <v>0</v>
      </c>
      <c r="AA2572">
        <v>0</v>
      </c>
      <c r="AB2572" t="s">
        <v>36</v>
      </c>
      <c r="AC2572">
        <v>46</v>
      </c>
      <c r="AD2572">
        <v>2.08</v>
      </c>
    </row>
    <row r="2573" spans="1:30" x14ac:dyDescent="0.25">
      <c r="A2573" s="1">
        <v>44784.854930555557</v>
      </c>
      <c r="B2573" s="1">
        <v>44769.376736111109</v>
      </c>
      <c r="C2573">
        <v>12178</v>
      </c>
      <c r="D2573" t="s">
        <v>45</v>
      </c>
      <c r="E2573" t="s">
        <v>35</v>
      </c>
      <c r="F2573">
        <v>7</v>
      </c>
      <c r="G2573">
        <v>42.899563000000001</v>
      </c>
      <c r="H2573">
        <v>-71.464650000000006</v>
      </c>
      <c r="I2573">
        <v>301</v>
      </c>
      <c r="J2573">
        <v>85</v>
      </c>
      <c r="K2573">
        <v>0</v>
      </c>
      <c r="L2573" s="1">
        <v>44784.854884259257</v>
      </c>
      <c r="M2573">
        <v>3.8</v>
      </c>
      <c r="N2573">
        <v>3.1</v>
      </c>
      <c r="O2573">
        <v>0.7</v>
      </c>
      <c r="P2573">
        <v>20</v>
      </c>
      <c r="Q2573">
        <v>0</v>
      </c>
      <c r="R2573">
        <v>0</v>
      </c>
      <c r="S2573">
        <v>0</v>
      </c>
      <c r="T2573" t="s">
        <v>32</v>
      </c>
      <c r="V2573">
        <v>35</v>
      </c>
      <c r="W2573">
        <v>0</v>
      </c>
      <c r="X2573">
        <v>35</v>
      </c>
      <c r="Y2573">
        <v>0</v>
      </c>
      <c r="Z2573">
        <v>0</v>
      </c>
      <c r="AA2573">
        <v>0</v>
      </c>
      <c r="AB2573" t="s">
        <v>36</v>
      </c>
      <c r="AC2573">
        <v>35</v>
      </c>
    </row>
    <row r="2574" spans="1:30" x14ac:dyDescent="0.25">
      <c r="A2574" s="1">
        <v>44784.854942129627</v>
      </c>
      <c r="B2574" s="1">
        <v>44784.853194444448</v>
      </c>
      <c r="C2574">
        <v>75981</v>
      </c>
      <c r="D2574" t="s">
        <v>46</v>
      </c>
      <c r="E2574" t="s">
        <v>35</v>
      </c>
      <c r="F2574">
        <v>7</v>
      </c>
      <c r="G2574">
        <v>42.97</v>
      </c>
      <c r="H2574">
        <v>-71.06</v>
      </c>
      <c r="I2574">
        <v>136</v>
      </c>
      <c r="J2574">
        <v>83</v>
      </c>
      <c r="K2574">
        <v>0</v>
      </c>
      <c r="L2574" s="1">
        <v>44784.854884259257</v>
      </c>
      <c r="M2574">
        <v>11.3</v>
      </c>
      <c r="N2574">
        <v>10.9</v>
      </c>
      <c r="O2574">
        <v>0.4</v>
      </c>
      <c r="P2574">
        <v>4</v>
      </c>
      <c r="Q2574">
        <v>0</v>
      </c>
      <c r="R2574">
        <v>0</v>
      </c>
      <c r="S2574">
        <v>0</v>
      </c>
      <c r="T2574" t="s">
        <v>33</v>
      </c>
      <c r="U2574">
        <v>11.1</v>
      </c>
      <c r="V2574">
        <v>55</v>
      </c>
      <c r="W2574">
        <v>0</v>
      </c>
      <c r="X2574">
        <v>55</v>
      </c>
      <c r="Y2574">
        <v>1</v>
      </c>
      <c r="Z2574">
        <v>0</v>
      </c>
      <c r="AA2574">
        <v>1</v>
      </c>
      <c r="AB2574" t="s">
        <v>36</v>
      </c>
      <c r="AC2574">
        <v>55</v>
      </c>
      <c r="AD2574">
        <v>5.08</v>
      </c>
    </row>
    <row r="2575" spans="1:30" x14ac:dyDescent="0.25">
      <c r="A2575" s="1">
        <v>44784.854942129627</v>
      </c>
      <c r="B2575" s="1">
        <v>44784.853738425925</v>
      </c>
      <c r="C2575">
        <v>115703</v>
      </c>
      <c r="D2575" t="s">
        <v>47</v>
      </c>
      <c r="E2575" t="s">
        <v>35</v>
      </c>
      <c r="F2575">
        <v>7</v>
      </c>
      <c r="G2575">
        <v>43.953625000000002</v>
      </c>
      <c r="H2575">
        <v>-71.508859999999999</v>
      </c>
      <c r="I2575">
        <v>1493</v>
      </c>
      <c r="J2575">
        <v>73</v>
      </c>
      <c r="K2575">
        <v>0</v>
      </c>
      <c r="L2575" s="1">
        <v>44784.854884259257</v>
      </c>
      <c r="M2575">
        <v>0.1</v>
      </c>
      <c r="N2575">
        <v>201</v>
      </c>
      <c r="O2575">
        <v>200.9</v>
      </c>
      <c r="P2575">
        <v>200</v>
      </c>
      <c r="Q2575">
        <v>0</v>
      </c>
      <c r="R2575">
        <v>0</v>
      </c>
      <c r="S2575">
        <v>0</v>
      </c>
      <c r="T2575" t="s">
        <v>60</v>
      </c>
      <c r="V2575">
        <v>54</v>
      </c>
      <c r="W2575">
        <v>0</v>
      </c>
      <c r="X2575">
        <v>54</v>
      </c>
      <c r="Y2575">
        <v>3</v>
      </c>
      <c r="Z2575">
        <v>0</v>
      </c>
      <c r="AA2575">
        <v>3</v>
      </c>
      <c r="AB2575" t="s">
        <v>36</v>
      </c>
      <c r="AC2575">
        <v>54</v>
      </c>
    </row>
    <row r="2576" spans="1:30" x14ac:dyDescent="0.25">
      <c r="A2576" s="1">
        <v>44784.854942129627</v>
      </c>
      <c r="B2576" s="1">
        <v>44784.853159722225</v>
      </c>
      <c r="C2576">
        <v>12050</v>
      </c>
      <c r="D2576" t="s">
        <v>49</v>
      </c>
      <c r="E2576" t="s">
        <v>35</v>
      </c>
      <c r="F2576">
        <v>7</v>
      </c>
      <c r="G2576">
        <v>44.220573000000002</v>
      </c>
      <c r="H2576">
        <v>-71.732315</v>
      </c>
      <c r="I2576">
        <v>999</v>
      </c>
      <c r="J2576">
        <v>77</v>
      </c>
      <c r="K2576">
        <v>0</v>
      </c>
      <c r="L2576" s="1">
        <v>44784.854884259257</v>
      </c>
      <c r="M2576">
        <v>10.1</v>
      </c>
      <c r="N2576">
        <v>9.6999999999999993</v>
      </c>
      <c r="O2576">
        <v>0.4</v>
      </c>
      <c r="P2576">
        <v>4</v>
      </c>
      <c r="Q2576">
        <v>2.2999999999999998</v>
      </c>
      <c r="R2576">
        <v>2.4</v>
      </c>
      <c r="S2576">
        <v>2.3499999999999899</v>
      </c>
      <c r="T2576" t="s">
        <v>33</v>
      </c>
      <c r="U2576">
        <v>9.9</v>
      </c>
      <c r="V2576">
        <v>58</v>
      </c>
      <c r="W2576">
        <v>0</v>
      </c>
      <c r="X2576">
        <v>58</v>
      </c>
      <c r="Y2576">
        <v>1</v>
      </c>
      <c r="Z2576">
        <v>0</v>
      </c>
      <c r="AA2576">
        <v>1</v>
      </c>
      <c r="AB2576" t="s">
        <v>36</v>
      </c>
      <c r="AC2576">
        <v>58</v>
      </c>
      <c r="AD2576">
        <v>4.1399999999999997</v>
      </c>
    </row>
    <row r="2577" spans="1:30" x14ac:dyDescent="0.25">
      <c r="A2577" s="1">
        <v>44784.854953703703</v>
      </c>
      <c r="B2577" s="1">
        <v>44784.853275462963</v>
      </c>
      <c r="C2577">
        <v>23443</v>
      </c>
      <c r="D2577" t="s">
        <v>50</v>
      </c>
      <c r="E2577" t="s">
        <v>35</v>
      </c>
      <c r="F2577">
        <v>7</v>
      </c>
      <c r="G2577">
        <v>43.556139999999999</v>
      </c>
      <c r="H2577">
        <v>-72.370990000000006</v>
      </c>
      <c r="I2577">
        <v>523</v>
      </c>
      <c r="J2577">
        <v>75</v>
      </c>
      <c r="K2577">
        <v>0</v>
      </c>
      <c r="L2577" s="1">
        <v>44784.854884259257</v>
      </c>
      <c r="M2577">
        <v>6.3</v>
      </c>
      <c r="N2577">
        <v>5.7</v>
      </c>
      <c r="O2577">
        <v>0.6</v>
      </c>
      <c r="P2577">
        <v>10</v>
      </c>
      <c r="Q2577">
        <v>0.1</v>
      </c>
      <c r="R2577">
        <v>0.2</v>
      </c>
      <c r="S2577">
        <v>0.15</v>
      </c>
      <c r="T2577" t="s">
        <v>33</v>
      </c>
      <c r="U2577">
        <v>6</v>
      </c>
      <c r="V2577">
        <v>66</v>
      </c>
      <c r="W2577">
        <v>0</v>
      </c>
      <c r="X2577">
        <v>66</v>
      </c>
      <c r="Y2577">
        <v>1</v>
      </c>
      <c r="Z2577">
        <v>0</v>
      </c>
      <c r="AA2577">
        <v>1</v>
      </c>
      <c r="AB2577" t="s">
        <v>36</v>
      </c>
      <c r="AC2577">
        <v>66</v>
      </c>
      <c r="AD2577">
        <v>1.2</v>
      </c>
    </row>
    <row r="2578" spans="1:30" x14ac:dyDescent="0.25">
      <c r="A2578" s="1">
        <v>44784.854953703703</v>
      </c>
      <c r="B2578" s="1">
        <v>44784.853379629632</v>
      </c>
      <c r="C2578">
        <v>58135</v>
      </c>
      <c r="D2578" t="s">
        <v>51</v>
      </c>
      <c r="E2578" t="s">
        <v>35</v>
      </c>
      <c r="F2578">
        <v>7</v>
      </c>
      <c r="G2578">
        <v>42.883873000000001</v>
      </c>
      <c r="H2578">
        <v>-71.972915999999998</v>
      </c>
      <c r="I2578">
        <v>808</v>
      </c>
      <c r="J2578">
        <v>76</v>
      </c>
      <c r="K2578">
        <v>0</v>
      </c>
      <c r="L2578" s="1">
        <v>44784.854884259257</v>
      </c>
      <c r="M2578">
        <v>6.6</v>
      </c>
      <c r="N2578">
        <v>4.7</v>
      </c>
      <c r="O2578">
        <v>1.9</v>
      </c>
      <c r="P2578">
        <v>34</v>
      </c>
      <c r="Q2578">
        <v>0.3</v>
      </c>
      <c r="R2578">
        <v>0.2</v>
      </c>
      <c r="S2578">
        <v>0.25</v>
      </c>
      <c r="T2578" t="s">
        <v>33</v>
      </c>
      <c r="U2578">
        <v>5.65</v>
      </c>
      <c r="V2578">
        <v>59</v>
      </c>
      <c r="W2578">
        <v>0</v>
      </c>
      <c r="X2578">
        <v>59</v>
      </c>
      <c r="Y2578">
        <v>3</v>
      </c>
      <c r="Z2578">
        <v>0</v>
      </c>
      <c r="AA2578">
        <v>3</v>
      </c>
      <c r="AB2578" t="s">
        <v>36</v>
      </c>
      <c r="AC2578">
        <v>59</v>
      </c>
      <c r="AD2578">
        <v>1.48</v>
      </c>
    </row>
    <row r="2579" spans="1:30" x14ac:dyDescent="0.25">
      <c r="A2579" s="1">
        <v>44784.85496527778</v>
      </c>
      <c r="B2579" s="1">
        <v>44784.853368055556</v>
      </c>
      <c r="C2579">
        <v>148555</v>
      </c>
      <c r="D2579" t="s">
        <v>52</v>
      </c>
      <c r="E2579" t="s">
        <v>53</v>
      </c>
      <c r="F2579">
        <v>7</v>
      </c>
      <c r="G2579">
        <v>42.904949999999999</v>
      </c>
      <c r="H2579">
        <v>-71.386764999999997</v>
      </c>
      <c r="I2579">
        <v>363</v>
      </c>
      <c r="J2579">
        <v>0</v>
      </c>
      <c r="K2579">
        <v>0</v>
      </c>
      <c r="L2579" s="1">
        <v>44784.854884259257</v>
      </c>
      <c r="M2579">
        <v>3.8</v>
      </c>
      <c r="N2579">
        <v>4.4000000000000004</v>
      </c>
      <c r="O2579">
        <v>0.6</v>
      </c>
      <c r="P2579">
        <v>15</v>
      </c>
      <c r="Q2579">
        <v>0.7</v>
      </c>
      <c r="R2579">
        <v>0.7</v>
      </c>
      <c r="S2579">
        <v>0.7</v>
      </c>
      <c r="T2579" t="s">
        <v>33</v>
      </c>
      <c r="U2579">
        <v>4.0999999999999996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 t="s">
        <v>38</v>
      </c>
    </row>
    <row r="2580" spans="1:30" x14ac:dyDescent="0.25">
      <c r="A2580" s="1">
        <v>44784.85496527778</v>
      </c>
      <c r="B2580" s="1">
        <v>44784.854259259257</v>
      </c>
      <c r="C2580">
        <v>146644</v>
      </c>
      <c r="D2580" t="s">
        <v>54</v>
      </c>
      <c r="E2580" t="s">
        <v>53</v>
      </c>
      <c r="F2580">
        <v>7</v>
      </c>
      <c r="G2580">
        <v>43.06015</v>
      </c>
      <c r="H2580">
        <v>-70.758930000000007</v>
      </c>
      <c r="I2580">
        <v>35</v>
      </c>
      <c r="J2580">
        <v>71</v>
      </c>
      <c r="K2580">
        <v>73</v>
      </c>
      <c r="L2580" s="1">
        <v>44784.854884259257</v>
      </c>
      <c r="M2580">
        <v>12.3</v>
      </c>
      <c r="N2580">
        <v>11</v>
      </c>
      <c r="O2580">
        <v>1.3</v>
      </c>
      <c r="P2580">
        <v>11</v>
      </c>
      <c r="Q2580">
        <v>0.3</v>
      </c>
      <c r="R2580">
        <v>0.2</v>
      </c>
      <c r="S2580">
        <v>0.25</v>
      </c>
      <c r="T2580" t="s">
        <v>33</v>
      </c>
      <c r="U2580">
        <v>11.65</v>
      </c>
      <c r="V2580">
        <v>70</v>
      </c>
      <c r="W2580">
        <v>74</v>
      </c>
      <c r="X2580">
        <v>4</v>
      </c>
      <c r="Y2580">
        <v>0</v>
      </c>
      <c r="Z2580">
        <v>0</v>
      </c>
      <c r="AA2580">
        <v>0</v>
      </c>
      <c r="AB2580" t="s">
        <v>33</v>
      </c>
      <c r="AC2580">
        <v>72</v>
      </c>
      <c r="AD2580">
        <v>4.2300000000000004</v>
      </c>
    </row>
    <row r="2581" spans="1:30" x14ac:dyDescent="0.25">
      <c r="A2581" s="1">
        <v>44784.85497685185</v>
      </c>
      <c r="B2581" s="1">
        <v>43755.283437500002</v>
      </c>
      <c r="C2581">
        <v>12188</v>
      </c>
      <c r="D2581" t="s">
        <v>55</v>
      </c>
      <c r="E2581" t="s">
        <v>35</v>
      </c>
      <c r="F2581">
        <v>4.1100000000000003</v>
      </c>
      <c r="G2581">
        <v>42.927050000000001</v>
      </c>
      <c r="H2581">
        <v>-72.279610000000005</v>
      </c>
      <c r="I2581">
        <v>475</v>
      </c>
      <c r="J2581">
        <v>95</v>
      </c>
      <c r="K2581">
        <v>0</v>
      </c>
      <c r="L2581" s="1">
        <v>44784.854884259257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 t="s">
        <v>32</v>
      </c>
      <c r="V2581">
        <v>77</v>
      </c>
      <c r="W2581">
        <v>0</v>
      </c>
      <c r="X2581">
        <v>77</v>
      </c>
      <c r="Y2581">
        <v>0</v>
      </c>
      <c r="Z2581">
        <v>0</v>
      </c>
      <c r="AA2581">
        <v>0</v>
      </c>
      <c r="AB2581" t="s">
        <v>36</v>
      </c>
      <c r="AC2581">
        <v>77</v>
      </c>
    </row>
    <row r="2582" spans="1:30" x14ac:dyDescent="0.25">
      <c r="A2582" s="1">
        <v>44784.85497685185</v>
      </c>
      <c r="B2582" s="1">
        <v>44784.853263888886</v>
      </c>
      <c r="C2582">
        <v>1224</v>
      </c>
      <c r="D2582" t="s">
        <v>56</v>
      </c>
      <c r="E2582" t="s">
        <v>35</v>
      </c>
      <c r="F2582" t="s">
        <v>57</v>
      </c>
      <c r="G2582">
        <v>42.938034000000002</v>
      </c>
      <c r="H2582">
        <v>-72.259299999999996</v>
      </c>
      <c r="I2582">
        <v>792</v>
      </c>
      <c r="J2582">
        <v>82</v>
      </c>
      <c r="K2582">
        <v>0</v>
      </c>
      <c r="L2582" s="1">
        <v>44784.854884259257</v>
      </c>
      <c r="M2582">
        <v>5.7</v>
      </c>
      <c r="N2582">
        <v>0</v>
      </c>
      <c r="O2582">
        <v>5.7</v>
      </c>
      <c r="P2582">
        <v>200</v>
      </c>
      <c r="Q2582">
        <v>0.4</v>
      </c>
      <c r="R2582">
        <v>0</v>
      </c>
      <c r="S2582">
        <v>0.2</v>
      </c>
      <c r="T2582" t="s">
        <v>43</v>
      </c>
      <c r="V2582">
        <v>52</v>
      </c>
      <c r="W2582">
        <v>0</v>
      </c>
      <c r="X2582">
        <v>52</v>
      </c>
      <c r="Y2582">
        <v>0</v>
      </c>
      <c r="Z2582">
        <v>0</v>
      </c>
      <c r="AA2582">
        <v>0</v>
      </c>
      <c r="AB2582" t="s">
        <v>36</v>
      </c>
      <c r="AC2582">
        <v>52</v>
      </c>
    </row>
    <row r="2583" spans="1:30" x14ac:dyDescent="0.25">
      <c r="A2583" s="1">
        <v>44784.85497685185</v>
      </c>
      <c r="B2583" s="1">
        <v>44784.854097222225</v>
      </c>
      <c r="C2583">
        <v>1202</v>
      </c>
      <c r="D2583" t="s">
        <v>58</v>
      </c>
      <c r="E2583" t="s">
        <v>35</v>
      </c>
      <c r="F2583" t="s">
        <v>57</v>
      </c>
      <c r="G2583">
        <v>42.936554000000001</v>
      </c>
      <c r="H2583">
        <v>-72.271019999999993</v>
      </c>
      <c r="I2583">
        <v>488</v>
      </c>
      <c r="J2583">
        <v>0</v>
      </c>
      <c r="K2583">
        <v>0</v>
      </c>
      <c r="L2583" s="1">
        <v>44784.854884259257</v>
      </c>
      <c r="M2583">
        <v>6</v>
      </c>
      <c r="N2583">
        <v>5.5</v>
      </c>
      <c r="O2583">
        <v>0.5</v>
      </c>
      <c r="P2583">
        <v>9</v>
      </c>
      <c r="Q2583">
        <v>0.5</v>
      </c>
      <c r="R2583">
        <v>0.4</v>
      </c>
      <c r="S2583">
        <v>0.45</v>
      </c>
      <c r="T2583" t="s">
        <v>33</v>
      </c>
      <c r="U2583">
        <v>5.75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 t="s">
        <v>38</v>
      </c>
    </row>
    <row r="2584" spans="1:30" x14ac:dyDescent="0.25">
      <c r="A2584" s="1">
        <v>44784.854988425926</v>
      </c>
      <c r="B2584" s="1">
        <v>44612.080023148148</v>
      </c>
      <c r="C2584">
        <v>25985</v>
      </c>
      <c r="D2584" t="s">
        <v>59</v>
      </c>
      <c r="E2584" t="s">
        <v>35</v>
      </c>
      <c r="F2584">
        <v>6.01</v>
      </c>
      <c r="G2584">
        <v>42.927326000000001</v>
      </c>
      <c r="H2584">
        <v>-72.279979999999995</v>
      </c>
      <c r="I2584">
        <v>477</v>
      </c>
      <c r="J2584">
        <v>78</v>
      </c>
      <c r="K2584">
        <v>0</v>
      </c>
      <c r="L2584" s="1">
        <v>44784.854884259257</v>
      </c>
      <c r="M2584">
        <v>1.1000000000000001</v>
      </c>
      <c r="N2584">
        <v>1</v>
      </c>
      <c r="O2584">
        <v>0.1</v>
      </c>
      <c r="P2584">
        <v>10</v>
      </c>
      <c r="Q2584">
        <v>0</v>
      </c>
      <c r="R2584">
        <v>0</v>
      </c>
      <c r="S2584">
        <v>0</v>
      </c>
      <c r="T2584" t="s">
        <v>32</v>
      </c>
      <c r="V2584">
        <v>22</v>
      </c>
      <c r="W2584">
        <v>0</v>
      </c>
      <c r="X2584">
        <v>22</v>
      </c>
      <c r="Y2584">
        <v>0</v>
      </c>
      <c r="Z2584">
        <v>0</v>
      </c>
      <c r="AA2584">
        <v>0</v>
      </c>
      <c r="AB2584" t="s">
        <v>36</v>
      </c>
      <c r="AC2584">
        <v>22</v>
      </c>
    </row>
    <row r="2585" spans="1:30" x14ac:dyDescent="0.25">
      <c r="A2585" s="1">
        <v>44784.861840277779</v>
      </c>
      <c r="B2585" s="1">
        <v>44775.701319444444</v>
      </c>
      <c r="C2585">
        <v>151708</v>
      </c>
      <c r="D2585" t="s">
        <v>30</v>
      </c>
      <c r="E2585" t="s">
        <v>31</v>
      </c>
      <c r="F2585">
        <v>7</v>
      </c>
      <c r="G2585">
        <v>43.192042999999998</v>
      </c>
      <c r="H2585">
        <v>-71.541579999999996</v>
      </c>
      <c r="I2585">
        <v>291</v>
      </c>
      <c r="J2585">
        <v>93</v>
      </c>
      <c r="K2585">
        <v>94</v>
      </c>
      <c r="L2585" s="1">
        <v>44784.861828703702</v>
      </c>
      <c r="M2585">
        <v>7.9</v>
      </c>
      <c r="N2585">
        <v>7.6</v>
      </c>
      <c r="O2585">
        <v>0.3</v>
      </c>
      <c r="P2585">
        <v>4</v>
      </c>
      <c r="Q2585">
        <v>0</v>
      </c>
      <c r="R2585">
        <v>0</v>
      </c>
      <c r="S2585">
        <v>0</v>
      </c>
      <c r="T2585" t="s">
        <v>32</v>
      </c>
      <c r="V2585">
        <v>42</v>
      </c>
      <c r="W2585">
        <v>41</v>
      </c>
      <c r="X2585">
        <v>1</v>
      </c>
      <c r="Y2585">
        <v>0</v>
      </c>
      <c r="Z2585">
        <v>0</v>
      </c>
      <c r="AA2585">
        <v>0</v>
      </c>
      <c r="AB2585" t="s">
        <v>33</v>
      </c>
      <c r="AC2585">
        <v>41.5</v>
      </c>
    </row>
    <row r="2586" spans="1:30" x14ac:dyDescent="0.25">
      <c r="A2586" s="1">
        <v>44784.861840277779</v>
      </c>
      <c r="B2586" s="1">
        <v>44784.860243055555</v>
      </c>
      <c r="C2586">
        <v>143456</v>
      </c>
      <c r="D2586" t="s">
        <v>34</v>
      </c>
      <c r="E2586" t="s">
        <v>35</v>
      </c>
      <c r="F2586">
        <v>7</v>
      </c>
      <c r="G2586">
        <v>43.08963</v>
      </c>
      <c r="H2586">
        <v>-71.502440000000007</v>
      </c>
      <c r="I2586">
        <v>619</v>
      </c>
      <c r="J2586">
        <v>75</v>
      </c>
      <c r="K2586">
        <v>0</v>
      </c>
      <c r="L2586" s="1">
        <v>44784.861828703702</v>
      </c>
      <c r="M2586">
        <v>3.7</v>
      </c>
      <c r="N2586">
        <v>4.0999999999999996</v>
      </c>
      <c r="O2586">
        <v>0.4</v>
      </c>
      <c r="P2586">
        <v>10</v>
      </c>
      <c r="Q2586">
        <v>0</v>
      </c>
      <c r="R2586">
        <v>0.1</v>
      </c>
      <c r="S2586">
        <v>0.05</v>
      </c>
      <c r="T2586" t="s">
        <v>33</v>
      </c>
      <c r="U2586">
        <v>3.9</v>
      </c>
      <c r="V2586">
        <v>57</v>
      </c>
      <c r="W2586">
        <v>0</v>
      </c>
      <c r="X2586">
        <v>57</v>
      </c>
      <c r="Y2586">
        <v>1</v>
      </c>
      <c r="Z2586">
        <v>0</v>
      </c>
      <c r="AA2586">
        <v>1</v>
      </c>
      <c r="AB2586" t="s">
        <v>36</v>
      </c>
      <c r="AC2586">
        <v>57</v>
      </c>
      <c r="AD2586">
        <v>0.55000000000000004</v>
      </c>
    </row>
    <row r="2587" spans="1:30" x14ac:dyDescent="0.25">
      <c r="A2587" s="1">
        <v>44784.861851851849</v>
      </c>
      <c r="B2587" s="1">
        <v>44784.860393518517</v>
      </c>
      <c r="C2587">
        <v>151702</v>
      </c>
      <c r="D2587" t="s">
        <v>37</v>
      </c>
      <c r="E2587" t="s">
        <v>31</v>
      </c>
      <c r="F2587">
        <v>7</v>
      </c>
      <c r="G2587">
        <v>43.118609999999997</v>
      </c>
      <c r="H2587">
        <v>-71.61618</v>
      </c>
      <c r="I2587">
        <v>885</v>
      </c>
      <c r="J2587">
        <v>0</v>
      </c>
      <c r="K2587">
        <v>0</v>
      </c>
      <c r="L2587" s="1">
        <v>44784.861828703702</v>
      </c>
      <c r="M2587">
        <v>3.9</v>
      </c>
      <c r="N2587">
        <v>3.8</v>
      </c>
      <c r="O2587">
        <v>0.1</v>
      </c>
      <c r="P2587">
        <v>3</v>
      </c>
      <c r="Q2587">
        <v>0.2</v>
      </c>
      <c r="R2587">
        <v>0.2</v>
      </c>
      <c r="S2587">
        <v>0.2</v>
      </c>
      <c r="T2587" t="s">
        <v>33</v>
      </c>
      <c r="U2587">
        <v>3.85</v>
      </c>
      <c r="V2587">
        <v>0</v>
      </c>
      <c r="W2587">
        <v>0</v>
      </c>
      <c r="X2587">
        <v>0</v>
      </c>
      <c r="Y2587">
        <v>0</v>
      </c>
      <c r="Z2587">
        <v>0</v>
      </c>
      <c r="AA2587">
        <v>0</v>
      </c>
      <c r="AB2587" t="s">
        <v>38</v>
      </c>
    </row>
    <row r="2588" spans="1:30" x14ac:dyDescent="0.25">
      <c r="A2588" s="1">
        <v>44784.861851851849</v>
      </c>
      <c r="B2588" s="1">
        <v>44784.860289351855</v>
      </c>
      <c r="C2588">
        <v>151700</v>
      </c>
      <c r="D2588" t="s">
        <v>30</v>
      </c>
      <c r="E2588" t="s">
        <v>31</v>
      </c>
      <c r="F2588">
        <v>7</v>
      </c>
      <c r="G2588">
        <v>43.19211</v>
      </c>
      <c r="H2588">
        <v>-71.541460000000001</v>
      </c>
      <c r="I2588">
        <v>286</v>
      </c>
      <c r="J2588">
        <v>80</v>
      </c>
      <c r="K2588">
        <v>0</v>
      </c>
      <c r="L2588" s="1">
        <v>44784.861828703702</v>
      </c>
      <c r="M2588">
        <v>3.9</v>
      </c>
      <c r="N2588">
        <v>4.4000000000000004</v>
      </c>
      <c r="O2588">
        <v>0.5</v>
      </c>
      <c r="P2588">
        <v>12</v>
      </c>
      <c r="Q2588">
        <v>0.3</v>
      </c>
      <c r="R2588">
        <v>0.4</v>
      </c>
      <c r="S2588">
        <v>0.35</v>
      </c>
      <c r="T2588" t="s">
        <v>33</v>
      </c>
      <c r="U2588">
        <v>4.1500000000000004</v>
      </c>
      <c r="V2588">
        <v>50</v>
      </c>
      <c r="W2588">
        <v>0</v>
      </c>
      <c r="X2588">
        <v>50</v>
      </c>
      <c r="Y2588">
        <v>5</v>
      </c>
      <c r="Z2588">
        <v>0</v>
      </c>
      <c r="AA2588">
        <v>5</v>
      </c>
      <c r="AB2588" t="s">
        <v>36</v>
      </c>
      <c r="AC2588">
        <v>50</v>
      </c>
      <c r="AD2588">
        <v>1.19</v>
      </c>
    </row>
    <row r="2589" spans="1:30" x14ac:dyDescent="0.25">
      <c r="A2589" s="1">
        <v>44784.861863425926</v>
      </c>
      <c r="B2589" s="1">
        <v>44784.860729166663</v>
      </c>
      <c r="C2589">
        <v>135984</v>
      </c>
      <c r="D2589" t="s">
        <v>39</v>
      </c>
      <c r="E2589" t="s">
        <v>31</v>
      </c>
      <c r="F2589">
        <v>7</v>
      </c>
      <c r="G2589">
        <v>43.565852999999997</v>
      </c>
      <c r="H2589">
        <v>-71.496129999999994</v>
      </c>
      <c r="I2589">
        <v>708</v>
      </c>
      <c r="J2589">
        <v>75</v>
      </c>
      <c r="K2589">
        <v>0</v>
      </c>
      <c r="L2589" s="1">
        <v>44784.861828703702</v>
      </c>
      <c r="M2589">
        <v>3.6</v>
      </c>
      <c r="N2589">
        <v>3</v>
      </c>
      <c r="O2589">
        <v>0.6</v>
      </c>
      <c r="P2589">
        <v>18</v>
      </c>
      <c r="Q2589">
        <v>0.1</v>
      </c>
      <c r="R2589">
        <v>0.4</v>
      </c>
      <c r="S2589">
        <v>0.25</v>
      </c>
      <c r="T2589" t="s">
        <v>33</v>
      </c>
      <c r="U2589">
        <v>3.3</v>
      </c>
      <c r="V2589">
        <v>62</v>
      </c>
      <c r="W2589">
        <v>0</v>
      </c>
      <c r="X2589">
        <v>62</v>
      </c>
      <c r="Y2589">
        <v>1</v>
      </c>
      <c r="Z2589">
        <v>0</v>
      </c>
      <c r="AA2589">
        <v>1</v>
      </c>
      <c r="AB2589" t="s">
        <v>36</v>
      </c>
      <c r="AC2589">
        <v>62</v>
      </c>
      <c r="AD2589">
        <v>-0.17</v>
      </c>
    </row>
    <row r="2590" spans="1:30" x14ac:dyDescent="0.25">
      <c r="A2590" s="1">
        <v>44784.861863425926</v>
      </c>
      <c r="B2590" s="1">
        <v>44780.394780092596</v>
      </c>
      <c r="C2590">
        <v>151712</v>
      </c>
      <c r="D2590" t="s">
        <v>40</v>
      </c>
      <c r="E2590" t="s">
        <v>31</v>
      </c>
      <c r="F2590">
        <v>7</v>
      </c>
      <c r="G2590">
        <v>43.289763999999998</v>
      </c>
      <c r="H2590">
        <v>-71.564260000000004</v>
      </c>
      <c r="I2590">
        <v>370</v>
      </c>
      <c r="J2590">
        <v>86</v>
      </c>
      <c r="K2590">
        <v>0</v>
      </c>
      <c r="L2590" s="1">
        <v>44784.861828703702</v>
      </c>
      <c r="M2590">
        <v>14</v>
      </c>
      <c r="N2590">
        <v>13.2</v>
      </c>
      <c r="O2590">
        <v>0.8</v>
      </c>
      <c r="P2590">
        <v>6</v>
      </c>
      <c r="Q2590">
        <v>0</v>
      </c>
      <c r="R2590">
        <v>0</v>
      </c>
      <c r="S2590">
        <v>0</v>
      </c>
      <c r="T2590" t="s">
        <v>32</v>
      </c>
      <c r="V2590">
        <v>59</v>
      </c>
      <c r="W2590">
        <v>0</v>
      </c>
      <c r="X2590">
        <v>59</v>
      </c>
      <c r="Y2590">
        <v>0</v>
      </c>
      <c r="Z2590">
        <v>0</v>
      </c>
      <c r="AA2590">
        <v>0</v>
      </c>
      <c r="AB2590" t="s">
        <v>36</v>
      </c>
      <c r="AC2590">
        <v>59</v>
      </c>
    </row>
    <row r="2591" spans="1:30" x14ac:dyDescent="0.25">
      <c r="A2591" s="1">
        <v>44784.861875000002</v>
      </c>
      <c r="B2591" s="1">
        <v>44784.861446759256</v>
      </c>
      <c r="C2591">
        <v>151710</v>
      </c>
      <c r="D2591" t="s">
        <v>41</v>
      </c>
      <c r="E2591" t="s">
        <v>31</v>
      </c>
      <c r="F2591">
        <v>7</v>
      </c>
      <c r="G2591">
        <v>43.132477000000002</v>
      </c>
      <c r="H2591">
        <v>-71.458374000000006</v>
      </c>
      <c r="I2591">
        <v>230</v>
      </c>
      <c r="J2591">
        <v>78</v>
      </c>
      <c r="K2591">
        <v>0</v>
      </c>
      <c r="L2591" s="1">
        <v>44784.861828703702</v>
      </c>
      <c r="M2591">
        <v>9.5</v>
      </c>
      <c r="N2591">
        <v>8.1</v>
      </c>
      <c r="O2591">
        <v>1.4</v>
      </c>
      <c r="P2591">
        <v>16</v>
      </c>
      <c r="Q2591">
        <v>1.2</v>
      </c>
      <c r="R2591">
        <v>1.3</v>
      </c>
      <c r="S2591">
        <v>1.25</v>
      </c>
      <c r="T2591" t="s">
        <v>33</v>
      </c>
      <c r="U2591">
        <v>8.8000000000000007</v>
      </c>
      <c r="V2591">
        <v>54</v>
      </c>
      <c r="W2591">
        <v>0</v>
      </c>
      <c r="X2591">
        <v>54</v>
      </c>
      <c r="Y2591">
        <v>1</v>
      </c>
      <c r="Z2591">
        <v>0</v>
      </c>
      <c r="AA2591">
        <v>1</v>
      </c>
      <c r="AB2591" t="s">
        <v>36</v>
      </c>
      <c r="AC2591">
        <v>54</v>
      </c>
      <c r="AD2591">
        <v>3.75</v>
      </c>
    </row>
    <row r="2592" spans="1:30" x14ac:dyDescent="0.25">
      <c r="A2592" s="1">
        <v>44784.861875000002</v>
      </c>
      <c r="B2592" s="1">
        <v>44784.861064814817</v>
      </c>
      <c r="C2592">
        <v>151706</v>
      </c>
      <c r="D2592" t="s">
        <v>42</v>
      </c>
      <c r="E2592" t="s">
        <v>31</v>
      </c>
      <c r="F2592">
        <v>7</v>
      </c>
      <c r="G2592">
        <v>43.004080000000002</v>
      </c>
      <c r="H2592">
        <v>-71.177040000000005</v>
      </c>
      <c r="I2592">
        <v>194</v>
      </c>
      <c r="J2592">
        <v>77</v>
      </c>
      <c r="K2592">
        <v>0</v>
      </c>
      <c r="L2592" s="1">
        <v>44784.861828703702</v>
      </c>
      <c r="M2592">
        <v>11.9</v>
      </c>
      <c r="N2592">
        <v>0</v>
      </c>
      <c r="O2592">
        <v>11.9</v>
      </c>
      <c r="P2592">
        <v>200</v>
      </c>
      <c r="Q2592">
        <v>0.2</v>
      </c>
      <c r="R2592">
        <v>0</v>
      </c>
      <c r="S2592">
        <v>0.1</v>
      </c>
      <c r="T2592" t="s">
        <v>43</v>
      </c>
      <c r="V2592">
        <v>64</v>
      </c>
      <c r="W2592">
        <v>0</v>
      </c>
      <c r="X2592">
        <v>64</v>
      </c>
      <c r="Y2592">
        <v>1</v>
      </c>
      <c r="Z2592">
        <v>0</v>
      </c>
      <c r="AA2592">
        <v>1</v>
      </c>
      <c r="AB2592" t="s">
        <v>36</v>
      </c>
      <c r="AC2592">
        <v>64</v>
      </c>
    </row>
    <row r="2593" spans="1:30" x14ac:dyDescent="0.25">
      <c r="A2593" s="1">
        <v>44784.861875000002</v>
      </c>
      <c r="B2593" s="1">
        <v>44784.860891203702</v>
      </c>
      <c r="C2593">
        <v>12212</v>
      </c>
      <c r="D2593" t="s">
        <v>44</v>
      </c>
      <c r="E2593" t="s">
        <v>35</v>
      </c>
      <c r="F2593">
        <v>7</v>
      </c>
      <c r="G2593">
        <v>42.930529999999997</v>
      </c>
      <c r="H2593">
        <v>-72.272350000000003</v>
      </c>
      <c r="I2593">
        <v>476</v>
      </c>
      <c r="J2593">
        <v>83</v>
      </c>
      <c r="K2593">
        <v>0</v>
      </c>
      <c r="L2593" s="1">
        <v>44784.861828703702</v>
      </c>
      <c r="M2593">
        <v>5.3</v>
      </c>
      <c r="N2593">
        <v>4.5999999999999996</v>
      </c>
      <c r="O2593">
        <v>0.7</v>
      </c>
      <c r="P2593">
        <v>14</v>
      </c>
      <c r="Q2593">
        <v>0.2</v>
      </c>
      <c r="R2593">
        <v>0.2</v>
      </c>
      <c r="S2593">
        <v>0.2</v>
      </c>
      <c r="T2593" t="s">
        <v>33</v>
      </c>
      <c r="U2593">
        <v>4.95</v>
      </c>
      <c r="V2593">
        <v>46</v>
      </c>
      <c r="W2593">
        <v>0</v>
      </c>
      <c r="X2593">
        <v>46</v>
      </c>
      <c r="Y2593">
        <v>0</v>
      </c>
      <c r="Z2593">
        <v>0</v>
      </c>
      <c r="AA2593">
        <v>0</v>
      </c>
      <c r="AB2593" t="s">
        <v>36</v>
      </c>
      <c r="AC2593">
        <v>46</v>
      </c>
      <c r="AD2593">
        <v>1.96</v>
      </c>
    </row>
    <row r="2594" spans="1:30" x14ac:dyDescent="0.25">
      <c r="A2594" s="1">
        <v>44784.861886574072</v>
      </c>
      <c r="B2594" s="1">
        <v>44769.376736111109</v>
      </c>
      <c r="C2594">
        <v>12178</v>
      </c>
      <c r="D2594" t="s">
        <v>45</v>
      </c>
      <c r="E2594" t="s">
        <v>35</v>
      </c>
      <c r="F2594">
        <v>7</v>
      </c>
      <c r="G2594">
        <v>42.899563000000001</v>
      </c>
      <c r="H2594">
        <v>-71.464650000000006</v>
      </c>
      <c r="I2594">
        <v>301</v>
      </c>
      <c r="J2594">
        <v>85</v>
      </c>
      <c r="K2594">
        <v>0</v>
      </c>
      <c r="L2594" s="1">
        <v>44784.861828703702</v>
      </c>
      <c r="M2594">
        <v>3.8</v>
      </c>
      <c r="N2594">
        <v>3.1</v>
      </c>
      <c r="O2594">
        <v>0.7</v>
      </c>
      <c r="P2594">
        <v>20</v>
      </c>
      <c r="Q2594">
        <v>0</v>
      </c>
      <c r="R2594">
        <v>0</v>
      </c>
      <c r="S2594">
        <v>0</v>
      </c>
      <c r="T2594" t="s">
        <v>32</v>
      </c>
      <c r="V2594">
        <v>35</v>
      </c>
      <c r="W2594">
        <v>0</v>
      </c>
      <c r="X2594">
        <v>35</v>
      </c>
      <c r="Y2594">
        <v>0</v>
      </c>
      <c r="Z2594">
        <v>0</v>
      </c>
      <c r="AA2594">
        <v>0</v>
      </c>
      <c r="AB2594" t="s">
        <v>36</v>
      </c>
      <c r="AC2594">
        <v>35</v>
      </c>
    </row>
    <row r="2595" spans="1:30" x14ac:dyDescent="0.25">
      <c r="A2595" s="1">
        <v>44784.861886574072</v>
      </c>
      <c r="B2595" s="1">
        <v>44784.861527777779</v>
      </c>
      <c r="C2595">
        <v>75981</v>
      </c>
      <c r="D2595" t="s">
        <v>46</v>
      </c>
      <c r="E2595" t="s">
        <v>35</v>
      </c>
      <c r="F2595">
        <v>7</v>
      </c>
      <c r="G2595">
        <v>42.97</v>
      </c>
      <c r="H2595">
        <v>-71.06</v>
      </c>
      <c r="I2595">
        <v>136</v>
      </c>
      <c r="J2595">
        <v>82</v>
      </c>
      <c r="K2595">
        <v>0</v>
      </c>
      <c r="L2595" s="1">
        <v>44784.861828703702</v>
      </c>
      <c r="M2595">
        <v>11.7</v>
      </c>
      <c r="N2595">
        <v>11.1</v>
      </c>
      <c r="O2595">
        <v>0.6</v>
      </c>
      <c r="P2595">
        <v>5</v>
      </c>
      <c r="Q2595">
        <v>0.4</v>
      </c>
      <c r="R2595">
        <v>0.2</v>
      </c>
      <c r="S2595">
        <v>0.3</v>
      </c>
      <c r="T2595" t="s">
        <v>33</v>
      </c>
      <c r="U2595">
        <v>11.4</v>
      </c>
      <c r="V2595">
        <v>56</v>
      </c>
      <c r="W2595">
        <v>0</v>
      </c>
      <c r="X2595">
        <v>56</v>
      </c>
      <c r="Y2595">
        <v>1</v>
      </c>
      <c r="Z2595">
        <v>0</v>
      </c>
      <c r="AA2595">
        <v>1</v>
      </c>
      <c r="AB2595" t="s">
        <v>36</v>
      </c>
      <c r="AC2595">
        <v>56</v>
      </c>
      <c r="AD2595">
        <v>5.19</v>
      </c>
    </row>
    <row r="2596" spans="1:30" x14ac:dyDescent="0.25">
      <c r="A2596" s="1">
        <v>44784.861898148149</v>
      </c>
      <c r="B2596" s="1">
        <v>44784.860682870371</v>
      </c>
      <c r="C2596">
        <v>115703</v>
      </c>
      <c r="D2596" t="s">
        <v>47</v>
      </c>
      <c r="E2596" t="s">
        <v>35</v>
      </c>
      <c r="F2596">
        <v>7</v>
      </c>
      <c r="G2596">
        <v>43.953625000000002</v>
      </c>
      <c r="H2596">
        <v>-71.508859999999999</v>
      </c>
      <c r="I2596">
        <v>1493</v>
      </c>
      <c r="J2596">
        <v>72</v>
      </c>
      <c r="K2596">
        <v>0</v>
      </c>
      <c r="L2596" s="1">
        <v>44784.861828703702</v>
      </c>
      <c r="M2596">
        <v>0.1</v>
      </c>
      <c r="N2596">
        <v>201</v>
      </c>
      <c r="O2596">
        <v>200.9</v>
      </c>
      <c r="P2596">
        <v>200</v>
      </c>
      <c r="Q2596">
        <v>0</v>
      </c>
      <c r="R2596">
        <v>0</v>
      </c>
      <c r="S2596">
        <v>0</v>
      </c>
      <c r="T2596" t="s">
        <v>60</v>
      </c>
      <c r="V2596">
        <v>57</v>
      </c>
      <c r="W2596">
        <v>0</v>
      </c>
      <c r="X2596">
        <v>57</v>
      </c>
      <c r="Y2596">
        <v>3</v>
      </c>
      <c r="Z2596">
        <v>0</v>
      </c>
      <c r="AA2596">
        <v>3</v>
      </c>
      <c r="AB2596" t="s">
        <v>36</v>
      </c>
      <c r="AC2596">
        <v>57</v>
      </c>
    </row>
    <row r="2597" spans="1:30" x14ac:dyDescent="0.25">
      <c r="A2597" s="1">
        <v>44784.861898148149</v>
      </c>
      <c r="B2597" s="1">
        <v>44784.861493055556</v>
      </c>
      <c r="C2597">
        <v>12050</v>
      </c>
      <c r="D2597" t="s">
        <v>49</v>
      </c>
      <c r="E2597" t="s">
        <v>35</v>
      </c>
      <c r="F2597">
        <v>7</v>
      </c>
      <c r="G2597">
        <v>44.220573000000002</v>
      </c>
      <c r="H2597">
        <v>-71.732315</v>
      </c>
      <c r="I2597">
        <v>999</v>
      </c>
      <c r="J2597">
        <v>77</v>
      </c>
      <c r="K2597">
        <v>0</v>
      </c>
      <c r="L2597" s="1">
        <v>44784.861828703702</v>
      </c>
      <c r="M2597">
        <v>10.1</v>
      </c>
      <c r="N2597">
        <v>9.5</v>
      </c>
      <c r="O2597">
        <v>0.6</v>
      </c>
      <c r="P2597">
        <v>6</v>
      </c>
      <c r="Q2597">
        <v>0</v>
      </c>
      <c r="R2597">
        <v>0.2</v>
      </c>
      <c r="S2597">
        <v>0.1</v>
      </c>
      <c r="T2597" t="s">
        <v>33</v>
      </c>
      <c r="U2597">
        <v>9.8000000000000007</v>
      </c>
      <c r="V2597">
        <v>58</v>
      </c>
      <c r="W2597">
        <v>0</v>
      </c>
      <c r="X2597">
        <v>58</v>
      </c>
      <c r="Y2597">
        <v>0</v>
      </c>
      <c r="Z2597">
        <v>0</v>
      </c>
      <c r="AA2597">
        <v>0</v>
      </c>
      <c r="AB2597" t="s">
        <v>36</v>
      </c>
      <c r="AC2597">
        <v>58</v>
      </c>
      <c r="AD2597">
        <v>4.08</v>
      </c>
    </row>
    <row r="2598" spans="1:30" x14ac:dyDescent="0.25">
      <c r="A2598" s="1">
        <v>44784.861909722225</v>
      </c>
      <c r="B2598" s="1">
        <v>44784.861608796295</v>
      </c>
      <c r="C2598">
        <v>23443</v>
      </c>
      <c r="D2598" t="s">
        <v>50</v>
      </c>
      <c r="E2598" t="s">
        <v>35</v>
      </c>
      <c r="F2598">
        <v>7</v>
      </c>
      <c r="G2598">
        <v>43.556139999999999</v>
      </c>
      <c r="H2598">
        <v>-72.370990000000006</v>
      </c>
      <c r="I2598">
        <v>523</v>
      </c>
      <c r="J2598">
        <v>75</v>
      </c>
      <c r="K2598">
        <v>0</v>
      </c>
      <c r="L2598" s="1">
        <v>44784.861828703702</v>
      </c>
      <c r="M2598">
        <v>6.3</v>
      </c>
      <c r="N2598">
        <v>5.8</v>
      </c>
      <c r="O2598">
        <v>0.5</v>
      </c>
      <c r="P2598">
        <v>8</v>
      </c>
      <c r="Q2598">
        <v>0</v>
      </c>
      <c r="R2598">
        <v>0.1</v>
      </c>
      <c r="S2598">
        <v>0.05</v>
      </c>
      <c r="T2598" t="s">
        <v>33</v>
      </c>
      <c r="U2598">
        <v>6.05</v>
      </c>
      <c r="V2598">
        <v>66</v>
      </c>
      <c r="W2598">
        <v>0</v>
      </c>
      <c r="X2598">
        <v>66</v>
      </c>
      <c r="Y2598">
        <v>0</v>
      </c>
      <c r="Z2598">
        <v>0</v>
      </c>
      <c r="AA2598">
        <v>0</v>
      </c>
      <c r="AB2598" t="s">
        <v>36</v>
      </c>
      <c r="AC2598">
        <v>66</v>
      </c>
      <c r="AD2598">
        <v>1.23</v>
      </c>
    </row>
    <row r="2599" spans="1:30" x14ac:dyDescent="0.25">
      <c r="A2599" s="1">
        <v>44784.861909722225</v>
      </c>
      <c r="B2599" s="1">
        <v>44784.861724537041</v>
      </c>
      <c r="C2599">
        <v>58135</v>
      </c>
      <c r="D2599" t="s">
        <v>51</v>
      </c>
      <c r="E2599" t="s">
        <v>35</v>
      </c>
      <c r="F2599">
        <v>7</v>
      </c>
      <c r="G2599">
        <v>42.883873000000001</v>
      </c>
      <c r="H2599">
        <v>-71.972915999999998</v>
      </c>
      <c r="I2599">
        <v>808</v>
      </c>
      <c r="J2599">
        <v>77</v>
      </c>
      <c r="K2599">
        <v>0</v>
      </c>
      <c r="L2599" s="1">
        <v>44784.861828703702</v>
      </c>
      <c r="M2599">
        <v>6.3</v>
      </c>
      <c r="N2599">
        <v>4.3</v>
      </c>
      <c r="O2599">
        <v>2</v>
      </c>
      <c r="P2599">
        <v>38</v>
      </c>
      <c r="Q2599">
        <v>0.3</v>
      </c>
      <c r="R2599">
        <v>0.4</v>
      </c>
      <c r="S2599">
        <v>0.35</v>
      </c>
      <c r="T2599" t="s">
        <v>33</v>
      </c>
      <c r="U2599">
        <v>5.3</v>
      </c>
      <c r="V2599">
        <v>55</v>
      </c>
      <c r="W2599">
        <v>0</v>
      </c>
      <c r="X2599">
        <v>55</v>
      </c>
      <c r="Y2599">
        <v>4</v>
      </c>
      <c r="Z2599">
        <v>0</v>
      </c>
      <c r="AA2599">
        <v>4</v>
      </c>
      <c r="AB2599" t="s">
        <v>36</v>
      </c>
      <c r="AC2599">
        <v>55</v>
      </c>
      <c r="AD2599">
        <v>1.54</v>
      </c>
    </row>
    <row r="2600" spans="1:30" x14ac:dyDescent="0.25">
      <c r="A2600" s="1">
        <v>44784.861921296295</v>
      </c>
      <c r="B2600" s="1">
        <v>44784.861701388887</v>
      </c>
      <c r="C2600">
        <v>148555</v>
      </c>
      <c r="D2600" t="s">
        <v>52</v>
      </c>
      <c r="E2600" t="s">
        <v>53</v>
      </c>
      <c r="F2600">
        <v>7</v>
      </c>
      <c r="G2600">
        <v>42.904949999999999</v>
      </c>
      <c r="H2600">
        <v>-71.386764999999997</v>
      </c>
      <c r="I2600">
        <v>363</v>
      </c>
      <c r="J2600">
        <v>0</v>
      </c>
      <c r="K2600">
        <v>0</v>
      </c>
      <c r="L2600" s="1">
        <v>44784.861828703702</v>
      </c>
      <c r="M2600">
        <v>4.9000000000000004</v>
      </c>
      <c r="N2600">
        <v>5.6</v>
      </c>
      <c r="O2600">
        <v>0.7</v>
      </c>
      <c r="P2600">
        <v>13</v>
      </c>
      <c r="Q2600">
        <v>1.1000000000000001</v>
      </c>
      <c r="R2600">
        <v>1.2</v>
      </c>
      <c r="S2600">
        <v>1.1499999999999999</v>
      </c>
      <c r="T2600" t="s">
        <v>33</v>
      </c>
      <c r="U2600">
        <v>5.25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 t="s">
        <v>38</v>
      </c>
    </row>
    <row r="2601" spans="1:30" x14ac:dyDescent="0.25">
      <c r="A2601" s="1">
        <v>44784.861921296295</v>
      </c>
      <c r="B2601" s="1">
        <v>44784.861203703702</v>
      </c>
      <c r="C2601">
        <v>146644</v>
      </c>
      <c r="D2601" t="s">
        <v>54</v>
      </c>
      <c r="E2601" t="s">
        <v>53</v>
      </c>
      <c r="F2601">
        <v>7</v>
      </c>
      <c r="G2601">
        <v>43.06015</v>
      </c>
      <c r="H2601">
        <v>-70.758930000000007</v>
      </c>
      <c r="I2601">
        <v>35</v>
      </c>
      <c r="J2601">
        <v>71</v>
      </c>
      <c r="K2601">
        <v>72</v>
      </c>
      <c r="L2601" s="1">
        <v>44784.861828703702</v>
      </c>
      <c r="M2601">
        <v>12.4</v>
      </c>
      <c r="N2601">
        <v>11.1</v>
      </c>
      <c r="O2601">
        <v>1.3</v>
      </c>
      <c r="P2601">
        <v>11</v>
      </c>
      <c r="Q2601">
        <v>0.1</v>
      </c>
      <c r="R2601">
        <v>0.1</v>
      </c>
      <c r="S2601">
        <v>0.1</v>
      </c>
      <c r="T2601" t="s">
        <v>33</v>
      </c>
      <c r="U2601">
        <v>11.75</v>
      </c>
      <c r="V2601">
        <v>71</v>
      </c>
      <c r="W2601">
        <v>75</v>
      </c>
      <c r="X2601">
        <v>4</v>
      </c>
      <c r="Y2601">
        <v>1</v>
      </c>
      <c r="Z2601">
        <v>1</v>
      </c>
      <c r="AA2601">
        <v>0</v>
      </c>
      <c r="AB2601" t="s">
        <v>33</v>
      </c>
      <c r="AC2601">
        <v>73</v>
      </c>
      <c r="AD2601">
        <v>4.22</v>
      </c>
    </row>
    <row r="2602" spans="1:30" x14ac:dyDescent="0.25">
      <c r="A2602" s="1">
        <v>44784.861921296295</v>
      </c>
      <c r="B2602" s="1">
        <v>43755.283437500002</v>
      </c>
      <c r="C2602">
        <v>12188</v>
      </c>
      <c r="D2602" t="s">
        <v>55</v>
      </c>
      <c r="E2602" t="s">
        <v>35</v>
      </c>
      <c r="F2602">
        <v>4.1100000000000003</v>
      </c>
      <c r="G2602">
        <v>42.927050000000001</v>
      </c>
      <c r="H2602">
        <v>-72.279610000000005</v>
      </c>
      <c r="I2602">
        <v>475</v>
      </c>
      <c r="J2602">
        <v>95</v>
      </c>
      <c r="K2602">
        <v>0</v>
      </c>
      <c r="L2602" s="1">
        <v>44784.861828703702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 t="s">
        <v>32</v>
      </c>
      <c r="V2602">
        <v>77</v>
      </c>
      <c r="W2602">
        <v>0</v>
      </c>
      <c r="X2602">
        <v>77</v>
      </c>
      <c r="Y2602">
        <v>0</v>
      </c>
      <c r="Z2602">
        <v>0</v>
      </c>
      <c r="AA2602">
        <v>0</v>
      </c>
      <c r="AB2602" t="s">
        <v>36</v>
      </c>
      <c r="AC2602">
        <v>77</v>
      </c>
    </row>
    <row r="2603" spans="1:30" x14ac:dyDescent="0.25">
      <c r="A2603" s="1">
        <v>44784.861932870372</v>
      </c>
      <c r="B2603" s="1">
        <v>44784.861597222225</v>
      </c>
      <c r="C2603">
        <v>1224</v>
      </c>
      <c r="D2603" t="s">
        <v>56</v>
      </c>
      <c r="E2603" t="s">
        <v>35</v>
      </c>
      <c r="F2603" t="s">
        <v>57</v>
      </c>
      <c r="G2603">
        <v>42.938034000000002</v>
      </c>
      <c r="H2603">
        <v>-72.259299999999996</v>
      </c>
      <c r="I2603">
        <v>792</v>
      </c>
      <c r="J2603">
        <v>81</v>
      </c>
      <c r="K2603">
        <v>0</v>
      </c>
      <c r="L2603" s="1">
        <v>44784.861828703702</v>
      </c>
      <c r="M2603">
        <v>5.0999999999999996</v>
      </c>
      <c r="N2603">
        <v>0.1</v>
      </c>
      <c r="O2603">
        <v>5</v>
      </c>
      <c r="P2603">
        <v>192</v>
      </c>
      <c r="Q2603">
        <v>0.6</v>
      </c>
      <c r="R2603">
        <v>0.1</v>
      </c>
      <c r="S2603">
        <v>0.35</v>
      </c>
      <c r="T2603" t="s">
        <v>33</v>
      </c>
      <c r="U2603">
        <v>2.6</v>
      </c>
      <c r="V2603">
        <v>53</v>
      </c>
      <c r="W2603">
        <v>0</v>
      </c>
      <c r="X2603">
        <v>53</v>
      </c>
      <c r="Y2603">
        <v>1</v>
      </c>
      <c r="Z2603">
        <v>0</v>
      </c>
      <c r="AA2603">
        <v>1</v>
      </c>
      <c r="AB2603" t="s">
        <v>36</v>
      </c>
      <c r="AC2603">
        <v>53</v>
      </c>
      <c r="AD2603">
        <v>0.04</v>
      </c>
    </row>
    <row r="2604" spans="1:30" x14ac:dyDescent="0.25">
      <c r="A2604" s="1">
        <v>44784.861932870372</v>
      </c>
      <c r="B2604" s="1">
        <v>44784.861041666663</v>
      </c>
      <c r="C2604">
        <v>1202</v>
      </c>
      <c r="D2604" t="s">
        <v>58</v>
      </c>
      <c r="E2604" t="s">
        <v>35</v>
      </c>
      <c r="F2604" t="s">
        <v>57</v>
      </c>
      <c r="G2604">
        <v>42.936554000000001</v>
      </c>
      <c r="H2604">
        <v>-72.271019999999993</v>
      </c>
      <c r="I2604">
        <v>488</v>
      </c>
      <c r="J2604">
        <v>0</v>
      </c>
      <c r="K2604">
        <v>0</v>
      </c>
      <c r="L2604" s="1">
        <v>44784.861828703702</v>
      </c>
      <c r="M2604">
        <v>7.7</v>
      </c>
      <c r="N2604">
        <v>7.2</v>
      </c>
      <c r="O2604">
        <v>0.5</v>
      </c>
      <c r="P2604">
        <v>7</v>
      </c>
      <c r="Q2604">
        <v>1.7</v>
      </c>
      <c r="R2604">
        <v>1.7</v>
      </c>
      <c r="S2604">
        <v>1.7</v>
      </c>
      <c r="T2604" t="s">
        <v>33</v>
      </c>
      <c r="U2604">
        <v>7.45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 t="s">
        <v>38</v>
      </c>
    </row>
    <row r="2605" spans="1:30" x14ac:dyDescent="0.25">
      <c r="A2605" s="1">
        <v>44784.861944444441</v>
      </c>
      <c r="B2605" s="1">
        <v>44612.080023148148</v>
      </c>
      <c r="C2605">
        <v>25985</v>
      </c>
      <c r="D2605" t="s">
        <v>59</v>
      </c>
      <c r="E2605" t="s">
        <v>35</v>
      </c>
      <c r="F2605">
        <v>6.01</v>
      </c>
      <c r="G2605">
        <v>42.927326000000001</v>
      </c>
      <c r="H2605">
        <v>-72.279979999999995</v>
      </c>
      <c r="I2605">
        <v>477</v>
      </c>
      <c r="J2605">
        <v>78</v>
      </c>
      <c r="K2605">
        <v>0</v>
      </c>
      <c r="L2605" s="1">
        <v>44784.861828703702</v>
      </c>
      <c r="M2605">
        <v>1.1000000000000001</v>
      </c>
      <c r="N2605">
        <v>1</v>
      </c>
      <c r="O2605">
        <v>0.1</v>
      </c>
      <c r="P2605">
        <v>10</v>
      </c>
      <c r="Q2605">
        <v>0</v>
      </c>
      <c r="R2605">
        <v>0</v>
      </c>
      <c r="S2605">
        <v>0</v>
      </c>
      <c r="T2605" t="s">
        <v>32</v>
      </c>
      <c r="V2605">
        <v>22</v>
      </c>
      <c r="W2605">
        <v>0</v>
      </c>
      <c r="X2605">
        <v>22</v>
      </c>
      <c r="Y2605">
        <v>0</v>
      </c>
      <c r="Z2605">
        <v>0</v>
      </c>
      <c r="AA2605">
        <v>0</v>
      </c>
      <c r="AB2605" t="s">
        <v>36</v>
      </c>
      <c r="AC2605">
        <v>22</v>
      </c>
    </row>
    <row r="2606" spans="1:30" x14ac:dyDescent="0.25">
      <c r="A2606" s="1">
        <v>44784.868784722225</v>
      </c>
      <c r="B2606" s="1">
        <v>44775.701319444444</v>
      </c>
      <c r="C2606">
        <v>151708</v>
      </c>
      <c r="D2606" t="s">
        <v>30</v>
      </c>
      <c r="E2606" t="s">
        <v>31</v>
      </c>
      <c r="F2606">
        <v>7</v>
      </c>
      <c r="G2606">
        <v>43.192042999999998</v>
      </c>
      <c r="H2606">
        <v>-71.541579999999996</v>
      </c>
      <c r="I2606">
        <v>291</v>
      </c>
      <c r="J2606">
        <v>93</v>
      </c>
      <c r="K2606">
        <v>94</v>
      </c>
      <c r="L2606" s="1">
        <v>44784.868773148148</v>
      </c>
      <c r="M2606">
        <v>7.9</v>
      </c>
      <c r="N2606">
        <v>7.6</v>
      </c>
      <c r="O2606">
        <v>0.3</v>
      </c>
      <c r="P2606">
        <v>4</v>
      </c>
      <c r="Q2606">
        <v>0</v>
      </c>
      <c r="R2606">
        <v>0</v>
      </c>
      <c r="S2606">
        <v>0</v>
      </c>
      <c r="T2606" t="s">
        <v>32</v>
      </c>
      <c r="V2606">
        <v>42</v>
      </c>
      <c r="W2606">
        <v>41</v>
      </c>
      <c r="X2606">
        <v>1</v>
      </c>
      <c r="Y2606">
        <v>0</v>
      </c>
      <c r="Z2606">
        <v>0</v>
      </c>
      <c r="AA2606">
        <v>0</v>
      </c>
      <c r="AB2606" t="s">
        <v>33</v>
      </c>
      <c r="AC2606">
        <v>41.5</v>
      </c>
    </row>
    <row r="2607" spans="1:30" x14ac:dyDescent="0.25">
      <c r="A2607" s="1">
        <v>44784.868784722225</v>
      </c>
      <c r="B2607" s="1">
        <v>44784.8671875</v>
      </c>
      <c r="C2607">
        <v>143456</v>
      </c>
      <c r="D2607" t="s">
        <v>34</v>
      </c>
      <c r="E2607" t="s">
        <v>35</v>
      </c>
      <c r="F2607">
        <v>7</v>
      </c>
      <c r="G2607">
        <v>43.08963</v>
      </c>
      <c r="H2607">
        <v>-71.502440000000007</v>
      </c>
      <c r="I2607">
        <v>619</v>
      </c>
      <c r="J2607">
        <v>74</v>
      </c>
      <c r="K2607">
        <v>0</v>
      </c>
      <c r="L2607" s="1">
        <v>44784.868773148148</v>
      </c>
      <c r="M2607">
        <v>3.7</v>
      </c>
      <c r="N2607">
        <v>4.0999999999999996</v>
      </c>
      <c r="O2607">
        <v>0.4</v>
      </c>
      <c r="P2607">
        <v>10</v>
      </c>
      <c r="Q2607">
        <v>0</v>
      </c>
      <c r="R2607">
        <v>0</v>
      </c>
      <c r="S2607">
        <v>0</v>
      </c>
      <c r="T2607" t="s">
        <v>33</v>
      </c>
      <c r="U2607">
        <v>3.9</v>
      </c>
      <c r="V2607">
        <v>58</v>
      </c>
      <c r="W2607">
        <v>0</v>
      </c>
      <c r="X2607">
        <v>58</v>
      </c>
      <c r="Y2607">
        <v>1</v>
      </c>
      <c r="Z2607">
        <v>0</v>
      </c>
      <c r="AA2607">
        <v>1</v>
      </c>
      <c r="AB2607" t="s">
        <v>36</v>
      </c>
      <c r="AC2607">
        <v>58</v>
      </c>
      <c r="AD2607">
        <v>0.48</v>
      </c>
    </row>
    <row r="2608" spans="1:30" x14ac:dyDescent="0.25">
      <c r="A2608" s="1">
        <v>44784.868796296294</v>
      </c>
      <c r="B2608" s="1">
        <v>44784.867337962962</v>
      </c>
      <c r="C2608">
        <v>151702</v>
      </c>
      <c r="D2608" t="s">
        <v>37</v>
      </c>
      <c r="E2608" t="s">
        <v>31</v>
      </c>
      <c r="F2608">
        <v>7</v>
      </c>
      <c r="G2608">
        <v>43.118609999999997</v>
      </c>
      <c r="H2608">
        <v>-71.61618</v>
      </c>
      <c r="I2608">
        <v>885</v>
      </c>
      <c r="J2608">
        <v>0</v>
      </c>
      <c r="K2608">
        <v>0</v>
      </c>
      <c r="L2608" s="1">
        <v>44784.868773148148</v>
      </c>
      <c r="M2608">
        <v>3.6</v>
      </c>
      <c r="N2608">
        <v>3.4</v>
      </c>
      <c r="O2608">
        <v>0.2</v>
      </c>
      <c r="P2608">
        <v>6</v>
      </c>
      <c r="Q2608">
        <v>0.3</v>
      </c>
      <c r="R2608">
        <v>0.4</v>
      </c>
      <c r="S2608">
        <v>0.35</v>
      </c>
      <c r="T2608" t="s">
        <v>33</v>
      </c>
      <c r="U2608">
        <v>3.5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 t="s">
        <v>38</v>
      </c>
    </row>
    <row r="2609" spans="1:30" x14ac:dyDescent="0.25">
      <c r="A2609" s="1">
        <v>44784.868796296294</v>
      </c>
      <c r="B2609" s="1">
        <v>44784.8672337963</v>
      </c>
      <c r="C2609">
        <v>151700</v>
      </c>
      <c r="D2609" t="s">
        <v>30</v>
      </c>
      <c r="E2609" t="s">
        <v>31</v>
      </c>
      <c r="F2609">
        <v>7</v>
      </c>
      <c r="G2609">
        <v>43.19211</v>
      </c>
      <c r="H2609">
        <v>-71.541460000000001</v>
      </c>
      <c r="I2609">
        <v>286</v>
      </c>
      <c r="J2609">
        <v>79</v>
      </c>
      <c r="K2609">
        <v>0</v>
      </c>
      <c r="L2609" s="1">
        <v>44784.868773148148</v>
      </c>
      <c r="M2609">
        <v>3.4</v>
      </c>
      <c r="N2609">
        <v>3.8</v>
      </c>
      <c r="O2609">
        <v>0.4</v>
      </c>
      <c r="P2609">
        <v>11</v>
      </c>
      <c r="Q2609">
        <v>0.5</v>
      </c>
      <c r="R2609">
        <v>0.6</v>
      </c>
      <c r="S2609">
        <v>0.55000000000000004</v>
      </c>
      <c r="T2609" t="s">
        <v>33</v>
      </c>
      <c r="U2609">
        <v>3.6</v>
      </c>
      <c r="V2609">
        <v>48</v>
      </c>
      <c r="W2609">
        <v>0</v>
      </c>
      <c r="X2609">
        <v>48</v>
      </c>
      <c r="Y2609">
        <v>2</v>
      </c>
      <c r="Z2609">
        <v>0</v>
      </c>
      <c r="AA2609">
        <v>2</v>
      </c>
      <c r="AB2609" t="s">
        <v>36</v>
      </c>
      <c r="AC2609">
        <v>48</v>
      </c>
      <c r="AD2609">
        <v>1</v>
      </c>
    </row>
    <row r="2610" spans="1:30" x14ac:dyDescent="0.25">
      <c r="A2610" s="1">
        <v>44784.868807870371</v>
      </c>
      <c r="B2610" s="1">
        <v>44784.867673611108</v>
      </c>
      <c r="C2610">
        <v>135984</v>
      </c>
      <c r="D2610" t="s">
        <v>39</v>
      </c>
      <c r="E2610" t="s">
        <v>31</v>
      </c>
      <c r="F2610">
        <v>7</v>
      </c>
      <c r="G2610">
        <v>43.565852999999997</v>
      </c>
      <c r="H2610">
        <v>-71.496129999999994</v>
      </c>
      <c r="I2610">
        <v>708</v>
      </c>
      <c r="J2610">
        <v>75</v>
      </c>
      <c r="K2610">
        <v>0</v>
      </c>
      <c r="L2610" s="1">
        <v>44784.868773148148</v>
      </c>
      <c r="M2610">
        <v>3.4</v>
      </c>
      <c r="N2610">
        <v>2.9</v>
      </c>
      <c r="O2610">
        <v>0.5</v>
      </c>
      <c r="P2610">
        <v>16</v>
      </c>
      <c r="Q2610">
        <v>0.2</v>
      </c>
      <c r="R2610">
        <v>0.1</v>
      </c>
      <c r="S2610">
        <v>0.15</v>
      </c>
      <c r="T2610" t="s">
        <v>33</v>
      </c>
      <c r="U2610">
        <v>3.15</v>
      </c>
      <c r="V2610">
        <v>63</v>
      </c>
      <c r="W2610">
        <v>0</v>
      </c>
      <c r="X2610">
        <v>63</v>
      </c>
      <c r="Y2610">
        <v>1</v>
      </c>
      <c r="Z2610">
        <v>0</v>
      </c>
      <c r="AA2610">
        <v>1</v>
      </c>
      <c r="AB2610" t="s">
        <v>36</v>
      </c>
      <c r="AC2610">
        <v>63</v>
      </c>
      <c r="AD2610">
        <v>-0.33</v>
      </c>
    </row>
    <row r="2611" spans="1:30" x14ac:dyDescent="0.25">
      <c r="A2611" s="1">
        <v>44784.868807870371</v>
      </c>
      <c r="B2611" s="1">
        <v>44780.394780092596</v>
      </c>
      <c r="C2611">
        <v>151712</v>
      </c>
      <c r="D2611" t="s">
        <v>40</v>
      </c>
      <c r="E2611" t="s">
        <v>31</v>
      </c>
      <c r="F2611">
        <v>7</v>
      </c>
      <c r="G2611">
        <v>43.289763999999998</v>
      </c>
      <c r="H2611">
        <v>-71.564260000000004</v>
      </c>
      <c r="I2611">
        <v>370</v>
      </c>
      <c r="J2611">
        <v>86</v>
      </c>
      <c r="K2611">
        <v>0</v>
      </c>
      <c r="L2611" s="1">
        <v>44784.868773148148</v>
      </c>
      <c r="M2611">
        <v>14</v>
      </c>
      <c r="N2611">
        <v>13.2</v>
      </c>
      <c r="O2611">
        <v>0.8</v>
      </c>
      <c r="P2611">
        <v>6</v>
      </c>
      <c r="Q2611">
        <v>0</v>
      </c>
      <c r="R2611">
        <v>0</v>
      </c>
      <c r="S2611">
        <v>0</v>
      </c>
      <c r="T2611" t="s">
        <v>32</v>
      </c>
      <c r="V2611">
        <v>59</v>
      </c>
      <c r="W2611">
        <v>0</v>
      </c>
      <c r="X2611">
        <v>59</v>
      </c>
      <c r="Y2611">
        <v>0</v>
      </c>
      <c r="Z2611">
        <v>0</v>
      </c>
      <c r="AA2611">
        <v>0</v>
      </c>
      <c r="AB2611" t="s">
        <v>36</v>
      </c>
      <c r="AC2611">
        <v>59</v>
      </c>
    </row>
    <row r="2612" spans="1:30" x14ac:dyDescent="0.25">
      <c r="A2612" s="1">
        <v>44784.868807870371</v>
      </c>
      <c r="B2612" s="1">
        <v>44784.867002314815</v>
      </c>
      <c r="C2612">
        <v>151710</v>
      </c>
      <c r="D2612" t="s">
        <v>41</v>
      </c>
      <c r="E2612" t="s">
        <v>31</v>
      </c>
      <c r="F2612">
        <v>7</v>
      </c>
      <c r="G2612">
        <v>43.132477000000002</v>
      </c>
      <c r="H2612">
        <v>-71.458374000000006</v>
      </c>
      <c r="I2612">
        <v>230</v>
      </c>
      <c r="J2612">
        <v>77</v>
      </c>
      <c r="K2612">
        <v>0</v>
      </c>
      <c r="L2612" s="1">
        <v>44784.868773148148</v>
      </c>
      <c r="M2612">
        <v>9.6999999999999993</v>
      </c>
      <c r="N2612">
        <v>8.3000000000000007</v>
      </c>
      <c r="O2612">
        <v>1.4</v>
      </c>
      <c r="P2612">
        <v>16</v>
      </c>
      <c r="Q2612">
        <v>0.2</v>
      </c>
      <c r="R2612">
        <v>0.2</v>
      </c>
      <c r="S2612">
        <v>0.2</v>
      </c>
      <c r="T2612" t="s">
        <v>33</v>
      </c>
      <c r="U2612">
        <v>9</v>
      </c>
      <c r="V2612">
        <v>59</v>
      </c>
      <c r="W2612">
        <v>0</v>
      </c>
      <c r="X2612">
        <v>59</v>
      </c>
      <c r="Y2612">
        <v>5</v>
      </c>
      <c r="Z2612">
        <v>0</v>
      </c>
      <c r="AA2612">
        <v>5</v>
      </c>
      <c r="AB2612" t="s">
        <v>36</v>
      </c>
      <c r="AC2612">
        <v>59</v>
      </c>
      <c r="AD2612">
        <v>3.52</v>
      </c>
    </row>
    <row r="2613" spans="1:30" x14ac:dyDescent="0.25">
      <c r="A2613" s="1">
        <v>44784.868819444448</v>
      </c>
      <c r="B2613" s="1">
        <v>44784.868009259262</v>
      </c>
      <c r="C2613">
        <v>151706</v>
      </c>
      <c r="D2613" t="s">
        <v>42</v>
      </c>
      <c r="E2613" t="s">
        <v>31</v>
      </c>
      <c r="F2613">
        <v>7</v>
      </c>
      <c r="G2613">
        <v>43.004080000000002</v>
      </c>
      <c r="H2613">
        <v>-71.177040000000005</v>
      </c>
      <c r="I2613">
        <v>194</v>
      </c>
      <c r="J2613">
        <v>77</v>
      </c>
      <c r="K2613">
        <v>0</v>
      </c>
      <c r="L2613" s="1">
        <v>44784.868773148148</v>
      </c>
      <c r="M2613">
        <v>12.1</v>
      </c>
      <c r="N2613">
        <v>0</v>
      </c>
      <c r="O2613">
        <v>12.1</v>
      </c>
      <c r="P2613">
        <v>200</v>
      </c>
      <c r="Q2613">
        <v>0.2</v>
      </c>
      <c r="R2613">
        <v>0</v>
      </c>
      <c r="S2613">
        <v>0.1</v>
      </c>
      <c r="T2613" t="s">
        <v>43</v>
      </c>
      <c r="V2613">
        <v>65</v>
      </c>
      <c r="W2613">
        <v>0</v>
      </c>
      <c r="X2613">
        <v>65</v>
      </c>
      <c r="Y2613">
        <v>1</v>
      </c>
      <c r="Z2613">
        <v>0</v>
      </c>
      <c r="AA2613">
        <v>1</v>
      </c>
      <c r="AB2613" t="s">
        <v>36</v>
      </c>
      <c r="AC2613">
        <v>65</v>
      </c>
    </row>
    <row r="2614" spans="1:30" x14ac:dyDescent="0.25">
      <c r="A2614" s="1">
        <v>44784.868819444448</v>
      </c>
      <c r="B2614" s="1">
        <v>44784.867835648147</v>
      </c>
      <c r="C2614">
        <v>12212</v>
      </c>
      <c r="D2614" t="s">
        <v>44</v>
      </c>
      <c r="E2614" t="s">
        <v>35</v>
      </c>
      <c r="F2614">
        <v>7</v>
      </c>
      <c r="G2614">
        <v>42.930529999999997</v>
      </c>
      <c r="H2614">
        <v>-72.272350000000003</v>
      </c>
      <c r="I2614">
        <v>476</v>
      </c>
      <c r="J2614">
        <v>83</v>
      </c>
      <c r="K2614">
        <v>0</v>
      </c>
      <c r="L2614" s="1">
        <v>44784.868773148148</v>
      </c>
      <c r="M2614">
        <v>5.2</v>
      </c>
      <c r="N2614">
        <v>4.5999999999999996</v>
      </c>
      <c r="O2614">
        <v>0.6</v>
      </c>
      <c r="P2614">
        <v>12</v>
      </c>
      <c r="Q2614">
        <v>0.1</v>
      </c>
      <c r="R2614">
        <v>0</v>
      </c>
      <c r="S2614">
        <v>0.05</v>
      </c>
      <c r="T2614" t="s">
        <v>33</v>
      </c>
      <c r="U2614">
        <v>4.9000000000000004</v>
      </c>
      <c r="V2614">
        <v>45</v>
      </c>
      <c r="W2614">
        <v>0</v>
      </c>
      <c r="X2614">
        <v>45</v>
      </c>
      <c r="Y2614">
        <v>1</v>
      </c>
      <c r="Z2614">
        <v>0</v>
      </c>
      <c r="AA2614">
        <v>1</v>
      </c>
      <c r="AB2614" t="s">
        <v>36</v>
      </c>
      <c r="AC2614">
        <v>45</v>
      </c>
      <c r="AD2614">
        <v>2</v>
      </c>
    </row>
    <row r="2615" spans="1:30" x14ac:dyDescent="0.25">
      <c r="A2615" s="1">
        <v>44784.868831018517</v>
      </c>
      <c r="B2615" s="1">
        <v>44769.376736111109</v>
      </c>
      <c r="C2615">
        <v>12178</v>
      </c>
      <c r="D2615" t="s">
        <v>45</v>
      </c>
      <c r="E2615" t="s">
        <v>35</v>
      </c>
      <c r="F2615">
        <v>7</v>
      </c>
      <c r="G2615">
        <v>42.899563000000001</v>
      </c>
      <c r="H2615">
        <v>-71.464650000000006</v>
      </c>
      <c r="I2615">
        <v>301</v>
      </c>
      <c r="J2615">
        <v>85</v>
      </c>
      <c r="K2615">
        <v>0</v>
      </c>
      <c r="L2615" s="1">
        <v>44784.868773148148</v>
      </c>
      <c r="M2615">
        <v>3.8</v>
      </c>
      <c r="N2615">
        <v>3.1</v>
      </c>
      <c r="O2615">
        <v>0.7</v>
      </c>
      <c r="P2615">
        <v>20</v>
      </c>
      <c r="Q2615">
        <v>0</v>
      </c>
      <c r="R2615">
        <v>0</v>
      </c>
      <c r="S2615">
        <v>0</v>
      </c>
      <c r="T2615" t="s">
        <v>32</v>
      </c>
      <c r="V2615">
        <v>35</v>
      </c>
      <c r="W2615">
        <v>0</v>
      </c>
      <c r="X2615">
        <v>35</v>
      </c>
      <c r="Y2615">
        <v>0</v>
      </c>
      <c r="Z2615">
        <v>0</v>
      </c>
      <c r="AA2615">
        <v>0</v>
      </c>
      <c r="AB2615" t="s">
        <v>36</v>
      </c>
      <c r="AC2615">
        <v>35</v>
      </c>
    </row>
    <row r="2616" spans="1:30" x14ac:dyDescent="0.25">
      <c r="A2616" s="1">
        <v>44784.868831018517</v>
      </c>
      <c r="B2616" s="1">
        <v>44784.867083333331</v>
      </c>
      <c r="C2616">
        <v>75981</v>
      </c>
      <c r="D2616" t="s">
        <v>46</v>
      </c>
      <c r="E2616" t="s">
        <v>35</v>
      </c>
      <c r="F2616">
        <v>7</v>
      </c>
      <c r="G2616">
        <v>42.97</v>
      </c>
      <c r="H2616">
        <v>-71.06</v>
      </c>
      <c r="I2616">
        <v>136</v>
      </c>
      <c r="J2616">
        <v>82</v>
      </c>
      <c r="K2616">
        <v>0</v>
      </c>
      <c r="L2616" s="1">
        <v>44784.868773148148</v>
      </c>
      <c r="M2616">
        <v>11.8</v>
      </c>
      <c r="N2616">
        <v>11.1</v>
      </c>
      <c r="O2616">
        <v>0.7</v>
      </c>
      <c r="P2616">
        <v>6</v>
      </c>
      <c r="Q2616">
        <v>0.1</v>
      </c>
      <c r="R2616">
        <v>0</v>
      </c>
      <c r="S2616">
        <v>0.05</v>
      </c>
      <c r="T2616" t="s">
        <v>33</v>
      </c>
      <c r="U2616">
        <v>11.45</v>
      </c>
      <c r="V2616">
        <v>56</v>
      </c>
      <c r="W2616">
        <v>0</v>
      </c>
      <c r="X2616">
        <v>56</v>
      </c>
      <c r="Y2616">
        <v>0</v>
      </c>
      <c r="Z2616">
        <v>0</v>
      </c>
      <c r="AA2616">
        <v>0</v>
      </c>
      <c r="AB2616" t="s">
        <v>36</v>
      </c>
      <c r="AC2616">
        <v>56</v>
      </c>
      <c r="AD2616">
        <v>5.22</v>
      </c>
    </row>
    <row r="2617" spans="1:30" x14ac:dyDescent="0.25">
      <c r="A2617" s="1">
        <v>44784.868831018517</v>
      </c>
      <c r="B2617" s="1">
        <v>44784.867627314816</v>
      </c>
      <c r="C2617">
        <v>115703</v>
      </c>
      <c r="D2617" t="s">
        <v>47</v>
      </c>
      <c r="E2617" t="s">
        <v>35</v>
      </c>
      <c r="F2617">
        <v>7</v>
      </c>
      <c r="G2617">
        <v>43.953625000000002</v>
      </c>
      <c r="H2617">
        <v>-71.508859999999999</v>
      </c>
      <c r="I2617">
        <v>1493</v>
      </c>
      <c r="J2617">
        <v>72</v>
      </c>
      <c r="K2617">
        <v>0</v>
      </c>
      <c r="L2617" s="1">
        <v>44784.868773148148</v>
      </c>
      <c r="M2617">
        <v>0.2</v>
      </c>
      <c r="N2617">
        <v>201</v>
      </c>
      <c r="O2617">
        <v>200.8</v>
      </c>
      <c r="P2617">
        <v>200</v>
      </c>
      <c r="Q2617">
        <v>0.1</v>
      </c>
      <c r="R2617">
        <v>0</v>
      </c>
      <c r="S2617">
        <v>0.05</v>
      </c>
      <c r="T2617" t="s">
        <v>60</v>
      </c>
      <c r="V2617">
        <v>58</v>
      </c>
      <c r="W2617">
        <v>0</v>
      </c>
      <c r="X2617">
        <v>58</v>
      </c>
      <c r="Y2617">
        <v>1</v>
      </c>
      <c r="Z2617">
        <v>0</v>
      </c>
      <c r="AA2617">
        <v>1</v>
      </c>
      <c r="AB2617" t="s">
        <v>36</v>
      </c>
      <c r="AC2617">
        <v>58</v>
      </c>
    </row>
    <row r="2618" spans="1:30" x14ac:dyDescent="0.25">
      <c r="A2618" s="1">
        <v>44784.868842592594</v>
      </c>
      <c r="B2618" s="1">
        <v>44784.867048611108</v>
      </c>
      <c r="C2618">
        <v>12050</v>
      </c>
      <c r="D2618" t="s">
        <v>49</v>
      </c>
      <c r="E2618" t="s">
        <v>35</v>
      </c>
      <c r="F2618">
        <v>7</v>
      </c>
      <c r="G2618">
        <v>44.220573000000002</v>
      </c>
      <c r="H2618">
        <v>-71.732315</v>
      </c>
      <c r="I2618">
        <v>999</v>
      </c>
      <c r="J2618">
        <v>77</v>
      </c>
      <c r="K2618">
        <v>0</v>
      </c>
      <c r="L2618" s="1">
        <v>44784.868773148148</v>
      </c>
      <c r="M2618">
        <v>10.7</v>
      </c>
      <c r="N2618">
        <v>10.1</v>
      </c>
      <c r="O2618">
        <v>0.6</v>
      </c>
      <c r="P2618">
        <v>6</v>
      </c>
      <c r="Q2618">
        <v>0.6</v>
      </c>
      <c r="R2618">
        <v>0.6</v>
      </c>
      <c r="S2618">
        <v>0.6</v>
      </c>
      <c r="T2618" t="s">
        <v>33</v>
      </c>
      <c r="U2618">
        <v>10.4</v>
      </c>
      <c r="V2618">
        <v>58</v>
      </c>
      <c r="W2618">
        <v>0</v>
      </c>
      <c r="X2618">
        <v>58</v>
      </c>
      <c r="Y2618">
        <v>0</v>
      </c>
      <c r="Z2618">
        <v>0</v>
      </c>
      <c r="AA2618">
        <v>0</v>
      </c>
      <c r="AB2618" t="s">
        <v>36</v>
      </c>
      <c r="AC2618">
        <v>58</v>
      </c>
      <c r="AD2618">
        <v>4.4400000000000004</v>
      </c>
    </row>
    <row r="2619" spans="1:30" x14ac:dyDescent="0.25">
      <c r="A2619" s="1">
        <v>44784.868842592594</v>
      </c>
      <c r="B2619" s="1">
        <v>44784.867175925923</v>
      </c>
      <c r="C2619">
        <v>23443</v>
      </c>
      <c r="D2619" t="s">
        <v>50</v>
      </c>
      <c r="E2619" t="s">
        <v>35</v>
      </c>
      <c r="F2619">
        <v>7</v>
      </c>
      <c r="G2619">
        <v>43.556139999999999</v>
      </c>
      <c r="H2619">
        <v>-72.370990000000006</v>
      </c>
      <c r="I2619">
        <v>523</v>
      </c>
      <c r="J2619">
        <v>74</v>
      </c>
      <c r="K2619">
        <v>0</v>
      </c>
      <c r="L2619" s="1">
        <v>44784.868773148148</v>
      </c>
      <c r="M2619">
        <v>6.4</v>
      </c>
      <c r="N2619">
        <v>5.8</v>
      </c>
      <c r="O2619">
        <v>0.6</v>
      </c>
      <c r="P2619">
        <v>10</v>
      </c>
      <c r="Q2619">
        <v>0.1</v>
      </c>
      <c r="R2619">
        <v>0</v>
      </c>
      <c r="S2619">
        <v>0.05</v>
      </c>
      <c r="T2619" t="s">
        <v>33</v>
      </c>
      <c r="U2619">
        <v>6.1</v>
      </c>
      <c r="V2619">
        <v>66</v>
      </c>
      <c r="W2619">
        <v>0</v>
      </c>
      <c r="X2619">
        <v>66</v>
      </c>
      <c r="Y2619">
        <v>0</v>
      </c>
      <c r="Z2619">
        <v>0</v>
      </c>
      <c r="AA2619">
        <v>0</v>
      </c>
      <c r="AB2619" t="s">
        <v>36</v>
      </c>
      <c r="AC2619">
        <v>66</v>
      </c>
      <c r="AD2619">
        <v>1.26</v>
      </c>
    </row>
    <row r="2620" spans="1:30" x14ac:dyDescent="0.25">
      <c r="A2620" s="1">
        <v>44784.868854166663</v>
      </c>
      <c r="B2620" s="1">
        <v>44784.867280092592</v>
      </c>
      <c r="C2620">
        <v>58135</v>
      </c>
      <c r="D2620" t="s">
        <v>51</v>
      </c>
      <c r="E2620" t="s">
        <v>35</v>
      </c>
      <c r="F2620">
        <v>7</v>
      </c>
      <c r="G2620">
        <v>42.883873000000001</v>
      </c>
      <c r="H2620">
        <v>-71.972915999999998</v>
      </c>
      <c r="I2620">
        <v>808</v>
      </c>
      <c r="J2620">
        <v>77</v>
      </c>
      <c r="K2620">
        <v>0</v>
      </c>
      <c r="L2620" s="1">
        <v>44784.868773148148</v>
      </c>
      <c r="M2620">
        <v>6.1</v>
      </c>
      <c r="N2620">
        <v>5.0999999999999996</v>
      </c>
      <c r="O2620">
        <v>1</v>
      </c>
      <c r="P2620">
        <v>18</v>
      </c>
      <c r="Q2620">
        <v>0.2</v>
      </c>
      <c r="R2620">
        <v>0.8</v>
      </c>
      <c r="S2620">
        <v>0.5</v>
      </c>
      <c r="T2620" t="s">
        <v>33</v>
      </c>
      <c r="U2620">
        <v>5.6</v>
      </c>
      <c r="V2620">
        <v>54</v>
      </c>
      <c r="W2620">
        <v>0</v>
      </c>
      <c r="X2620">
        <v>54</v>
      </c>
      <c r="Y2620">
        <v>1</v>
      </c>
      <c r="Z2620">
        <v>0</v>
      </c>
      <c r="AA2620">
        <v>1</v>
      </c>
      <c r="AB2620" t="s">
        <v>36</v>
      </c>
      <c r="AC2620">
        <v>54</v>
      </c>
      <c r="AD2620">
        <v>1.8</v>
      </c>
    </row>
    <row r="2621" spans="1:30" x14ac:dyDescent="0.25">
      <c r="A2621" s="1">
        <v>44784.868854166663</v>
      </c>
      <c r="B2621" s="1">
        <v>44784.867256944446</v>
      </c>
      <c r="C2621">
        <v>148555</v>
      </c>
      <c r="D2621" t="s">
        <v>52</v>
      </c>
      <c r="E2621" t="s">
        <v>53</v>
      </c>
      <c r="F2621">
        <v>7</v>
      </c>
      <c r="G2621">
        <v>42.904949999999999</v>
      </c>
      <c r="H2621">
        <v>-71.386764999999997</v>
      </c>
      <c r="I2621">
        <v>363</v>
      </c>
      <c r="J2621">
        <v>0</v>
      </c>
      <c r="K2621">
        <v>0</v>
      </c>
      <c r="L2621" s="1">
        <v>44784.868773148148</v>
      </c>
      <c r="M2621">
        <v>5.7</v>
      </c>
      <c r="N2621">
        <v>6.3</v>
      </c>
      <c r="O2621">
        <v>0.6</v>
      </c>
      <c r="P2621">
        <v>10</v>
      </c>
      <c r="Q2621">
        <v>0.8</v>
      </c>
      <c r="R2621">
        <v>0.7</v>
      </c>
      <c r="S2621">
        <v>0.75</v>
      </c>
      <c r="T2621" t="s">
        <v>33</v>
      </c>
      <c r="U2621">
        <v>6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 t="s">
        <v>38</v>
      </c>
    </row>
    <row r="2622" spans="1:30" x14ac:dyDescent="0.25">
      <c r="A2622" s="1">
        <v>44784.86886574074</v>
      </c>
      <c r="B2622" s="1">
        <v>44784.868148148147</v>
      </c>
      <c r="C2622">
        <v>146644</v>
      </c>
      <c r="D2622" t="s">
        <v>54</v>
      </c>
      <c r="E2622" t="s">
        <v>53</v>
      </c>
      <c r="F2622">
        <v>7</v>
      </c>
      <c r="G2622">
        <v>43.06015</v>
      </c>
      <c r="H2622">
        <v>-70.758930000000007</v>
      </c>
      <c r="I2622">
        <v>35</v>
      </c>
      <c r="J2622">
        <v>71</v>
      </c>
      <c r="K2622">
        <v>72</v>
      </c>
      <c r="L2622" s="1">
        <v>44784.868773148148</v>
      </c>
      <c r="M2622">
        <v>12.3</v>
      </c>
      <c r="N2622">
        <v>11.1</v>
      </c>
      <c r="O2622">
        <v>1.2</v>
      </c>
      <c r="P2622">
        <v>10</v>
      </c>
      <c r="Q2622">
        <v>0.1</v>
      </c>
      <c r="R2622">
        <v>0</v>
      </c>
      <c r="S2622">
        <v>0.05</v>
      </c>
      <c r="T2622" t="s">
        <v>33</v>
      </c>
      <c r="U2622">
        <v>11.7</v>
      </c>
      <c r="V2622">
        <v>70</v>
      </c>
      <c r="W2622">
        <v>75</v>
      </c>
      <c r="X2622">
        <v>5</v>
      </c>
      <c r="Y2622">
        <v>1</v>
      </c>
      <c r="Z2622">
        <v>0</v>
      </c>
      <c r="AA2622">
        <v>1</v>
      </c>
      <c r="AB2622" t="s">
        <v>33</v>
      </c>
      <c r="AC2622">
        <v>72.5</v>
      </c>
      <c r="AD2622">
        <v>4.22</v>
      </c>
    </row>
    <row r="2623" spans="1:30" x14ac:dyDescent="0.25">
      <c r="A2623" s="1">
        <v>44784.86886574074</v>
      </c>
      <c r="B2623" s="1">
        <v>43755.283437500002</v>
      </c>
      <c r="C2623">
        <v>12188</v>
      </c>
      <c r="D2623" t="s">
        <v>55</v>
      </c>
      <c r="E2623" t="s">
        <v>35</v>
      </c>
      <c r="F2623">
        <v>4.1100000000000003</v>
      </c>
      <c r="G2623">
        <v>42.927050000000001</v>
      </c>
      <c r="H2623">
        <v>-72.279610000000005</v>
      </c>
      <c r="I2623">
        <v>475</v>
      </c>
      <c r="J2623">
        <v>95</v>
      </c>
      <c r="K2623">
        <v>0</v>
      </c>
      <c r="L2623" s="1">
        <v>44784.868773148148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 t="s">
        <v>32</v>
      </c>
      <c r="V2623">
        <v>77</v>
      </c>
      <c r="W2623">
        <v>0</v>
      </c>
      <c r="X2623">
        <v>77</v>
      </c>
      <c r="Y2623">
        <v>0</v>
      </c>
      <c r="Z2623">
        <v>0</v>
      </c>
      <c r="AA2623">
        <v>0</v>
      </c>
      <c r="AB2623" t="s">
        <v>36</v>
      </c>
      <c r="AC2623">
        <v>77</v>
      </c>
    </row>
    <row r="2624" spans="1:30" x14ac:dyDescent="0.25">
      <c r="A2624" s="1">
        <v>44784.86886574074</v>
      </c>
      <c r="B2624" s="1">
        <v>44784.867152777777</v>
      </c>
      <c r="C2624">
        <v>1224</v>
      </c>
      <c r="D2624" t="s">
        <v>56</v>
      </c>
      <c r="E2624" t="s">
        <v>35</v>
      </c>
      <c r="F2624" t="s">
        <v>57</v>
      </c>
      <c r="G2624">
        <v>42.938034000000002</v>
      </c>
      <c r="H2624">
        <v>-72.259299999999996</v>
      </c>
      <c r="I2624">
        <v>792</v>
      </c>
      <c r="J2624">
        <v>82</v>
      </c>
      <c r="K2624">
        <v>0</v>
      </c>
      <c r="L2624" s="1">
        <v>44784.868773148148</v>
      </c>
      <c r="M2624">
        <v>4.9000000000000004</v>
      </c>
      <c r="N2624">
        <v>0</v>
      </c>
      <c r="O2624">
        <v>4.9000000000000004</v>
      </c>
      <c r="P2624">
        <v>200</v>
      </c>
      <c r="Q2624">
        <v>0.2</v>
      </c>
      <c r="R2624">
        <v>0.1</v>
      </c>
      <c r="S2624">
        <v>0.15</v>
      </c>
      <c r="T2624" t="s">
        <v>43</v>
      </c>
      <c r="V2624">
        <v>53</v>
      </c>
      <c r="W2624">
        <v>0</v>
      </c>
      <c r="X2624">
        <v>53</v>
      </c>
      <c r="Y2624">
        <v>0</v>
      </c>
      <c r="Z2624">
        <v>0</v>
      </c>
      <c r="AA2624">
        <v>0</v>
      </c>
      <c r="AB2624" t="s">
        <v>36</v>
      </c>
      <c r="AC2624">
        <v>53</v>
      </c>
    </row>
    <row r="2625" spans="1:30" x14ac:dyDescent="0.25">
      <c r="A2625" s="1">
        <v>44784.868877314817</v>
      </c>
      <c r="B2625" s="1">
        <v>44784.867986111109</v>
      </c>
      <c r="C2625">
        <v>1202</v>
      </c>
      <c r="D2625" t="s">
        <v>58</v>
      </c>
      <c r="E2625" t="s">
        <v>35</v>
      </c>
      <c r="F2625" t="s">
        <v>57</v>
      </c>
      <c r="G2625">
        <v>42.936554000000001</v>
      </c>
      <c r="H2625">
        <v>-72.271019999999993</v>
      </c>
      <c r="I2625">
        <v>488</v>
      </c>
      <c r="J2625">
        <v>0</v>
      </c>
      <c r="K2625">
        <v>0</v>
      </c>
      <c r="L2625" s="1">
        <v>44784.868773148148</v>
      </c>
      <c r="M2625">
        <v>7.3</v>
      </c>
      <c r="N2625">
        <v>6.8</v>
      </c>
      <c r="O2625">
        <v>0.5</v>
      </c>
      <c r="P2625">
        <v>7</v>
      </c>
      <c r="Q2625">
        <v>0.4</v>
      </c>
      <c r="R2625">
        <v>0.4</v>
      </c>
      <c r="S2625">
        <v>0.4</v>
      </c>
      <c r="T2625" t="s">
        <v>33</v>
      </c>
      <c r="U2625">
        <v>7.05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 t="s">
        <v>38</v>
      </c>
    </row>
    <row r="2626" spans="1:30" x14ac:dyDescent="0.25">
      <c r="A2626" s="1">
        <v>44784.868877314817</v>
      </c>
      <c r="B2626" s="1">
        <v>44612.080023148148</v>
      </c>
      <c r="C2626">
        <v>25985</v>
      </c>
      <c r="D2626" t="s">
        <v>59</v>
      </c>
      <c r="E2626" t="s">
        <v>35</v>
      </c>
      <c r="F2626">
        <v>6.01</v>
      </c>
      <c r="G2626">
        <v>42.927326000000001</v>
      </c>
      <c r="H2626">
        <v>-72.279979999999995</v>
      </c>
      <c r="I2626">
        <v>477</v>
      </c>
      <c r="J2626">
        <v>78</v>
      </c>
      <c r="K2626">
        <v>0</v>
      </c>
      <c r="L2626" s="1">
        <v>44784.868773148148</v>
      </c>
      <c r="M2626">
        <v>1.1000000000000001</v>
      </c>
      <c r="N2626">
        <v>1</v>
      </c>
      <c r="O2626">
        <v>0.1</v>
      </c>
      <c r="P2626">
        <v>10</v>
      </c>
      <c r="Q2626">
        <v>0</v>
      </c>
      <c r="R2626">
        <v>0</v>
      </c>
      <c r="S2626">
        <v>0</v>
      </c>
      <c r="T2626" t="s">
        <v>32</v>
      </c>
      <c r="V2626">
        <v>22</v>
      </c>
      <c r="W2626">
        <v>0</v>
      </c>
      <c r="X2626">
        <v>22</v>
      </c>
      <c r="Y2626">
        <v>0</v>
      </c>
      <c r="Z2626">
        <v>0</v>
      </c>
      <c r="AA2626">
        <v>0</v>
      </c>
      <c r="AB2626" t="s">
        <v>36</v>
      </c>
      <c r="AC2626">
        <v>22</v>
      </c>
    </row>
    <row r="2627" spans="1:30" x14ac:dyDescent="0.25">
      <c r="A2627" s="1">
        <v>44784.87572916667</v>
      </c>
      <c r="B2627" s="1">
        <v>44775.701319444444</v>
      </c>
      <c r="C2627">
        <v>151708</v>
      </c>
      <c r="D2627" t="s">
        <v>30</v>
      </c>
      <c r="E2627" t="s">
        <v>31</v>
      </c>
      <c r="F2627">
        <v>7</v>
      </c>
      <c r="G2627">
        <v>43.192042999999998</v>
      </c>
      <c r="H2627">
        <v>-71.541579999999996</v>
      </c>
      <c r="I2627">
        <v>291</v>
      </c>
      <c r="J2627">
        <v>93</v>
      </c>
      <c r="K2627">
        <v>94</v>
      </c>
      <c r="L2627" s="1">
        <v>44784.875717592593</v>
      </c>
      <c r="M2627">
        <v>7.9</v>
      </c>
      <c r="N2627">
        <v>7.6</v>
      </c>
      <c r="O2627">
        <v>0.3</v>
      </c>
      <c r="P2627">
        <v>4</v>
      </c>
      <c r="Q2627">
        <v>0</v>
      </c>
      <c r="R2627">
        <v>0</v>
      </c>
      <c r="S2627">
        <v>0</v>
      </c>
      <c r="T2627" t="s">
        <v>32</v>
      </c>
      <c r="V2627">
        <v>42</v>
      </c>
      <c r="W2627">
        <v>41</v>
      </c>
      <c r="X2627">
        <v>1</v>
      </c>
      <c r="Y2627">
        <v>0</v>
      </c>
      <c r="Z2627">
        <v>0</v>
      </c>
      <c r="AA2627">
        <v>0</v>
      </c>
      <c r="AB2627" t="s">
        <v>33</v>
      </c>
      <c r="AC2627">
        <v>41.5</v>
      </c>
    </row>
    <row r="2628" spans="1:30" x14ac:dyDescent="0.25">
      <c r="A2628" s="1">
        <v>44784.87572916667</v>
      </c>
      <c r="B2628" s="1">
        <v>44784.874131944445</v>
      </c>
      <c r="C2628">
        <v>143456</v>
      </c>
      <c r="D2628" t="s">
        <v>34</v>
      </c>
      <c r="E2628" t="s">
        <v>35</v>
      </c>
      <c r="F2628">
        <v>7</v>
      </c>
      <c r="G2628">
        <v>43.08963</v>
      </c>
      <c r="H2628">
        <v>-71.502440000000007</v>
      </c>
      <c r="I2628">
        <v>619</v>
      </c>
      <c r="J2628">
        <v>75</v>
      </c>
      <c r="K2628">
        <v>0</v>
      </c>
      <c r="L2628" s="1">
        <v>44784.875717592593</v>
      </c>
      <c r="M2628">
        <v>3.7</v>
      </c>
      <c r="N2628">
        <v>4.2</v>
      </c>
      <c r="O2628">
        <v>0.5</v>
      </c>
      <c r="P2628">
        <v>13</v>
      </c>
      <c r="Q2628">
        <v>0</v>
      </c>
      <c r="R2628">
        <v>0.1</v>
      </c>
      <c r="S2628">
        <v>0.05</v>
      </c>
      <c r="T2628" t="s">
        <v>33</v>
      </c>
      <c r="U2628">
        <v>3.95</v>
      </c>
      <c r="V2628">
        <v>57</v>
      </c>
      <c r="W2628">
        <v>0</v>
      </c>
      <c r="X2628">
        <v>57</v>
      </c>
      <c r="Y2628">
        <v>1</v>
      </c>
      <c r="Z2628">
        <v>0</v>
      </c>
      <c r="AA2628">
        <v>1</v>
      </c>
      <c r="AB2628" t="s">
        <v>36</v>
      </c>
      <c r="AC2628">
        <v>57</v>
      </c>
      <c r="AD2628">
        <v>0.57999999999999996</v>
      </c>
    </row>
    <row r="2629" spans="1:30" x14ac:dyDescent="0.25">
      <c r="A2629" s="1">
        <v>44784.875740740739</v>
      </c>
      <c r="B2629" s="1">
        <v>44784.874282407407</v>
      </c>
      <c r="C2629">
        <v>151702</v>
      </c>
      <c r="D2629" t="s">
        <v>37</v>
      </c>
      <c r="E2629" t="s">
        <v>31</v>
      </c>
      <c r="F2629">
        <v>7</v>
      </c>
      <c r="G2629">
        <v>43.118609999999997</v>
      </c>
      <c r="H2629">
        <v>-71.61618</v>
      </c>
      <c r="I2629">
        <v>885</v>
      </c>
      <c r="J2629">
        <v>0</v>
      </c>
      <c r="K2629">
        <v>0</v>
      </c>
      <c r="L2629" s="1">
        <v>44784.875717592593</v>
      </c>
      <c r="M2629">
        <v>3.4</v>
      </c>
      <c r="N2629">
        <v>3.4</v>
      </c>
      <c r="O2629">
        <v>0</v>
      </c>
      <c r="P2629">
        <v>0</v>
      </c>
      <c r="Q2629">
        <v>0.2</v>
      </c>
      <c r="R2629">
        <v>0</v>
      </c>
      <c r="S2629">
        <v>0.1</v>
      </c>
      <c r="T2629" t="s">
        <v>33</v>
      </c>
      <c r="U2629">
        <v>3.4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 t="s">
        <v>38</v>
      </c>
    </row>
    <row r="2630" spans="1:30" x14ac:dyDescent="0.25">
      <c r="A2630" s="1">
        <v>44784.875740740739</v>
      </c>
      <c r="B2630" s="1">
        <v>44784.874178240738</v>
      </c>
      <c r="C2630">
        <v>151700</v>
      </c>
      <c r="D2630" t="s">
        <v>30</v>
      </c>
      <c r="E2630" t="s">
        <v>31</v>
      </c>
      <c r="F2630">
        <v>7</v>
      </c>
      <c r="G2630">
        <v>43.19211</v>
      </c>
      <c r="H2630">
        <v>-71.541460000000001</v>
      </c>
      <c r="I2630">
        <v>286</v>
      </c>
      <c r="J2630">
        <v>79</v>
      </c>
      <c r="K2630">
        <v>0</v>
      </c>
      <c r="L2630" s="1">
        <v>44784.875717592593</v>
      </c>
      <c r="M2630">
        <v>3</v>
      </c>
      <c r="N2630">
        <v>3.5</v>
      </c>
      <c r="O2630">
        <v>0.5</v>
      </c>
      <c r="P2630">
        <v>15</v>
      </c>
      <c r="Q2630">
        <v>0.4</v>
      </c>
      <c r="R2630">
        <v>0.3</v>
      </c>
      <c r="S2630">
        <v>0.35</v>
      </c>
      <c r="T2630" t="s">
        <v>33</v>
      </c>
      <c r="U2630">
        <v>3.25</v>
      </c>
      <c r="V2630">
        <v>47</v>
      </c>
      <c r="W2630">
        <v>0</v>
      </c>
      <c r="X2630">
        <v>47</v>
      </c>
      <c r="Y2630">
        <v>1</v>
      </c>
      <c r="Z2630">
        <v>0</v>
      </c>
      <c r="AA2630">
        <v>1</v>
      </c>
      <c r="AB2630" t="s">
        <v>36</v>
      </c>
      <c r="AC2630">
        <v>47</v>
      </c>
      <c r="AD2630">
        <v>0.85</v>
      </c>
    </row>
    <row r="2631" spans="1:30" x14ac:dyDescent="0.25">
      <c r="A2631" s="1">
        <v>44784.875740740739</v>
      </c>
      <c r="B2631" s="1">
        <v>44784.874618055554</v>
      </c>
      <c r="C2631">
        <v>135984</v>
      </c>
      <c r="D2631" t="s">
        <v>39</v>
      </c>
      <c r="E2631" t="s">
        <v>31</v>
      </c>
      <c r="F2631">
        <v>7</v>
      </c>
      <c r="G2631">
        <v>43.565852999999997</v>
      </c>
      <c r="H2631">
        <v>-71.496129999999994</v>
      </c>
      <c r="I2631">
        <v>708</v>
      </c>
      <c r="J2631">
        <v>73</v>
      </c>
      <c r="K2631">
        <v>0</v>
      </c>
      <c r="L2631" s="1">
        <v>44784.875717592593</v>
      </c>
      <c r="M2631">
        <v>3.2</v>
      </c>
      <c r="N2631">
        <v>2.7</v>
      </c>
      <c r="O2631">
        <v>0.5</v>
      </c>
      <c r="P2631">
        <v>17</v>
      </c>
      <c r="Q2631">
        <v>0.2</v>
      </c>
      <c r="R2631">
        <v>0.2</v>
      </c>
      <c r="S2631">
        <v>0.2</v>
      </c>
      <c r="T2631" t="s">
        <v>33</v>
      </c>
      <c r="U2631">
        <v>2.95</v>
      </c>
      <c r="V2631">
        <v>70</v>
      </c>
      <c r="W2631">
        <v>0</v>
      </c>
      <c r="X2631">
        <v>70</v>
      </c>
      <c r="Y2631">
        <v>7</v>
      </c>
      <c r="Z2631">
        <v>0</v>
      </c>
      <c r="AA2631">
        <v>7</v>
      </c>
      <c r="AB2631" t="s">
        <v>36</v>
      </c>
      <c r="AC2631">
        <v>70</v>
      </c>
      <c r="AD2631">
        <v>-0.94</v>
      </c>
    </row>
    <row r="2632" spans="1:30" x14ac:dyDescent="0.25">
      <c r="A2632" s="1">
        <v>44784.875752314816</v>
      </c>
      <c r="B2632" s="1">
        <v>44780.394780092596</v>
      </c>
      <c r="C2632">
        <v>151712</v>
      </c>
      <c r="D2632" t="s">
        <v>40</v>
      </c>
      <c r="E2632" t="s">
        <v>31</v>
      </c>
      <c r="F2632">
        <v>7</v>
      </c>
      <c r="G2632">
        <v>43.289763999999998</v>
      </c>
      <c r="H2632">
        <v>-71.564260000000004</v>
      </c>
      <c r="I2632">
        <v>370</v>
      </c>
      <c r="J2632">
        <v>86</v>
      </c>
      <c r="K2632">
        <v>0</v>
      </c>
      <c r="L2632" s="1">
        <v>44784.875717592593</v>
      </c>
      <c r="M2632">
        <v>14</v>
      </c>
      <c r="N2632">
        <v>13.2</v>
      </c>
      <c r="O2632">
        <v>0.8</v>
      </c>
      <c r="P2632">
        <v>6</v>
      </c>
      <c r="Q2632">
        <v>0</v>
      </c>
      <c r="R2632">
        <v>0</v>
      </c>
      <c r="S2632">
        <v>0</v>
      </c>
      <c r="T2632" t="s">
        <v>32</v>
      </c>
      <c r="V2632">
        <v>59</v>
      </c>
      <c r="W2632">
        <v>0</v>
      </c>
      <c r="X2632">
        <v>59</v>
      </c>
      <c r="Y2632">
        <v>0</v>
      </c>
      <c r="Z2632">
        <v>0</v>
      </c>
      <c r="AA2632">
        <v>0</v>
      </c>
      <c r="AB2632" t="s">
        <v>36</v>
      </c>
      <c r="AC2632">
        <v>59</v>
      </c>
    </row>
    <row r="2633" spans="1:30" x14ac:dyDescent="0.25">
      <c r="A2633" s="1">
        <v>44784.875752314816</v>
      </c>
      <c r="B2633" s="1">
        <v>44784.87394675926</v>
      </c>
      <c r="C2633">
        <v>151710</v>
      </c>
      <c r="D2633" t="s">
        <v>41</v>
      </c>
      <c r="E2633" t="s">
        <v>31</v>
      </c>
      <c r="F2633">
        <v>7</v>
      </c>
      <c r="G2633">
        <v>43.132477000000002</v>
      </c>
      <c r="H2633">
        <v>-71.458374000000006</v>
      </c>
      <c r="I2633">
        <v>230</v>
      </c>
      <c r="J2633">
        <v>77</v>
      </c>
      <c r="K2633">
        <v>0</v>
      </c>
      <c r="L2633" s="1">
        <v>44784.875717592593</v>
      </c>
      <c r="M2633">
        <v>9.1</v>
      </c>
      <c r="N2633">
        <v>7.9</v>
      </c>
      <c r="O2633">
        <v>1.2</v>
      </c>
      <c r="P2633">
        <v>14</v>
      </c>
      <c r="Q2633">
        <v>0.6</v>
      </c>
      <c r="R2633">
        <v>0.4</v>
      </c>
      <c r="S2633">
        <v>0.5</v>
      </c>
      <c r="T2633" t="s">
        <v>33</v>
      </c>
      <c r="U2633">
        <v>8.5</v>
      </c>
      <c r="V2633">
        <v>58</v>
      </c>
      <c r="W2633">
        <v>0</v>
      </c>
      <c r="X2633">
        <v>58</v>
      </c>
      <c r="Y2633">
        <v>1</v>
      </c>
      <c r="Z2633">
        <v>0</v>
      </c>
      <c r="AA2633">
        <v>1</v>
      </c>
      <c r="AB2633" t="s">
        <v>36</v>
      </c>
      <c r="AC2633">
        <v>58</v>
      </c>
      <c r="AD2633">
        <v>3.28</v>
      </c>
    </row>
    <row r="2634" spans="1:30" x14ac:dyDescent="0.25">
      <c r="A2634" s="1">
        <v>44784.875763888886</v>
      </c>
      <c r="B2634" s="1">
        <v>44784.8749537037</v>
      </c>
      <c r="C2634">
        <v>151706</v>
      </c>
      <c r="D2634" t="s">
        <v>42</v>
      </c>
      <c r="E2634" t="s">
        <v>31</v>
      </c>
      <c r="F2634">
        <v>7</v>
      </c>
      <c r="G2634">
        <v>43.004080000000002</v>
      </c>
      <c r="H2634">
        <v>-71.177040000000005</v>
      </c>
      <c r="I2634">
        <v>194</v>
      </c>
      <c r="J2634">
        <v>76</v>
      </c>
      <c r="K2634">
        <v>0</v>
      </c>
      <c r="L2634" s="1">
        <v>44784.875717592593</v>
      </c>
      <c r="M2634">
        <v>12.3</v>
      </c>
      <c r="N2634">
        <v>0</v>
      </c>
      <c r="O2634">
        <v>12.3</v>
      </c>
      <c r="P2634">
        <v>200</v>
      </c>
      <c r="Q2634">
        <v>0.2</v>
      </c>
      <c r="R2634">
        <v>0</v>
      </c>
      <c r="S2634">
        <v>0.1</v>
      </c>
      <c r="T2634" t="s">
        <v>43</v>
      </c>
      <c r="V2634">
        <v>66</v>
      </c>
      <c r="W2634">
        <v>0</v>
      </c>
      <c r="X2634">
        <v>66</v>
      </c>
      <c r="Y2634">
        <v>1</v>
      </c>
      <c r="Z2634">
        <v>0</v>
      </c>
      <c r="AA2634">
        <v>1</v>
      </c>
      <c r="AB2634" t="s">
        <v>36</v>
      </c>
      <c r="AC2634">
        <v>66</v>
      </c>
    </row>
    <row r="2635" spans="1:30" x14ac:dyDescent="0.25">
      <c r="A2635" s="1">
        <v>44784.875763888886</v>
      </c>
      <c r="B2635" s="1">
        <v>44784.874780092592</v>
      </c>
      <c r="C2635">
        <v>12212</v>
      </c>
      <c r="D2635" t="s">
        <v>44</v>
      </c>
      <c r="E2635" t="s">
        <v>35</v>
      </c>
      <c r="F2635">
        <v>7</v>
      </c>
      <c r="G2635">
        <v>42.930529999999997</v>
      </c>
      <c r="H2635">
        <v>-72.272350000000003</v>
      </c>
      <c r="I2635">
        <v>476</v>
      </c>
      <c r="J2635">
        <v>83</v>
      </c>
      <c r="K2635">
        <v>0</v>
      </c>
      <c r="L2635" s="1">
        <v>44784.875717592593</v>
      </c>
      <c r="M2635">
        <v>5.2</v>
      </c>
      <c r="N2635">
        <v>4.5</v>
      </c>
      <c r="O2635">
        <v>0.7</v>
      </c>
      <c r="P2635">
        <v>14</v>
      </c>
      <c r="Q2635">
        <v>0</v>
      </c>
      <c r="R2635">
        <v>0.1</v>
      </c>
      <c r="S2635">
        <v>0.05</v>
      </c>
      <c r="T2635" t="s">
        <v>33</v>
      </c>
      <c r="U2635">
        <v>4.8499999999999996</v>
      </c>
      <c r="V2635">
        <v>45</v>
      </c>
      <c r="W2635">
        <v>0</v>
      </c>
      <c r="X2635">
        <v>45</v>
      </c>
      <c r="Y2635">
        <v>0</v>
      </c>
      <c r="Z2635">
        <v>0</v>
      </c>
      <c r="AA2635">
        <v>0</v>
      </c>
      <c r="AB2635" t="s">
        <v>36</v>
      </c>
      <c r="AC2635">
        <v>45</v>
      </c>
      <c r="AD2635">
        <v>1.97</v>
      </c>
    </row>
    <row r="2636" spans="1:30" x14ac:dyDescent="0.25">
      <c r="A2636" s="1">
        <v>44784.875775462962</v>
      </c>
      <c r="B2636" s="1">
        <v>44769.376736111109</v>
      </c>
      <c r="C2636">
        <v>12178</v>
      </c>
      <c r="D2636" t="s">
        <v>45</v>
      </c>
      <c r="E2636" t="s">
        <v>35</v>
      </c>
      <c r="F2636">
        <v>7</v>
      </c>
      <c r="G2636">
        <v>42.899563000000001</v>
      </c>
      <c r="H2636">
        <v>-71.464650000000006</v>
      </c>
      <c r="I2636">
        <v>301</v>
      </c>
      <c r="J2636">
        <v>85</v>
      </c>
      <c r="K2636">
        <v>0</v>
      </c>
      <c r="L2636" s="1">
        <v>44784.875717592593</v>
      </c>
      <c r="M2636">
        <v>3.8</v>
      </c>
      <c r="N2636">
        <v>3.1</v>
      </c>
      <c r="O2636">
        <v>0.7</v>
      </c>
      <c r="P2636">
        <v>20</v>
      </c>
      <c r="Q2636">
        <v>0</v>
      </c>
      <c r="R2636">
        <v>0</v>
      </c>
      <c r="S2636">
        <v>0</v>
      </c>
      <c r="T2636" t="s">
        <v>32</v>
      </c>
      <c r="V2636">
        <v>35</v>
      </c>
      <c r="W2636">
        <v>0</v>
      </c>
      <c r="X2636">
        <v>35</v>
      </c>
      <c r="Y2636">
        <v>0</v>
      </c>
      <c r="Z2636">
        <v>0</v>
      </c>
      <c r="AA2636">
        <v>0</v>
      </c>
      <c r="AB2636" t="s">
        <v>36</v>
      </c>
      <c r="AC2636">
        <v>35</v>
      </c>
    </row>
    <row r="2637" spans="1:30" x14ac:dyDescent="0.25">
      <c r="A2637" s="1">
        <v>44784.875775462962</v>
      </c>
      <c r="B2637" s="1">
        <v>44784.875416666669</v>
      </c>
      <c r="C2637">
        <v>75981</v>
      </c>
      <c r="D2637" t="s">
        <v>46</v>
      </c>
      <c r="E2637" t="s">
        <v>35</v>
      </c>
      <c r="F2637">
        <v>7</v>
      </c>
      <c r="G2637">
        <v>42.97</v>
      </c>
      <c r="H2637">
        <v>-71.06</v>
      </c>
      <c r="I2637">
        <v>136</v>
      </c>
      <c r="J2637">
        <v>81</v>
      </c>
      <c r="K2637">
        <v>0</v>
      </c>
      <c r="L2637" s="1">
        <v>44784.875717592593</v>
      </c>
      <c r="M2637">
        <v>11.8</v>
      </c>
      <c r="N2637">
        <v>11.1</v>
      </c>
      <c r="O2637">
        <v>0.7</v>
      </c>
      <c r="P2637">
        <v>6</v>
      </c>
      <c r="Q2637">
        <v>0</v>
      </c>
      <c r="R2637">
        <v>0</v>
      </c>
      <c r="S2637">
        <v>0</v>
      </c>
      <c r="T2637" t="s">
        <v>33</v>
      </c>
      <c r="U2637">
        <v>11.45</v>
      </c>
      <c r="V2637">
        <v>57</v>
      </c>
      <c r="W2637">
        <v>0</v>
      </c>
      <c r="X2637">
        <v>57</v>
      </c>
      <c r="Y2637">
        <v>1</v>
      </c>
      <c r="Z2637">
        <v>0</v>
      </c>
      <c r="AA2637">
        <v>1</v>
      </c>
      <c r="AB2637" t="s">
        <v>36</v>
      </c>
      <c r="AC2637">
        <v>57</v>
      </c>
      <c r="AD2637">
        <v>5.15</v>
      </c>
    </row>
    <row r="2638" spans="1:30" x14ac:dyDescent="0.25">
      <c r="A2638" s="1">
        <v>44784.875787037039</v>
      </c>
      <c r="B2638" s="1">
        <v>44784.874571759261</v>
      </c>
      <c r="C2638">
        <v>115703</v>
      </c>
      <c r="D2638" t="s">
        <v>47</v>
      </c>
      <c r="E2638" t="s">
        <v>35</v>
      </c>
      <c r="F2638">
        <v>7</v>
      </c>
      <c r="G2638">
        <v>43.953625000000002</v>
      </c>
      <c r="H2638">
        <v>-71.508859999999999</v>
      </c>
      <c r="I2638">
        <v>1493</v>
      </c>
      <c r="J2638">
        <v>71</v>
      </c>
      <c r="K2638">
        <v>0</v>
      </c>
      <c r="L2638" s="1">
        <v>44784.875717592593</v>
      </c>
      <c r="M2638">
        <v>0.2</v>
      </c>
      <c r="N2638">
        <v>201</v>
      </c>
      <c r="O2638">
        <v>200.8</v>
      </c>
      <c r="P2638">
        <v>200</v>
      </c>
      <c r="Q2638">
        <v>0</v>
      </c>
      <c r="R2638">
        <v>0</v>
      </c>
      <c r="S2638">
        <v>0</v>
      </c>
      <c r="T2638" t="s">
        <v>60</v>
      </c>
      <c r="V2638">
        <v>62</v>
      </c>
      <c r="W2638">
        <v>0</v>
      </c>
      <c r="X2638">
        <v>62</v>
      </c>
      <c r="Y2638">
        <v>4</v>
      </c>
      <c r="Z2638">
        <v>0</v>
      </c>
      <c r="AA2638">
        <v>4</v>
      </c>
      <c r="AB2638" t="s">
        <v>36</v>
      </c>
      <c r="AC2638">
        <v>62</v>
      </c>
    </row>
    <row r="2639" spans="1:30" x14ac:dyDescent="0.25">
      <c r="A2639" s="1">
        <v>44784.875787037039</v>
      </c>
      <c r="B2639" s="1">
        <v>44784.875393518516</v>
      </c>
      <c r="C2639">
        <v>12050</v>
      </c>
      <c r="D2639" t="s">
        <v>49</v>
      </c>
      <c r="E2639" t="s">
        <v>35</v>
      </c>
      <c r="F2639">
        <v>7</v>
      </c>
      <c r="G2639">
        <v>44.220573000000002</v>
      </c>
      <c r="H2639">
        <v>-71.732315</v>
      </c>
      <c r="I2639">
        <v>999</v>
      </c>
      <c r="J2639">
        <v>77</v>
      </c>
      <c r="K2639">
        <v>0</v>
      </c>
      <c r="L2639" s="1">
        <v>44784.875717592593</v>
      </c>
      <c r="M2639">
        <v>11.7</v>
      </c>
      <c r="N2639">
        <v>11.2</v>
      </c>
      <c r="O2639">
        <v>0.5</v>
      </c>
      <c r="P2639">
        <v>4</v>
      </c>
      <c r="Q2639">
        <v>1</v>
      </c>
      <c r="R2639">
        <v>1.1000000000000001</v>
      </c>
      <c r="S2639">
        <v>1.05</v>
      </c>
      <c r="T2639" t="s">
        <v>33</v>
      </c>
      <c r="U2639">
        <v>11.45</v>
      </c>
      <c r="V2639">
        <v>58</v>
      </c>
      <c r="W2639">
        <v>0</v>
      </c>
      <c r="X2639">
        <v>58</v>
      </c>
      <c r="Y2639">
        <v>0</v>
      </c>
      <c r="Z2639">
        <v>0</v>
      </c>
      <c r="AA2639">
        <v>0</v>
      </c>
      <c r="AB2639" t="s">
        <v>36</v>
      </c>
      <c r="AC2639">
        <v>58</v>
      </c>
      <c r="AD2639">
        <v>5.08</v>
      </c>
    </row>
    <row r="2640" spans="1:30" x14ac:dyDescent="0.25">
      <c r="A2640" s="1">
        <v>44784.875787037039</v>
      </c>
      <c r="B2640" s="1">
        <v>44784.875509259262</v>
      </c>
      <c r="C2640">
        <v>23443</v>
      </c>
      <c r="D2640" t="s">
        <v>50</v>
      </c>
      <c r="E2640" t="s">
        <v>35</v>
      </c>
      <c r="F2640">
        <v>7</v>
      </c>
      <c r="G2640">
        <v>43.556139999999999</v>
      </c>
      <c r="H2640">
        <v>-72.370990000000006</v>
      </c>
      <c r="I2640">
        <v>523</v>
      </c>
      <c r="J2640">
        <v>74</v>
      </c>
      <c r="K2640">
        <v>0</v>
      </c>
      <c r="L2640" s="1">
        <v>44784.875717592593</v>
      </c>
      <c r="M2640">
        <v>6.6</v>
      </c>
      <c r="N2640">
        <v>5.9</v>
      </c>
      <c r="O2640">
        <v>0.7</v>
      </c>
      <c r="P2640">
        <v>11</v>
      </c>
      <c r="Q2640">
        <v>0.2</v>
      </c>
      <c r="R2640">
        <v>0.1</v>
      </c>
      <c r="S2640">
        <v>0.15</v>
      </c>
      <c r="T2640" t="s">
        <v>33</v>
      </c>
      <c r="U2640">
        <v>6.25</v>
      </c>
      <c r="V2640">
        <v>66</v>
      </c>
      <c r="W2640">
        <v>0</v>
      </c>
      <c r="X2640">
        <v>66</v>
      </c>
      <c r="Y2640">
        <v>0</v>
      </c>
      <c r="Z2640">
        <v>0</v>
      </c>
      <c r="AA2640">
        <v>0</v>
      </c>
      <c r="AB2640" t="s">
        <v>36</v>
      </c>
      <c r="AC2640">
        <v>66</v>
      </c>
      <c r="AD2640">
        <v>1.35</v>
      </c>
    </row>
    <row r="2641" spans="1:30" x14ac:dyDescent="0.25">
      <c r="A2641" s="1">
        <v>44784.875798611109</v>
      </c>
      <c r="B2641" s="1">
        <v>44784.875613425924</v>
      </c>
      <c r="C2641">
        <v>58135</v>
      </c>
      <c r="D2641" t="s">
        <v>51</v>
      </c>
      <c r="E2641" t="s">
        <v>35</v>
      </c>
      <c r="F2641">
        <v>7</v>
      </c>
      <c r="G2641">
        <v>42.883873000000001</v>
      </c>
      <c r="H2641">
        <v>-71.972915999999998</v>
      </c>
      <c r="I2641">
        <v>808</v>
      </c>
      <c r="J2641">
        <v>77</v>
      </c>
      <c r="K2641">
        <v>0</v>
      </c>
      <c r="L2641" s="1">
        <v>44784.875717592593</v>
      </c>
      <c r="M2641">
        <v>5.9</v>
      </c>
      <c r="N2641">
        <v>6.2</v>
      </c>
      <c r="O2641">
        <v>0.3</v>
      </c>
      <c r="P2641">
        <v>5</v>
      </c>
      <c r="Q2641">
        <v>0.2</v>
      </c>
      <c r="R2641">
        <v>1.1000000000000001</v>
      </c>
      <c r="S2641">
        <v>0.65</v>
      </c>
      <c r="T2641" t="s">
        <v>33</v>
      </c>
      <c r="U2641">
        <v>6.05</v>
      </c>
      <c r="V2641">
        <v>54</v>
      </c>
      <c r="W2641">
        <v>0</v>
      </c>
      <c r="X2641">
        <v>54</v>
      </c>
      <c r="Y2641">
        <v>0</v>
      </c>
      <c r="Z2641">
        <v>0</v>
      </c>
      <c r="AA2641">
        <v>0</v>
      </c>
      <c r="AB2641" t="s">
        <v>36</v>
      </c>
      <c r="AC2641">
        <v>54</v>
      </c>
      <c r="AD2641">
        <v>2.0699999999999998</v>
      </c>
    </row>
    <row r="2642" spans="1:30" x14ac:dyDescent="0.25">
      <c r="A2642" s="1">
        <v>44784.875798611109</v>
      </c>
      <c r="B2642" s="1">
        <v>44784.875590277778</v>
      </c>
      <c r="C2642">
        <v>148555</v>
      </c>
      <c r="D2642" t="s">
        <v>52</v>
      </c>
      <c r="E2642" t="s">
        <v>53</v>
      </c>
      <c r="F2642">
        <v>7</v>
      </c>
      <c r="G2642">
        <v>42.904949999999999</v>
      </c>
      <c r="H2642">
        <v>-71.386764999999997</v>
      </c>
      <c r="I2642">
        <v>363</v>
      </c>
      <c r="J2642">
        <v>0</v>
      </c>
      <c r="K2642">
        <v>0</v>
      </c>
      <c r="L2642" s="1">
        <v>44784.875717592593</v>
      </c>
      <c r="M2642">
        <v>6.6</v>
      </c>
      <c r="N2642">
        <v>7.4</v>
      </c>
      <c r="O2642">
        <v>0.8</v>
      </c>
      <c r="P2642">
        <v>11</v>
      </c>
      <c r="Q2642">
        <v>0.9</v>
      </c>
      <c r="R2642">
        <v>1.1000000000000001</v>
      </c>
      <c r="S2642">
        <v>1</v>
      </c>
      <c r="T2642" t="s">
        <v>33</v>
      </c>
      <c r="U2642">
        <v>7</v>
      </c>
      <c r="V2642">
        <v>0</v>
      </c>
      <c r="W2642">
        <v>0</v>
      </c>
      <c r="X2642">
        <v>0</v>
      </c>
      <c r="Y2642">
        <v>0</v>
      </c>
      <c r="Z2642">
        <v>0</v>
      </c>
      <c r="AA2642">
        <v>0</v>
      </c>
      <c r="AB2642" t="s">
        <v>38</v>
      </c>
    </row>
    <row r="2643" spans="1:30" x14ac:dyDescent="0.25">
      <c r="A2643" s="1">
        <v>44784.875810185185</v>
      </c>
      <c r="B2643" s="1">
        <v>44784.875092592592</v>
      </c>
      <c r="C2643">
        <v>146644</v>
      </c>
      <c r="D2643" t="s">
        <v>54</v>
      </c>
      <c r="E2643" t="s">
        <v>53</v>
      </c>
      <c r="F2643">
        <v>7</v>
      </c>
      <c r="G2643">
        <v>43.06015</v>
      </c>
      <c r="H2643">
        <v>-70.758930000000007</v>
      </c>
      <c r="I2643">
        <v>35</v>
      </c>
      <c r="J2643">
        <v>71</v>
      </c>
      <c r="K2643">
        <v>72</v>
      </c>
      <c r="L2643" s="1">
        <v>44784.875717592593</v>
      </c>
      <c r="M2643">
        <v>12.1</v>
      </c>
      <c r="N2643">
        <v>10.9</v>
      </c>
      <c r="O2643">
        <v>1.2</v>
      </c>
      <c r="P2643">
        <v>10</v>
      </c>
      <c r="Q2643">
        <v>0.2</v>
      </c>
      <c r="R2643">
        <v>0.2</v>
      </c>
      <c r="S2643">
        <v>0.2</v>
      </c>
      <c r="T2643" t="s">
        <v>33</v>
      </c>
      <c r="U2643">
        <v>11.5</v>
      </c>
      <c r="V2643">
        <v>70</v>
      </c>
      <c r="W2643">
        <v>75</v>
      </c>
      <c r="X2643">
        <v>5</v>
      </c>
      <c r="Y2643">
        <v>0</v>
      </c>
      <c r="Z2643">
        <v>0</v>
      </c>
      <c r="AA2643">
        <v>0</v>
      </c>
      <c r="AB2643" t="s">
        <v>33</v>
      </c>
      <c r="AC2643">
        <v>72.5</v>
      </c>
      <c r="AD2643">
        <v>4.0999999999999996</v>
      </c>
    </row>
    <row r="2644" spans="1:30" x14ac:dyDescent="0.25">
      <c r="A2644" s="1">
        <v>44784.875810185185</v>
      </c>
      <c r="B2644" s="1">
        <v>43755.283437500002</v>
      </c>
      <c r="C2644">
        <v>12188</v>
      </c>
      <c r="D2644" t="s">
        <v>55</v>
      </c>
      <c r="E2644" t="s">
        <v>35</v>
      </c>
      <c r="F2644">
        <v>4.1100000000000003</v>
      </c>
      <c r="G2644">
        <v>42.927050000000001</v>
      </c>
      <c r="H2644">
        <v>-72.279610000000005</v>
      </c>
      <c r="I2644">
        <v>475</v>
      </c>
      <c r="J2644">
        <v>95</v>
      </c>
      <c r="K2644">
        <v>0</v>
      </c>
      <c r="L2644" s="1">
        <v>44784.875717592593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 t="s">
        <v>32</v>
      </c>
      <c r="V2644">
        <v>77</v>
      </c>
      <c r="W2644">
        <v>0</v>
      </c>
      <c r="X2644">
        <v>77</v>
      </c>
      <c r="Y2644">
        <v>0</v>
      </c>
      <c r="Z2644">
        <v>0</v>
      </c>
      <c r="AA2644">
        <v>0</v>
      </c>
      <c r="AB2644" t="s">
        <v>36</v>
      </c>
      <c r="AC2644">
        <v>77</v>
      </c>
    </row>
    <row r="2645" spans="1:30" x14ac:dyDescent="0.25">
      <c r="A2645" s="1">
        <v>44784.875821759262</v>
      </c>
      <c r="B2645" s="1">
        <v>44784.875486111108</v>
      </c>
      <c r="C2645">
        <v>1224</v>
      </c>
      <c r="D2645" t="s">
        <v>56</v>
      </c>
      <c r="E2645" t="s">
        <v>35</v>
      </c>
      <c r="F2645" t="s">
        <v>57</v>
      </c>
      <c r="G2645">
        <v>42.938034000000002</v>
      </c>
      <c r="H2645">
        <v>-72.259299999999996</v>
      </c>
      <c r="I2645">
        <v>792</v>
      </c>
      <c r="J2645">
        <v>82</v>
      </c>
      <c r="K2645">
        <v>0</v>
      </c>
      <c r="L2645" s="1">
        <v>44784.875717592593</v>
      </c>
      <c r="M2645">
        <v>4.7</v>
      </c>
      <c r="N2645">
        <v>0</v>
      </c>
      <c r="O2645">
        <v>4.7</v>
      </c>
      <c r="P2645">
        <v>200</v>
      </c>
      <c r="Q2645">
        <v>0.2</v>
      </c>
      <c r="R2645">
        <v>0</v>
      </c>
      <c r="S2645">
        <v>0.1</v>
      </c>
      <c r="T2645" t="s">
        <v>43</v>
      </c>
      <c r="V2645">
        <v>53</v>
      </c>
      <c r="W2645">
        <v>0</v>
      </c>
      <c r="X2645">
        <v>53</v>
      </c>
      <c r="Y2645">
        <v>0</v>
      </c>
      <c r="Z2645">
        <v>0</v>
      </c>
      <c r="AA2645">
        <v>0</v>
      </c>
      <c r="AB2645" t="s">
        <v>36</v>
      </c>
      <c r="AC2645">
        <v>53</v>
      </c>
    </row>
    <row r="2646" spans="1:30" x14ac:dyDescent="0.25">
      <c r="A2646" s="1">
        <v>44784.875821759262</v>
      </c>
      <c r="B2646" s="1">
        <v>44784.874930555554</v>
      </c>
      <c r="C2646">
        <v>1202</v>
      </c>
      <c r="D2646" t="s">
        <v>58</v>
      </c>
      <c r="E2646" t="s">
        <v>35</v>
      </c>
      <c r="F2646" t="s">
        <v>57</v>
      </c>
      <c r="G2646">
        <v>42.936554000000001</v>
      </c>
      <c r="H2646">
        <v>-72.271019999999993</v>
      </c>
      <c r="I2646">
        <v>488</v>
      </c>
      <c r="J2646">
        <v>0</v>
      </c>
      <c r="K2646">
        <v>0</v>
      </c>
      <c r="L2646" s="1">
        <v>44784.875717592593</v>
      </c>
      <c r="M2646">
        <v>6.4</v>
      </c>
      <c r="N2646">
        <v>5.9</v>
      </c>
      <c r="O2646">
        <v>0.5</v>
      </c>
      <c r="P2646">
        <v>8</v>
      </c>
      <c r="Q2646">
        <v>0.9</v>
      </c>
      <c r="R2646">
        <v>0.9</v>
      </c>
      <c r="S2646">
        <v>0.9</v>
      </c>
      <c r="T2646" t="s">
        <v>33</v>
      </c>
      <c r="U2646">
        <v>6.15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 t="s">
        <v>38</v>
      </c>
    </row>
    <row r="2647" spans="1:30" x14ac:dyDescent="0.25">
      <c r="A2647" s="1">
        <v>44784.875821759262</v>
      </c>
      <c r="B2647" s="1">
        <v>44612.080023148148</v>
      </c>
      <c r="C2647">
        <v>25985</v>
      </c>
      <c r="D2647" t="s">
        <v>59</v>
      </c>
      <c r="E2647" t="s">
        <v>35</v>
      </c>
      <c r="F2647">
        <v>6.01</v>
      </c>
      <c r="G2647">
        <v>42.927326000000001</v>
      </c>
      <c r="H2647">
        <v>-72.279979999999995</v>
      </c>
      <c r="I2647">
        <v>477</v>
      </c>
      <c r="J2647">
        <v>78</v>
      </c>
      <c r="K2647">
        <v>0</v>
      </c>
      <c r="L2647" s="1">
        <v>44784.875717592593</v>
      </c>
      <c r="M2647">
        <v>1.1000000000000001</v>
      </c>
      <c r="N2647">
        <v>1</v>
      </c>
      <c r="O2647">
        <v>0.1</v>
      </c>
      <c r="P2647">
        <v>10</v>
      </c>
      <c r="Q2647">
        <v>0</v>
      </c>
      <c r="R2647">
        <v>0</v>
      </c>
      <c r="S2647">
        <v>0</v>
      </c>
      <c r="T2647" t="s">
        <v>32</v>
      </c>
      <c r="V2647">
        <v>22</v>
      </c>
      <c r="W2647">
        <v>0</v>
      </c>
      <c r="X2647">
        <v>22</v>
      </c>
      <c r="Y2647">
        <v>0</v>
      </c>
      <c r="Z2647">
        <v>0</v>
      </c>
      <c r="AA2647">
        <v>0</v>
      </c>
      <c r="AB2647" t="s">
        <v>36</v>
      </c>
      <c r="AC2647">
        <v>22</v>
      </c>
    </row>
    <row r="2648" spans="1:30" x14ac:dyDescent="0.25">
      <c r="A2648" s="1">
        <v>44784.882673611108</v>
      </c>
      <c r="B2648" s="1">
        <v>44775.701319444444</v>
      </c>
      <c r="C2648">
        <v>151708</v>
      </c>
      <c r="D2648" t="s">
        <v>30</v>
      </c>
      <c r="E2648" t="s">
        <v>31</v>
      </c>
      <c r="F2648">
        <v>7</v>
      </c>
      <c r="G2648">
        <v>43.192042999999998</v>
      </c>
      <c r="H2648">
        <v>-71.541579999999996</v>
      </c>
      <c r="I2648">
        <v>291</v>
      </c>
      <c r="J2648">
        <v>93</v>
      </c>
      <c r="K2648">
        <v>94</v>
      </c>
      <c r="L2648" s="1">
        <v>44784.882662037038</v>
      </c>
      <c r="M2648">
        <v>7.9</v>
      </c>
      <c r="N2648">
        <v>7.6</v>
      </c>
      <c r="O2648">
        <v>0.3</v>
      </c>
      <c r="P2648">
        <v>4</v>
      </c>
      <c r="Q2648">
        <v>0</v>
      </c>
      <c r="R2648">
        <v>0</v>
      </c>
      <c r="S2648">
        <v>0</v>
      </c>
      <c r="T2648" t="s">
        <v>32</v>
      </c>
      <c r="V2648">
        <v>42</v>
      </c>
      <c r="W2648">
        <v>41</v>
      </c>
      <c r="X2648">
        <v>1</v>
      </c>
      <c r="Y2648">
        <v>0</v>
      </c>
      <c r="Z2648">
        <v>0</v>
      </c>
      <c r="AA2648">
        <v>0</v>
      </c>
      <c r="AB2648" t="s">
        <v>33</v>
      </c>
      <c r="AC2648">
        <v>41.5</v>
      </c>
    </row>
    <row r="2649" spans="1:30" x14ac:dyDescent="0.25">
      <c r="A2649" s="1">
        <v>44784.882673611108</v>
      </c>
      <c r="B2649" s="1">
        <v>44784.881076388891</v>
      </c>
      <c r="C2649">
        <v>143456</v>
      </c>
      <c r="D2649" t="s">
        <v>34</v>
      </c>
      <c r="E2649" t="s">
        <v>35</v>
      </c>
      <c r="F2649">
        <v>7</v>
      </c>
      <c r="G2649">
        <v>43.08963</v>
      </c>
      <c r="H2649">
        <v>-71.502440000000007</v>
      </c>
      <c r="I2649">
        <v>619</v>
      </c>
      <c r="J2649">
        <v>76</v>
      </c>
      <c r="K2649">
        <v>0</v>
      </c>
      <c r="L2649" s="1">
        <v>44784.882662037038</v>
      </c>
      <c r="M2649">
        <v>3.5</v>
      </c>
      <c r="N2649">
        <v>4.0999999999999996</v>
      </c>
      <c r="O2649">
        <v>0.6</v>
      </c>
      <c r="P2649">
        <v>16</v>
      </c>
      <c r="Q2649">
        <v>0.2</v>
      </c>
      <c r="R2649">
        <v>0.1</v>
      </c>
      <c r="S2649">
        <v>0.15</v>
      </c>
      <c r="T2649" t="s">
        <v>33</v>
      </c>
      <c r="U2649">
        <v>3.8</v>
      </c>
      <c r="V2649">
        <v>56</v>
      </c>
      <c r="W2649">
        <v>0</v>
      </c>
      <c r="X2649">
        <v>56</v>
      </c>
      <c r="Y2649">
        <v>1</v>
      </c>
      <c r="Z2649">
        <v>0</v>
      </c>
      <c r="AA2649">
        <v>1</v>
      </c>
      <c r="AB2649" t="s">
        <v>36</v>
      </c>
      <c r="AC2649">
        <v>56</v>
      </c>
      <c r="AD2649">
        <v>0.56000000000000005</v>
      </c>
    </row>
    <row r="2650" spans="1:30" x14ac:dyDescent="0.25">
      <c r="A2650" s="1">
        <v>44784.882673611108</v>
      </c>
      <c r="B2650" s="1">
        <v>44784.881226851852</v>
      </c>
      <c r="C2650">
        <v>151702</v>
      </c>
      <c r="D2650" t="s">
        <v>37</v>
      </c>
      <c r="E2650" t="s">
        <v>31</v>
      </c>
      <c r="F2650">
        <v>7</v>
      </c>
      <c r="G2650">
        <v>43.118609999999997</v>
      </c>
      <c r="H2650">
        <v>-71.61618</v>
      </c>
      <c r="I2650">
        <v>885</v>
      </c>
      <c r="J2650">
        <v>0</v>
      </c>
      <c r="K2650">
        <v>0</v>
      </c>
      <c r="L2650" s="1">
        <v>44784.882662037038</v>
      </c>
      <c r="M2650">
        <v>3.3</v>
      </c>
      <c r="N2650">
        <v>3.2</v>
      </c>
      <c r="O2650">
        <v>0.1</v>
      </c>
      <c r="P2650">
        <v>3</v>
      </c>
      <c r="Q2650">
        <v>0.1</v>
      </c>
      <c r="R2650">
        <v>0.2</v>
      </c>
      <c r="S2650">
        <v>0.15</v>
      </c>
      <c r="T2650" t="s">
        <v>33</v>
      </c>
      <c r="U2650">
        <v>3.25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 t="s">
        <v>38</v>
      </c>
    </row>
    <row r="2651" spans="1:30" x14ac:dyDescent="0.25">
      <c r="A2651" s="1">
        <v>44784.882685185185</v>
      </c>
      <c r="B2651" s="1">
        <v>44784.881122685183</v>
      </c>
      <c r="C2651">
        <v>151700</v>
      </c>
      <c r="D2651" t="s">
        <v>30</v>
      </c>
      <c r="E2651" t="s">
        <v>31</v>
      </c>
      <c r="F2651">
        <v>7</v>
      </c>
      <c r="G2651">
        <v>43.19211</v>
      </c>
      <c r="H2651">
        <v>-71.541460000000001</v>
      </c>
      <c r="I2651">
        <v>286</v>
      </c>
      <c r="J2651">
        <v>80</v>
      </c>
      <c r="K2651">
        <v>0</v>
      </c>
      <c r="L2651" s="1">
        <v>44784.882662037038</v>
      </c>
      <c r="M2651">
        <v>2.8</v>
      </c>
      <c r="N2651">
        <v>3.4</v>
      </c>
      <c r="O2651">
        <v>0.6</v>
      </c>
      <c r="P2651">
        <v>19</v>
      </c>
      <c r="Q2651">
        <v>0.2</v>
      </c>
      <c r="R2651">
        <v>0.1</v>
      </c>
      <c r="S2651">
        <v>0.15</v>
      </c>
      <c r="T2651" t="s">
        <v>33</v>
      </c>
      <c r="U2651">
        <v>3.1</v>
      </c>
      <c r="V2651">
        <v>47</v>
      </c>
      <c r="W2651">
        <v>0</v>
      </c>
      <c r="X2651">
        <v>47</v>
      </c>
      <c r="Y2651">
        <v>0</v>
      </c>
      <c r="Z2651">
        <v>0</v>
      </c>
      <c r="AA2651">
        <v>0</v>
      </c>
      <c r="AB2651" t="s">
        <v>36</v>
      </c>
      <c r="AC2651">
        <v>47</v>
      </c>
      <c r="AD2651">
        <v>0.76</v>
      </c>
    </row>
    <row r="2652" spans="1:30" x14ac:dyDescent="0.25">
      <c r="A2652" s="1">
        <v>44784.882685185185</v>
      </c>
      <c r="B2652" s="1">
        <v>44784.881574074076</v>
      </c>
      <c r="C2652">
        <v>135984</v>
      </c>
      <c r="D2652" t="s">
        <v>39</v>
      </c>
      <c r="E2652" t="s">
        <v>31</v>
      </c>
      <c r="F2652">
        <v>7</v>
      </c>
      <c r="G2652">
        <v>43.565852999999997</v>
      </c>
      <c r="H2652">
        <v>-71.496129999999994</v>
      </c>
      <c r="I2652">
        <v>708</v>
      </c>
      <c r="J2652">
        <v>72</v>
      </c>
      <c r="K2652">
        <v>0</v>
      </c>
      <c r="L2652" s="1">
        <v>44784.882662037038</v>
      </c>
      <c r="M2652">
        <v>3.1</v>
      </c>
      <c r="N2652">
        <v>2.7</v>
      </c>
      <c r="O2652">
        <v>0.4</v>
      </c>
      <c r="P2652">
        <v>14</v>
      </c>
      <c r="Q2652">
        <v>0.1</v>
      </c>
      <c r="R2652">
        <v>0</v>
      </c>
      <c r="S2652">
        <v>0.05</v>
      </c>
      <c r="T2652" t="s">
        <v>33</v>
      </c>
      <c r="U2652">
        <v>2.9</v>
      </c>
      <c r="V2652">
        <v>77</v>
      </c>
      <c r="W2652">
        <v>0</v>
      </c>
      <c r="X2652">
        <v>77</v>
      </c>
      <c r="Y2652">
        <v>7</v>
      </c>
      <c r="Z2652">
        <v>0</v>
      </c>
      <c r="AA2652">
        <v>7</v>
      </c>
      <c r="AB2652" t="s">
        <v>36</v>
      </c>
      <c r="AC2652">
        <v>77</v>
      </c>
      <c r="AD2652">
        <v>-1.46</v>
      </c>
    </row>
    <row r="2653" spans="1:30" x14ac:dyDescent="0.25">
      <c r="A2653" s="1">
        <v>44784.882696759261</v>
      </c>
      <c r="B2653" s="1">
        <v>44780.394780092596</v>
      </c>
      <c r="C2653">
        <v>151712</v>
      </c>
      <c r="D2653" t="s">
        <v>40</v>
      </c>
      <c r="E2653" t="s">
        <v>31</v>
      </c>
      <c r="F2653">
        <v>7</v>
      </c>
      <c r="G2653">
        <v>43.289763999999998</v>
      </c>
      <c r="H2653">
        <v>-71.564260000000004</v>
      </c>
      <c r="I2653">
        <v>370</v>
      </c>
      <c r="J2653">
        <v>86</v>
      </c>
      <c r="K2653">
        <v>0</v>
      </c>
      <c r="L2653" s="1">
        <v>44784.882662037038</v>
      </c>
      <c r="M2653">
        <v>14</v>
      </c>
      <c r="N2653">
        <v>13.2</v>
      </c>
      <c r="O2653">
        <v>0.8</v>
      </c>
      <c r="P2653">
        <v>6</v>
      </c>
      <c r="Q2653">
        <v>0</v>
      </c>
      <c r="R2653">
        <v>0</v>
      </c>
      <c r="S2653">
        <v>0</v>
      </c>
      <c r="T2653" t="s">
        <v>32</v>
      </c>
      <c r="V2653">
        <v>59</v>
      </c>
      <c r="W2653">
        <v>0</v>
      </c>
      <c r="X2653">
        <v>59</v>
      </c>
      <c r="Y2653">
        <v>0</v>
      </c>
      <c r="Z2653">
        <v>0</v>
      </c>
      <c r="AA2653">
        <v>0</v>
      </c>
      <c r="AB2653" t="s">
        <v>36</v>
      </c>
      <c r="AC2653">
        <v>59</v>
      </c>
    </row>
    <row r="2654" spans="1:30" x14ac:dyDescent="0.25">
      <c r="A2654" s="1">
        <v>44784.882696759261</v>
      </c>
      <c r="B2654" s="1">
        <v>44784.880891203706</v>
      </c>
      <c r="C2654">
        <v>151710</v>
      </c>
      <c r="D2654" t="s">
        <v>41</v>
      </c>
      <c r="E2654" t="s">
        <v>31</v>
      </c>
      <c r="F2654">
        <v>7</v>
      </c>
      <c r="G2654">
        <v>43.132477000000002</v>
      </c>
      <c r="H2654">
        <v>-71.458374000000006</v>
      </c>
      <c r="I2654">
        <v>230</v>
      </c>
      <c r="J2654">
        <v>78</v>
      </c>
      <c r="K2654">
        <v>0</v>
      </c>
      <c r="L2654" s="1">
        <v>44784.882662037038</v>
      </c>
      <c r="M2654">
        <v>8.5</v>
      </c>
      <c r="N2654">
        <v>7.1</v>
      </c>
      <c r="O2654">
        <v>1.4</v>
      </c>
      <c r="P2654">
        <v>18</v>
      </c>
      <c r="Q2654">
        <v>0.6</v>
      </c>
      <c r="R2654">
        <v>0.8</v>
      </c>
      <c r="S2654">
        <v>0.7</v>
      </c>
      <c r="T2654" t="s">
        <v>33</v>
      </c>
      <c r="U2654">
        <v>7.8</v>
      </c>
      <c r="V2654">
        <v>57</v>
      </c>
      <c r="W2654">
        <v>0</v>
      </c>
      <c r="X2654">
        <v>57</v>
      </c>
      <c r="Y2654">
        <v>1</v>
      </c>
      <c r="Z2654">
        <v>0</v>
      </c>
      <c r="AA2654">
        <v>1</v>
      </c>
      <c r="AB2654" t="s">
        <v>36</v>
      </c>
      <c r="AC2654">
        <v>57</v>
      </c>
      <c r="AD2654">
        <v>2.93</v>
      </c>
    </row>
    <row r="2655" spans="1:30" x14ac:dyDescent="0.25">
      <c r="A2655" s="1">
        <v>44784.882708333331</v>
      </c>
      <c r="B2655" s="1">
        <v>44784.881909722222</v>
      </c>
      <c r="C2655">
        <v>151706</v>
      </c>
      <c r="D2655" t="s">
        <v>42</v>
      </c>
      <c r="E2655" t="s">
        <v>31</v>
      </c>
      <c r="F2655">
        <v>7</v>
      </c>
      <c r="G2655">
        <v>43.004080000000002</v>
      </c>
      <c r="H2655">
        <v>-71.177040000000005</v>
      </c>
      <c r="I2655">
        <v>194</v>
      </c>
      <c r="J2655">
        <v>76</v>
      </c>
      <c r="K2655">
        <v>0</v>
      </c>
      <c r="L2655" s="1">
        <v>44784.882662037038</v>
      </c>
      <c r="M2655">
        <v>12.5</v>
      </c>
      <c r="N2655">
        <v>0</v>
      </c>
      <c r="O2655">
        <v>12.5</v>
      </c>
      <c r="P2655">
        <v>200</v>
      </c>
      <c r="Q2655">
        <v>0.2</v>
      </c>
      <c r="R2655">
        <v>0</v>
      </c>
      <c r="S2655">
        <v>0.1</v>
      </c>
      <c r="T2655" t="s">
        <v>43</v>
      </c>
      <c r="V2655">
        <v>67</v>
      </c>
      <c r="W2655">
        <v>0</v>
      </c>
      <c r="X2655">
        <v>67</v>
      </c>
      <c r="Y2655">
        <v>1</v>
      </c>
      <c r="Z2655">
        <v>0</v>
      </c>
      <c r="AA2655">
        <v>1</v>
      </c>
      <c r="AB2655" t="s">
        <v>36</v>
      </c>
      <c r="AC2655">
        <v>67</v>
      </c>
    </row>
    <row r="2656" spans="1:30" x14ac:dyDescent="0.25">
      <c r="A2656" s="1">
        <v>44784.882708333331</v>
      </c>
      <c r="B2656" s="1">
        <v>44784.881724537037</v>
      </c>
      <c r="C2656">
        <v>12212</v>
      </c>
      <c r="D2656" t="s">
        <v>44</v>
      </c>
      <c r="E2656" t="s">
        <v>35</v>
      </c>
      <c r="F2656">
        <v>7</v>
      </c>
      <c r="G2656">
        <v>42.930529999999997</v>
      </c>
      <c r="H2656">
        <v>-72.272350000000003</v>
      </c>
      <c r="I2656">
        <v>476</v>
      </c>
      <c r="J2656">
        <v>82</v>
      </c>
      <c r="K2656">
        <v>0</v>
      </c>
      <c r="L2656" s="1">
        <v>44784.882662037038</v>
      </c>
      <c r="M2656">
        <v>5.3</v>
      </c>
      <c r="N2656">
        <v>4.5999999999999996</v>
      </c>
      <c r="O2656">
        <v>0.7</v>
      </c>
      <c r="P2656">
        <v>14</v>
      </c>
      <c r="Q2656">
        <v>0.1</v>
      </c>
      <c r="R2656">
        <v>0.1</v>
      </c>
      <c r="S2656">
        <v>0.1</v>
      </c>
      <c r="T2656" t="s">
        <v>33</v>
      </c>
      <c r="U2656">
        <v>4.95</v>
      </c>
      <c r="V2656">
        <v>47</v>
      </c>
      <c r="W2656">
        <v>0</v>
      </c>
      <c r="X2656">
        <v>47</v>
      </c>
      <c r="Y2656">
        <v>2</v>
      </c>
      <c r="Z2656">
        <v>0</v>
      </c>
      <c r="AA2656">
        <v>2</v>
      </c>
      <c r="AB2656" t="s">
        <v>36</v>
      </c>
      <c r="AC2656">
        <v>47</v>
      </c>
      <c r="AD2656">
        <v>1.89</v>
      </c>
    </row>
    <row r="2657" spans="1:30" x14ac:dyDescent="0.25">
      <c r="A2657" s="1">
        <v>44784.882719907408</v>
      </c>
      <c r="B2657" s="1">
        <v>44769.376736111109</v>
      </c>
      <c r="C2657">
        <v>12178</v>
      </c>
      <c r="D2657" t="s">
        <v>45</v>
      </c>
      <c r="E2657" t="s">
        <v>35</v>
      </c>
      <c r="F2657">
        <v>7</v>
      </c>
      <c r="G2657">
        <v>42.899563000000001</v>
      </c>
      <c r="H2657">
        <v>-71.464650000000006</v>
      </c>
      <c r="I2657">
        <v>301</v>
      </c>
      <c r="J2657">
        <v>85</v>
      </c>
      <c r="K2657">
        <v>0</v>
      </c>
      <c r="L2657" s="1">
        <v>44784.882662037038</v>
      </c>
      <c r="M2657">
        <v>3.8</v>
      </c>
      <c r="N2657">
        <v>3.1</v>
      </c>
      <c r="O2657">
        <v>0.7</v>
      </c>
      <c r="P2657">
        <v>20</v>
      </c>
      <c r="Q2657">
        <v>0</v>
      </c>
      <c r="R2657">
        <v>0</v>
      </c>
      <c r="S2657">
        <v>0</v>
      </c>
      <c r="T2657" t="s">
        <v>32</v>
      </c>
      <c r="V2657">
        <v>35</v>
      </c>
      <c r="W2657">
        <v>0</v>
      </c>
      <c r="X2657">
        <v>35</v>
      </c>
      <c r="Y2657">
        <v>0</v>
      </c>
      <c r="Z2657">
        <v>0</v>
      </c>
      <c r="AA2657">
        <v>0</v>
      </c>
      <c r="AB2657" t="s">
        <v>36</v>
      </c>
      <c r="AC2657">
        <v>35</v>
      </c>
    </row>
    <row r="2658" spans="1:30" x14ac:dyDescent="0.25">
      <c r="A2658" s="1">
        <v>44784.882731481484</v>
      </c>
      <c r="B2658" s="1">
        <v>44784.880972222221</v>
      </c>
      <c r="C2658">
        <v>75981</v>
      </c>
      <c r="D2658" t="s">
        <v>46</v>
      </c>
      <c r="E2658" t="s">
        <v>35</v>
      </c>
      <c r="F2658">
        <v>7</v>
      </c>
      <c r="G2658">
        <v>42.97</v>
      </c>
      <c r="H2658">
        <v>-71.06</v>
      </c>
      <c r="I2658">
        <v>136</v>
      </c>
      <c r="J2658">
        <v>81</v>
      </c>
      <c r="K2658">
        <v>0</v>
      </c>
      <c r="L2658" s="1">
        <v>44784.882662037038</v>
      </c>
      <c r="M2658">
        <v>11.8</v>
      </c>
      <c r="N2658">
        <v>11.3</v>
      </c>
      <c r="O2658">
        <v>0.5</v>
      </c>
      <c r="P2658">
        <v>4</v>
      </c>
      <c r="Q2658">
        <v>0</v>
      </c>
      <c r="R2658">
        <v>0.2</v>
      </c>
      <c r="S2658">
        <v>0.1</v>
      </c>
      <c r="T2658" t="s">
        <v>33</v>
      </c>
      <c r="U2658">
        <v>11.55</v>
      </c>
      <c r="V2658">
        <v>57</v>
      </c>
      <c r="W2658">
        <v>0</v>
      </c>
      <c r="X2658">
        <v>57</v>
      </c>
      <c r="Y2658">
        <v>0</v>
      </c>
      <c r="Z2658">
        <v>0</v>
      </c>
      <c r="AA2658">
        <v>0</v>
      </c>
      <c r="AB2658" t="s">
        <v>36</v>
      </c>
      <c r="AC2658">
        <v>57</v>
      </c>
      <c r="AD2658">
        <v>5.22</v>
      </c>
    </row>
    <row r="2659" spans="1:30" x14ac:dyDescent="0.25">
      <c r="A2659" s="1">
        <v>44784.882731481484</v>
      </c>
      <c r="B2659" s="1">
        <v>44784.881516203706</v>
      </c>
      <c r="C2659">
        <v>115703</v>
      </c>
      <c r="D2659" t="s">
        <v>47</v>
      </c>
      <c r="E2659" t="s">
        <v>35</v>
      </c>
      <c r="F2659">
        <v>7</v>
      </c>
      <c r="G2659">
        <v>43.953625000000002</v>
      </c>
      <c r="H2659">
        <v>-71.508859999999999</v>
      </c>
      <c r="I2659">
        <v>1493</v>
      </c>
      <c r="J2659">
        <v>70</v>
      </c>
      <c r="K2659">
        <v>0</v>
      </c>
      <c r="L2659" s="1">
        <v>44784.882662037038</v>
      </c>
      <c r="M2659">
        <v>0.1</v>
      </c>
      <c r="N2659">
        <v>201</v>
      </c>
      <c r="O2659">
        <v>200.9</v>
      </c>
      <c r="P2659">
        <v>200</v>
      </c>
      <c r="Q2659">
        <v>0.1</v>
      </c>
      <c r="R2659">
        <v>0</v>
      </c>
      <c r="S2659">
        <v>0.05</v>
      </c>
      <c r="T2659" t="s">
        <v>60</v>
      </c>
      <c r="V2659">
        <v>63</v>
      </c>
      <c r="W2659">
        <v>0</v>
      </c>
      <c r="X2659">
        <v>63</v>
      </c>
      <c r="Y2659">
        <v>1</v>
      </c>
      <c r="Z2659">
        <v>0</v>
      </c>
      <c r="AA2659">
        <v>1</v>
      </c>
      <c r="AB2659" t="s">
        <v>36</v>
      </c>
      <c r="AC2659">
        <v>63</v>
      </c>
    </row>
    <row r="2660" spans="1:30" x14ac:dyDescent="0.25">
      <c r="A2660" s="1">
        <v>44784.882743055554</v>
      </c>
      <c r="B2660" s="1">
        <v>44784.882337962961</v>
      </c>
      <c r="C2660">
        <v>12050</v>
      </c>
      <c r="D2660" t="s">
        <v>49</v>
      </c>
      <c r="E2660" t="s">
        <v>35</v>
      </c>
      <c r="F2660">
        <v>7</v>
      </c>
      <c r="G2660">
        <v>44.220573000000002</v>
      </c>
      <c r="H2660">
        <v>-71.732315</v>
      </c>
      <c r="I2660">
        <v>999</v>
      </c>
      <c r="J2660">
        <v>76</v>
      </c>
      <c r="K2660">
        <v>0</v>
      </c>
      <c r="L2660" s="1">
        <v>44784.882662037038</v>
      </c>
      <c r="M2660">
        <v>15.3</v>
      </c>
      <c r="N2660">
        <v>14.6</v>
      </c>
      <c r="O2660">
        <v>0.7</v>
      </c>
      <c r="P2660">
        <v>5</v>
      </c>
      <c r="Q2660">
        <v>3.6</v>
      </c>
      <c r="R2660">
        <v>3.4</v>
      </c>
      <c r="S2660">
        <v>3.5</v>
      </c>
      <c r="T2660" t="s">
        <v>33</v>
      </c>
      <c r="U2660">
        <v>14.95</v>
      </c>
      <c r="V2660">
        <v>57</v>
      </c>
      <c r="W2660">
        <v>0</v>
      </c>
      <c r="X2660">
        <v>57</v>
      </c>
      <c r="Y2660">
        <v>1</v>
      </c>
      <c r="Z2660">
        <v>0</v>
      </c>
      <c r="AA2660">
        <v>1</v>
      </c>
      <c r="AB2660" t="s">
        <v>36</v>
      </c>
      <c r="AC2660">
        <v>57</v>
      </c>
      <c r="AD2660">
        <v>7.29</v>
      </c>
    </row>
    <row r="2661" spans="1:30" x14ac:dyDescent="0.25">
      <c r="A2661" s="1">
        <v>44784.882743055554</v>
      </c>
      <c r="B2661" s="1">
        <v>44784.882453703707</v>
      </c>
      <c r="C2661">
        <v>23443</v>
      </c>
      <c r="D2661" t="s">
        <v>50</v>
      </c>
      <c r="E2661" t="s">
        <v>35</v>
      </c>
      <c r="F2661">
        <v>7</v>
      </c>
      <c r="G2661">
        <v>43.556139999999999</v>
      </c>
      <c r="H2661">
        <v>-72.370990000000006</v>
      </c>
      <c r="I2661">
        <v>523</v>
      </c>
      <c r="J2661">
        <v>74</v>
      </c>
      <c r="K2661">
        <v>0</v>
      </c>
      <c r="L2661" s="1">
        <v>44784.882662037038</v>
      </c>
      <c r="M2661">
        <v>6.6</v>
      </c>
      <c r="N2661">
        <v>5.9</v>
      </c>
      <c r="O2661">
        <v>0.7</v>
      </c>
      <c r="P2661">
        <v>11</v>
      </c>
      <c r="Q2661">
        <v>0</v>
      </c>
      <c r="R2661">
        <v>0</v>
      </c>
      <c r="S2661">
        <v>0</v>
      </c>
      <c r="T2661" t="s">
        <v>33</v>
      </c>
      <c r="U2661">
        <v>6.25</v>
      </c>
      <c r="V2661">
        <v>66</v>
      </c>
      <c r="W2661">
        <v>0</v>
      </c>
      <c r="X2661">
        <v>66</v>
      </c>
      <c r="Y2661">
        <v>0</v>
      </c>
      <c r="Z2661">
        <v>0</v>
      </c>
      <c r="AA2661">
        <v>0</v>
      </c>
      <c r="AB2661" t="s">
        <v>36</v>
      </c>
      <c r="AC2661">
        <v>66</v>
      </c>
      <c r="AD2661">
        <v>1.35</v>
      </c>
    </row>
    <row r="2662" spans="1:30" x14ac:dyDescent="0.25">
      <c r="A2662" s="1">
        <v>44784.882754629631</v>
      </c>
      <c r="B2662" s="1">
        <v>44784.882557870369</v>
      </c>
      <c r="C2662">
        <v>58135</v>
      </c>
      <c r="D2662" t="s">
        <v>51</v>
      </c>
      <c r="E2662" t="s">
        <v>35</v>
      </c>
      <c r="F2662">
        <v>7</v>
      </c>
      <c r="G2662">
        <v>42.883873000000001</v>
      </c>
      <c r="H2662">
        <v>-71.972915999999998</v>
      </c>
      <c r="I2662">
        <v>808</v>
      </c>
      <c r="J2662">
        <v>76</v>
      </c>
      <c r="K2662">
        <v>0</v>
      </c>
      <c r="L2662" s="1">
        <v>44784.882662037038</v>
      </c>
      <c r="M2662">
        <v>5.8</v>
      </c>
      <c r="N2662">
        <v>5.3</v>
      </c>
      <c r="O2662">
        <v>0.5</v>
      </c>
      <c r="P2662">
        <v>9</v>
      </c>
      <c r="Q2662">
        <v>0.1</v>
      </c>
      <c r="R2662">
        <v>0.9</v>
      </c>
      <c r="S2662">
        <v>0.5</v>
      </c>
      <c r="T2662" t="s">
        <v>33</v>
      </c>
      <c r="U2662">
        <v>5.55</v>
      </c>
      <c r="V2662">
        <v>57</v>
      </c>
      <c r="W2662">
        <v>0</v>
      </c>
      <c r="X2662">
        <v>57</v>
      </c>
      <c r="Y2662">
        <v>3</v>
      </c>
      <c r="Z2662">
        <v>0</v>
      </c>
      <c r="AA2662">
        <v>3</v>
      </c>
      <c r="AB2662" t="s">
        <v>36</v>
      </c>
      <c r="AC2662">
        <v>57</v>
      </c>
      <c r="AD2662">
        <v>1.56</v>
      </c>
    </row>
    <row r="2663" spans="1:30" x14ac:dyDescent="0.25">
      <c r="A2663" s="1">
        <v>44784.882754629631</v>
      </c>
      <c r="B2663" s="1">
        <v>44784.882534722223</v>
      </c>
      <c r="C2663">
        <v>148555</v>
      </c>
      <c r="D2663" t="s">
        <v>52</v>
      </c>
      <c r="E2663" t="s">
        <v>53</v>
      </c>
      <c r="F2663">
        <v>7</v>
      </c>
      <c r="G2663">
        <v>42.904949999999999</v>
      </c>
      <c r="H2663">
        <v>-71.386764999999997</v>
      </c>
      <c r="I2663">
        <v>363</v>
      </c>
      <c r="J2663">
        <v>0</v>
      </c>
      <c r="K2663">
        <v>0</v>
      </c>
      <c r="L2663" s="1">
        <v>44784.882662037038</v>
      </c>
      <c r="M2663">
        <v>7.3</v>
      </c>
      <c r="N2663">
        <v>7.9</v>
      </c>
      <c r="O2663">
        <v>0.6</v>
      </c>
      <c r="P2663">
        <v>8</v>
      </c>
      <c r="Q2663">
        <v>0.7</v>
      </c>
      <c r="R2663">
        <v>0.5</v>
      </c>
      <c r="S2663">
        <v>0.6</v>
      </c>
      <c r="T2663" t="s">
        <v>33</v>
      </c>
      <c r="U2663">
        <v>7.6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 t="s">
        <v>38</v>
      </c>
    </row>
    <row r="2664" spans="1:30" x14ac:dyDescent="0.25">
      <c r="A2664" s="1">
        <v>44784.882754629631</v>
      </c>
      <c r="B2664" s="1">
        <v>44784.882048611114</v>
      </c>
      <c r="C2664">
        <v>146644</v>
      </c>
      <c r="D2664" t="s">
        <v>54</v>
      </c>
      <c r="E2664" t="s">
        <v>53</v>
      </c>
      <c r="F2664">
        <v>7</v>
      </c>
      <c r="G2664">
        <v>43.06015</v>
      </c>
      <c r="H2664">
        <v>-70.758930000000007</v>
      </c>
      <c r="I2664">
        <v>35</v>
      </c>
      <c r="J2664">
        <v>71</v>
      </c>
      <c r="K2664">
        <v>73</v>
      </c>
      <c r="L2664" s="1">
        <v>44784.882662037038</v>
      </c>
      <c r="M2664">
        <v>11.8</v>
      </c>
      <c r="N2664">
        <v>10.9</v>
      </c>
      <c r="O2664">
        <v>0.9</v>
      </c>
      <c r="P2664">
        <v>8</v>
      </c>
      <c r="Q2664">
        <v>0.3</v>
      </c>
      <c r="R2664">
        <v>0</v>
      </c>
      <c r="S2664">
        <v>0.15</v>
      </c>
      <c r="T2664" t="s">
        <v>33</v>
      </c>
      <c r="U2664">
        <v>11.35</v>
      </c>
      <c r="V2664">
        <v>70</v>
      </c>
      <c r="W2664">
        <v>75</v>
      </c>
      <c r="X2664">
        <v>5</v>
      </c>
      <c r="Y2664">
        <v>0</v>
      </c>
      <c r="Z2664">
        <v>0</v>
      </c>
      <c r="AA2664">
        <v>0</v>
      </c>
      <c r="AB2664" t="s">
        <v>33</v>
      </c>
      <c r="AC2664">
        <v>72.5</v>
      </c>
      <c r="AD2664">
        <v>4.01</v>
      </c>
    </row>
    <row r="2665" spans="1:30" x14ac:dyDescent="0.25">
      <c r="A2665" s="1">
        <v>44784.8827662037</v>
      </c>
      <c r="B2665" s="1">
        <v>43755.283437500002</v>
      </c>
      <c r="C2665">
        <v>12188</v>
      </c>
      <c r="D2665" t="s">
        <v>55</v>
      </c>
      <c r="E2665" t="s">
        <v>35</v>
      </c>
      <c r="F2665">
        <v>4.1100000000000003</v>
      </c>
      <c r="G2665">
        <v>42.927050000000001</v>
      </c>
      <c r="H2665">
        <v>-72.279610000000005</v>
      </c>
      <c r="I2665">
        <v>475</v>
      </c>
      <c r="J2665">
        <v>95</v>
      </c>
      <c r="K2665">
        <v>0</v>
      </c>
      <c r="L2665" s="1">
        <v>44784.882662037038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 t="s">
        <v>32</v>
      </c>
      <c r="V2665">
        <v>77</v>
      </c>
      <c r="W2665">
        <v>0</v>
      </c>
      <c r="X2665">
        <v>77</v>
      </c>
      <c r="Y2665">
        <v>0</v>
      </c>
      <c r="Z2665">
        <v>0</v>
      </c>
      <c r="AA2665">
        <v>0</v>
      </c>
      <c r="AB2665" t="s">
        <v>36</v>
      </c>
      <c r="AC2665">
        <v>77</v>
      </c>
    </row>
    <row r="2666" spans="1:30" x14ac:dyDescent="0.25">
      <c r="A2666" s="1">
        <v>44784.8827662037</v>
      </c>
      <c r="B2666" s="1">
        <v>44784.88244212963</v>
      </c>
      <c r="C2666">
        <v>1224</v>
      </c>
      <c r="D2666" t="s">
        <v>56</v>
      </c>
      <c r="E2666" t="s">
        <v>35</v>
      </c>
      <c r="F2666" t="s">
        <v>57</v>
      </c>
      <c r="G2666">
        <v>42.938034000000002</v>
      </c>
      <c r="H2666">
        <v>-72.259299999999996</v>
      </c>
      <c r="I2666">
        <v>792</v>
      </c>
      <c r="J2666">
        <v>80</v>
      </c>
      <c r="K2666">
        <v>0</v>
      </c>
      <c r="L2666" s="1">
        <v>44784.882662037038</v>
      </c>
      <c r="M2666">
        <v>4.7</v>
      </c>
      <c r="N2666">
        <v>0</v>
      </c>
      <c r="O2666">
        <v>4.7</v>
      </c>
      <c r="P2666">
        <v>200</v>
      </c>
      <c r="Q2666">
        <v>0</v>
      </c>
      <c r="R2666">
        <v>0</v>
      </c>
      <c r="S2666">
        <v>0</v>
      </c>
      <c r="T2666" t="s">
        <v>43</v>
      </c>
      <c r="V2666">
        <v>55</v>
      </c>
      <c r="W2666">
        <v>0</v>
      </c>
      <c r="X2666">
        <v>55</v>
      </c>
      <c r="Y2666">
        <v>2</v>
      </c>
      <c r="Z2666">
        <v>0</v>
      </c>
      <c r="AA2666">
        <v>2</v>
      </c>
      <c r="AB2666" t="s">
        <v>36</v>
      </c>
      <c r="AC2666">
        <v>55</v>
      </c>
    </row>
    <row r="2667" spans="1:30" x14ac:dyDescent="0.25">
      <c r="A2667" s="1">
        <v>44784.882777777777</v>
      </c>
      <c r="B2667" s="1">
        <v>44784.881886574076</v>
      </c>
      <c r="C2667">
        <v>1202</v>
      </c>
      <c r="D2667" t="s">
        <v>58</v>
      </c>
      <c r="E2667" t="s">
        <v>35</v>
      </c>
      <c r="F2667" t="s">
        <v>57</v>
      </c>
      <c r="G2667">
        <v>42.936554000000001</v>
      </c>
      <c r="H2667">
        <v>-72.271019999999993</v>
      </c>
      <c r="I2667">
        <v>488</v>
      </c>
      <c r="J2667">
        <v>0</v>
      </c>
      <c r="K2667">
        <v>0</v>
      </c>
      <c r="L2667" s="1">
        <v>44784.882662037038</v>
      </c>
      <c r="M2667">
        <v>5.7</v>
      </c>
      <c r="N2667">
        <v>5.4</v>
      </c>
      <c r="O2667">
        <v>0.3</v>
      </c>
      <c r="P2667">
        <v>5</v>
      </c>
      <c r="Q2667">
        <v>0.7</v>
      </c>
      <c r="R2667">
        <v>0.5</v>
      </c>
      <c r="S2667">
        <v>0.6</v>
      </c>
      <c r="T2667" t="s">
        <v>33</v>
      </c>
      <c r="U2667">
        <v>5.55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 t="s">
        <v>38</v>
      </c>
    </row>
    <row r="2668" spans="1:30" x14ac:dyDescent="0.25">
      <c r="A2668" s="1">
        <v>44784.882777777777</v>
      </c>
      <c r="B2668" s="1">
        <v>44612.080023148148</v>
      </c>
      <c r="C2668">
        <v>25985</v>
      </c>
      <c r="D2668" t="s">
        <v>59</v>
      </c>
      <c r="E2668" t="s">
        <v>35</v>
      </c>
      <c r="F2668">
        <v>6.01</v>
      </c>
      <c r="G2668">
        <v>42.927326000000001</v>
      </c>
      <c r="H2668">
        <v>-72.279979999999995</v>
      </c>
      <c r="I2668">
        <v>477</v>
      </c>
      <c r="J2668">
        <v>78</v>
      </c>
      <c r="K2668">
        <v>0</v>
      </c>
      <c r="L2668" s="1">
        <v>44784.882662037038</v>
      </c>
      <c r="M2668">
        <v>1.1000000000000001</v>
      </c>
      <c r="N2668">
        <v>1</v>
      </c>
      <c r="O2668">
        <v>0.1</v>
      </c>
      <c r="P2668">
        <v>10</v>
      </c>
      <c r="Q2668">
        <v>0</v>
      </c>
      <c r="R2668">
        <v>0</v>
      </c>
      <c r="S2668">
        <v>0</v>
      </c>
      <c r="T2668" t="s">
        <v>32</v>
      </c>
      <c r="V2668">
        <v>22</v>
      </c>
      <c r="W2668">
        <v>0</v>
      </c>
      <c r="X2668">
        <v>22</v>
      </c>
      <c r="Y2668">
        <v>0</v>
      </c>
      <c r="Z2668">
        <v>0</v>
      </c>
      <c r="AA2668">
        <v>0</v>
      </c>
      <c r="AB2668" t="s">
        <v>36</v>
      </c>
      <c r="AC2668">
        <v>22</v>
      </c>
    </row>
    <row r="2669" spans="1:30" x14ac:dyDescent="0.25">
      <c r="A2669" s="1">
        <v>44784.889618055553</v>
      </c>
      <c r="B2669" s="1">
        <v>44775.701319444444</v>
      </c>
      <c r="C2669">
        <v>151708</v>
      </c>
      <c r="D2669" t="s">
        <v>30</v>
      </c>
      <c r="E2669" t="s">
        <v>31</v>
      </c>
      <c r="F2669">
        <v>7</v>
      </c>
      <c r="G2669">
        <v>43.192042999999998</v>
      </c>
      <c r="H2669">
        <v>-71.541579999999996</v>
      </c>
      <c r="I2669">
        <v>291</v>
      </c>
      <c r="J2669">
        <v>93</v>
      </c>
      <c r="K2669">
        <v>94</v>
      </c>
      <c r="L2669" s="1">
        <v>44784.889606481483</v>
      </c>
      <c r="M2669">
        <v>7.9</v>
      </c>
      <c r="N2669">
        <v>7.6</v>
      </c>
      <c r="O2669">
        <v>0.3</v>
      </c>
      <c r="P2669">
        <v>4</v>
      </c>
      <c r="Q2669">
        <v>0</v>
      </c>
      <c r="R2669">
        <v>0</v>
      </c>
      <c r="S2669">
        <v>0</v>
      </c>
      <c r="T2669" t="s">
        <v>32</v>
      </c>
      <c r="V2669">
        <v>42</v>
      </c>
      <c r="W2669">
        <v>41</v>
      </c>
      <c r="X2669">
        <v>1</v>
      </c>
      <c r="Y2669">
        <v>0</v>
      </c>
      <c r="Z2669">
        <v>0</v>
      </c>
      <c r="AA2669">
        <v>0</v>
      </c>
      <c r="AB2669" t="s">
        <v>33</v>
      </c>
      <c r="AC2669">
        <v>41.5</v>
      </c>
    </row>
    <row r="2670" spans="1:30" x14ac:dyDescent="0.25">
      <c r="A2670" s="1">
        <v>44784.889618055553</v>
      </c>
      <c r="B2670" s="1">
        <v>44784.888032407405</v>
      </c>
      <c r="C2670">
        <v>143456</v>
      </c>
      <c r="D2670" t="s">
        <v>34</v>
      </c>
      <c r="E2670" t="s">
        <v>35</v>
      </c>
      <c r="F2670">
        <v>7</v>
      </c>
      <c r="G2670">
        <v>43.08963</v>
      </c>
      <c r="H2670">
        <v>-71.502440000000007</v>
      </c>
      <c r="I2670">
        <v>619</v>
      </c>
      <c r="J2670">
        <v>76</v>
      </c>
      <c r="K2670">
        <v>0</v>
      </c>
      <c r="L2670" s="1">
        <v>44784.889606481483</v>
      </c>
      <c r="M2670">
        <v>3.5</v>
      </c>
      <c r="N2670">
        <v>3.9</v>
      </c>
      <c r="O2670">
        <v>0.4</v>
      </c>
      <c r="P2670">
        <v>11</v>
      </c>
      <c r="Q2670">
        <v>0</v>
      </c>
      <c r="R2670">
        <v>0.2</v>
      </c>
      <c r="S2670">
        <v>0.1</v>
      </c>
      <c r="T2670" t="s">
        <v>33</v>
      </c>
      <c r="U2670">
        <v>3.7</v>
      </c>
      <c r="V2670">
        <v>56</v>
      </c>
      <c r="W2670">
        <v>0</v>
      </c>
      <c r="X2670">
        <v>56</v>
      </c>
      <c r="Y2670">
        <v>0</v>
      </c>
      <c r="Z2670">
        <v>0</v>
      </c>
      <c r="AA2670">
        <v>0</v>
      </c>
      <c r="AB2670" t="s">
        <v>36</v>
      </c>
      <c r="AC2670">
        <v>56</v>
      </c>
      <c r="AD2670">
        <v>0.5</v>
      </c>
    </row>
    <row r="2671" spans="1:30" x14ac:dyDescent="0.25">
      <c r="A2671" s="1">
        <v>44784.889618055553</v>
      </c>
      <c r="B2671" s="1">
        <v>44784.888171296298</v>
      </c>
      <c r="C2671">
        <v>151702</v>
      </c>
      <c r="D2671" t="s">
        <v>37</v>
      </c>
      <c r="E2671" t="s">
        <v>31</v>
      </c>
      <c r="F2671">
        <v>7</v>
      </c>
      <c r="G2671">
        <v>43.118609999999997</v>
      </c>
      <c r="H2671">
        <v>-71.61618</v>
      </c>
      <c r="I2671">
        <v>885</v>
      </c>
      <c r="J2671">
        <v>0</v>
      </c>
      <c r="K2671">
        <v>0</v>
      </c>
      <c r="L2671" s="1">
        <v>44784.889606481483</v>
      </c>
      <c r="M2671">
        <v>3.3</v>
      </c>
      <c r="N2671">
        <v>3.2</v>
      </c>
      <c r="O2671">
        <v>0.1</v>
      </c>
      <c r="P2671">
        <v>3</v>
      </c>
      <c r="Q2671">
        <v>0</v>
      </c>
      <c r="R2671">
        <v>0</v>
      </c>
      <c r="S2671">
        <v>0</v>
      </c>
      <c r="T2671" t="s">
        <v>33</v>
      </c>
      <c r="U2671">
        <v>3.25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 t="s">
        <v>38</v>
      </c>
    </row>
    <row r="2672" spans="1:30" x14ac:dyDescent="0.25">
      <c r="A2672" s="1">
        <v>44784.88962962963</v>
      </c>
      <c r="B2672" s="1">
        <v>44784.888078703705</v>
      </c>
      <c r="C2672">
        <v>151700</v>
      </c>
      <c r="D2672" t="s">
        <v>30</v>
      </c>
      <c r="E2672" t="s">
        <v>31</v>
      </c>
      <c r="F2672">
        <v>7</v>
      </c>
      <c r="G2672">
        <v>43.19211</v>
      </c>
      <c r="H2672">
        <v>-71.541460000000001</v>
      </c>
      <c r="I2672">
        <v>286</v>
      </c>
      <c r="J2672">
        <v>80</v>
      </c>
      <c r="K2672">
        <v>0</v>
      </c>
      <c r="L2672" s="1">
        <v>44784.889606481483</v>
      </c>
      <c r="M2672">
        <v>2.7</v>
      </c>
      <c r="N2672">
        <v>3.3</v>
      </c>
      <c r="O2672">
        <v>0.6</v>
      </c>
      <c r="P2672">
        <v>20</v>
      </c>
      <c r="Q2672">
        <v>0.1</v>
      </c>
      <c r="R2672">
        <v>0.1</v>
      </c>
      <c r="S2672">
        <v>0.1</v>
      </c>
      <c r="T2672" t="s">
        <v>33</v>
      </c>
      <c r="U2672">
        <v>3</v>
      </c>
      <c r="V2672">
        <v>46</v>
      </c>
      <c r="W2672">
        <v>0</v>
      </c>
      <c r="X2672">
        <v>46</v>
      </c>
      <c r="Y2672">
        <v>1</v>
      </c>
      <c r="Z2672">
        <v>0</v>
      </c>
      <c r="AA2672">
        <v>1</v>
      </c>
      <c r="AB2672" t="s">
        <v>36</v>
      </c>
      <c r="AC2672">
        <v>46</v>
      </c>
      <c r="AD2672">
        <v>0.77</v>
      </c>
    </row>
    <row r="2673" spans="1:30" x14ac:dyDescent="0.25">
      <c r="A2673" s="1">
        <v>44784.88962962963</v>
      </c>
      <c r="B2673" s="1">
        <v>44784.888518518521</v>
      </c>
      <c r="C2673">
        <v>135984</v>
      </c>
      <c r="D2673" t="s">
        <v>39</v>
      </c>
      <c r="E2673" t="s">
        <v>31</v>
      </c>
      <c r="F2673">
        <v>7</v>
      </c>
      <c r="G2673">
        <v>43.565852999999997</v>
      </c>
      <c r="H2673">
        <v>-71.496129999999994</v>
      </c>
      <c r="I2673">
        <v>708</v>
      </c>
      <c r="J2673">
        <v>70</v>
      </c>
      <c r="K2673">
        <v>0</v>
      </c>
      <c r="L2673" s="1">
        <v>44784.889606481483</v>
      </c>
      <c r="M2673">
        <v>3</v>
      </c>
      <c r="N2673">
        <v>2.7</v>
      </c>
      <c r="O2673">
        <v>0.3</v>
      </c>
      <c r="P2673">
        <v>11</v>
      </c>
      <c r="Q2673">
        <v>0.1</v>
      </c>
      <c r="R2673">
        <v>0</v>
      </c>
      <c r="S2673">
        <v>0.05</v>
      </c>
      <c r="T2673" t="s">
        <v>33</v>
      </c>
      <c r="U2673">
        <v>2.85</v>
      </c>
      <c r="V2673">
        <v>81</v>
      </c>
      <c r="W2673">
        <v>0</v>
      </c>
      <c r="X2673">
        <v>81</v>
      </c>
      <c r="Y2673">
        <v>4</v>
      </c>
      <c r="Z2673">
        <v>0</v>
      </c>
      <c r="AA2673">
        <v>4</v>
      </c>
      <c r="AB2673" t="s">
        <v>36</v>
      </c>
      <c r="AC2673">
        <v>81</v>
      </c>
      <c r="AD2673">
        <v>-1.77</v>
      </c>
    </row>
    <row r="2674" spans="1:30" x14ac:dyDescent="0.25">
      <c r="A2674" s="1">
        <v>44784.889641203707</v>
      </c>
      <c r="B2674" s="1">
        <v>44780.394780092596</v>
      </c>
      <c r="C2674">
        <v>151712</v>
      </c>
      <c r="D2674" t="s">
        <v>40</v>
      </c>
      <c r="E2674" t="s">
        <v>31</v>
      </c>
      <c r="F2674">
        <v>7</v>
      </c>
      <c r="G2674">
        <v>43.289763999999998</v>
      </c>
      <c r="H2674">
        <v>-71.564260000000004</v>
      </c>
      <c r="I2674">
        <v>370</v>
      </c>
      <c r="J2674">
        <v>86</v>
      </c>
      <c r="K2674">
        <v>0</v>
      </c>
      <c r="L2674" s="1">
        <v>44784.889606481483</v>
      </c>
      <c r="M2674">
        <v>14</v>
      </c>
      <c r="N2674">
        <v>13.2</v>
      </c>
      <c r="O2674">
        <v>0.8</v>
      </c>
      <c r="P2674">
        <v>6</v>
      </c>
      <c r="Q2674">
        <v>0</v>
      </c>
      <c r="R2674">
        <v>0</v>
      </c>
      <c r="S2674">
        <v>0</v>
      </c>
      <c r="T2674" t="s">
        <v>32</v>
      </c>
      <c r="V2674">
        <v>59</v>
      </c>
      <c r="W2674">
        <v>0</v>
      </c>
      <c r="X2674">
        <v>59</v>
      </c>
      <c r="Y2674">
        <v>0</v>
      </c>
      <c r="Z2674">
        <v>0</v>
      </c>
      <c r="AA2674">
        <v>0</v>
      </c>
      <c r="AB2674" t="s">
        <v>36</v>
      </c>
      <c r="AC2674">
        <v>59</v>
      </c>
    </row>
    <row r="2675" spans="1:30" x14ac:dyDescent="0.25">
      <c r="A2675" s="1">
        <v>44784.889641203707</v>
      </c>
      <c r="B2675" s="1">
        <v>44784.887835648151</v>
      </c>
      <c r="C2675">
        <v>151710</v>
      </c>
      <c r="D2675" t="s">
        <v>41</v>
      </c>
      <c r="E2675" t="s">
        <v>31</v>
      </c>
      <c r="F2675">
        <v>7</v>
      </c>
      <c r="G2675">
        <v>43.132477000000002</v>
      </c>
      <c r="H2675">
        <v>-71.458374000000006</v>
      </c>
      <c r="I2675">
        <v>230</v>
      </c>
      <c r="J2675">
        <v>78</v>
      </c>
      <c r="K2675">
        <v>0</v>
      </c>
      <c r="L2675" s="1">
        <v>44784.889606481483</v>
      </c>
      <c r="M2675">
        <v>8</v>
      </c>
      <c r="N2675">
        <v>6.4</v>
      </c>
      <c r="O2675">
        <v>1.6</v>
      </c>
      <c r="P2675">
        <v>22</v>
      </c>
      <c r="Q2675">
        <v>0.5</v>
      </c>
      <c r="R2675">
        <v>0.7</v>
      </c>
      <c r="S2675">
        <v>0.6</v>
      </c>
      <c r="T2675" t="s">
        <v>33</v>
      </c>
      <c r="U2675">
        <v>7.2</v>
      </c>
      <c r="V2675">
        <v>54</v>
      </c>
      <c r="W2675">
        <v>0</v>
      </c>
      <c r="X2675">
        <v>54</v>
      </c>
      <c r="Y2675">
        <v>3</v>
      </c>
      <c r="Z2675">
        <v>0</v>
      </c>
      <c r="AA2675">
        <v>3</v>
      </c>
      <c r="AB2675" t="s">
        <v>36</v>
      </c>
      <c r="AC2675">
        <v>54</v>
      </c>
      <c r="AD2675">
        <v>2.77</v>
      </c>
    </row>
    <row r="2676" spans="1:30" x14ac:dyDescent="0.25">
      <c r="A2676" s="1">
        <v>44784.889652777776</v>
      </c>
      <c r="B2676" s="1">
        <v>44784.888842592591</v>
      </c>
      <c r="C2676">
        <v>151706</v>
      </c>
      <c r="D2676" t="s">
        <v>42</v>
      </c>
      <c r="E2676" t="s">
        <v>31</v>
      </c>
      <c r="F2676">
        <v>7</v>
      </c>
      <c r="G2676">
        <v>43.004080000000002</v>
      </c>
      <c r="H2676">
        <v>-71.177040000000005</v>
      </c>
      <c r="I2676">
        <v>194</v>
      </c>
      <c r="J2676">
        <v>75</v>
      </c>
      <c r="K2676">
        <v>0</v>
      </c>
      <c r="L2676" s="1">
        <v>44784.889606481483</v>
      </c>
      <c r="M2676">
        <v>12.6</v>
      </c>
      <c r="N2676">
        <v>0</v>
      </c>
      <c r="O2676">
        <v>12.6</v>
      </c>
      <c r="P2676">
        <v>200</v>
      </c>
      <c r="Q2676">
        <v>0.1</v>
      </c>
      <c r="R2676">
        <v>0</v>
      </c>
      <c r="S2676">
        <v>0.05</v>
      </c>
      <c r="T2676" t="s">
        <v>43</v>
      </c>
      <c r="V2676">
        <v>67</v>
      </c>
      <c r="W2676">
        <v>0</v>
      </c>
      <c r="X2676">
        <v>67</v>
      </c>
      <c r="Y2676">
        <v>0</v>
      </c>
      <c r="Z2676">
        <v>0</v>
      </c>
      <c r="AA2676">
        <v>0</v>
      </c>
      <c r="AB2676" t="s">
        <v>36</v>
      </c>
      <c r="AC2676">
        <v>67</v>
      </c>
    </row>
    <row r="2677" spans="1:30" x14ac:dyDescent="0.25">
      <c r="A2677" s="1">
        <v>44784.889652777776</v>
      </c>
      <c r="B2677" s="1">
        <v>44784.888668981483</v>
      </c>
      <c r="C2677">
        <v>12212</v>
      </c>
      <c r="D2677" t="s">
        <v>44</v>
      </c>
      <c r="E2677" t="s">
        <v>35</v>
      </c>
      <c r="F2677">
        <v>7</v>
      </c>
      <c r="G2677">
        <v>42.930529999999997</v>
      </c>
      <c r="H2677">
        <v>-72.272350000000003</v>
      </c>
      <c r="I2677">
        <v>476</v>
      </c>
      <c r="J2677">
        <v>82</v>
      </c>
      <c r="K2677">
        <v>0</v>
      </c>
      <c r="L2677" s="1">
        <v>44784.889606481483</v>
      </c>
      <c r="M2677">
        <v>5.3</v>
      </c>
      <c r="N2677">
        <v>4.7</v>
      </c>
      <c r="O2677">
        <v>0.6</v>
      </c>
      <c r="P2677">
        <v>12</v>
      </c>
      <c r="Q2677">
        <v>0</v>
      </c>
      <c r="R2677">
        <v>0.1</v>
      </c>
      <c r="S2677">
        <v>0.05</v>
      </c>
      <c r="T2677" t="s">
        <v>33</v>
      </c>
      <c r="U2677">
        <v>5</v>
      </c>
      <c r="V2677">
        <v>47</v>
      </c>
      <c r="W2677">
        <v>0</v>
      </c>
      <c r="X2677">
        <v>47</v>
      </c>
      <c r="Y2677">
        <v>0</v>
      </c>
      <c r="Z2677">
        <v>0</v>
      </c>
      <c r="AA2677">
        <v>0</v>
      </c>
      <c r="AB2677" t="s">
        <v>36</v>
      </c>
      <c r="AC2677">
        <v>47</v>
      </c>
      <c r="AD2677">
        <v>1.92</v>
      </c>
    </row>
    <row r="2678" spans="1:30" x14ac:dyDescent="0.25">
      <c r="A2678" s="1">
        <v>44784.889664351853</v>
      </c>
      <c r="B2678" s="1">
        <v>44769.376736111109</v>
      </c>
      <c r="C2678">
        <v>12178</v>
      </c>
      <c r="D2678" t="s">
        <v>45</v>
      </c>
      <c r="E2678" t="s">
        <v>35</v>
      </c>
      <c r="F2678">
        <v>7</v>
      </c>
      <c r="G2678">
        <v>42.899563000000001</v>
      </c>
      <c r="H2678">
        <v>-71.464650000000006</v>
      </c>
      <c r="I2678">
        <v>301</v>
      </c>
      <c r="J2678">
        <v>85</v>
      </c>
      <c r="K2678">
        <v>0</v>
      </c>
      <c r="L2678" s="1">
        <v>44784.889606481483</v>
      </c>
      <c r="M2678">
        <v>3.8</v>
      </c>
      <c r="N2678">
        <v>3.1</v>
      </c>
      <c r="O2678">
        <v>0.7</v>
      </c>
      <c r="P2678">
        <v>20</v>
      </c>
      <c r="Q2678">
        <v>0</v>
      </c>
      <c r="R2678">
        <v>0</v>
      </c>
      <c r="S2678">
        <v>0</v>
      </c>
      <c r="T2678" t="s">
        <v>32</v>
      </c>
      <c r="V2678">
        <v>35</v>
      </c>
      <c r="W2678">
        <v>0</v>
      </c>
      <c r="X2678">
        <v>35</v>
      </c>
      <c r="Y2678">
        <v>0</v>
      </c>
      <c r="Z2678">
        <v>0</v>
      </c>
      <c r="AA2678">
        <v>0</v>
      </c>
      <c r="AB2678" t="s">
        <v>36</v>
      </c>
      <c r="AC2678">
        <v>35</v>
      </c>
    </row>
    <row r="2679" spans="1:30" x14ac:dyDescent="0.25">
      <c r="A2679" s="1">
        <v>44784.889664351853</v>
      </c>
      <c r="B2679" s="1">
        <v>44784.887916666667</v>
      </c>
      <c r="C2679">
        <v>75981</v>
      </c>
      <c r="D2679" t="s">
        <v>46</v>
      </c>
      <c r="E2679" t="s">
        <v>35</v>
      </c>
      <c r="F2679">
        <v>7</v>
      </c>
      <c r="G2679">
        <v>42.97</v>
      </c>
      <c r="H2679">
        <v>-71.06</v>
      </c>
      <c r="I2679">
        <v>136</v>
      </c>
      <c r="J2679">
        <v>81</v>
      </c>
      <c r="K2679">
        <v>0</v>
      </c>
      <c r="L2679" s="1">
        <v>44784.889606481483</v>
      </c>
      <c r="M2679">
        <v>11.8</v>
      </c>
      <c r="N2679">
        <v>11.3</v>
      </c>
      <c r="O2679">
        <v>0.5</v>
      </c>
      <c r="P2679">
        <v>4</v>
      </c>
      <c r="Q2679">
        <v>0</v>
      </c>
      <c r="R2679">
        <v>0</v>
      </c>
      <c r="S2679">
        <v>0</v>
      </c>
      <c r="T2679" t="s">
        <v>33</v>
      </c>
      <c r="U2679">
        <v>11.55</v>
      </c>
      <c r="V2679">
        <v>57</v>
      </c>
      <c r="W2679">
        <v>0</v>
      </c>
      <c r="X2679">
        <v>57</v>
      </c>
      <c r="Y2679">
        <v>0</v>
      </c>
      <c r="Z2679">
        <v>0</v>
      </c>
      <c r="AA2679">
        <v>0</v>
      </c>
      <c r="AB2679" t="s">
        <v>36</v>
      </c>
      <c r="AC2679">
        <v>57</v>
      </c>
      <c r="AD2679">
        <v>5.22</v>
      </c>
    </row>
    <row r="2680" spans="1:30" x14ac:dyDescent="0.25">
      <c r="A2680" s="1">
        <v>44784.889664351853</v>
      </c>
      <c r="B2680" s="1">
        <v>44784.888460648152</v>
      </c>
      <c r="C2680">
        <v>115703</v>
      </c>
      <c r="D2680" t="s">
        <v>47</v>
      </c>
      <c r="E2680" t="s">
        <v>35</v>
      </c>
      <c r="F2680">
        <v>7</v>
      </c>
      <c r="G2680">
        <v>43.953625000000002</v>
      </c>
      <c r="H2680">
        <v>-71.508859999999999</v>
      </c>
      <c r="I2680">
        <v>1493</v>
      </c>
      <c r="J2680">
        <v>70</v>
      </c>
      <c r="K2680">
        <v>0</v>
      </c>
      <c r="L2680" s="1">
        <v>44784.889606481483</v>
      </c>
      <c r="M2680">
        <v>0.1</v>
      </c>
      <c r="N2680">
        <v>201</v>
      </c>
      <c r="O2680">
        <v>200.9</v>
      </c>
      <c r="P2680">
        <v>200</v>
      </c>
      <c r="Q2680">
        <v>0</v>
      </c>
      <c r="R2680">
        <v>0</v>
      </c>
      <c r="S2680">
        <v>0</v>
      </c>
      <c r="T2680" t="s">
        <v>60</v>
      </c>
      <c r="V2680">
        <v>63</v>
      </c>
      <c r="W2680">
        <v>0</v>
      </c>
      <c r="X2680">
        <v>63</v>
      </c>
      <c r="Y2680">
        <v>0</v>
      </c>
      <c r="Z2680">
        <v>0</v>
      </c>
      <c r="AA2680">
        <v>0</v>
      </c>
      <c r="AB2680" t="s">
        <v>36</v>
      </c>
      <c r="AC2680">
        <v>63</v>
      </c>
    </row>
    <row r="2681" spans="1:30" x14ac:dyDescent="0.25">
      <c r="A2681" s="1">
        <v>44784.889675925922</v>
      </c>
      <c r="B2681" s="1">
        <v>44784.88789351852</v>
      </c>
      <c r="C2681">
        <v>12050</v>
      </c>
      <c r="D2681" t="s">
        <v>49</v>
      </c>
      <c r="E2681" t="s">
        <v>35</v>
      </c>
      <c r="F2681">
        <v>7</v>
      </c>
      <c r="G2681">
        <v>44.220573000000002</v>
      </c>
      <c r="H2681">
        <v>-71.732315</v>
      </c>
      <c r="I2681">
        <v>999</v>
      </c>
      <c r="J2681">
        <v>76</v>
      </c>
      <c r="K2681">
        <v>0</v>
      </c>
      <c r="L2681" s="1">
        <v>44784.889606481483</v>
      </c>
      <c r="M2681">
        <v>20.5</v>
      </c>
      <c r="N2681">
        <v>19.899999999999999</v>
      </c>
      <c r="O2681">
        <v>0.6</v>
      </c>
      <c r="P2681">
        <v>3</v>
      </c>
      <c r="Q2681">
        <v>5.2</v>
      </c>
      <c r="R2681">
        <v>5.3</v>
      </c>
      <c r="S2681">
        <v>5.25</v>
      </c>
      <c r="T2681" t="s">
        <v>33</v>
      </c>
      <c r="U2681">
        <v>20.2</v>
      </c>
      <c r="V2681">
        <v>58</v>
      </c>
      <c r="W2681">
        <v>0</v>
      </c>
      <c r="X2681">
        <v>58</v>
      </c>
      <c r="Y2681">
        <v>1</v>
      </c>
      <c r="Z2681">
        <v>0</v>
      </c>
      <c r="AA2681">
        <v>1</v>
      </c>
      <c r="AB2681" t="s">
        <v>36</v>
      </c>
      <c r="AC2681">
        <v>58</v>
      </c>
      <c r="AD2681">
        <v>10.42</v>
      </c>
    </row>
    <row r="2682" spans="1:30" x14ac:dyDescent="0.25">
      <c r="A2682" s="1">
        <v>44784.889675925922</v>
      </c>
      <c r="B2682" s="1">
        <v>44784.888009259259</v>
      </c>
      <c r="C2682">
        <v>23443</v>
      </c>
      <c r="D2682" t="s">
        <v>50</v>
      </c>
      <c r="E2682" t="s">
        <v>35</v>
      </c>
      <c r="F2682">
        <v>7</v>
      </c>
      <c r="G2682">
        <v>43.556139999999999</v>
      </c>
      <c r="H2682">
        <v>-72.370990000000006</v>
      </c>
      <c r="I2682">
        <v>523</v>
      </c>
      <c r="J2682">
        <v>73</v>
      </c>
      <c r="K2682">
        <v>0</v>
      </c>
      <c r="L2682" s="1">
        <v>44784.889606481483</v>
      </c>
      <c r="M2682">
        <v>6.5</v>
      </c>
      <c r="N2682">
        <v>6</v>
      </c>
      <c r="O2682">
        <v>0.5</v>
      </c>
      <c r="P2682">
        <v>8</v>
      </c>
      <c r="Q2682">
        <v>0.1</v>
      </c>
      <c r="R2682">
        <v>0.1</v>
      </c>
      <c r="S2682">
        <v>0.1</v>
      </c>
      <c r="T2682" t="s">
        <v>33</v>
      </c>
      <c r="U2682">
        <v>6.25</v>
      </c>
      <c r="V2682">
        <v>66</v>
      </c>
      <c r="W2682">
        <v>0</v>
      </c>
      <c r="X2682">
        <v>66</v>
      </c>
      <c r="Y2682">
        <v>0</v>
      </c>
      <c r="Z2682">
        <v>0</v>
      </c>
      <c r="AA2682">
        <v>0</v>
      </c>
      <c r="AB2682" t="s">
        <v>36</v>
      </c>
      <c r="AC2682">
        <v>66</v>
      </c>
      <c r="AD2682">
        <v>1.35</v>
      </c>
    </row>
    <row r="2683" spans="1:30" x14ac:dyDescent="0.25">
      <c r="A2683" s="1">
        <v>44784.889687499999</v>
      </c>
      <c r="B2683" s="1">
        <v>44784.888113425928</v>
      </c>
      <c r="C2683">
        <v>58135</v>
      </c>
      <c r="D2683" t="s">
        <v>51</v>
      </c>
      <c r="E2683" t="s">
        <v>35</v>
      </c>
      <c r="F2683">
        <v>7</v>
      </c>
      <c r="G2683">
        <v>42.883873000000001</v>
      </c>
      <c r="H2683">
        <v>-71.972915999999998</v>
      </c>
      <c r="I2683">
        <v>808</v>
      </c>
      <c r="J2683">
        <v>76</v>
      </c>
      <c r="K2683">
        <v>0</v>
      </c>
      <c r="L2683" s="1">
        <v>44784.889606481483</v>
      </c>
      <c r="M2683">
        <v>5.6</v>
      </c>
      <c r="N2683">
        <v>4.8</v>
      </c>
      <c r="O2683">
        <v>0.8</v>
      </c>
      <c r="P2683">
        <v>15</v>
      </c>
      <c r="Q2683">
        <v>0.2</v>
      </c>
      <c r="R2683">
        <v>0.5</v>
      </c>
      <c r="S2683">
        <v>0.35</v>
      </c>
      <c r="T2683" t="s">
        <v>33</v>
      </c>
      <c r="U2683">
        <v>5.2</v>
      </c>
      <c r="V2683">
        <v>59</v>
      </c>
      <c r="W2683">
        <v>0</v>
      </c>
      <c r="X2683">
        <v>59</v>
      </c>
      <c r="Y2683">
        <v>2</v>
      </c>
      <c r="Z2683">
        <v>0</v>
      </c>
      <c r="AA2683">
        <v>2</v>
      </c>
      <c r="AB2683" t="s">
        <v>36</v>
      </c>
      <c r="AC2683">
        <v>59</v>
      </c>
      <c r="AD2683">
        <v>1.2</v>
      </c>
    </row>
    <row r="2684" spans="1:30" x14ac:dyDescent="0.25">
      <c r="A2684" s="1">
        <v>44784.889745370368</v>
      </c>
      <c r="B2684" s="1">
        <v>44784.889479166668</v>
      </c>
      <c r="C2684">
        <v>148555</v>
      </c>
      <c r="D2684" t="s">
        <v>52</v>
      </c>
      <c r="E2684" t="s">
        <v>53</v>
      </c>
      <c r="F2684">
        <v>7</v>
      </c>
      <c r="G2684">
        <v>42.904949999999999</v>
      </c>
      <c r="H2684">
        <v>-71.386764999999997</v>
      </c>
      <c r="I2684">
        <v>363</v>
      </c>
      <c r="J2684">
        <v>0</v>
      </c>
      <c r="K2684">
        <v>0</v>
      </c>
      <c r="L2684" s="1">
        <v>44784.889606481483</v>
      </c>
      <c r="M2684">
        <v>7.8</v>
      </c>
      <c r="N2684">
        <v>8.1999999999999993</v>
      </c>
      <c r="O2684">
        <v>0.4</v>
      </c>
      <c r="P2684">
        <v>5</v>
      </c>
      <c r="Q2684">
        <v>0.5</v>
      </c>
      <c r="R2684">
        <v>0.3</v>
      </c>
      <c r="S2684">
        <v>0.4</v>
      </c>
      <c r="T2684" t="s">
        <v>33</v>
      </c>
      <c r="U2684">
        <v>8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 t="s">
        <v>38</v>
      </c>
    </row>
    <row r="2685" spans="1:30" x14ac:dyDescent="0.25">
      <c r="A2685" s="1">
        <v>44784.889745370368</v>
      </c>
      <c r="B2685" s="1">
        <v>44784.888981481483</v>
      </c>
      <c r="C2685">
        <v>146644</v>
      </c>
      <c r="D2685" t="s">
        <v>54</v>
      </c>
      <c r="E2685" t="s">
        <v>53</v>
      </c>
      <c r="F2685">
        <v>7</v>
      </c>
      <c r="G2685">
        <v>43.06015</v>
      </c>
      <c r="H2685">
        <v>-70.758930000000007</v>
      </c>
      <c r="I2685">
        <v>35</v>
      </c>
      <c r="J2685">
        <v>71</v>
      </c>
      <c r="K2685">
        <v>72</v>
      </c>
      <c r="L2685" s="1">
        <v>44784.889606481483</v>
      </c>
      <c r="M2685">
        <v>11.8</v>
      </c>
      <c r="N2685">
        <v>10.7</v>
      </c>
      <c r="O2685">
        <v>1.1000000000000001</v>
      </c>
      <c r="P2685">
        <v>10</v>
      </c>
      <c r="Q2685">
        <v>0</v>
      </c>
      <c r="R2685">
        <v>0.2</v>
      </c>
      <c r="S2685">
        <v>0.1</v>
      </c>
      <c r="T2685" t="s">
        <v>33</v>
      </c>
      <c r="U2685">
        <v>11.25</v>
      </c>
      <c r="V2685">
        <v>71</v>
      </c>
      <c r="W2685">
        <v>75</v>
      </c>
      <c r="X2685">
        <v>4</v>
      </c>
      <c r="Y2685">
        <v>1</v>
      </c>
      <c r="Z2685">
        <v>0</v>
      </c>
      <c r="AA2685">
        <v>1</v>
      </c>
      <c r="AB2685" t="s">
        <v>33</v>
      </c>
      <c r="AC2685">
        <v>73</v>
      </c>
      <c r="AD2685">
        <v>3.91</v>
      </c>
    </row>
    <row r="2686" spans="1:30" x14ac:dyDescent="0.25">
      <c r="A2686" s="1">
        <v>44784.889756944445</v>
      </c>
      <c r="B2686" s="1">
        <v>43755.283437500002</v>
      </c>
      <c r="C2686">
        <v>12188</v>
      </c>
      <c r="D2686" t="s">
        <v>55</v>
      </c>
      <c r="E2686" t="s">
        <v>35</v>
      </c>
      <c r="F2686">
        <v>4.1100000000000003</v>
      </c>
      <c r="G2686">
        <v>42.927050000000001</v>
      </c>
      <c r="H2686">
        <v>-72.279610000000005</v>
      </c>
      <c r="I2686">
        <v>475</v>
      </c>
      <c r="J2686">
        <v>95</v>
      </c>
      <c r="K2686">
        <v>0</v>
      </c>
      <c r="L2686" s="1">
        <v>44784.889606481483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 t="s">
        <v>32</v>
      </c>
      <c r="V2686">
        <v>77</v>
      </c>
      <c r="W2686">
        <v>0</v>
      </c>
      <c r="X2686">
        <v>77</v>
      </c>
      <c r="Y2686">
        <v>0</v>
      </c>
      <c r="Z2686">
        <v>0</v>
      </c>
      <c r="AA2686">
        <v>0</v>
      </c>
      <c r="AB2686" t="s">
        <v>36</v>
      </c>
      <c r="AC2686">
        <v>77</v>
      </c>
    </row>
    <row r="2687" spans="1:30" x14ac:dyDescent="0.25">
      <c r="A2687" s="1">
        <v>44784.889756944445</v>
      </c>
      <c r="B2687" s="1">
        <v>44784.889386574076</v>
      </c>
      <c r="C2687">
        <v>1224</v>
      </c>
      <c r="D2687" t="s">
        <v>56</v>
      </c>
      <c r="E2687" t="s">
        <v>35</v>
      </c>
      <c r="F2687" t="s">
        <v>57</v>
      </c>
      <c r="G2687">
        <v>42.938034000000002</v>
      </c>
      <c r="H2687">
        <v>-72.259299999999996</v>
      </c>
      <c r="I2687">
        <v>792</v>
      </c>
      <c r="J2687">
        <v>80</v>
      </c>
      <c r="K2687">
        <v>0</v>
      </c>
      <c r="L2687" s="1">
        <v>44784.889606481483</v>
      </c>
      <c r="M2687">
        <v>4.7</v>
      </c>
      <c r="N2687">
        <v>0</v>
      </c>
      <c r="O2687">
        <v>4.7</v>
      </c>
      <c r="P2687">
        <v>200</v>
      </c>
      <c r="Q2687">
        <v>0</v>
      </c>
      <c r="R2687">
        <v>0</v>
      </c>
      <c r="S2687">
        <v>0</v>
      </c>
      <c r="T2687" t="s">
        <v>43</v>
      </c>
      <c r="V2687">
        <v>55</v>
      </c>
      <c r="W2687">
        <v>0</v>
      </c>
      <c r="X2687">
        <v>55</v>
      </c>
      <c r="Y2687">
        <v>0</v>
      </c>
      <c r="Z2687">
        <v>0</v>
      </c>
      <c r="AA2687">
        <v>0</v>
      </c>
      <c r="AB2687" t="s">
        <v>36</v>
      </c>
      <c r="AC2687">
        <v>55</v>
      </c>
    </row>
    <row r="2688" spans="1:30" x14ac:dyDescent="0.25">
      <c r="A2688" s="1">
        <v>44784.889756944445</v>
      </c>
      <c r="B2688" s="1">
        <v>44784.888831018521</v>
      </c>
      <c r="C2688">
        <v>1202</v>
      </c>
      <c r="D2688" t="s">
        <v>58</v>
      </c>
      <c r="E2688" t="s">
        <v>35</v>
      </c>
      <c r="F2688" t="s">
        <v>57</v>
      </c>
      <c r="G2688">
        <v>42.936554000000001</v>
      </c>
      <c r="H2688">
        <v>-72.271019999999993</v>
      </c>
      <c r="I2688">
        <v>488</v>
      </c>
      <c r="J2688">
        <v>0</v>
      </c>
      <c r="K2688">
        <v>0</v>
      </c>
      <c r="L2688" s="1">
        <v>44784.889606481483</v>
      </c>
      <c r="M2688">
        <v>5.4</v>
      </c>
      <c r="N2688">
        <v>5.0999999999999996</v>
      </c>
      <c r="O2688">
        <v>0.3</v>
      </c>
      <c r="P2688">
        <v>6</v>
      </c>
      <c r="Q2688">
        <v>0.3</v>
      </c>
      <c r="R2688">
        <v>0.3</v>
      </c>
      <c r="S2688">
        <v>0.3</v>
      </c>
      <c r="T2688" t="s">
        <v>33</v>
      </c>
      <c r="U2688">
        <v>5.25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 t="s">
        <v>38</v>
      </c>
    </row>
    <row r="2689" spans="1:30" x14ac:dyDescent="0.25">
      <c r="A2689" s="1">
        <v>44784.889768518522</v>
      </c>
      <c r="B2689" s="1">
        <v>44612.080023148148</v>
      </c>
      <c r="C2689">
        <v>25985</v>
      </c>
      <c r="D2689" t="s">
        <v>59</v>
      </c>
      <c r="E2689" t="s">
        <v>35</v>
      </c>
      <c r="F2689">
        <v>6.01</v>
      </c>
      <c r="G2689">
        <v>42.927326000000001</v>
      </c>
      <c r="H2689">
        <v>-72.279979999999995</v>
      </c>
      <c r="I2689">
        <v>477</v>
      </c>
      <c r="J2689">
        <v>78</v>
      </c>
      <c r="K2689">
        <v>0</v>
      </c>
      <c r="L2689" s="1">
        <v>44784.889606481483</v>
      </c>
      <c r="M2689">
        <v>1.1000000000000001</v>
      </c>
      <c r="N2689">
        <v>1</v>
      </c>
      <c r="O2689">
        <v>0.1</v>
      </c>
      <c r="P2689">
        <v>10</v>
      </c>
      <c r="Q2689">
        <v>0</v>
      </c>
      <c r="R2689">
        <v>0</v>
      </c>
      <c r="S2689">
        <v>0</v>
      </c>
      <c r="T2689" t="s">
        <v>32</v>
      </c>
      <c r="V2689">
        <v>22</v>
      </c>
      <c r="W2689">
        <v>0</v>
      </c>
      <c r="X2689">
        <v>22</v>
      </c>
      <c r="Y2689">
        <v>0</v>
      </c>
      <c r="Z2689">
        <v>0</v>
      </c>
      <c r="AA2689">
        <v>0</v>
      </c>
      <c r="AB2689" t="s">
        <v>36</v>
      </c>
      <c r="AC2689">
        <v>22</v>
      </c>
    </row>
    <row r="2690" spans="1:30" x14ac:dyDescent="0.25">
      <c r="A2690" s="1">
        <v>44784.896562499998</v>
      </c>
      <c r="B2690" s="1">
        <v>44775.701319444444</v>
      </c>
      <c r="C2690">
        <v>151708</v>
      </c>
      <c r="D2690" t="s">
        <v>30</v>
      </c>
      <c r="E2690" t="s">
        <v>31</v>
      </c>
      <c r="F2690">
        <v>7</v>
      </c>
      <c r="G2690">
        <v>43.192042999999998</v>
      </c>
      <c r="H2690">
        <v>-71.541579999999996</v>
      </c>
      <c r="I2690">
        <v>291</v>
      </c>
      <c r="J2690">
        <v>93</v>
      </c>
      <c r="K2690">
        <v>94</v>
      </c>
      <c r="L2690" s="1">
        <v>44784.896550925929</v>
      </c>
      <c r="M2690">
        <v>7.9</v>
      </c>
      <c r="N2690">
        <v>7.6</v>
      </c>
      <c r="O2690">
        <v>0.3</v>
      </c>
      <c r="P2690">
        <v>4</v>
      </c>
      <c r="Q2690">
        <v>0</v>
      </c>
      <c r="R2690">
        <v>0</v>
      </c>
      <c r="S2690">
        <v>0</v>
      </c>
      <c r="T2690" t="s">
        <v>32</v>
      </c>
      <c r="V2690">
        <v>42</v>
      </c>
      <c r="W2690">
        <v>41</v>
      </c>
      <c r="X2690">
        <v>1</v>
      </c>
      <c r="Y2690">
        <v>0</v>
      </c>
      <c r="Z2690">
        <v>0</v>
      </c>
      <c r="AA2690">
        <v>0</v>
      </c>
      <c r="AB2690" t="s">
        <v>33</v>
      </c>
      <c r="AC2690">
        <v>41.5</v>
      </c>
    </row>
    <row r="2691" spans="1:30" x14ac:dyDescent="0.25">
      <c r="A2691" s="1">
        <v>44784.896562499998</v>
      </c>
      <c r="B2691" s="1">
        <v>44784.894976851851</v>
      </c>
      <c r="C2691">
        <v>143456</v>
      </c>
      <c r="D2691" t="s">
        <v>34</v>
      </c>
      <c r="E2691" t="s">
        <v>35</v>
      </c>
      <c r="F2691">
        <v>7</v>
      </c>
      <c r="G2691">
        <v>43.08963</v>
      </c>
      <c r="H2691">
        <v>-71.502440000000007</v>
      </c>
      <c r="I2691">
        <v>619</v>
      </c>
      <c r="J2691">
        <v>76</v>
      </c>
      <c r="K2691">
        <v>0</v>
      </c>
      <c r="L2691" s="1">
        <v>44784.896550925929</v>
      </c>
      <c r="M2691">
        <v>3.3</v>
      </c>
      <c r="N2691">
        <v>3.8</v>
      </c>
      <c r="O2691">
        <v>0.5</v>
      </c>
      <c r="P2691">
        <v>14</v>
      </c>
      <c r="Q2691">
        <v>0.2</v>
      </c>
      <c r="R2691">
        <v>0.1</v>
      </c>
      <c r="S2691">
        <v>0.15</v>
      </c>
      <c r="T2691" t="s">
        <v>33</v>
      </c>
      <c r="U2691">
        <v>3.55</v>
      </c>
      <c r="V2691">
        <v>57</v>
      </c>
      <c r="W2691">
        <v>0</v>
      </c>
      <c r="X2691">
        <v>57</v>
      </c>
      <c r="Y2691">
        <v>1</v>
      </c>
      <c r="Z2691">
        <v>0</v>
      </c>
      <c r="AA2691">
        <v>1</v>
      </c>
      <c r="AB2691" t="s">
        <v>36</v>
      </c>
      <c r="AC2691">
        <v>57</v>
      </c>
      <c r="AD2691">
        <v>0.34</v>
      </c>
    </row>
    <row r="2692" spans="1:30" x14ac:dyDescent="0.25">
      <c r="A2692" s="1">
        <v>44784.896574074075</v>
      </c>
      <c r="B2692" s="1">
        <v>44784.895115740743</v>
      </c>
      <c r="C2692">
        <v>151702</v>
      </c>
      <c r="D2692" t="s">
        <v>37</v>
      </c>
      <c r="E2692" t="s">
        <v>31</v>
      </c>
      <c r="F2692">
        <v>7</v>
      </c>
      <c r="G2692">
        <v>43.118609999999997</v>
      </c>
      <c r="H2692">
        <v>-71.61618</v>
      </c>
      <c r="I2692">
        <v>885</v>
      </c>
      <c r="J2692">
        <v>0</v>
      </c>
      <c r="K2692">
        <v>0</v>
      </c>
      <c r="L2692" s="1">
        <v>44784.896550925929</v>
      </c>
      <c r="M2692">
        <v>3.2</v>
      </c>
      <c r="N2692">
        <v>3.2</v>
      </c>
      <c r="O2692">
        <v>0</v>
      </c>
      <c r="P2692">
        <v>0</v>
      </c>
      <c r="Q2692">
        <v>0.1</v>
      </c>
      <c r="R2692">
        <v>0</v>
      </c>
      <c r="S2692">
        <v>0.05</v>
      </c>
      <c r="T2692" t="s">
        <v>33</v>
      </c>
      <c r="U2692">
        <v>3.2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 t="s">
        <v>38</v>
      </c>
    </row>
    <row r="2693" spans="1:30" x14ac:dyDescent="0.25">
      <c r="A2693" s="1">
        <v>44784.896574074075</v>
      </c>
      <c r="B2693" s="1">
        <v>44784.89502314815</v>
      </c>
      <c r="C2693">
        <v>151700</v>
      </c>
      <c r="D2693" t="s">
        <v>30</v>
      </c>
      <c r="E2693" t="s">
        <v>31</v>
      </c>
      <c r="F2693">
        <v>7</v>
      </c>
      <c r="G2693">
        <v>43.19211</v>
      </c>
      <c r="H2693">
        <v>-71.541460000000001</v>
      </c>
      <c r="I2693">
        <v>286</v>
      </c>
      <c r="J2693">
        <v>80</v>
      </c>
      <c r="K2693">
        <v>0</v>
      </c>
      <c r="L2693" s="1">
        <v>44784.896550925929</v>
      </c>
      <c r="M2693">
        <v>2.7</v>
      </c>
      <c r="N2693">
        <v>3.1</v>
      </c>
      <c r="O2693">
        <v>0.4</v>
      </c>
      <c r="P2693">
        <v>14</v>
      </c>
      <c r="Q2693">
        <v>0</v>
      </c>
      <c r="R2693">
        <v>0.2</v>
      </c>
      <c r="S2693">
        <v>0.1</v>
      </c>
      <c r="T2693" t="s">
        <v>33</v>
      </c>
      <c r="U2693">
        <v>2.9</v>
      </c>
      <c r="V2693">
        <v>46</v>
      </c>
      <c r="W2693">
        <v>0</v>
      </c>
      <c r="X2693">
        <v>46</v>
      </c>
      <c r="Y2693">
        <v>0</v>
      </c>
      <c r="Z2693">
        <v>0</v>
      </c>
      <c r="AA2693">
        <v>0</v>
      </c>
      <c r="AB2693" t="s">
        <v>36</v>
      </c>
      <c r="AC2693">
        <v>46</v>
      </c>
      <c r="AD2693">
        <v>0.71</v>
      </c>
    </row>
    <row r="2694" spans="1:30" x14ac:dyDescent="0.25">
      <c r="A2694" s="1">
        <v>44784.896585648145</v>
      </c>
      <c r="B2694" s="1">
        <v>44784.895462962966</v>
      </c>
      <c r="C2694">
        <v>135984</v>
      </c>
      <c r="D2694" t="s">
        <v>39</v>
      </c>
      <c r="E2694" t="s">
        <v>31</v>
      </c>
      <c r="F2694">
        <v>7</v>
      </c>
      <c r="G2694">
        <v>43.565852999999997</v>
      </c>
      <c r="H2694">
        <v>-71.496129999999994</v>
      </c>
      <c r="I2694">
        <v>708</v>
      </c>
      <c r="J2694">
        <v>69</v>
      </c>
      <c r="K2694">
        <v>0</v>
      </c>
      <c r="L2694" s="1">
        <v>44784.896550925929</v>
      </c>
      <c r="M2694">
        <v>3.2</v>
      </c>
      <c r="N2694">
        <v>3</v>
      </c>
      <c r="O2694">
        <v>0.2</v>
      </c>
      <c r="P2694">
        <v>6</v>
      </c>
      <c r="Q2694">
        <v>0.2</v>
      </c>
      <c r="R2694">
        <v>0.3</v>
      </c>
      <c r="S2694">
        <v>0.25</v>
      </c>
      <c r="T2694" t="s">
        <v>33</v>
      </c>
      <c r="U2694">
        <v>3.1</v>
      </c>
      <c r="V2694">
        <v>83</v>
      </c>
      <c r="W2694">
        <v>0</v>
      </c>
      <c r="X2694">
        <v>83</v>
      </c>
      <c r="Y2694">
        <v>2</v>
      </c>
      <c r="Z2694">
        <v>0</v>
      </c>
      <c r="AA2694">
        <v>2</v>
      </c>
      <c r="AB2694" t="s">
        <v>36</v>
      </c>
      <c r="AC2694">
        <v>83</v>
      </c>
      <c r="AD2694">
        <v>-1.76</v>
      </c>
    </row>
    <row r="2695" spans="1:30" x14ac:dyDescent="0.25">
      <c r="A2695" s="1">
        <v>44784.896585648145</v>
      </c>
      <c r="B2695" s="1">
        <v>44780.394780092596</v>
      </c>
      <c r="C2695">
        <v>151712</v>
      </c>
      <c r="D2695" t="s">
        <v>40</v>
      </c>
      <c r="E2695" t="s">
        <v>31</v>
      </c>
      <c r="F2695">
        <v>7</v>
      </c>
      <c r="G2695">
        <v>43.289763999999998</v>
      </c>
      <c r="H2695">
        <v>-71.564260000000004</v>
      </c>
      <c r="I2695">
        <v>370</v>
      </c>
      <c r="J2695">
        <v>86</v>
      </c>
      <c r="K2695">
        <v>0</v>
      </c>
      <c r="L2695" s="1">
        <v>44784.896550925929</v>
      </c>
      <c r="M2695">
        <v>14</v>
      </c>
      <c r="N2695">
        <v>13.2</v>
      </c>
      <c r="O2695">
        <v>0.8</v>
      </c>
      <c r="P2695">
        <v>6</v>
      </c>
      <c r="Q2695">
        <v>0</v>
      </c>
      <c r="R2695">
        <v>0</v>
      </c>
      <c r="S2695">
        <v>0</v>
      </c>
      <c r="T2695" t="s">
        <v>32</v>
      </c>
      <c r="V2695">
        <v>59</v>
      </c>
      <c r="W2695">
        <v>0</v>
      </c>
      <c r="X2695">
        <v>59</v>
      </c>
      <c r="Y2695">
        <v>0</v>
      </c>
      <c r="Z2695">
        <v>0</v>
      </c>
      <c r="AA2695">
        <v>0</v>
      </c>
      <c r="AB2695" t="s">
        <v>36</v>
      </c>
      <c r="AC2695">
        <v>59</v>
      </c>
    </row>
    <row r="2696" spans="1:30" x14ac:dyDescent="0.25">
      <c r="A2696" s="1">
        <v>44784.896597222221</v>
      </c>
      <c r="B2696" s="1">
        <v>44784.894780092596</v>
      </c>
      <c r="C2696">
        <v>151710</v>
      </c>
      <c r="D2696" t="s">
        <v>41</v>
      </c>
      <c r="E2696" t="s">
        <v>31</v>
      </c>
      <c r="F2696">
        <v>7</v>
      </c>
      <c r="G2696">
        <v>43.132477000000002</v>
      </c>
      <c r="H2696">
        <v>-71.458374000000006</v>
      </c>
      <c r="I2696">
        <v>230</v>
      </c>
      <c r="J2696">
        <v>78</v>
      </c>
      <c r="K2696">
        <v>0</v>
      </c>
      <c r="L2696" s="1">
        <v>44784.896550925929</v>
      </c>
      <c r="M2696">
        <v>7.1</v>
      </c>
      <c r="N2696">
        <v>5.6</v>
      </c>
      <c r="O2696">
        <v>1.5</v>
      </c>
      <c r="P2696">
        <v>24</v>
      </c>
      <c r="Q2696">
        <v>0.9</v>
      </c>
      <c r="R2696">
        <v>0.8</v>
      </c>
      <c r="S2696">
        <v>0.85</v>
      </c>
      <c r="T2696" t="s">
        <v>33</v>
      </c>
      <c r="U2696">
        <v>6.35</v>
      </c>
      <c r="V2696">
        <v>51</v>
      </c>
      <c r="W2696">
        <v>0</v>
      </c>
      <c r="X2696">
        <v>51</v>
      </c>
      <c r="Y2696">
        <v>3</v>
      </c>
      <c r="Z2696">
        <v>0</v>
      </c>
      <c r="AA2696">
        <v>3</v>
      </c>
      <c r="AB2696" t="s">
        <v>36</v>
      </c>
      <c r="AC2696">
        <v>51</v>
      </c>
      <c r="AD2696">
        <v>2.46</v>
      </c>
    </row>
    <row r="2697" spans="1:30" x14ac:dyDescent="0.25">
      <c r="A2697" s="1">
        <v>44784.896597222221</v>
      </c>
      <c r="B2697" s="1">
        <v>44784.895798611113</v>
      </c>
      <c r="C2697">
        <v>151706</v>
      </c>
      <c r="D2697" t="s">
        <v>42</v>
      </c>
      <c r="E2697" t="s">
        <v>31</v>
      </c>
      <c r="F2697">
        <v>7</v>
      </c>
      <c r="G2697">
        <v>43.004080000000002</v>
      </c>
      <c r="H2697">
        <v>-71.177040000000005</v>
      </c>
      <c r="I2697">
        <v>194</v>
      </c>
      <c r="J2697">
        <v>75</v>
      </c>
      <c r="K2697">
        <v>0</v>
      </c>
      <c r="L2697" s="1">
        <v>44784.896550925929</v>
      </c>
      <c r="M2697">
        <v>12.8</v>
      </c>
      <c r="N2697">
        <v>0</v>
      </c>
      <c r="O2697">
        <v>12.8</v>
      </c>
      <c r="P2697">
        <v>200</v>
      </c>
      <c r="Q2697">
        <v>0.2</v>
      </c>
      <c r="R2697">
        <v>0</v>
      </c>
      <c r="S2697">
        <v>0.1</v>
      </c>
      <c r="T2697" t="s">
        <v>43</v>
      </c>
      <c r="V2697">
        <v>68</v>
      </c>
      <c r="W2697">
        <v>0</v>
      </c>
      <c r="X2697">
        <v>68</v>
      </c>
      <c r="Y2697">
        <v>1</v>
      </c>
      <c r="Z2697">
        <v>0</v>
      </c>
      <c r="AA2697">
        <v>1</v>
      </c>
      <c r="AB2697" t="s">
        <v>36</v>
      </c>
      <c r="AC2697">
        <v>68</v>
      </c>
    </row>
    <row r="2698" spans="1:30" x14ac:dyDescent="0.25">
      <c r="A2698" s="1">
        <v>44784.896597222221</v>
      </c>
      <c r="B2698" s="1">
        <v>44784.895613425928</v>
      </c>
      <c r="C2698">
        <v>12212</v>
      </c>
      <c r="D2698" t="s">
        <v>44</v>
      </c>
      <c r="E2698" t="s">
        <v>35</v>
      </c>
      <c r="F2698">
        <v>7</v>
      </c>
      <c r="G2698">
        <v>42.930529999999997</v>
      </c>
      <c r="H2698">
        <v>-72.272350000000003</v>
      </c>
      <c r="I2698">
        <v>476</v>
      </c>
      <c r="J2698">
        <v>81</v>
      </c>
      <c r="K2698">
        <v>0</v>
      </c>
      <c r="L2698" s="1">
        <v>44784.896550925929</v>
      </c>
      <c r="M2698">
        <v>5</v>
      </c>
      <c r="N2698">
        <v>4.5</v>
      </c>
      <c r="O2698">
        <v>0.5</v>
      </c>
      <c r="P2698">
        <v>11</v>
      </c>
      <c r="Q2698">
        <v>0.3</v>
      </c>
      <c r="R2698">
        <v>0.2</v>
      </c>
      <c r="S2698">
        <v>0.25</v>
      </c>
      <c r="T2698" t="s">
        <v>33</v>
      </c>
      <c r="U2698">
        <v>4.75</v>
      </c>
      <c r="V2698">
        <v>48</v>
      </c>
      <c r="W2698">
        <v>0</v>
      </c>
      <c r="X2698">
        <v>48</v>
      </c>
      <c r="Y2698">
        <v>1</v>
      </c>
      <c r="Z2698">
        <v>0</v>
      </c>
      <c r="AA2698">
        <v>1</v>
      </c>
      <c r="AB2698" t="s">
        <v>36</v>
      </c>
      <c r="AC2698">
        <v>48</v>
      </c>
      <c r="AD2698">
        <v>1.7</v>
      </c>
    </row>
    <row r="2699" spans="1:30" x14ac:dyDescent="0.25">
      <c r="A2699" s="1">
        <v>44784.896608796298</v>
      </c>
      <c r="B2699" s="1">
        <v>44769.376736111109</v>
      </c>
      <c r="C2699">
        <v>12178</v>
      </c>
      <c r="D2699" t="s">
        <v>45</v>
      </c>
      <c r="E2699" t="s">
        <v>35</v>
      </c>
      <c r="F2699">
        <v>7</v>
      </c>
      <c r="G2699">
        <v>42.899563000000001</v>
      </c>
      <c r="H2699">
        <v>-71.464650000000006</v>
      </c>
      <c r="I2699">
        <v>301</v>
      </c>
      <c r="J2699">
        <v>85</v>
      </c>
      <c r="K2699">
        <v>0</v>
      </c>
      <c r="L2699" s="1">
        <v>44784.896550925929</v>
      </c>
      <c r="M2699">
        <v>3.8</v>
      </c>
      <c r="N2699">
        <v>3.1</v>
      </c>
      <c r="O2699">
        <v>0.7</v>
      </c>
      <c r="P2699">
        <v>20</v>
      </c>
      <c r="Q2699">
        <v>0</v>
      </c>
      <c r="R2699">
        <v>0</v>
      </c>
      <c r="S2699">
        <v>0</v>
      </c>
      <c r="T2699" t="s">
        <v>32</v>
      </c>
      <c r="V2699">
        <v>35</v>
      </c>
      <c r="W2699">
        <v>0</v>
      </c>
      <c r="X2699">
        <v>35</v>
      </c>
      <c r="Y2699">
        <v>0</v>
      </c>
      <c r="Z2699">
        <v>0</v>
      </c>
      <c r="AA2699">
        <v>0</v>
      </c>
      <c r="AB2699" t="s">
        <v>36</v>
      </c>
      <c r="AC2699">
        <v>35</v>
      </c>
    </row>
    <row r="2700" spans="1:30" x14ac:dyDescent="0.25">
      <c r="A2700" s="1">
        <v>44784.896608796298</v>
      </c>
      <c r="B2700" s="1">
        <v>44784.894872685189</v>
      </c>
      <c r="C2700">
        <v>75981</v>
      </c>
      <c r="D2700" t="s">
        <v>46</v>
      </c>
      <c r="E2700" t="s">
        <v>35</v>
      </c>
      <c r="F2700">
        <v>7</v>
      </c>
      <c r="G2700">
        <v>42.97</v>
      </c>
      <c r="H2700">
        <v>-71.06</v>
      </c>
      <c r="I2700">
        <v>136</v>
      </c>
      <c r="J2700">
        <v>80</v>
      </c>
      <c r="K2700">
        <v>0</v>
      </c>
      <c r="L2700" s="1">
        <v>44784.896550925929</v>
      </c>
      <c r="M2700">
        <v>11.9</v>
      </c>
      <c r="N2700">
        <v>11.4</v>
      </c>
      <c r="O2700">
        <v>0.5</v>
      </c>
      <c r="P2700">
        <v>4</v>
      </c>
      <c r="Q2700">
        <v>0.1</v>
      </c>
      <c r="R2700">
        <v>0.1</v>
      </c>
      <c r="S2700">
        <v>0.1</v>
      </c>
      <c r="T2700" t="s">
        <v>33</v>
      </c>
      <c r="U2700">
        <v>11.65</v>
      </c>
      <c r="V2700">
        <v>57</v>
      </c>
      <c r="W2700">
        <v>0</v>
      </c>
      <c r="X2700">
        <v>57</v>
      </c>
      <c r="Y2700">
        <v>0</v>
      </c>
      <c r="Z2700">
        <v>0</v>
      </c>
      <c r="AA2700">
        <v>0</v>
      </c>
      <c r="AB2700" t="s">
        <v>36</v>
      </c>
      <c r="AC2700">
        <v>57</v>
      </c>
      <c r="AD2700">
        <v>5.28</v>
      </c>
    </row>
    <row r="2701" spans="1:30" x14ac:dyDescent="0.25">
      <c r="A2701" s="1">
        <v>44784.896620370368</v>
      </c>
      <c r="B2701" s="1">
        <v>44784.895416666666</v>
      </c>
      <c r="C2701">
        <v>115703</v>
      </c>
      <c r="D2701" t="s">
        <v>47</v>
      </c>
      <c r="E2701" t="s">
        <v>35</v>
      </c>
      <c r="F2701">
        <v>7</v>
      </c>
      <c r="G2701">
        <v>43.953625000000002</v>
      </c>
      <c r="H2701">
        <v>-71.508859999999999</v>
      </c>
      <c r="I2701">
        <v>1493</v>
      </c>
      <c r="J2701">
        <v>70</v>
      </c>
      <c r="K2701">
        <v>0</v>
      </c>
      <c r="L2701" s="1">
        <v>44784.896550925929</v>
      </c>
      <c r="M2701">
        <v>0</v>
      </c>
      <c r="N2701">
        <v>201</v>
      </c>
      <c r="O2701">
        <v>201</v>
      </c>
      <c r="P2701">
        <v>200</v>
      </c>
      <c r="Q2701">
        <v>0.1</v>
      </c>
      <c r="R2701">
        <v>0</v>
      </c>
      <c r="S2701">
        <v>0.05</v>
      </c>
      <c r="T2701" t="s">
        <v>48</v>
      </c>
      <c r="V2701">
        <v>64</v>
      </c>
      <c r="W2701">
        <v>0</v>
      </c>
      <c r="X2701">
        <v>64</v>
      </c>
      <c r="Y2701">
        <v>1</v>
      </c>
      <c r="Z2701">
        <v>0</v>
      </c>
      <c r="AA2701">
        <v>1</v>
      </c>
      <c r="AB2701" t="s">
        <v>36</v>
      </c>
      <c r="AC2701">
        <v>64</v>
      </c>
    </row>
    <row r="2702" spans="1:30" x14ac:dyDescent="0.25">
      <c r="A2702" s="1">
        <v>44784.896620370368</v>
      </c>
      <c r="B2702" s="1">
        <v>44784.894837962966</v>
      </c>
      <c r="C2702">
        <v>12050</v>
      </c>
      <c r="D2702" t="s">
        <v>49</v>
      </c>
      <c r="E2702" t="s">
        <v>35</v>
      </c>
      <c r="F2702">
        <v>7</v>
      </c>
      <c r="G2702">
        <v>44.220573000000002</v>
      </c>
      <c r="H2702">
        <v>-71.732315</v>
      </c>
      <c r="I2702">
        <v>999</v>
      </c>
      <c r="J2702">
        <v>76</v>
      </c>
      <c r="K2702">
        <v>0</v>
      </c>
      <c r="L2702" s="1">
        <v>44784.896550925929</v>
      </c>
      <c r="M2702">
        <v>19.100000000000001</v>
      </c>
      <c r="N2702">
        <v>18.600000000000001</v>
      </c>
      <c r="O2702">
        <v>0.5</v>
      </c>
      <c r="P2702">
        <v>3</v>
      </c>
      <c r="Q2702">
        <v>1.4</v>
      </c>
      <c r="R2702">
        <v>1.3</v>
      </c>
      <c r="S2702">
        <v>1.35</v>
      </c>
      <c r="T2702" t="s">
        <v>33</v>
      </c>
      <c r="U2702">
        <v>18.850000000000001</v>
      </c>
      <c r="V2702">
        <v>57</v>
      </c>
      <c r="W2702">
        <v>0</v>
      </c>
      <c r="X2702">
        <v>57</v>
      </c>
      <c r="Y2702">
        <v>1</v>
      </c>
      <c r="Z2702">
        <v>0</v>
      </c>
      <c r="AA2702">
        <v>1</v>
      </c>
      <c r="AB2702" t="s">
        <v>36</v>
      </c>
      <c r="AC2702">
        <v>57</v>
      </c>
      <c r="AD2702">
        <v>9.67</v>
      </c>
    </row>
    <row r="2703" spans="1:30" x14ac:dyDescent="0.25">
      <c r="A2703" s="1">
        <v>44784.896631944444</v>
      </c>
      <c r="B2703" s="1">
        <v>44784.894953703704</v>
      </c>
      <c r="C2703">
        <v>23443</v>
      </c>
      <c r="D2703" t="s">
        <v>50</v>
      </c>
      <c r="E2703" t="s">
        <v>35</v>
      </c>
      <c r="F2703">
        <v>7</v>
      </c>
      <c r="G2703">
        <v>43.556139999999999</v>
      </c>
      <c r="H2703">
        <v>-72.370990000000006</v>
      </c>
      <c r="I2703">
        <v>523</v>
      </c>
      <c r="J2703">
        <v>73</v>
      </c>
      <c r="K2703">
        <v>0</v>
      </c>
      <c r="L2703" s="1">
        <v>44784.896550925929</v>
      </c>
      <c r="M2703">
        <v>6.5</v>
      </c>
      <c r="N2703">
        <v>6</v>
      </c>
      <c r="O2703">
        <v>0.5</v>
      </c>
      <c r="P2703">
        <v>8</v>
      </c>
      <c r="Q2703">
        <v>0</v>
      </c>
      <c r="R2703">
        <v>0</v>
      </c>
      <c r="S2703">
        <v>0</v>
      </c>
      <c r="T2703" t="s">
        <v>33</v>
      </c>
      <c r="U2703">
        <v>6.25</v>
      </c>
      <c r="V2703">
        <v>66</v>
      </c>
      <c r="W2703">
        <v>0</v>
      </c>
      <c r="X2703">
        <v>66</v>
      </c>
      <c r="Y2703">
        <v>0</v>
      </c>
      <c r="Z2703">
        <v>0</v>
      </c>
      <c r="AA2703">
        <v>0</v>
      </c>
      <c r="AB2703" t="s">
        <v>36</v>
      </c>
      <c r="AC2703">
        <v>66</v>
      </c>
      <c r="AD2703">
        <v>1.35</v>
      </c>
    </row>
    <row r="2704" spans="1:30" x14ac:dyDescent="0.25">
      <c r="A2704" s="1">
        <v>44784.896631944444</v>
      </c>
      <c r="B2704" s="1">
        <v>44784.895057870373</v>
      </c>
      <c r="C2704">
        <v>58135</v>
      </c>
      <c r="D2704" t="s">
        <v>51</v>
      </c>
      <c r="E2704" t="s">
        <v>35</v>
      </c>
      <c r="F2704">
        <v>7</v>
      </c>
      <c r="G2704">
        <v>42.883873000000001</v>
      </c>
      <c r="H2704">
        <v>-71.972915999999998</v>
      </c>
      <c r="I2704">
        <v>808</v>
      </c>
      <c r="J2704">
        <v>75</v>
      </c>
      <c r="K2704">
        <v>0</v>
      </c>
      <c r="L2704" s="1">
        <v>44784.896550925929</v>
      </c>
      <c r="M2704">
        <v>5.5</v>
      </c>
      <c r="N2704">
        <v>4.4000000000000004</v>
      </c>
      <c r="O2704">
        <v>1.1000000000000001</v>
      </c>
      <c r="P2704">
        <v>22</v>
      </c>
      <c r="Q2704">
        <v>0.1</v>
      </c>
      <c r="R2704">
        <v>0.4</v>
      </c>
      <c r="S2704">
        <v>0.25</v>
      </c>
      <c r="T2704" t="s">
        <v>33</v>
      </c>
      <c r="U2704">
        <v>4.95</v>
      </c>
      <c r="V2704">
        <v>61</v>
      </c>
      <c r="W2704">
        <v>0</v>
      </c>
      <c r="X2704">
        <v>61</v>
      </c>
      <c r="Y2704">
        <v>2</v>
      </c>
      <c r="Z2704">
        <v>0</v>
      </c>
      <c r="AA2704">
        <v>2</v>
      </c>
      <c r="AB2704" t="s">
        <v>36</v>
      </c>
      <c r="AC2704">
        <v>61</v>
      </c>
      <c r="AD2704">
        <v>0.91</v>
      </c>
    </row>
    <row r="2705" spans="1:30" x14ac:dyDescent="0.25">
      <c r="A2705" s="1">
        <v>44784.896643518521</v>
      </c>
      <c r="B2705" s="1">
        <v>44784.89503472222</v>
      </c>
      <c r="C2705">
        <v>148555</v>
      </c>
      <c r="D2705" t="s">
        <v>52</v>
      </c>
      <c r="E2705" t="s">
        <v>53</v>
      </c>
      <c r="F2705">
        <v>7</v>
      </c>
      <c r="G2705">
        <v>42.904949999999999</v>
      </c>
      <c r="H2705">
        <v>-71.386764999999997</v>
      </c>
      <c r="I2705">
        <v>363</v>
      </c>
      <c r="J2705">
        <v>0</v>
      </c>
      <c r="K2705">
        <v>0</v>
      </c>
      <c r="L2705" s="1">
        <v>44784.896550925929</v>
      </c>
      <c r="M2705">
        <v>7.8</v>
      </c>
      <c r="N2705">
        <v>8.4</v>
      </c>
      <c r="O2705">
        <v>0.6</v>
      </c>
      <c r="P2705">
        <v>7</v>
      </c>
      <c r="Q2705">
        <v>0</v>
      </c>
      <c r="R2705">
        <v>0.2</v>
      </c>
      <c r="S2705">
        <v>0.1</v>
      </c>
      <c r="T2705" t="s">
        <v>33</v>
      </c>
      <c r="U2705">
        <v>8.1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 t="s">
        <v>38</v>
      </c>
    </row>
    <row r="2706" spans="1:30" x14ac:dyDescent="0.25">
      <c r="A2706" s="1">
        <v>44784.896643518521</v>
      </c>
      <c r="B2706" s="1">
        <v>44784.895925925928</v>
      </c>
      <c r="C2706">
        <v>146644</v>
      </c>
      <c r="D2706" t="s">
        <v>54</v>
      </c>
      <c r="E2706" t="s">
        <v>53</v>
      </c>
      <c r="F2706">
        <v>7</v>
      </c>
      <c r="G2706">
        <v>43.06015</v>
      </c>
      <c r="H2706">
        <v>-70.758930000000007</v>
      </c>
      <c r="I2706">
        <v>35</v>
      </c>
      <c r="J2706">
        <v>70</v>
      </c>
      <c r="K2706">
        <v>72</v>
      </c>
      <c r="L2706" s="1">
        <v>44784.896550925929</v>
      </c>
      <c r="M2706">
        <v>12</v>
      </c>
      <c r="N2706">
        <v>10.6</v>
      </c>
      <c r="O2706">
        <v>1.4</v>
      </c>
      <c r="P2706">
        <v>12</v>
      </c>
      <c r="Q2706">
        <v>0.2</v>
      </c>
      <c r="R2706">
        <v>0.1</v>
      </c>
      <c r="S2706">
        <v>0.15</v>
      </c>
      <c r="T2706" t="s">
        <v>33</v>
      </c>
      <c r="U2706">
        <v>11.3</v>
      </c>
      <c r="V2706">
        <v>71</v>
      </c>
      <c r="W2706">
        <v>76</v>
      </c>
      <c r="X2706">
        <v>5</v>
      </c>
      <c r="Y2706">
        <v>0</v>
      </c>
      <c r="Z2706">
        <v>1</v>
      </c>
      <c r="AA2706">
        <v>1</v>
      </c>
      <c r="AB2706" t="s">
        <v>33</v>
      </c>
      <c r="AC2706">
        <v>73.5</v>
      </c>
      <c r="AD2706">
        <v>3.91</v>
      </c>
    </row>
    <row r="2707" spans="1:30" x14ac:dyDescent="0.25">
      <c r="A2707" s="1">
        <v>44784.896655092591</v>
      </c>
      <c r="B2707" s="1">
        <v>43755.283437500002</v>
      </c>
      <c r="C2707">
        <v>12188</v>
      </c>
      <c r="D2707" t="s">
        <v>55</v>
      </c>
      <c r="E2707" t="s">
        <v>35</v>
      </c>
      <c r="F2707">
        <v>4.1100000000000003</v>
      </c>
      <c r="G2707">
        <v>42.927050000000001</v>
      </c>
      <c r="H2707">
        <v>-72.279610000000005</v>
      </c>
      <c r="I2707">
        <v>475</v>
      </c>
      <c r="J2707">
        <v>95</v>
      </c>
      <c r="K2707">
        <v>0</v>
      </c>
      <c r="L2707" s="1">
        <v>44784.896550925929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 t="s">
        <v>32</v>
      </c>
      <c r="V2707">
        <v>77</v>
      </c>
      <c r="W2707">
        <v>0</v>
      </c>
      <c r="X2707">
        <v>77</v>
      </c>
      <c r="Y2707">
        <v>0</v>
      </c>
      <c r="Z2707">
        <v>0</v>
      </c>
      <c r="AA2707">
        <v>0</v>
      </c>
      <c r="AB2707" t="s">
        <v>36</v>
      </c>
      <c r="AC2707">
        <v>77</v>
      </c>
    </row>
    <row r="2708" spans="1:30" x14ac:dyDescent="0.25">
      <c r="A2708" s="1">
        <v>44784.896655092591</v>
      </c>
      <c r="B2708" s="1">
        <v>44784.894942129627</v>
      </c>
      <c r="C2708">
        <v>1224</v>
      </c>
      <c r="D2708" t="s">
        <v>56</v>
      </c>
      <c r="E2708" t="s">
        <v>35</v>
      </c>
      <c r="F2708" t="s">
        <v>57</v>
      </c>
      <c r="G2708">
        <v>42.938034000000002</v>
      </c>
      <c r="H2708">
        <v>-72.259299999999996</v>
      </c>
      <c r="I2708">
        <v>792</v>
      </c>
      <c r="J2708">
        <v>80</v>
      </c>
      <c r="K2708">
        <v>0</v>
      </c>
      <c r="L2708" s="1">
        <v>44784.896550925929</v>
      </c>
      <c r="M2708">
        <v>4.7</v>
      </c>
      <c r="N2708">
        <v>0</v>
      </c>
      <c r="O2708">
        <v>4.7</v>
      </c>
      <c r="P2708">
        <v>200</v>
      </c>
      <c r="Q2708">
        <v>0</v>
      </c>
      <c r="R2708">
        <v>0</v>
      </c>
      <c r="S2708">
        <v>0</v>
      </c>
      <c r="T2708" t="s">
        <v>43</v>
      </c>
      <c r="V2708">
        <v>56</v>
      </c>
      <c r="W2708">
        <v>0</v>
      </c>
      <c r="X2708">
        <v>56</v>
      </c>
      <c r="Y2708">
        <v>1</v>
      </c>
      <c r="Z2708">
        <v>0</v>
      </c>
      <c r="AA2708">
        <v>1</v>
      </c>
      <c r="AB2708" t="s">
        <v>36</v>
      </c>
      <c r="AC2708">
        <v>56</v>
      </c>
    </row>
    <row r="2709" spans="1:30" x14ac:dyDescent="0.25">
      <c r="A2709" s="1">
        <v>44784.896666666667</v>
      </c>
      <c r="B2709" s="1">
        <v>44784.895775462966</v>
      </c>
      <c r="C2709">
        <v>1202</v>
      </c>
      <c r="D2709" t="s">
        <v>58</v>
      </c>
      <c r="E2709" t="s">
        <v>35</v>
      </c>
      <c r="F2709" t="s">
        <v>57</v>
      </c>
      <c r="G2709">
        <v>42.936554000000001</v>
      </c>
      <c r="H2709">
        <v>-72.271019999999993</v>
      </c>
      <c r="I2709">
        <v>488</v>
      </c>
      <c r="J2709">
        <v>0</v>
      </c>
      <c r="K2709">
        <v>0</v>
      </c>
      <c r="L2709" s="1">
        <v>44784.896550925929</v>
      </c>
      <c r="M2709">
        <v>10.4</v>
      </c>
      <c r="N2709">
        <v>9.5</v>
      </c>
      <c r="O2709">
        <v>0.9</v>
      </c>
      <c r="P2709">
        <v>9</v>
      </c>
      <c r="Q2709">
        <v>5</v>
      </c>
      <c r="R2709">
        <v>4.4000000000000004</v>
      </c>
      <c r="S2709">
        <v>4.7</v>
      </c>
      <c r="T2709" t="s">
        <v>33</v>
      </c>
      <c r="U2709">
        <v>9.9499999999999993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 t="s">
        <v>38</v>
      </c>
    </row>
    <row r="2710" spans="1:30" x14ac:dyDescent="0.25">
      <c r="A2710" s="1">
        <v>44784.896666666667</v>
      </c>
      <c r="B2710" s="1">
        <v>44612.080023148148</v>
      </c>
      <c r="C2710">
        <v>25985</v>
      </c>
      <c r="D2710" t="s">
        <v>59</v>
      </c>
      <c r="E2710" t="s">
        <v>35</v>
      </c>
      <c r="F2710">
        <v>6.01</v>
      </c>
      <c r="G2710">
        <v>42.927326000000001</v>
      </c>
      <c r="H2710">
        <v>-72.279979999999995</v>
      </c>
      <c r="I2710">
        <v>477</v>
      </c>
      <c r="J2710">
        <v>78</v>
      </c>
      <c r="K2710">
        <v>0</v>
      </c>
      <c r="L2710" s="1">
        <v>44784.896550925929</v>
      </c>
      <c r="M2710">
        <v>1.1000000000000001</v>
      </c>
      <c r="N2710">
        <v>1</v>
      </c>
      <c r="O2710">
        <v>0.1</v>
      </c>
      <c r="P2710">
        <v>10</v>
      </c>
      <c r="Q2710">
        <v>0</v>
      </c>
      <c r="R2710">
        <v>0</v>
      </c>
      <c r="S2710">
        <v>0</v>
      </c>
      <c r="T2710" t="s">
        <v>32</v>
      </c>
      <c r="V2710">
        <v>22</v>
      </c>
      <c r="W2710">
        <v>0</v>
      </c>
      <c r="X2710">
        <v>22</v>
      </c>
      <c r="Y2710">
        <v>0</v>
      </c>
      <c r="Z2710">
        <v>0</v>
      </c>
      <c r="AA2710">
        <v>0</v>
      </c>
      <c r="AB2710" t="s">
        <v>36</v>
      </c>
      <c r="AC2710">
        <v>22</v>
      </c>
    </row>
    <row r="2711" spans="1:30" x14ac:dyDescent="0.25">
      <c r="A2711" s="1">
        <v>44784.903506944444</v>
      </c>
      <c r="B2711" s="1">
        <v>44775.701319444444</v>
      </c>
      <c r="C2711">
        <v>151708</v>
      </c>
      <c r="D2711" t="s">
        <v>30</v>
      </c>
      <c r="E2711" t="s">
        <v>31</v>
      </c>
      <c r="F2711">
        <v>7</v>
      </c>
      <c r="G2711">
        <v>43.192042999999998</v>
      </c>
      <c r="H2711">
        <v>-71.541579999999996</v>
      </c>
      <c r="I2711">
        <v>291</v>
      </c>
      <c r="J2711">
        <v>93</v>
      </c>
      <c r="K2711">
        <v>94</v>
      </c>
      <c r="L2711" s="1">
        <v>44784.903495370374</v>
      </c>
      <c r="M2711">
        <v>7.9</v>
      </c>
      <c r="N2711">
        <v>7.6</v>
      </c>
      <c r="O2711">
        <v>0.3</v>
      </c>
      <c r="P2711">
        <v>4</v>
      </c>
      <c r="Q2711">
        <v>0</v>
      </c>
      <c r="R2711">
        <v>0</v>
      </c>
      <c r="S2711">
        <v>0</v>
      </c>
      <c r="T2711" t="s">
        <v>32</v>
      </c>
      <c r="V2711">
        <v>42</v>
      </c>
      <c r="W2711">
        <v>41</v>
      </c>
      <c r="X2711">
        <v>1</v>
      </c>
      <c r="Y2711">
        <v>0</v>
      </c>
      <c r="Z2711">
        <v>0</v>
      </c>
      <c r="AA2711">
        <v>0</v>
      </c>
      <c r="AB2711" t="s">
        <v>33</v>
      </c>
      <c r="AC2711">
        <v>41.5</v>
      </c>
    </row>
    <row r="2712" spans="1:30" x14ac:dyDescent="0.25">
      <c r="A2712" s="1">
        <v>44784.903506944444</v>
      </c>
      <c r="B2712" s="1">
        <v>44784.901921296296</v>
      </c>
      <c r="C2712">
        <v>143456</v>
      </c>
      <c r="D2712" t="s">
        <v>34</v>
      </c>
      <c r="E2712" t="s">
        <v>35</v>
      </c>
      <c r="F2712">
        <v>7</v>
      </c>
      <c r="G2712">
        <v>43.08963</v>
      </c>
      <c r="H2712">
        <v>-71.502440000000007</v>
      </c>
      <c r="I2712">
        <v>619</v>
      </c>
      <c r="J2712">
        <v>76</v>
      </c>
      <c r="K2712">
        <v>0</v>
      </c>
      <c r="L2712" s="1">
        <v>44784.903495370374</v>
      </c>
      <c r="M2712">
        <v>3.3</v>
      </c>
      <c r="N2712">
        <v>3.9</v>
      </c>
      <c r="O2712">
        <v>0.6</v>
      </c>
      <c r="P2712">
        <v>17</v>
      </c>
      <c r="Q2712">
        <v>0</v>
      </c>
      <c r="R2712">
        <v>0.1</v>
      </c>
      <c r="S2712">
        <v>0.05</v>
      </c>
      <c r="T2712" t="s">
        <v>33</v>
      </c>
      <c r="U2712">
        <v>3.6</v>
      </c>
      <c r="V2712">
        <v>57</v>
      </c>
      <c r="W2712">
        <v>0</v>
      </c>
      <c r="X2712">
        <v>57</v>
      </c>
      <c r="Y2712">
        <v>0</v>
      </c>
      <c r="Z2712">
        <v>0</v>
      </c>
      <c r="AA2712">
        <v>0</v>
      </c>
      <c r="AB2712" t="s">
        <v>36</v>
      </c>
      <c r="AC2712">
        <v>57</v>
      </c>
      <c r="AD2712">
        <v>0.37</v>
      </c>
    </row>
    <row r="2713" spans="1:30" x14ac:dyDescent="0.25">
      <c r="A2713" s="1">
        <v>44784.90351851852</v>
      </c>
      <c r="B2713" s="1">
        <v>44784.902060185188</v>
      </c>
      <c r="C2713">
        <v>151702</v>
      </c>
      <c r="D2713" t="s">
        <v>37</v>
      </c>
      <c r="E2713" t="s">
        <v>31</v>
      </c>
      <c r="F2713">
        <v>7</v>
      </c>
      <c r="G2713">
        <v>43.118609999999997</v>
      </c>
      <c r="H2713">
        <v>-71.61618</v>
      </c>
      <c r="I2713">
        <v>885</v>
      </c>
      <c r="J2713">
        <v>0</v>
      </c>
      <c r="K2713">
        <v>0</v>
      </c>
      <c r="L2713" s="1">
        <v>44784.903495370374</v>
      </c>
      <c r="M2713">
        <v>3.3</v>
      </c>
      <c r="N2713">
        <v>3.3</v>
      </c>
      <c r="O2713">
        <v>0</v>
      </c>
      <c r="P2713">
        <v>0</v>
      </c>
      <c r="Q2713">
        <v>0.1</v>
      </c>
      <c r="R2713">
        <v>0.1</v>
      </c>
      <c r="S2713">
        <v>0.1</v>
      </c>
      <c r="T2713" t="s">
        <v>33</v>
      </c>
      <c r="U2713">
        <v>3.3</v>
      </c>
      <c r="V2713">
        <v>0</v>
      </c>
      <c r="W2713">
        <v>0</v>
      </c>
      <c r="X2713">
        <v>0</v>
      </c>
      <c r="Y2713">
        <v>0</v>
      </c>
      <c r="Z2713">
        <v>0</v>
      </c>
      <c r="AA2713">
        <v>0</v>
      </c>
      <c r="AB2713" t="s">
        <v>38</v>
      </c>
    </row>
    <row r="2714" spans="1:30" x14ac:dyDescent="0.25">
      <c r="A2714" s="1">
        <v>44784.90351851852</v>
      </c>
      <c r="B2714" s="1">
        <v>44784.901967592596</v>
      </c>
      <c r="C2714">
        <v>151700</v>
      </c>
      <c r="D2714" t="s">
        <v>30</v>
      </c>
      <c r="E2714" t="s">
        <v>31</v>
      </c>
      <c r="F2714">
        <v>7</v>
      </c>
      <c r="G2714">
        <v>43.19211</v>
      </c>
      <c r="H2714">
        <v>-71.541460000000001</v>
      </c>
      <c r="I2714">
        <v>286</v>
      </c>
      <c r="J2714">
        <v>80</v>
      </c>
      <c r="K2714">
        <v>0</v>
      </c>
      <c r="L2714" s="1">
        <v>44784.903495370374</v>
      </c>
      <c r="M2714">
        <v>2.7</v>
      </c>
      <c r="N2714">
        <v>3.1</v>
      </c>
      <c r="O2714">
        <v>0.4</v>
      </c>
      <c r="P2714">
        <v>14</v>
      </c>
      <c r="Q2714">
        <v>0</v>
      </c>
      <c r="R2714">
        <v>0</v>
      </c>
      <c r="S2714">
        <v>0</v>
      </c>
      <c r="T2714" t="s">
        <v>33</v>
      </c>
      <c r="U2714">
        <v>2.9</v>
      </c>
      <c r="V2714">
        <v>47</v>
      </c>
      <c r="W2714">
        <v>0</v>
      </c>
      <c r="X2714">
        <v>47</v>
      </c>
      <c r="Y2714">
        <v>1</v>
      </c>
      <c r="Z2714">
        <v>0</v>
      </c>
      <c r="AA2714">
        <v>1</v>
      </c>
      <c r="AB2714" t="s">
        <v>36</v>
      </c>
      <c r="AC2714">
        <v>47</v>
      </c>
      <c r="AD2714">
        <v>0.64</v>
      </c>
    </row>
    <row r="2715" spans="1:30" x14ac:dyDescent="0.25">
      <c r="A2715" s="1">
        <v>44784.90351851852</v>
      </c>
      <c r="B2715" s="1">
        <v>44784.902407407404</v>
      </c>
      <c r="C2715">
        <v>135984</v>
      </c>
      <c r="D2715" t="s">
        <v>39</v>
      </c>
      <c r="E2715" t="s">
        <v>31</v>
      </c>
      <c r="F2715">
        <v>7</v>
      </c>
      <c r="G2715">
        <v>43.565852999999997</v>
      </c>
      <c r="H2715">
        <v>-71.496129999999994</v>
      </c>
      <c r="I2715">
        <v>708</v>
      </c>
      <c r="J2715">
        <v>69</v>
      </c>
      <c r="K2715">
        <v>0</v>
      </c>
      <c r="L2715" s="1">
        <v>44784.903495370374</v>
      </c>
      <c r="M2715">
        <v>3.6</v>
      </c>
      <c r="N2715">
        <v>3.2</v>
      </c>
      <c r="O2715">
        <v>0.4</v>
      </c>
      <c r="P2715">
        <v>12</v>
      </c>
      <c r="Q2715">
        <v>0.4</v>
      </c>
      <c r="R2715">
        <v>0.2</v>
      </c>
      <c r="S2715">
        <v>0.3</v>
      </c>
      <c r="T2715" t="s">
        <v>33</v>
      </c>
      <c r="U2715">
        <v>3.4</v>
      </c>
      <c r="V2715">
        <v>85</v>
      </c>
      <c r="W2715">
        <v>0</v>
      </c>
      <c r="X2715">
        <v>85</v>
      </c>
      <c r="Y2715">
        <v>2</v>
      </c>
      <c r="Z2715">
        <v>0</v>
      </c>
      <c r="AA2715">
        <v>2</v>
      </c>
      <c r="AB2715" t="s">
        <v>36</v>
      </c>
      <c r="AC2715">
        <v>85</v>
      </c>
      <c r="AD2715">
        <v>-1.72</v>
      </c>
    </row>
    <row r="2716" spans="1:30" x14ac:dyDescent="0.25">
      <c r="A2716" s="1">
        <v>44784.90353009259</v>
      </c>
      <c r="B2716" s="1">
        <v>44780.394780092596</v>
      </c>
      <c r="C2716">
        <v>151712</v>
      </c>
      <c r="D2716" t="s">
        <v>40</v>
      </c>
      <c r="E2716" t="s">
        <v>31</v>
      </c>
      <c r="F2716">
        <v>7</v>
      </c>
      <c r="G2716">
        <v>43.289763999999998</v>
      </c>
      <c r="H2716">
        <v>-71.564260000000004</v>
      </c>
      <c r="I2716">
        <v>370</v>
      </c>
      <c r="J2716">
        <v>86</v>
      </c>
      <c r="K2716">
        <v>0</v>
      </c>
      <c r="L2716" s="1">
        <v>44784.903495370374</v>
      </c>
      <c r="M2716">
        <v>14</v>
      </c>
      <c r="N2716">
        <v>13.2</v>
      </c>
      <c r="O2716">
        <v>0.8</v>
      </c>
      <c r="P2716">
        <v>6</v>
      </c>
      <c r="Q2716">
        <v>0</v>
      </c>
      <c r="R2716">
        <v>0</v>
      </c>
      <c r="S2716">
        <v>0</v>
      </c>
      <c r="T2716" t="s">
        <v>32</v>
      </c>
      <c r="V2716">
        <v>59</v>
      </c>
      <c r="W2716">
        <v>0</v>
      </c>
      <c r="X2716">
        <v>59</v>
      </c>
      <c r="Y2716">
        <v>0</v>
      </c>
      <c r="Z2716">
        <v>0</v>
      </c>
      <c r="AA2716">
        <v>0</v>
      </c>
      <c r="AB2716" t="s">
        <v>36</v>
      </c>
      <c r="AC2716">
        <v>59</v>
      </c>
    </row>
    <row r="2717" spans="1:30" x14ac:dyDescent="0.25">
      <c r="A2717" s="1">
        <v>44784.90353009259</v>
      </c>
      <c r="B2717" s="1">
        <v>44784.903113425928</v>
      </c>
      <c r="C2717">
        <v>151710</v>
      </c>
      <c r="D2717" t="s">
        <v>41</v>
      </c>
      <c r="E2717" t="s">
        <v>31</v>
      </c>
      <c r="F2717">
        <v>7</v>
      </c>
      <c r="G2717">
        <v>43.132477000000002</v>
      </c>
      <c r="H2717">
        <v>-71.458374000000006</v>
      </c>
      <c r="I2717">
        <v>230</v>
      </c>
      <c r="J2717">
        <v>78</v>
      </c>
      <c r="K2717">
        <v>0</v>
      </c>
      <c r="L2717" s="1">
        <v>44784.903495370374</v>
      </c>
      <c r="M2717">
        <v>6.7</v>
      </c>
      <c r="N2717">
        <v>5.0999999999999996</v>
      </c>
      <c r="O2717">
        <v>1.6</v>
      </c>
      <c r="P2717">
        <v>27</v>
      </c>
      <c r="Q2717">
        <v>0.4</v>
      </c>
      <c r="R2717">
        <v>0.5</v>
      </c>
      <c r="S2717">
        <v>0.45</v>
      </c>
      <c r="T2717" t="s">
        <v>33</v>
      </c>
      <c r="U2717">
        <v>5.9</v>
      </c>
      <c r="V2717">
        <v>51</v>
      </c>
      <c r="W2717">
        <v>0</v>
      </c>
      <c r="X2717">
        <v>51</v>
      </c>
      <c r="Y2717">
        <v>0</v>
      </c>
      <c r="Z2717">
        <v>0</v>
      </c>
      <c r="AA2717">
        <v>0</v>
      </c>
      <c r="AB2717" t="s">
        <v>36</v>
      </c>
      <c r="AC2717">
        <v>51</v>
      </c>
      <c r="AD2717">
        <v>2.19</v>
      </c>
    </row>
    <row r="2718" spans="1:30" x14ac:dyDescent="0.25">
      <c r="A2718" s="1">
        <v>44784.903541666667</v>
      </c>
      <c r="B2718" s="1">
        <v>44784.902743055558</v>
      </c>
      <c r="C2718">
        <v>151706</v>
      </c>
      <c r="D2718" t="s">
        <v>42</v>
      </c>
      <c r="E2718" t="s">
        <v>31</v>
      </c>
      <c r="F2718">
        <v>7</v>
      </c>
      <c r="G2718">
        <v>43.004080000000002</v>
      </c>
      <c r="H2718">
        <v>-71.177040000000005</v>
      </c>
      <c r="I2718">
        <v>194</v>
      </c>
      <c r="J2718">
        <v>75</v>
      </c>
      <c r="K2718">
        <v>0</v>
      </c>
      <c r="L2718" s="1">
        <v>44784.903495370374</v>
      </c>
      <c r="M2718">
        <v>13.2</v>
      </c>
      <c r="N2718">
        <v>0</v>
      </c>
      <c r="O2718">
        <v>13.2</v>
      </c>
      <c r="P2718">
        <v>200</v>
      </c>
      <c r="Q2718">
        <v>0.4</v>
      </c>
      <c r="R2718">
        <v>0</v>
      </c>
      <c r="S2718">
        <v>0.2</v>
      </c>
      <c r="T2718" t="s">
        <v>43</v>
      </c>
      <c r="V2718">
        <v>68</v>
      </c>
      <c r="W2718">
        <v>0</v>
      </c>
      <c r="X2718">
        <v>68</v>
      </c>
      <c r="Y2718">
        <v>0</v>
      </c>
      <c r="Z2718">
        <v>0</v>
      </c>
      <c r="AA2718">
        <v>0</v>
      </c>
      <c r="AB2718" t="s">
        <v>36</v>
      </c>
      <c r="AC2718">
        <v>68</v>
      </c>
    </row>
    <row r="2719" spans="1:30" x14ac:dyDescent="0.25">
      <c r="A2719" s="1">
        <v>44784.903541666667</v>
      </c>
      <c r="B2719" s="1">
        <v>44784.902569444443</v>
      </c>
      <c r="C2719">
        <v>12212</v>
      </c>
      <c r="D2719" t="s">
        <v>44</v>
      </c>
      <c r="E2719" t="s">
        <v>35</v>
      </c>
      <c r="F2719">
        <v>7</v>
      </c>
      <c r="G2719">
        <v>42.930529999999997</v>
      </c>
      <c r="H2719">
        <v>-72.272350000000003</v>
      </c>
      <c r="I2719">
        <v>476</v>
      </c>
      <c r="J2719">
        <v>80</v>
      </c>
      <c r="K2719">
        <v>0</v>
      </c>
      <c r="L2719" s="1">
        <v>44784.903495370374</v>
      </c>
      <c r="M2719">
        <v>4.9000000000000004</v>
      </c>
      <c r="N2719">
        <v>4.4000000000000004</v>
      </c>
      <c r="O2719">
        <v>0.5</v>
      </c>
      <c r="P2719">
        <v>11</v>
      </c>
      <c r="Q2719">
        <v>0.1</v>
      </c>
      <c r="R2719">
        <v>0.1</v>
      </c>
      <c r="S2719">
        <v>0.1</v>
      </c>
      <c r="T2719" t="s">
        <v>33</v>
      </c>
      <c r="U2719">
        <v>4.6500000000000004</v>
      </c>
      <c r="V2719">
        <v>50</v>
      </c>
      <c r="W2719">
        <v>0</v>
      </c>
      <c r="X2719">
        <v>50</v>
      </c>
      <c r="Y2719">
        <v>2</v>
      </c>
      <c r="Z2719">
        <v>0</v>
      </c>
      <c r="AA2719">
        <v>2</v>
      </c>
      <c r="AB2719" t="s">
        <v>36</v>
      </c>
      <c r="AC2719">
        <v>50</v>
      </c>
      <c r="AD2719">
        <v>1.5</v>
      </c>
    </row>
    <row r="2720" spans="1:30" x14ac:dyDescent="0.25">
      <c r="A2720" s="1">
        <v>44784.903541666667</v>
      </c>
      <c r="B2720" s="1">
        <v>44769.376736111109</v>
      </c>
      <c r="C2720">
        <v>12178</v>
      </c>
      <c r="D2720" t="s">
        <v>45</v>
      </c>
      <c r="E2720" t="s">
        <v>35</v>
      </c>
      <c r="F2720">
        <v>7</v>
      </c>
      <c r="G2720">
        <v>42.899563000000001</v>
      </c>
      <c r="H2720">
        <v>-71.464650000000006</v>
      </c>
      <c r="I2720">
        <v>301</v>
      </c>
      <c r="J2720">
        <v>85</v>
      </c>
      <c r="K2720">
        <v>0</v>
      </c>
      <c r="L2720" s="1">
        <v>44784.903495370374</v>
      </c>
      <c r="M2720">
        <v>3.8</v>
      </c>
      <c r="N2720">
        <v>3.1</v>
      </c>
      <c r="O2720">
        <v>0.7</v>
      </c>
      <c r="P2720">
        <v>20</v>
      </c>
      <c r="Q2720">
        <v>0</v>
      </c>
      <c r="R2720">
        <v>0</v>
      </c>
      <c r="S2720">
        <v>0</v>
      </c>
      <c r="T2720" t="s">
        <v>32</v>
      </c>
      <c r="V2720">
        <v>35</v>
      </c>
      <c r="W2720">
        <v>0</v>
      </c>
      <c r="X2720">
        <v>35</v>
      </c>
      <c r="Y2720">
        <v>0</v>
      </c>
      <c r="Z2720">
        <v>0</v>
      </c>
      <c r="AA2720">
        <v>0</v>
      </c>
      <c r="AB2720" t="s">
        <v>36</v>
      </c>
      <c r="AC2720">
        <v>35</v>
      </c>
    </row>
    <row r="2721" spans="1:30" x14ac:dyDescent="0.25">
      <c r="A2721" s="1">
        <v>44784.903553240743</v>
      </c>
      <c r="B2721" s="1">
        <v>44784.901817129627</v>
      </c>
      <c r="C2721">
        <v>75981</v>
      </c>
      <c r="D2721" t="s">
        <v>46</v>
      </c>
      <c r="E2721" t="s">
        <v>35</v>
      </c>
      <c r="F2721">
        <v>7</v>
      </c>
      <c r="G2721">
        <v>42.97</v>
      </c>
      <c r="H2721">
        <v>-71.06</v>
      </c>
      <c r="I2721">
        <v>136</v>
      </c>
      <c r="J2721">
        <v>80</v>
      </c>
      <c r="K2721">
        <v>0</v>
      </c>
      <c r="L2721" s="1">
        <v>44784.903495370374</v>
      </c>
      <c r="M2721">
        <v>11.9</v>
      </c>
      <c r="N2721">
        <v>11.6</v>
      </c>
      <c r="O2721">
        <v>0.3</v>
      </c>
      <c r="P2721">
        <v>3</v>
      </c>
      <c r="Q2721">
        <v>0</v>
      </c>
      <c r="R2721">
        <v>0.2</v>
      </c>
      <c r="S2721">
        <v>0.1</v>
      </c>
      <c r="T2721" t="s">
        <v>33</v>
      </c>
      <c r="U2721">
        <v>11.75</v>
      </c>
      <c r="V2721">
        <v>58</v>
      </c>
      <c r="W2721">
        <v>0</v>
      </c>
      <c r="X2721">
        <v>58</v>
      </c>
      <c r="Y2721">
        <v>1</v>
      </c>
      <c r="Z2721">
        <v>0</v>
      </c>
      <c r="AA2721">
        <v>1</v>
      </c>
      <c r="AB2721" t="s">
        <v>36</v>
      </c>
      <c r="AC2721">
        <v>58</v>
      </c>
      <c r="AD2721">
        <v>5.27</v>
      </c>
    </row>
    <row r="2722" spans="1:30" x14ac:dyDescent="0.25">
      <c r="A2722" s="1">
        <v>44784.903553240743</v>
      </c>
      <c r="B2722" s="1">
        <v>44784.902361111112</v>
      </c>
      <c r="C2722">
        <v>115703</v>
      </c>
      <c r="D2722" t="s">
        <v>47</v>
      </c>
      <c r="E2722" t="s">
        <v>35</v>
      </c>
      <c r="F2722">
        <v>7</v>
      </c>
      <c r="G2722">
        <v>43.953625000000002</v>
      </c>
      <c r="H2722">
        <v>-71.508859999999999</v>
      </c>
      <c r="I2722">
        <v>1493</v>
      </c>
      <c r="J2722">
        <v>70</v>
      </c>
      <c r="K2722">
        <v>0</v>
      </c>
      <c r="L2722" s="1">
        <v>44784.903495370374</v>
      </c>
      <c r="M2722">
        <v>0.1</v>
      </c>
      <c r="N2722">
        <v>201</v>
      </c>
      <c r="O2722">
        <v>200.9</v>
      </c>
      <c r="P2722">
        <v>200</v>
      </c>
      <c r="Q2722">
        <v>0.1</v>
      </c>
      <c r="R2722">
        <v>0</v>
      </c>
      <c r="S2722">
        <v>0.05</v>
      </c>
      <c r="T2722" t="s">
        <v>60</v>
      </c>
      <c r="V2722">
        <v>65</v>
      </c>
      <c r="W2722">
        <v>0</v>
      </c>
      <c r="X2722">
        <v>65</v>
      </c>
      <c r="Y2722">
        <v>1</v>
      </c>
      <c r="Z2722">
        <v>0</v>
      </c>
      <c r="AA2722">
        <v>1</v>
      </c>
      <c r="AB2722" t="s">
        <v>36</v>
      </c>
      <c r="AC2722">
        <v>65</v>
      </c>
    </row>
    <row r="2723" spans="1:30" x14ac:dyDescent="0.25">
      <c r="A2723" s="1">
        <v>44784.903564814813</v>
      </c>
      <c r="B2723" s="1">
        <v>44784.903171296297</v>
      </c>
      <c r="C2723">
        <v>12050</v>
      </c>
      <c r="D2723" t="s">
        <v>49</v>
      </c>
      <c r="E2723" t="s">
        <v>35</v>
      </c>
      <c r="F2723">
        <v>7</v>
      </c>
      <c r="G2723">
        <v>44.220573000000002</v>
      </c>
      <c r="H2723">
        <v>-71.732315</v>
      </c>
      <c r="I2723">
        <v>999</v>
      </c>
      <c r="J2723">
        <v>76</v>
      </c>
      <c r="K2723">
        <v>0</v>
      </c>
      <c r="L2723" s="1">
        <v>44784.903495370374</v>
      </c>
      <c r="M2723">
        <v>16.5</v>
      </c>
      <c r="N2723">
        <v>15.7</v>
      </c>
      <c r="O2723">
        <v>0.8</v>
      </c>
      <c r="P2723">
        <v>5</v>
      </c>
      <c r="Q2723">
        <v>2.6</v>
      </c>
      <c r="R2723">
        <v>2.9</v>
      </c>
      <c r="S2723">
        <v>2.75</v>
      </c>
      <c r="T2723" t="s">
        <v>33</v>
      </c>
      <c r="U2723">
        <v>16.100000000000001</v>
      </c>
      <c r="V2723">
        <v>58</v>
      </c>
      <c r="W2723">
        <v>0</v>
      </c>
      <c r="X2723">
        <v>58</v>
      </c>
      <c r="Y2723">
        <v>1</v>
      </c>
      <c r="Z2723">
        <v>0</v>
      </c>
      <c r="AA2723">
        <v>1</v>
      </c>
      <c r="AB2723" t="s">
        <v>36</v>
      </c>
      <c r="AC2723">
        <v>58</v>
      </c>
      <c r="AD2723">
        <v>7.92</v>
      </c>
    </row>
    <row r="2724" spans="1:30" x14ac:dyDescent="0.25">
      <c r="A2724" s="1">
        <v>44784.903564814813</v>
      </c>
      <c r="B2724" s="1">
        <v>44784.901898148149</v>
      </c>
      <c r="C2724">
        <v>23443</v>
      </c>
      <c r="D2724" t="s">
        <v>50</v>
      </c>
      <c r="E2724" t="s">
        <v>35</v>
      </c>
      <c r="F2724">
        <v>7</v>
      </c>
      <c r="G2724">
        <v>43.556139999999999</v>
      </c>
      <c r="H2724">
        <v>-72.370990000000006</v>
      </c>
      <c r="I2724">
        <v>523</v>
      </c>
      <c r="J2724">
        <v>73</v>
      </c>
      <c r="K2724">
        <v>0</v>
      </c>
      <c r="L2724" s="1">
        <v>44784.903495370374</v>
      </c>
      <c r="M2724">
        <v>6.6</v>
      </c>
      <c r="N2724">
        <v>6</v>
      </c>
      <c r="O2724">
        <v>0.6</v>
      </c>
      <c r="P2724">
        <v>10</v>
      </c>
      <c r="Q2724">
        <v>0.1</v>
      </c>
      <c r="R2724">
        <v>0</v>
      </c>
      <c r="S2724">
        <v>0.05</v>
      </c>
      <c r="T2724" t="s">
        <v>33</v>
      </c>
      <c r="U2724">
        <v>6.3</v>
      </c>
      <c r="V2724">
        <v>67</v>
      </c>
      <c r="W2724">
        <v>0</v>
      </c>
      <c r="X2724">
        <v>67</v>
      </c>
      <c r="Y2724">
        <v>1</v>
      </c>
      <c r="Z2724">
        <v>0</v>
      </c>
      <c r="AA2724">
        <v>1</v>
      </c>
      <c r="AB2724" t="s">
        <v>36</v>
      </c>
      <c r="AC2724">
        <v>67</v>
      </c>
      <c r="AD2724">
        <v>1.31</v>
      </c>
    </row>
    <row r="2725" spans="1:30" x14ac:dyDescent="0.25">
      <c r="A2725" s="1">
        <v>44784.90357638889</v>
      </c>
      <c r="B2725" s="1">
        <v>44784.902002314811</v>
      </c>
      <c r="C2725">
        <v>58135</v>
      </c>
      <c r="D2725" t="s">
        <v>51</v>
      </c>
      <c r="E2725" t="s">
        <v>35</v>
      </c>
      <c r="F2725">
        <v>7</v>
      </c>
      <c r="G2725">
        <v>42.883873000000001</v>
      </c>
      <c r="H2725">
        <v>-71.972915999999998</v>
      </c>
      <c r="I2725">
        <v>808</v>
      </c>
      <c r="J2725">
        <v>75</v>
      </c>
      <c r="K2725">
        <v>0</v>
      </c>
      <c r="L2725" s="1">
        <v>44784.903495370374</v>
      </c>
      <c r="M2725">
        <v>5.5</v>
      </c>
      <c r="N2725">
        <v>4.0999999999999996</v>
      </c>
      <c r="O2725">
        <v>1.4</v>
      </c>
      <c r="P2725">
        <v>29</v>
      </c>
      <c r="Q2725">
        <v>0</v>
      </c>
      <c r="R2725">
        <v>0.3</v>
      </c>
      <c r="S2725">
        <v>0.15</v>
      </c>
      <c r="T2725" t="s">
        <v>33</v>
      </c>
      <c r="U2725">
        <v>4.8</v>
      </c>
      <c r="V2725">
        <v>61</v>
      </c>
      <c r="W2725">
        <v>0</v>
      </c>
      <c r="X2725">
        <v>61</v>
      </c>
      <c r="Y2725">
        <v>0</v>
      </c>
      <c r="Z2725">
        <v>0</v>
      </c>
      <c r="AA2725">
        <v>0</v>
      </c>
      <c r="AB2725" t="s">
        <v>36</v>
      </c>
      <c r="AC2725">
        <v>61</v>
      </c>
      <c r="AD2725">
        <v>0.82</v>
      </c>
    </row>
    <row r="2726" spans="1:30" x14ac:dyDescent="0.25">
      <c r="A2726" s="1">
        <v>44784.903622685182</v>
      </c>
      <c r="B2726" s="1">
        <v>44784.903368055559</v>
      </c>
      <c r="C2726">
        <v>148555</v>
      </c>
      <c r="D2726" t="s">
        <v>52</v>
      </c>
      <c r="E2726" t="s">
        <v>53</v>
      </c>
      <c r="F2726">
        <v>7</v>
      </c>
      <c r="G2726">
        <v>42.904949999999999</v>
      </c>
      <c r="H2726">
        <v>-71.386764999999997</v>
      </c>
      <c r="I2726">
        <v>363</v>
      </c>
      <c r="J2726">
        <v>0</v>
      </c>
      <c r="K2726">
        <v>0</v>
      </c>
      <c r="L2726" s="1">
        <v>44784.903495370374</v>
      </c>
      <c r="M2726">
        <v>7.4</v>
      </c>
      <c r="N2726">
        <v>8.1999999999999993</v>
      </c>
      <c r="O2726">
        <v>0.8</v>
      </c>
      <c r="P2726">
        <v>10</v>
      </c>
      <c r="Q2726">
        <v>0.4</v>
      </c>
      <c r="R2726">
        <v>0.2</v>
      </c>
      <c r="S2726">
        <v>0.3</v>
      </c>
      <c r="T2726" t="s">
        <v>33</v>
      </c>
      <c r="U2726">
        <v>7.8</v>
      </c>
      <c r="V2726">
        <v>0</v>
      </c>
      <c r="W2726">
        <v>0</v>
      </c>
      <c r="X2726">
        <v>0</v>
      </c>
      <c r="Y2726">
        <v>0</v>
      </c>
      <c r="Z2726">
        <v>0</v>
      </c>
      <c r="AA2726">
        <v>0</v>
      </c>
      <c r="AB2726" t="s">
        <v>38</v>
      </c>
    </row>
    <row r="2727" spans="1:30" x14ac:dyDescent="0.25">
      <c r="A2727" s="1">
        <v>44784.903622685182</v>
      </c>
      <c r="B2727" s="1">
        <v>44784.902870370373</v>
      </c>
      <c r="C2727">
        <v>146644</v>
      </c>
      <c r="D2727" t="s">
        <v>54</v>
      </c>
      <c r="E2727" t="s">
        <v>53</v>
      </c>
      <c r="F2727">
        <v>7</v>
      </c>
      <c r="G2727">
        <v>43.06015</v>
      </c>
      <c r="H2727">
        <v>-70.758930000000007</v>
      </c>
      <c r="I2727">
        <v>35</v>
      </c>
      <c r="J2727">
        <v>70</v>
      </c>
      <c r="K2727">
        <v>72</v>
      </c>
      <c r="L2727" s="1">
        <v>44784.903495370374</v>
      </c>
      <c r="M2727">
        <v>12.2</v>
      </c>
      <c r="N2727">
        <v>10.6</v>
      </c>
      <c r="O2727">
        <v>1.6</v>
      </c>
      <c r="P2727">
        <v>14</v>
      </c>
      <c r="Q2727">
        <v>0.2</v>
      </c>
      <c r="R2727">
        <v>0</v>
      </c>
      <c r="S2727">
        <v>0.1</v>
      </c>
      <c r="T2727" t="s">
        <v>33</v>
      </c>
      <c r="U2727">
        <v>11.4</v>
      </c>
      <c r="V2727">
        <v>72</v>
      </c>
      <c r="W2727">
        <v>76</v>
      </c>
      <c r="X2727">
        <v>4</v>
      </c>
      <c r="Y2727">
        <v>1</v>
      </c>
      <c r="Z2727">
        <v>0</v>
      </c>
      <c r="AA2727">
        <v>1</v>
      </c>
      <c r="AB2727" t="s">
        <v>33</v>
      </c>
      <c r="AC2727">
        <v>74</v>
      </c>
      <c r="AD2727">
        <v>3.93</v>
      </c>
    </row>
    <row r="2728" spans="1:30" x14ac:dyDescent="0.25">
      <c r="A2728" s="1">
        <v>44784.903634259259</v>
      </c>
      <c r="B2728" s="1">
        <v>43755.283437500002</v>
      </c>
      <c r="C2728">
        <v>12188</v>
      </c>
      <c r="D2728" t="s">
        <v>55</v>
      </c>
      <c r="E2728" t="s">
        <v>35</v>
      </c>
      <c r="F2728">
        <v>4.1100000000000003</v>
      </c>
      <c r="G2728">
        <v>42.927050000000001</v>
      </c>
      <c r="H2728">
        <v>-72.279610000000005</v>
      </c>
      <c r="I2728">
        <v>475</v>
      </c>
      <c r="J2728">
        <v>95</v>
      </c>
      <c r="K2728">
        <v>0</v>
      </c>
      <c r="L2728" s="1">
        <v>44784.903495370374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 t="s">
        <v>32</v>
      </c>
      <c r="V2728">
        <v>77</v>
      </c>
      <c r="W2728">
        <v>0</v>
      </c>
      <c r="X2728">
        <v>77</v>
      </c>
      <c r="Y2728">
        <v>0</v>
      </c>
      <c r="Z2728">
        <v>0</v>
      </c>
      <c r="AA2728">
        <v>0</v>
      </c>
      <c r="AB2728" t="s">
        <v>36</v>
      </c>
      <c r="AC2728">
        <v>77</v>
      </c>
    </row>
    <row r="2729" spans="1:30" x14ac:dyDescent="0.25">
      <c r="A2729" s="1">
        <v>44784.903634259259</v>
      </c>
      <c r="B2729" s="1">
        <v>44784.903275462966</v>
      </c>
      <c r="C2729">
        <v>1224</v>
      </c>
      <c r="D2729" t="s">
        <v>56</v>
      </c>
      <c r="E2729" t="s">
        <v>35</v>
      </c>
      <c r="F2729" t="s">
        <v>57</v>
      </c>
      <c r="G2729">
        <v>42.938034000000002</v>
      </c>
      <c r="H2729">
        <v>-72.259299999999996</v>
      </c>
      <c r="I2729">
        <v>792</v>
      </c>
      <c r="J2729">
        <v>79</v>
      </c>
      <c r="K2729">
        <v>0</v>
      </c>
      <c r="L2729" s="1">
        <v>44784.903495370374</v>
      </c>
      <c r="M2729">
        <v>4.8</v>
      </c>
      <c r="N2729">
        <v>0</v>
      </c>
      <c r="O2729">
        <v>4.8</v>
      </c>
      <c r="P2729">
        <v>200</v>
      </c>
      <c r="Q2729">
        <v>0.1</v>
      </c>
      <c r="R2729">
        <v>0</v>
      </c>
      <c r="S2729">
        <v>0.05</v>
      </c>
      <c r="T2729" t="s">
        <v>43</v>
      </c>
      <c r="V2729">
        <v>57</v>
      </c>
      <c r="W2729">
        <v>0</v>
      </c>
      <c r="X2729">
        <v>57</v>
      </c>
      <c r="Y2729">
        <v>1</v>
      </c>
      <c r="Z2729">
        <v>0</v>
      </c>
      <c r="AA2729">
        <v>1</v>
      </c>
      <c r="AB2729" t="s">
        <v>36</v>
      </c>
      <c r="AC2729">
        <v>57</v>
      </c>
    </row>
    <row r="2730" spans="1:30" x14ac:dyDescent="0.25">
      <c r="A2730" s="1">
        <v>44784.903645833336</v>
      </c>
      <c r="B2730" s="1">
        <v>44784.902719907404</v>
      </c>
      <c r="C2730">
        <v>1202</v>
      </c>
      <c r="D2730" t="s">
        <v>58</v>
      </c>
      <c r="E2730" t="s">
        <v>35</v>
      </c>
      <c r="F2730" t="s">
        <v>57</v>
      </c>
      <c r="G2730">
        <v>42.936554000000001</v>
      </c>
      <c r="H2730">
        <v>-72.271019999999993</v>
      </c>
      <c r="I2730">
        <v>488</v>
      </c>
      <c r="J2730">
        <v>0</v>
      </c>
      <c r="K2730">
        <v>0</v>
      </c>
      <c r="L2730" s="1">
        <v>44784.903495370374</v>
      </c>
      <c r="M2730">
        <v>10.199999999999999</v>
      </c>
      <c r="N2730">
        <v>9.6</v>
      </c>
      <c r="O2730">
        <v>0.6</v>
      </c>
      <c r="P2730">
        <v>6</v>
      </c>
      <c r="Q2730">
        <v>0.2</v>
      </c>
      <c r="R2730">
        <v>0.1</v>
      </c>
      <c r="S2730">
        <v>0.15</v>
      </c>
      <c r="T2730" t="s">
        <v>33</v>
      </c>
      <c r="U2730">
        <v>9.9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 t="s">
        <v>38</v>
      </c>
    </row>
    <row r="2731" spans="1:30" x14ac:dyDescent="0.25">
      <c r="A2731" s="1">
        <v>44784.903645833336</v>
      </c>
      <c r="B2731" s="1">
        <v>44612.080023148148</v>
      </c>
      <c r="C2731">
        <v>25985</v>
      </c>
      <c r="D2731" t="s">
        <v>59</v>
      </c>
      <c r="E2731" t="s">
        <v>35</v>
      </c>
      <c r="F2731">
        <v>6.01</v>
      </c>
      <c r="G2731">
        <v>42.927326000000001</v>
      </c>
      <c r="H2731">
        <v>-72.279979999999995</v>
      </c>
      <c r="I2731">
        <v>477</v>
      </c>
      <c r="J2731">
        <v>78</v>
      </c>
      <c r="K2731">
        <v>0</v>
      </c>
      <c r="L2731" s="1">
        <v>44784.903495370374</v>
      </c>
      <c r="M2731">
        <v>1.1000000000000001</v>
      </c>
      <c r="N2731">
        <v>1</v>
      </c>
      <c r="O2731">
        <v>0.1</v>
      </c>
      <c r="P2731">
        <v>10</v>
      </c>
      <c r="Q2731">
        <v>0</v>
      </c>
      <c r="R2731">
        <v>0</v>
      </c>
      <c r="S2731">
        <v>0</v>
      </c>
      <c r="T2731" t="s">
        <v>32</v>
      </c>
      <c r="V2731">
        <v>22</v>
      </c>
      <c r="W2731">
        <v>0</v>
      </c>
      <c r="X2731">
        <v>22</v>
      </c>
      <c r="Y2731">
        <v>0</v>
      </c>
      <c r="Z2731">
        <v>0</v>
      </c>
      <c r="AA2731">
        <v>0</v>
      </c>
      <c r="AB2731" t="s">
        <v>36</v>
      </c>
      <c r="AC2731">
        <v>22</v>
      </c>
    </row>
    <row r="2732" spans="1:30" x14ac:dyDescent="0.25">
      <c r="A2732" s="1">
        <v>44784.910451388889</v>
      </c>
      <c r="B2732" s="1">
        <v>44775.701319444444</v>
      </c>
      <c r="C2732">
        <v>151708</v>
      </c>
      <c r="D2732" t="s">
        <v>30</v>
      </c>
      <c r="E2732" t="s">
        <v>31</v>
      </c>
      <c r="F2732">
        <v>7</v>
      </c>
      <c r="G2732">
        <v>43.192042999999998</v>
      </c>
      <c r="H2732">
        <v>-71.541579999999996</v>
      </c>
      <c r="I2732">
        <v>291</v>
      </c>
      <c r="J2732">
        <v>93</v>
      </c>
      <c r="K2732">
        <v>94</v>
      </c>
      <c r="L2732" s="1">
        <v>44784.910439814812</v>
      </c>
      <c r="M2732">
        <v>7.9</v>
      </c>
      <c r="N2732">
        <v>7.6</v>
      </c>
      <c r="O2732">
        <v>0.3</v>
      </c>
      <c r="P2732">
        <v>4</v>
      </c>
      <c r="Q2732">
        <v>0</v>
      </c>
      <c r="R2732">
        <v>0</v>
      </c>
      <c r="S2732">
        <v>0</v>
      </c>
      <c r="T2732" t="s">
        <v>32</v>
      </c>
      <c r="V2732">
        <v>42</v>
      </c>
      <c r="W2732">
        <v>41</v>
      </c>
      <c r="X2732">
        <v>1</v>
      </c>
      <c r="Y2732">
        <v>0</v>
      </c>
      <c r="Z2732">
        <v>0</v>
      </c>
      <c r="AA2732">
        <v>0</v>
      </c>
      <c r="AB2732" t="s">
        <v>33</v>
      </c>
      <c r="AC2732">
        <v>41.5</v>
      </c>
    </row>
    <row r="2733" spans="1:30" x14ac:dyDescent="0.25">
      <c r="A2733" s="1">
        <v>44784.910451388889</v>
      </c>
      <c r="B2733" s="1">
        <v>44784.908865740741</v>
      </c>
      <c r="C2733">
        <v>143456</v>
      </c>
      <c r="D2733" t="s">
        <v>34</v>
      </c>
      <c r="E2733" t="s">
        <v>35</v>
      </c>
      <c r="F2733">
        <v>7</v>
      </c>
      <c r="G2733">
        <v>43.08963</v>
      </c>
      <c r="H2733">
        <v>-71.502440000000007</v>
      </c>
      <c r="I2733">
        <v>619</v>
      </c>
      <c r="J2733">
        <v>76</v>
      </c>
      <c r="K2733">
        <v>0</v>
      </c>
      <c r="L2733" s="1">
        <v>44784.910439814812</v>
      </c>
      <c r="M2733">
        <v>3.3</v>
      </c>
      <c r="N2733">
        <v>3.8</v>
      </c>
      <c r="O2733">
        <v>0.5</v>
      </c>
      <c r="P2733">
        <v>14</v>
      </c>
      <c r="Q2733">
        <v>0</v>
      </c>
      <c r="R2733">
        <v>0.1</v>
      </c>
      <c r="S2733">
        <v>0.05</v>
      </c>
      <c r="T2733" t="s">
        <v>33</v>
      </c>
      <c r="U2733">
        <v>3.55</v>
      </c>
      <c r="V2733">
        <v>56</v>
      </c>
      <c r="W2733">
        <v>0</v>
      </c>
      <c r="X2733">
        <v>56</v>
      </c>
      <c r="Y2733">
        <v>1</v>
      </c>
      <c r="Z2733">
        <v>0</v>
      </c>
      <c r="AA2733">
        <v>1</v>
      </c>
      <c r="AB2733" t="s">
        <v>36</v>
      </c>
      <c r="AC2733">
        <v>56</v>
      </c>
      <c r="AD2733">
        <v>0.41</v>
      </c>
    </row>
    <row r="2734" spans="1:30" x14ac:dyDescent="0.25">
      <c r="A2734" s="1">
        <v>44784.910462962966</v>
      </c>
      <c r="B2734" s="1">
        <v>44784.909004629626</v>
      </c>
      <c r="C2734">
        <v>151702</v>
      </c>
      <c r="D2734" t="s">
        <v>37</v>
      </c>
      <c r="E2734" t="s">
        <v>31</v>
      </c>
      <c r="F2734">
        <v>7</v>
      </c>
      <c r="G2734">
        <v>43.118609999999997</v>
      </c>
      <c r="H2734">
        <v>-71.61618</v>
      </c>
      <c r="I2734">
        <v>885</v>
      </c>
      <c r="J2734">
        <v>0</v>
      </c>
      <c r="K2734">
        <v>0</v>
      </c>
      <c r="L2734" s="1">
        <v>44784.910439814812</v>
      </c>
      <c r="M2734">
        <v>3.4</v>
      </c>
      <c r="N2734">
        <v>3.4</v>
      </c>
      <c r="O2734">
        <v>0</v>
      </c>
      <c r="P2734">
        <v>0</v>
      </c>
      <c r="Q2734">
        <v>0.1</v>
      </c>
      <c r="R2734">
        <v>0.1</v>
      </c>
      <c r="S2734">
        <v>0.1</v>
      </c>
      <c r="T2734" t="s">
        <v>33</v>
      </c>
      <c r="U2734">
        <v>3.4</v>
      </c>
      <c r="V2734">
        <v>0</v>
      </c>
      <c r="W2734">
        <v>0</v>
      </c>
      <c r="X2734">
        <v>0</v>
      </c>
      <c r="Y2734">
        <v>0</v>
      </c>
      <c r="Z2734">
        <v>0</v>
      </c>
      <c r="AA2734">
        <v>0</v>
      </c>
      <c r="AB2734" t="s">
        <v>38</v>
      </c>
    </row>
    <row r="2735" spans="1:30" x14ac:dyDescent="0.25">
      <c r="A2735" s="1">
        <v>44784.910462962966</v>
      </c>
      <c r="B2735" s="1">
        <v>44784.908912037034</v>
      </c>
      <c r="C2735">
        <v>151700</v>
      </c>
      <c r="D2735" t="s">
        <v>30</v>
      </c>
      <c r="E2735" t="s">
        <v>31</v>
      </c>
      <c r="F2735">
        <v>7</v>
      </c>
      <c r="G2735">
        <v>43.19211</v>
      </c>
      <c r="H2735">
        <v>-71.541460000000001</v>
      </c>
      <c r="I2735">
        <v>286</v>
      </c>
      <c r="J2735">
        <v>79</v>
      </c>
      <c r="K2735">
        <v>0</v>
      </c>
      <c r="L2735" s="1">
        <v>44784.910439814812</v>
      </c>
      <c r="M2735">
        <v>2.7</v>
      </c>
      <c r="N2735">
        <v>3.1</v>
      </c>
      <c r="O2735">
        <v>0.4</v>
      </c>
      <c r="P2735">
        <v>14</v>
      </c>
      <c r="Q2735">
        <v>0</v>
      </c>
      <c r="R2735">
        <v>0</v>
      </c>
      <c r="S2735">
        <v>0</v>
      </c>
      <c r="T2735" t="s">
        <v>33</v>
      </c>
      <c r="U2735">
        <v>2.9</v>
      </c>
      <c r="V2735">
        <v>47</v>
      </c>
      <c r="W2735">
        <v>0</v>
      </c>
      <c r="X2735">
        <v>47</v>
      </c>
      <c r="Y2735">
        <v>0</v>
      </c>
      <c r="Z2735">
        <v>0</v>
      </c>
      <c r="AA2735">
        <v>0</v>
      </c>
      <c r="AB2735" t="s">
        <v>36</v>
      </c>
      <c r="AC2735">
        <v>47</v>
      </c>
      <c r="AD2735">
        <v>0.64</v>
      </c>
    </row>
    <row r="2736" spans="1:30" x14ac:dyDescent="0.25">
      <c r="A2736" s="1">
        <v>44784.910474537035</v>
      </c>
      <c r="B2736" s="1">
        <v>44784.909351851849</v>
      </c>
      <c r="C2736">
        <v>135984</v>
      </c>
      <c r="D2736" t="s">
        <v>39</v>
      </c>
      <c r="E2736" t="s">
        <v>31</v>
      </c>
      <c r="F2736">
        <v>7</v>
      </c>
      <c r="G2736">
        <v>43.565852999999997</v>
      </c>
      <c r="H2736">
        <v>-71.496129999999994</v>
      </c>
      <c r="I2736">
        <v>708</v>
      </c>
      <c r="J2736">
        <v>68</v>
      </c>
      <c r="K2736">
        <v>0</v>
      </c>
      <c r="L2736" s="1">
        <v>44784.910439814812</v>
      </c>
      <c r="M2736">
        <v>3.8</v>
      </c>
      <c r="N2736">
        <v>3.4</v>
      </c>
      <c r="O2736">
        <v>0.4</v>
      </c>
      <c r="P2736">
        <v>11</v>
      </c>
      <c r="Q2736">
        <v>0.2</v>
      </c>
      <c r="R2736">
        <v>0.2</v>
      </c>
      <c r="S2736">
        <v>0.2</v>
      </c>
      <c r="T2736" t="s">
        <v>33</v>
      </c>
      <c r="U2736">
        <v>3.6</v>
      </c>
      <c r="V2736">
        <v>85</v>
      </c>
      <c r="W2736">
        <v>0</v>
      </c>
      <c r="X2736">
        <v>85</v>
      </c>
      <c r="Y2736">
        <v>0</v>
      </c>
      <c r="Z2736">
        <v>0</v>
      </c>
      <c r="AA2736">
        <v>0</v>
      </c>
      <c r="AB2736" t="s">
        <v>36</v>
      </c>
      <c r="AC2736">
        <v>85</v>
      </c>
      <c r="AD2736">
        <v>-1.59</v>
      </c>
    </row>
    <row r="2737" spans="1:30" x14ac:dyDescent="0.25">
      <c r="A2737" s="1">
        <v>44784.910474537035</v>
      </c>
      <c r="B2737" s="1">
        <v>44780.394780092596</v>
      </c>
      <c r="C2737">
        <v>151712</v>
      </c>
      <c r="D2737" t="s">
        <v>40</v>
      </c>
      <c r="E2737" t="s">
        <v>31</v>
      </c>
      <c r="F2737">
        <v>7</v>
      </c>
      <c r="G2737">
        <v>43.289763999999998</v>
      </c>
      <c r="H2737">
        <v>-71.564260000000004</v>
      </c>
      <c r="I2737">
        <v>370</v>
      </c>
      <c r="J2737">
        <v>86</v>
      </c>
      <c r="K2737">
        <v>0</v>
      </c>
      <c r="L2737" s="1">
        <v>44784.910439814812</v>
      </c>
      <c r="M2737">
        <v>14</v>
      </c>
      <c r="N2737">
        <v>13.2</v>
      </c>
      <c r="O2737">
        <v>0.8</v>
      </c>
      <c r="P2737">
        <v>6</v>
      </c>
      <c r="Q2737">
        <v>0</v>
      </c>
      <c r="R2737">
        <v>0</v>
      </c>
      <c r="S2737">
        <v>0</v>
      </c>
      <c r="T2737" t="s">
        <v>32</v>
      </c>
      <c r="V2737">
        <v>59</v>
      </c>
      <c r="W2737">
        <v>0</v>
      </c>
      <c r="X2737">
        <v>59</v>
      </c>
      <c r="Y2737">
        <v>0</v>
      </c>
      <c r="Z2737">
        <v>0</v>
      </c>
      <c r="AA2737">
        <v>0</v>
      </c>
      <c r="AB2737" t="s">
        <v>36</v>
      </c>
      <c r="AC2737">
        <v>59</v>
      </c>
    </row>
    <row r="2738" spans="1:30" x14ac:dyDescent="0.25">
      <c r="A2738" s="1">
        <v>44784.910474537035</v>
      </c>
      <c r="B2738" s="1">
        <v>44784.908680555556</v>
      </c>
      <c r="C2738">
        <v>151710</v>
      </c>
      <c r="D2738" t="s">
        <v>41</v>
      </c>
      <c r="E2738" t="s">
        <v>31</v>
      </c>
      <c r="F2738">
        <v>7</v>
      </c>
      <c r="G2738">
        <v>43.132477000000002</v>
      </c>
      <c r="H2738">
        <v>-71.458374000000006</v>
      </c>
      <c r="I2738">
        <v>230</v>
      </c>
      <c r="J2738">
        <v>78</v>
      </c>
      <c r="K2738">
        <v>0</v>
      </c>
      <c r="L2738" s="1">
        <v>44784.910439814812</v>
      </c>
      <c r="M2738">
        <v>6.4</v>
      </c>
      <c r="N2738">
        <v>4.9000000000000004</v>
      </c>
      <c r="O2738">
        <v>1.5</v>
      </c>
      <c r="P2738">
        <v>27</v>
      </c>
      <c r="Q2738">
        <v>0.3</v>
      </c>
      <c r="R2738">
        <v>0.2</v>
      </c>
      <c r="S2738">
        <v>0.25</v>
      </c>
      <c r="T2738" t="s">
        <v>33</v>
      </c>
      <c r="U2738">
        <v>5.65</v>
      </c>
      <c r="V2738">
        <v>52</v>
      </c>
      <c r="W2738">
        <v>0</v>
      </c>
      <c r="X2738">
        <v>52</v>
      </c>
      <c r="Y2738">
        <v>1</v>
      </c>
      <c r="Z2738">
        <v>0</v>
      </c>
      <c r="AA2738">
        <v>1</v>
      </c>
      <c r="AB2738" t="s">
        <v>36</v>
      </c>
      <c r="AC2738">
        <v>52</v>
      </c>
      <c r="AD2738">
        <v>1.97</v>
      </c>
    </row>
    <row r="2739" spans="1:30" x14ac:dyDescent="0.25">
      <c r="A2739" s="1">
        <v>44784.910486111112</v>
      </c>
      <c r="B2739" s="1">
        <v>44784.909687500003</v>
      </c>
      <c r="C2739">
        <v>151706</v>
      </c>
      <c r="D2739" t="s">
        <v>42</v>
      </c>
      <c r="E2739" t="s">
        <v>31</v>
      </c>
      <c r="F2739">
        <v>7</v>
      </c>
      <c r="G2739">
        <v>43.004080000000002</v>
      </c>
      <c r="H2739">
        <v>-71.177040000000005</v>
      </c>
      <c r="I2739">
        <v>194</v>
      </c>
      <c r="J2739">
        <v>75</v>
      </c>
      <c r="K2739">
        <v>0</v>
      </c>
      <c r="L2739" s="1">
        <v>44784.910439814812</v>
      </c>
      <c r="M2739">
        <v>13</v>
      </c>
      <c r="N2739">
        <v>0</v>
      </c>
      <c r="O2739">
        <v>13</v>
      </c>
      <c r="P2739">
        <v>200</v>
      </c>
      <c r="Q2739">
        <v>0.2</v>
      </c>
      <c r="R2739">
        <v>0</v>
      </c>
      <c r="S2739">
        <v>0.1</v>
      </c>
      <c r="T2739" t="s">
        <v>43</v>
      </c>
      <c r="V2739">
        <v>69</v>
      </c>
      <c r="W2739">
        <v>0</v>
      </c>
      <c r="X2739">
        <v>69</v>
      </c>
      <c r="Y2739">
        <v>1</v>
      </c>
      <c r="Z2739">
        <v>0</v>
      </c>
      <c r="AA2739">
        <v>1</v>
      </c>
      <c r="AB2739" t="s">
        <v>36</v>
      </c>
      <c r="AC2739">
        <v>69</v>
      </c>
    </row>
    <row r="2740" spans="1:30" x14ac:dyDescent="0.25">
      <c r="A2740" s="1">
        <v>44784.910486111112</v>
      </c>
      <c r="B2740" s="1">
        <v>44784.909525462965</v>
      </c>
      <c r="C2740">
        <v>12212</v>
      </c>
      <c r="D2740" t="s">
        <v>44</v>
      </c>
      <c r="E2740" t="s">
        <v>35</v>
      </c>
      <c r="F2740">
        <v>7</v>
      </c>
      <c r="G2740">
        <v>42.930529999999997</v>
      </c>
      <c r="H2740">
        <v>-72.272350000000003</v>
      </c>
      <c r="I2740">
        <v>476</v>
      </c>
      <c r="J2740">
        <v>80</v>
      </c>
      <c r="K2740">
        <v>0</v>
      </c>
      <c r="L2740" s="1">
        <v>44784.910439814812</v>
      </c>
      <c r="M2740">
        <v>5.4</v>
      </c>
      <c r="N2740">
        <v>4.9000000000000004</v>
      </c>
      <c r="O2740">
        <v>0.5</v>
      </c>
      <c r="P2740">
        <v>10</v>
      </c>
      <c r="Q2740">
        <v>0.5</v>
      </c>
      <c r="R2740">
        <v>0.5</v>
      </c>
      <c r="S2740">
        <v>0.5</v>
      </c>
      <c r="T2740" t="s">
        <v>33</v>
      </c>
      <c r="U2740">
        <v>5.15</v>
      </c>
      <c r="V2740">
        <v>52</v>
      </c>
      <c r="W2740">
        <v>0</v>
      </c>
      <c r="X2740">
        <v>52</v>
      </c>
      <c r="Y2740">
        <v>2</v>
      </c>
      <c r="Z2740">
        <v>0</v>
      </c>
      <c r="AA2740">
        <v>2</v>
      </c>
      <c r="AB2740" t="s">
        <v>36</v>
      </c>
      <c r="AC2740">
        <v>52</v>
      </c>
      <c r="AD2740">
        <v>1.66</v>
      </c>
    </row>
    <row r="2741" spans="1:30" x14ac:dyDescent="0.25">
      <c r="A2741" s="1">
        <v>44784.910497685189</v>
      </c>
      <c r="B2741" s="1">
        <v>44769.376736111109</v>
      </c>
      <c r="C2741">
        <v>12178</v>
      </c>
      <c r="D2741" t="s">
        <v>45</v>
      </c>
      <c r="E2741" t="s">
        <v>35</v>
      </c>
      <c r="F2741">
        <v>7</v>
      </c>
      <c r="G2741">
        <v>42.899563000000001</v>
      </c>
      <c r="H2741">
        <v>-71.464650000000006</v>
      </c>
      <c r="I2741">
        <v>301</v>
      </c>
      <c r="J2741">
        <v>85</v>
      </c>
      <c r="K2741">
        <v>0</v>
      </c>
      <c r="L2741" s="1">
        <v>44784.910439814812</v>
      </c>
      <c r="M2741">
        <v>3.8</v>
      </c>
      <c r="N2741">
        <v>3.1</v>
      </c>
      <c r="O2741">
        <v>0.7</v>
      </c>
      <c r="P2741">
        <v>20</v>
      </c>
      <c r="Q2741">
        <v>0</v>
      </c>
      <c r="R2741">
        <v>0</v>
      </c>
      <c r="S2741">
        <v>0</v>
      </c>
      <c r="T2741" t="s">
        <v>32</v>
      </c>
      <c r="V2741">
        <v>35</v>
      </c>
      <c r="W2741">
        <v>0</v>
      </c>
      <c r="X2741">
        <v>35</v>
      </c>
      <c r="Y2741">
        <v>0</v>
      </c>
      <c r="Z2741">
        <v>0</v>
      </c>
      <c r="AA2741">
        <v>0</v>
      </c>
      <c r="AB2741" t="s">
        <v>36</v>
      </c>
      <c r="AC2741">
        <v>35</v>
      </c>
    </row>
    <row r="2742" spans="1:30" x14ac:dyDescent="0.25">
      <c r="A2742" s="1">
        <v>44784.910509259258</v>
      </c>
      <c r="B2742" s="1">
        <v>44784.908761574072</v>
      </c>
      <c r="C2742">
        <v>75981</v>
      </c>
      <c r="D2742" t="s">
        <v>46</v>
      </c>
      <c r="E2742" t="s">
        <v>35</v>
      </c>
      <c r="F2742">
        <v>7</v>
      </c>
      <c r="G2742">
        <v>42.97</v>
      </c>
      <c r="H2742">
        <v>-71.06</v>
      </c>
      <c r="I2742">
        <v>136</v>
      </c>
      <c r="J2742">
        <v>80</v>
      </c>
      <c r="K2742">
        <v>0</v>
      </c>
      <c r="L2742" s="1">
        <v>44784.910439814812</v>
      </c>
      <c r="M2742">
        <v>11.9</v>
      </c>
      <c r="N2742">
        <v>11.4</v>
      </c>
      <c r="O2742">
        <v>0.5</v>
      </c>
      <c r="P2742">
        <v>4</v>
      </c>
      <c r="Q2742">
        <v>0</v>
      </c>
      <c r="R2742">
        <v>0.2</v>
      </c>
      <c r="S2742">
        <v>0.1</v>
      </c>
      <c r="T2742" t="s">
        <v>33</v>
      </c>
      <c r="U2742">
        <v>11.65</v>
      </c>
      <c r="V2742">
        <v>58</v>
      </c>
      <c r="W2742">
        <v>0</v>
      </c>
      <c r="X2742">
        <v>58</v>
      </c>
      <c r="Y2742">
        <v>0</v>
      </c>
      <c r="Z2742">
        <v>0</v>
      </c>
      <c r="AA2742">
        <v>0</v>
      </c>
      <c r="AB2742" t="s">
        <v>36</v>
      </c>
      <c r="AC2742">
        <v>58</v>
      </c>
      <c r="AD2742">
        <v>5.21</v>
      </c>
    </row>
    <row r="2743" spans="1:30" x14ac:dyDescent="0.25">
      <c r="A2743" s="1">
        <v>44784.910509259258</v>
      </c>
      <c r="B2743" s="1">
        <v>44784.909305555557</v>
      </c>
      <c r="C2743">
        <v>115703</v>
      </c>
      <c r="D2743" t="s">
        <v>47</v>
      </c>
      <c r="E2743" t="s">
        <v>35</v>
      </c>
      <c r="F2743">
        <v>7</v>
      </c>
      <c r="G2743">
        <v>43.953625000000002</v>
      </c>
      <c r="H2743">
        <v>-71.508859999999999</v>
      </c>
      <c r="I2743">
        <v>1493</v>
      </c>
      <c r="J2743">
        <v>70</v>
      </c>
      <c r="K2743">
        <v>0</v>
      </c>
      <c r="L2743" s="1">
        <v>44784.910439814812</v>
      </c>
      <c r="M2743">
        <v>0.1</v>
      </c>
      <c r="N2743">
        <v>201</v>
      </c>
      <c r="O2743">
        <v>200.9</v>
      </c>
      <c r="P2743">
        <v>200</v>
      </c>
      <c r="Q2743">
        <v>0</v>
      </c>
      <c r="R2743">
        <v>0</v>
      </c>
      <c r="S2743">
        <v>0</v>
      </c>
      <c r="T2743" t="s">
        <v>60</v>
      </c>
      <c r="V2743">
        <v>67</v>
      </c>
      <c r="W2743">
        <v>0</v>
      </c>
      <c r="X2743">
        <v>67</v>
      </c>
      <c r="Y2743">
        <v>2</v>
      </c>
      <c r="Z2743">
        <v>0</v>
      </c>
      <c r="AA2743">
        <v>2</v>
      </c>
      <c r="AB2743" t="s">
        <v>36</v>
      </c>
      <c r="AC2743">
        <v>67</v>
      </c>
    </row>
    <row r="2744" spans="1:30" x14ac:dyDescent="0.25">
      <c r="A2744" s="1">
        <v>44784.910509259258</v>
      </c>
      <c r="B2744" s="1">
        <v>44784.908726851849</v>
      </c>
      <c r="C2744">
        <v>12050</v>
      </c>
      <c r="D2744" t="s">
        <v>49</v>
      </c>
      <c r="E2744" t="s">
        <v>35</v>
      </c>
      <c r="F2744">
        <v>7</v>
      </c>
      <c r="G2744">
        <v>44.220573000000002</v>
      </c>
      <c r="H2744">
        <v>-71.732315</v>
      </c>
      <c r="I2744">
        <v>999</v>
      </c>
      <c r="J2744">
        <v>76</v>
      </c>
      <c r="K2744">
        <v>0</v>
      </c>
      <c r="L2744" s="1">
        <v>44784.910439814812</v>
      </c>
      <c r="M2744">
        <v>19.2</v>
      </c>
      <c r="N2744">
        <v>18.7</v>
      </c>
      <c r="O2744">
        <v>0.5</v>
      </c>
      <c r="P2744">
        <v>3</v>
      </c>
      <c r="Q2744">
        <v>2.7</v>
      </c>
      <c r="R2744">
        <v>3</v>
      </c>
      <c r="S2744">
        <v>2.85</v>
      </c>
      <c r="T2744" t="s">
        <v>33</v>
      </c>
      <c r="U2744">
        <v>18.95</v>
      </c>
      <c r="V2744">
        <v>58</v>
      </c>
      <c r="W2744">
        <v>0</v>
      </c>
      <c r="X2744">
        <v>58</v>
      </c>
      <c r="Y2744">
        <v>0</v>
      </c>
      <c r="Z2744">
        <v>0</v>
      </c>
      <c r="AA2744">
        <v>0</v>
      </c>
      <c r="AB2744" t="s">
        <v>36</v>
      </c>
      <c r="AC2744">
        <v>58</v>
      </c>
      <c r="AD2744">
        <v>9.66</v>
      </c>
    </row>
    <row r="2745" spans="1:30" x14ac:dyDescent="0.25">
      <c r="A2745" s="1">
        <v>44784.910520833335</v>
      </c>
      <c r="B2745" s="1">
        <v>44784.908842592595</v>
      </c>
      <c r="C2745">
        <v>23443</v>
      </c>
      <c r="D2745" t="s">
        <v>50</v>
      </c>
      <c r="E2745" t="s">
        <v>35</v>
      </c>
      <c r="F2745">
        <v>7</v>
      </c>
      <c r="G2745">
        <v>43.556139999999999</v>
      </c>
      <c r="H2745">
        <v>-72.370990000000006</v>
      </c>
      <c r="I2745">
        <v>523</v>
      </c>
      <c r="J2745">
        <v>72</v>
      </c>
      <c r="K2745">
        <v>0</v>
      </c>
      <c r="L2745" s="1">
        <v>44784.910439814812</v>
      </c>
      <c r="M2745">
        <v>6.7</v>
      </c>
      <c r="N2745">
        <v>6</v>
      </c>
      <c r="O2745">
        <v>0.7</v>
      </c>
      <c r="P2745">
        <v>11</v>
      </c>
      <c r="Q2745">
        <v>0.1</v>
      </c>
      <c r="R2745">
        <v>0</v>
      </c>
      <c r="S2745">
        <v>0.05</v>
      </c>
      <c r="T2745" t="s">
        <v>33</v>
      </c>
      <c r="U2745">
        <v>6.35</v>
      </c>
      <c r="V2745">
        <v>67</v>
      </c>
      <c r="W2745">
        <v>0</v>
      </c>
      <c r="X2745">
        <v>67</v>
      </c>
      <c r="Y2745">
        <v>0</v>
      </c>
      <c r="Z2745">
        <v>0</v>
      </c>
      <c r="AA2745">
        <v>0</v>
      </c>
      <c r="AB2745" t="s">
        <v>36</v>
      </c>
      <c r="AC2745">
        <v>67</v>
      </c>
      <c r="AD2745">
        <v>1.34</v>
      </c>
    </row>
    <row r="2746" spans="1:30" x14ac:dyDescent="0.25">
      <c r="A2746" s="1">
        <v>44784.910520833335</v>
      </c>
      <c r="B2746" s="1">
        <v>44784.908958333333</v>
      </c>
      <c r="C2746">
        <v>58135</v>
      </c>
      <c r="D2746" t="s">
        <v>51</v>
      </c>
      <c r="E2746" t="s">
        <v>35</v>
      </c>
      <c r="F2746">
        <v>7</v>
      </c>
      <c r="G2746">
        <v>42.883873000000001</v>
      </c>
      <c r="H2746">
        <v>-71.972915999999998</v>
      </c>
      <c r="I2746">
        <v>808</v>
      </c>
      <c r="J2746">
        <v>75</v>
      </c>
      <c r="K2746">
        <v>0</v>
      </c>
      <c r="L2746" s="1">
        <v>44784.910439814812</v>
      </c>
      <c r="M2746">
        <v>5.5</v>
      </c>
      <c r="N2746">
        <v>4.3</v>
      </c>
      <c r="O2746">
        <v>1.2</v>
      </c>
      <c r="P2746">
        <v>24</v>
      </c>
      <c r="Q2746">
        <v>0</v>
      </c>
      <c r="R2746">
        <v>0.2</v>
      </c>
      <c r="S2746">
        <v>0.1</v>
      </c>
      <c r="T2746" t="s">
        <v>33</v>
      </c>
      <c r="U2746">
        <v>4.9000000000000004</v>
      </c>
      <c r="V2746">
        <v>60</v>
      </c>
      <c r="W2746">
        <v>0</v>
      </c>
      <c r="X2746">
        <v>60</v>
      </c>
      <c r="Y2746">
        <v>1</v>
      </c>
      <c r="Z2746">
        <v>0</v>
      </c>
      <c r="AA2746">
        <v>1</v>
      </c>
      <c r="AB2746" t="s">
        <v>36</v>
      </c>
      <c r="AC2746">
        <v>60</v>
      </c>
      <c r="AD2746">
        <v>0.95</v>
      </c>
    </row>
    <row r="2747" spans="1:30" x14ac:dyDescent="0.25">
      <c r="A2747" s="1">
        <v>44784.910532407404</v>
      </c>
      <c r="B2747" s="1">
        <v>44784.90892361111</v>
      </c>
      <c r="C2747">
        <v>148555</v>
      </c>
      <c r="D2747" t="s">
        <v>52</v>
      </c>
      <c r="E2747" t="s">
        <v>53</v>
      </c>
      <c r="F2747">
        <v>7</v>
      </c>
      <c r="G2747">
        <v>42.904949999999999</v>
      </c>
      <c r="H2747">
        <v>-71.386764999999997</v>
      </c>
      <c r="I2747">
        <v>363</v>
      </c>
      <c r="J2747">
        <v>0</v>
      </c>
      <c r="K2747">
        <v>0</v>
      </c>
      <c r="L2747" s="1">
        <v>44784.910439814812</v>
      </c>
      <c r="M2747">
        <v>6.9</v>
      </c>
      <c r="N2747">
        <v>7.6</v>
      </c>
      <c r="O2747">
        <v>0.7</v>
      </c>
      <c r="P2747">
        <v>10</v>
      </c>
      <c r="Q2747">
        <v>0.5</v>
      </c>
      <c r="R2747">
        <v>0.6</v>
      </c>
      <c r="S2747">
        <v>0.55000000000000004</v>
      </c>
      <c r="T2747" t="s">
        <v>33</v>
      </c>
      <c r="U2747">
        <v>7.25</v>
      </c>
      <c r="V2747">
        <v>0</v>
      </c>
      <c r="W2747">
        <v>0</v>
      </c>
      <c r="X2747">
        <v>0</v>
      </c>
      <c r="Y2747">
        <v>0</v>
      </c>
      <c r="Z2747">
        <v>0</v>
      </c>
      <c r="AA2747">
        <v>0</v>
      </c>
      <c r="AB2747" t="s">
        <v>38</v>
      </c>
    </row>
    <row r="2748" spans="1:30" x14ac:dyDescent="0.25">
      <c r="A2748" s="1">
        <v>44784.910532407404</v>
      </c>
      <c r="B2748" s="1">
        <v>44784.909814814811</v>
      </c>
      <c r="C2748">
        <v>146644</v>
      </c>
      <c r="D2748" t="s">
        <v>54</v>
      </c>
      <c r="E2748" t="s">
        <v>53</v>
      </c>
      <c r="F2748">
        <v>7</v>
      </c>
      <c r="G2748">
        <v>43.06015</v>
      </c>
      <c r="H2748">
        <v>-70.758930000000007</v>
      </c>
      <c r="I2748">
        <v>35</v>
      </c>
      <c r="J2748">
        <v>71</v>
      </c>
      <c r="K2748">
        <v>72</v>
      </c>
      <c r="L2748" s="1">
        <v>44784.910439814812</v>
      </c>
      <c r="M2748">
        <v>12.2</v>
      </c>
      <c r="N2748">
        <v>10.6</v>
      </c>
      <c r="O2748">
        <v>1.6</v>
      </c>
      <c r="P2748">
        <v>14</v>
      </c>
      <c r="Q2748">
        <v>0</v>
      </c>
      <c r="R2748">
        <v>0</v>
      </c>
      <c r="S2748">
        <v>0</v>
      </c>
      <c r="T2748" t="s">
        <v>33</v>
      </c>
      <c r="U2748">
        <v>11.4</v>
      </c>
      <c r="V2748">
        <v>71</v>
      </c>
      <c r="W2748">
        <v>75</v>
      </c>
      <c r="X2748">
        <v>4</v>
      </c>
      <c r="Y2748">
        <v>1</v>
      </c>
      <c r="Z2748">
        <v>1</v>
      </c>
      <c r="AA2748">
        <v>0</v>
      </c>
      <c r="AB2748" t="s">
        <v>33</v>
      </c>
      <c r="AC2748">
        <v>73</v>
      </c>
      <c r="AD2748">
        <v>4</v>
      </c>
    </row>
    <row r="2749" spans="1:30" x14ac:dyDescent="0.25">
      <c r="A2749" s="1">
        <v>44784.910543981481</v>
      </c>
      <c r="B2749" s="1">
        <v>43755.283437500002</v>
      </c>
      <c r="C2749">
        <v>12188</v>
      </c>
      <c r="D2749" t="s">
        <v>55</v>
      </c>
      <c r="E2749" t="s">
        <v>35</v>
      </c>
      <c r="F2749">
        <v>4.1100000000000003</v>
      </c>
      <c r="G2749">
        <v>42.927050000000001</v>
      </c>
      <c r="H2749">
        <v>-72.279610000000005</v>
      </c>
      <c r="I2749">
        <v>475</v>
      </c>
      <c r="J2749">
        <v>95</v>
      </c>
      <c r="K2749">
        <v>0</v>
      </c>
      <c r="L2749" s="1">
        <v>44784.910439814812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 t="s">
        <v>32</v>
      </c>
      <c r="V2749">
        <v>77</v>
      </c>
      <c r="W2749">
        <v>0</v>
      </c>
      <c r="X2749">
        <v>77</v>
      </c>
      <c r="Y2749">
        <v>0</v>
      </c>
      <c r="Z2749">
        <v>0</v>
      </c>
      <c r="AA2749">
        <v>0</v>
      </c>
      <c r="AB2749" t="s">
        <v>36</v>
      </c>
      <c r="AC2749">
        <v>77</v>
      </c>
    </row>
    <row r="2750" spans="1:30" x14ac:dyDescent="0.25">
      <c r="A2750" s="1">
        <v>44784.910543981481</v>
      </c>
      <c r="B2750" s="1">
        <v>44784.908831018518</v>
      </c>
      <c r="C2750">
        <v>1224</v>
      </c>
      <c r="D2750" t="s">
        <v>56</v>
      </c>
      <c r="E2750" t="s">
        <v>35</v>
      </c>
      <c r="F2750" t="s">
        <v>57</v>
      </c>
      <c r="G2750">
        <v>42.938034000000002</v>
      </c>
      <c r="H2750">
        <v>-72.259299999999996</v>
      </c>
      <c r="I2750">
        <v>792</v>
      </c>
      <c r="J2750">
        <v>79</v>
      </c>
      <c r="K2750">
        <v>0</v>
      </c>
      <c r="L2750" s="1">
        <v>44784.910439814812</v>
      </c>
      <c r="M2750">
        <v>4.9000000000000004</v>
      </c>
      <c r="N2750">
        <v>0</v>
      </c>
      <c r="O2750">
        <v>4.9000000000000004</v>
      </c>
      <c r="P2750">
        <v>200</v>
      </c>
      <c r="Q2750">
        <v>0.1</v>
      </c>
      <c r="R2750">
        <v>0</v>
      </c>
      <c r="S2750">
        <v>0.05</v>
      </c>
      <c r="T2750" t="s">
        <v>43</v>
      </c>
      <c r="V2750">
        <v>57</v>
      </c>
      <c r="W2750">
        <v>0</v>
      </c>
      <c r="X2750">
        <v>57</v>
      </c>
      <c r="Y2750">
        <v>0</v>
      </c>
      <c r="Z2750">
        <v>0</v>
      </c>
      <c r="AA2750">
        <v>0</v>
      </c>
      <c r="AB2750" t="s">
        <v>36</v>
      </c>
      <c r="AC2750">
        <v>57</v>
      </c>
    </row>
    <row r="2751" spans="1:30" x14ac:dyDescent="0.25">
      <c r="A2751" s="1">
        <v>44784.910555555558</v>
      </c>
      <c r="B2751" s="1">
        <v>44784.90966435185</v>
      </c>
      <c r="C2751">
        <v>1202</v>
      </c>
      <c r="D2751" t="s">
        <v>58</v>
      </c>
      <c r="E2751" t="s">
        <v>35</v>
      </c>
      <c r="F2751" t="s">
        <v>57</v>
      </c>
      <c r="G2751">
        <v>42.936554000000001</v>
      </c>
      <c r="H2751">
        <v>-72.271019999999993</v>
      </c>
      <c r="I2751">
        <v>488</v>
      </c>
      <c r="J2751">
        <v>0</v>
      </c>
      <c r="K2751">
        <v>0</v>
      </c>
      <c r="L2751" s="1">
        <v>44784.910439814812</v>
      </c>
      <c r="M2751">
        <v>8.1</v>
      </c>
      <c r="N2751">
        <v>7.6</v>
      </c>
      <c r="O2751">
        <v>0.5</v>
      </c>
      <c r="P2751">
        <v>6</v>
      </c>
      <c r="Q2751">
        <v>2.1</v>
      </c>
      <c r="R2751">
        <v>2</v>
      </c>
      <c r="S2751">
        <v>2.0499999999999998</v>
      </c>
      <c r="T2751" t="s">
        <v>33</v>
      </c>
      <c r="U2751">
        <v>7.85</v>
      </c>
      <c r="V2751">
        <v>0</v>
      </c>
      <c r="W2751">
        <v>0</v>
      </c>
      <c r="X2751">
        <v>0</v>
      </c>
      <c r="Y2751">
        <v>0</v>
      </c>
      <c r="Z2751">
        <v>0</v>
      </c>
      <c r="AA2751">
        <v>0</v>
      </c>
      <c r="AB2751" t="s">
        <v>38</v>
      </c>
    </row>
    <row r="2752" spans="1:30" x14ac:dyDescent="0.25">
      <c r="A2752" s="1">
        <v>44784.910555555558</v>
      </c>
      <c r="B2752" s="1">
        <v>44612.080023148148</v>
      </c>
      <c r="C2752">
        <v>25985</v>
      </c>
      <c r="D2752" t="s">
        <v>59</v>
      </c>
      <c r="E2752" t="s">
        <v>35</v>
      </c>
      <c r="F2752">
        <v>6.01</v>
      </c>
      <c r="G2752">
        <v>42.927326000000001</v>
      </c>
      <c r="H2752">
        <v>-72.279979999999995</v>
      </c>
      <c r="I2752">
        <v>477</v>
      </c>
      <c r="J2752">
        <v>78</v>
      </c>
      <c r="K2752">
        <v>0</v>
      </c>
      <c r="L2752" s="1">
        <v>44784.910439814812</v>
      </c>
      <c r="M2752">
        <v>1.1000000000000001</v>
      </c>
      <c r="N2752">
        <v>1</v>
      </c>
      <c r="O2752">
        <v>0.1</v>
      </c>
      <c r="P2752">
        <v>10</v>
      </c>
      <c r="Q2752">
        <v>0</v>
      </c>
      <c r="R2752">
        <v>0</v>
      </c>
      <c r="S2752">
        <v>0</v>
      </c>
      <c r="T2752" t="s">
        <v>32</v>
      </c>
      <c r="V2752">
        <v>22</v>
      </c>
      <c r="W2752">
        <v>0</v>
      </c>
      <c r="X2752">
        <v>22</v>
      </c>
      <c r="Y2752">
        <v>0</v>
      </c>
      <c r="Z2752">
        <v>0</v>
      </c>
      <c r="AA2752">
        <v>0</v>
      </c>
      <c r="AB2752" t="s">
        <v>36</v>
      </c>
      <c r="AC2752">
        <v>22</v>
      </c>
    </row>
    <row r="2753" spans="1:30" x14ac:dyDescent="0.25">
      <c r="A2753" s="1">
        <v>44784.917395833334</v>
      </c>
      <c r="B2753" s="1">
        <v>44775.701319444444</v>
      </c>
      <c r="C2753">
        <v>151708</v>
      </c>
      <c r="D2753" t="s">
        <v>30</v>
      </c>
      <c r="E2753" t="s">
        <v>31</v>
      </c>
      <c r="F2753">
        <v>7</v>
      </c>
      <c r="G2753">
        <v>43.192042999999998</v>
      </c>
      <c r="H2753">
        <v>-71.541579999999996</v>
      </c>
      <c r="I2753">
        <v>291</v>
      </c>
      <c r="J2753">
        <v>93</v>
      </c>
      <c r="K2753">
        <v>94</v>
      </c>
      <c r="L2753" s="1">
        <v>44784.917384259257</v>
      </c>
      <c r="M2753">
        <v>7.9</v>
      </c>
      <c r="N2753">
        <v>7.6</v>
      </c>
      <c r="O2753">
        <v>0.3</v>
      </c>
      <c r="P2753">
        <v>4</v>
      </c>
      <c r="Q2753">
        <v>0</v>
      </c>
      <c r="R2753">
        <v>0</v>
      </c>
      <c r="S2753">
        <v>0</v>
      </c>
      <c r="T2753" t="s">
        <v>32</v>
      </c>
      <c r="V2753">
        <v>42</v>
      </c>
      <c r="W2753">
        <v>41</v>
      </c>
      <c r="X2753">
        <v>1</v>
      </c>
      <c r="Y2753">
        <v>0</v>
      </c>
      <c r="Z2753">
        <v>0</v>
      </c>
      <c r="AA2753">
        <v>0</v>
      </c>
      <c r="AB2753" t="s">
        <v>33</v>
      </c>
      <c r="AC2753">
        <v>41.5</v>
      </c>
    </row>
    <row r="2754" spans="1:30" x14ac:dyDescent="0.25">
      <c r="A2754" s="1">
        <v>44784.917395833334</v>
      </c>
      <c r="B2754" s="1">
        <v>44784.915810185186</v>
      </c>
      <c r="C2754">
        <v>143456</v>
      </c>
      <c r="D2754" t="s">
        <v>34</v>
      </c>
      <c r="E2754" t="s">
        <v>35</v>
      </c>
      <c r="F2754">
        <v>7</v>
      </c>
      <c r="G2754">
        <v>43.08963</v>
      </c>
      <c r="H2754">
        <v>-71.502440000000007</v>
      </c>
      <c r="I2754">
        <v>619</v>
      </c>
      <c r="J2754">
        <v>76</v>
      </c>
      <c r="K2754">
        <v>0</v>
      </c>
      <c r="L2754" s="1">
        <v>44784.917384259257</v>
      </c>
      <c r="M2754">
        <v>3.2</v>
      </c>
      <c r="N2754">
        <v>3.7</v>
      </c>
      <c r="O2754">
        <v>0.5</v>
      </c>
      <c r="P2754">
        <v>14</v>
      </c>
      <c r="Q2754">
        <v>0.1</v>
      </c>
      <c r="R2754">
        <v>0.1</v>
      </c>
      <c r="S2754">
        <v>0.1</v>
      </c>
      <c r="T2754" t="s">
        <v>33</v>
      </c>
      <c r="U2754">
        <v>3.45</v>
      </c>
      <c r="V2754">
        <v>56</v>
      </c>
      <c r="W2754">
        <v>0</v>
      </c>
      <c r="X2754">
        <v>56</v>
      </c>
      <c r="Y2754">
        <v>0</v>
      </c>
      <c r="Z2754">
        <v>0</v>
      </c>
      <c r="AA2754">
        <v>0</v>
      </c>
      <c r="AB2754" t="s">
        <v>36</v>
      </c>
      <c r="AC2754">
        <v>56</v>
      </c>
      <c r="AD2754">
        <v>0.34</v>
      </c>
    </row>
    <row r="2755" spans="1:30" x14ac:dyDescent="0.25">
      <c r="A2755" s="1">
        <v>44784.917407407411</v>
      </c>
      <c r="B2755" s="1">
        <v>44784.915949074071</v>
      </c>
      <c r="C2755">
        <v>151702</v>
      </c>
      <c r="D2755" t="s">
        <v>37</v>
      </c>
      <c r="E2755" t="s">
        <v>31</v>
      </c>
      <c r="F2755">
        <v>7</v>
      </c>
      <c r="G2755">
        <v>43.118609999999997</v>
      </c>
      <c r="H2755">
        <v>-71.61618</v>
      </c>
      <c r="I2755">
        <v>885</v>
      </c>
      <c r="J2755">
        <v>0</v>
      </c>
      <c r="K2755">
        <v>0</v>
      </c>
      <c r="L2755" s="1">
        <v>44784.917384259257</v>
      </c>
      <c r="M2755">
        <v>3.3</v>
      </c>
      <c r="N2755">
        <v>3.3</v>
      </c>
      <c r="O2755">
        <v>0</v>
      </c>
      <c r="P2755">
        <v>0</v>
      </c>
      <c r="Q2755">
        <v>0.1</v>
      </c>
      <c r="R2755">
        <v>0.1</v>
      </c>
      <c r="S2755">
        <v>0.1</v>
      </c>
      <c r="T2755" t="s">
        <v>33</v>
      </c>
      <c r="U2755">
        <v>3.3</v>
      </c>
      <c r="V2755">
        <v>0</v>
      </c>
      <c r="W2755">
        <v>0</v>
      </c>
      <c r="X2755">
        <v>0</v>
      </c>
      <c r="Y2755">
        <v>0</v>
      </c>
      <c r="Z2755">
        <v>0</v>
      </c>
      <c r="AA2755">
        <v>0</v>
      </c>
      <c r="AB2755" t="s">
        <v>38</v>
      </c>
    </row>
    <row r="2756" spans="1:30" x14ac:dyDescent="0.25">
      <c r="A2756" s="1">
        <v>44784.917407407411</v>
      </c>
      <c r="B2756" s="1">
        <v>44784.915856481479</v>
      </c>
      <c r="C2756">
        <v>151700</v>
      </c>
      <c r="D2756" t="s">
        <v>30</v>
      </c>
      <c r="E2756" t="s">
        <v>31</v>
      </c>
      <c r="F2756">
        <v>7</v>
      </c>
      <c r="G2756">
        <v>43.19211</v>
      </c>
      <c r="H2756">
        <v>-71.541460000000001</v>
      </c>
      <c r="I2756">
        <v>286</v>
      </c>
      <c r="J2756">
        <v>79</v>
      </c>
      <c r="K2756">
        <v>0</v>
      </c>
      <c r="L2756" s="1">
        <v>44784.917384259257</v>
      </c>
      <c r="M2756">
        <v>2.6</v>
      </c>
      <c r="N2756">
        <v>3</v>
      </c>
      <c r="O2756">
        <v>0.4</v>
      </c>
      <c r="P2756">
        <v>14</v>
      </c>
      <c r="Q2756">
        <v>0.1</v>
      </c>
      <c r="R2756">
        <v>0.1</v>
      </c>
      <c r="S2756">
        <v>0.1</v>
      </c>
      <c r="T2756" t="s">
        <v>33</v>
      </c>
      <c r="U2756">
        <v>2.8</v>
      </c>
      <c r="V2756">
        <v>47</v>
      </c>
      <c r="W2756">
        <v>0</v>
      </c>
      <c r="X2756">
        <v>47</v>
      </c>
      <c r="Y2756">
        <v>0</v>
      </c>
      <c r="Z2756">
        <v>0</v>
      </c>
      <c r="AA2756">
        <v>0</v>
      </c>
      <c r="AB2756" t="s">
        <v>36</v>
      </c>
      <c r="AC2756">
        <v>47</v>
      </c>
      <c r="AD2756">
        <v>0.57999999999999996</v>
      </c>
    </row>
    <row r="2757" spans="1:30" x14ac:dyDescent="0.25">
      <c r="A2757" s="1">
        <v>44784.91741898148</v>
      </c>
      <c r="B2757" s="1">
        <v>44784.916296296295</v>
      </c>
      <c r="C2757">
        <v>135984</v>
      </c>
      <c r="D2757" t="s">
        <v>39</v>
      </c>
      <c r="E2757" t="s">
        <v>31</v>
      </c>
      <c r="F2757">
        <v>7</v>
      </c>
      <c r="G2757">
        <v>43.565852999999997</v>
      </c>
      <c r="H2757">
        <v>-71.496129999999994</v>
      </c>
      <c r="I2757">
        <v>708</v>
      </c>
      <c r="J2757">
        <v>68</v>
      </c>
      <c r="K2757">
        <v>0</v>
      </c>
      <c r="L2757" s="1">
        <v>44784.917384259257</v>
      </c>
      <c r="M2757">
        <v>4.0999999999999996</v>
      </c>
      <c r="N2757">
        <v>3.6</v>
      </c>
      <c r="O2757">
        <v>0.5</v>
      </c>
      <c r="P2757">
        <v>13</v>
      </c>
      <c r="Q2757">
        <v>0.3</v>
      </c>
      <c r="R2757">
        <v>0.2</v>
      </c>
      <c r="S2757">
        <v>0.25</v>
      </c>
      <c r="T2757" t="s">
        <v>33</v>
      </c>
      <c r="U2757">
        <v>3.85</v>
      </c>
      <c r="V2757">
        <v>87</v>
      </c>
      <c r="W2757">
        <v>0</v>
      </c>
      <c r="X2757">
        <v>87</v>
      </c>
      <c r="Y2757">
        <v>2</v>
      </c>
      <c r="Z2757">
        <v>0</v>
      </c>
      <c r="AA2757">
        <v>2</v>
      </c>
      <c r="AB2757" t="s">
        <v>36</v>
      </c>
      <c r="AC2757">
        <v>87</v>
      </c>
      <c r="AD2757">
        <v>-1.58</v>
      </c>
    </row>
    <row r="2758" spans="1:30" x14ac:dyDescent="0.25">
      <c r="A2758" s="1">
        <v>44784.91741898148</v>
      </c>
      <c r="B2758" s="1">
        <v>44780.394780092596</v>
      </c>
      <c r="C2758">
        <v>151712</v>
      </c>
      <c r="D2758" t="s">
        <v>40</v>
      </c>
      <c r="E2758" t="s">
        <v>31</v>
      </c>
      <c r="F2758">
        <v>7</v>
      </c>
      <c r="G2758">
        <v>43.289763999999998</v>
      </c>
      <c r="H2758">
        <v>-71.564260000000004</v>
      </c>
      <c r="I2758">
        <v>370</v>
      </c>
      <c r="J2758">
        <v>86</v>
      </c>
      <c r="K2758">
        <v>0</v>
      </c>
      <c r="L2758" s="1">
        <v>44784.917384259257</v>
      </c>
      <c r="M2758">
        <v>14</v>
      </c>
      <c r="N2758">
        <v>13.2</v>
      </c>
      <c r="O2758">
        <v>0.8</v>
      </c>
      <c r="P2758">
        <v>6</v>
      </c>
      <c r="Q2758">
        <v>0</v>
      </c>
      <c r="R2758">
        <v>0</v>
      </c>
      <c r="S2758">
        <v>0</v>
      </c>
      <c r="T2758" t="s">
        <v>32</v>
      </c>
      <c r="V2758">
        <v>59</v>
      </c>
      <c r="W2758">
        <v>0</v>
      </c>
      <c r="X2758">
        <v>59</v>
      </c>
      <c r="Y2758">
        <v>0</v>
      </c>
      <c r="Z2758">
        <v>0</v>
      </c>
      <c r="AA2758">
        <v>0</v>
      </c>
      <c r="AB2758" t="s">
        <v>36</v>
      </c>
      <c r="AC2758">
        <v>59</v>
      </c>
    </row>
    <row r="2759" spans="1:30" x14ac:dyDescent="0.25">
      <c r="A2759" s="1">
        <v>44784.917430555557</v>
      </c>
      <c r="B2759" s="1">
        <v>44784.915625000001</v>
      </c>
      <c r="C2759">
        <v>151710</v>
      </c>
      <c r="D2759" t="s">
        <v>41</v>
      </c>
      <c r="E2759" t="s">
        <v>31</v>
      </c>
      <c r="F2759">
        <v>7</v>
      </c>
      <c r="G2759">
        <v>43.132477000000002</v>
      </c>
      <c r="H2759">
        <v>-71.458374000000006</v>
      </c>
      <c r="I2759">
        <v>230</v>
      </c>
      <c r="J2759">
        <v>77</v>
      </c>
      <c r="K2759">
        <v>0</v>
      </c>
      <c r="L2759" s="1">
        <v>44784.917384259257</v>
      </c>
      <c r="M2759">
        <v>5.8</v>
      </c>
      <c r="N2759">
        <v>4.7</v>
      </c>
      <c r="O2759">
        <v>1.1000000000000001</v>
      </c>
      <c r="P2759">
        <v>21</v>
      </c>
      <c r="Q2759">
        <v>0.6</v>
      </c>
      <c r="R2759">
        <v>0.2</v>
      </c>
      <c r="S2759">
        <v>0.4</v>
      </c>
      <c r="T2759" t="s">
        <v>33</v>
      </c>
      <c r="U2759">
        <v>5.25</v>
      </c>
      <c r="V2759">
        <v>50</v>
      </c>
      <c r="W2759">
        <v>0</v>
      </c>
      <c r="X2759">
        <v>50</v>
      </c>
      <c r="Y2759">
        <v>2</v>
      </c>
      <c r="Z2759">
        <v>0</v>
      </c>
      <c r="AA2759">
        <v>2</v>
      </c>
      <c r="AB2759" t="s">
        <v>36</v>
      </c>
      <c r="AC2759">
        <v>50</v>
      </c>
      <c r="AD2759">
        <v>1.86</v>
      </c>
    </row>
    <row r="2760" spans="1:30" x14ac:dyDescent="0.25">
      <c r="A2760" s="1">
        <v>44784.917430555557</v>
      </c>
      <c r="B2760" s="1">
        <v>44784.916631944441</v>
      </c>
      <c r="C2760">
        <v>151706</v>
      </c>
      <c r="D2760" t="s">
        <v>42</v>
      </c>
      <c r="E2760" t="s">
        <v>31</v>
      </c>
      <c r="F2760">
        <v>7</v>
      </c>
      <c r="G2760">
        <v>43.004080000000002</v>
      </c>
      <c r="H2760">
        <v>-71.177040000000005</v>
      </c>
      <c r="I2760">
        <v>194</v>
      </c>
      <c r="J2760">
        <v>75</v>
      </c>
      <c r="K2760">
        <v>0</v>
      </c>
      <c r="L2760" s="1">
        <v>44784.917384259257</v>
      </c>
      <c r="M2760">
        <v>13.3</v>
      </c>
      <c r="N2760">
        <v>0</v>
      </c>
      <c r="O2760">
        <v>13.3</v>
      </c>
      <c r="P2760">
        <v>200</v>
      </c>
      <c r="Q2760">
        <v>0.3</v>
      </c>
      <c r="R2760">
        <v>0</v>
      </c>
      <c r="S2760">
        <v>0.15</v>
      </c>
      <c r="T2760" t="s">
        <v>43</v>
      </c>
      <c r="V2760">
        <v>69</v>
      </c>
      <c r="W2760">
        <v>0</v>
      </c>
      <c r="X2760">
        <v>69</v>
      </c>
      <c r="Y2760">
        <v>0</v>
      </c>
      <c r="Z2760">
        <v>0</v>
      </c>
      <c r="AA2760">
        <v>0</v>
      </c>
      <c r="AB2760" t="s">
        <v>36</v>
      </c>
      <c r="AC2760">
        <v>69</v>
      </c>
    </row>
    <row r="2761" spans="1:30" x14ac:dyDescent="0.25">
      <c r="A2761" s="1">
        <v>44784.917430555557</v>
      </c>
      <c r="B2761" s="1">
        <v>44784.916458333333</v>
      </c>
      <c r="C2761">
        <v>12212</v>
      </c>
      <c r="D2761" t="s">
        <v>44</v>
      </c>
      <c r="E2761" t="s">
        <v>35</v>
      </c>
      <c r="F2761">
        <v>7</v>
      </c>
      <c r="G2761">
        <v>42.930529999999997</v>
      </c>
      <c r="H2761">
        <v>-72.272350000000003</v>
      </c>
      <c r="I2761">
        <v>476</v>
      </c>
      <c r="J2761">
        <v>79</v>
      </c>
      <c r="K2761">
        <v>0</v>
      </c>
      <c r="L2761" s="1">
        <v>44784.917384259257</v>
      </c>
      <c r="M2761">
        <v>5.6</v>
      </c>
      <c r="N2761">
        <v>5</v>
      </c>
      <c r="O2761">
        <v>0.6</v>
      </c>
      <c r="P2761">
        <v>11</v>
      </c>
      <c r="Q2761">
        <v>0.2</v>
      </c>
      <c r="R2761">
        <v>0.1</v>
      </c>
      <c r="S2761">
        <v>0.15</v>
      </c>
      <c r="T2761" t="s">
        <v>33</v>
      </c>
      <c r="U2761">
        <v>5.3</v>
      </c>
      <c r="V2761">
        <v>53</v>
      </c>
      <c r="W2761">
        <v>0</v>
      </c>
      <c r="X2761">
        <v>53</v>
      </c>
      <c r="Y2761">
        <v>1</v>
      </c>
      <c r="Z2761">
        <v>0</v>
      </c>
      <c r="AA2761">
        <v>1</v>
      </c>
      <c r="AB2761" t="s">
        <v>36</v>
      </c>
      <c r="AC2761">
        <v>53</v>
      </c>
      <c r="AD2761">
        <v>1.68</v>
      </c>
    </row>
    <row r="2762" spans="1:30" x14ac:dyDescent="0.25">
      <c r="A2762" s="1">
        <v>44784.917442129627</v>
      </c>
      <c r="B2762" s="1">
        <v>44769.376736111109</v>
      </c>
      <c r="C2762">
        <v>12178</v>
      </c>
      <c r="D2762" t="s">
        <v>45</v>
      </c>
      <c r="E2762" t="s">
        <v>35</v>
      </c>
      <c r="F2762">
        <v>7</v>
      </c>
      <c r="G2762">
        <v>42.899563000000001</v>
      </c>
      <c r="H2762">
        <v>-71.464650000000006</v>
      </c>
      <c r="I2762">
        <v>301</v>
      </c>
      <c r="J2762">
        <v>85</v>
      </c>
      <c r="K2762">
        <v>0</v>
      </c>
      <c r="L2762" s="1">
        <v>44784.917384259257</v>
      </c>
      <c r="M2762">
        <v>3.8</v>
      </c>
      <c r="N2762">
        <v>3.1</v>
      </c>
      <c r="O2762">
        <v>0.7</v>
      </c>
      <c r="P2762">
        <v>20</v>
      </c>
      <c r="Q2762">
        <v>0</v>
      </c>
      <c r="R2762">
        <v>0</v>
      </c>
      <c r="S2762">
        <v>0</v>
      </c>
      <c r="T2762" t="s">
        <v>32</v>
      </c>
      <c r="V2762">
        <v>35</v>
      </c>
      <c r="W2762">
        <v>0</v>
      </c>
      <c r="X2762">
        <v>35</v>
      </c>
      <c r="Y2762">
        <v>0</v>
      </c>
      <c r="Z2762">
        <v>0</v>
      </c>
      <c r="AA2762">
        <v>0</v>
      </c>
      <c r="AB2762" t="s">
        <v>36</v>
      </c>
      <c r="AC2762">
        <v>35</v>
      </c>
    </row>
    <row r="2763" spans="1:30" x14ac:dyDescent="0.25">
      <c r="A2763" s="1">
        <v>44784.917442129627</v>
      </c>
      <c r="B2763" s="1">
        <v>44784.915706018517</v>
      </c>
      <c r="C2763">
        <v>75981</v>
      </c>
      <c r="D2763" t="s">
        <v>46</v>
      </c>
      <c r="E2763" t="s">
        <v>35</v>
      </c>
      <c r="F2763">
        <v>7</v>
      </c>
      <c r="G2763">
        <v>42.97</v>
      </c>
      <c r="H2763">
        <v>-71.06</v>
      </c>
      <c r="I2763">
        <v>136</v>
      </c>
      <c r="J2763">
        <v>79</v>
      </c>
      <c r="K2763">
        <v>0</v>
      </c>
      <c r="L2763" s="1">
        <v>44784.917384259257</v>
      </c>
      <c r="M2763">
        <v>15.3</v>
      </c>
      <c r="N2763">
        <v>11.4</v>
      </c>
      <c r="O2763">
        <v>3.9</v>
      </c>
      <c r="P2763">
        <v>29</v>
      </c>
      <c r="Q2763">
        <v>3.4</v>
      </c>
      <c r="R2763">
        <v>0</v>
      </c>
      <c r="S2763">
        <v>1.7</v>
      </c>
      <c r="T2763" t="s">
        <v>33</v>
      </c>
      <c r="U2763">
        <v>13.35</v>
      </c>
      <c r="V2763">
        <v>58</v>
      </c>
      <c r="W2763">
        <v>0</v>
      </c>
      <c r="X2763">
        <v>58</v>
      </c>
      <c r="Y2763">
        <v>0</v>
      </c>
      <c r="Z2763">
        <v>0</v>
      </c>
      <c r="AA2763">
        <v>0</v>
      </c>
      <c r="AB2763" t="s">
        <v>36</v>
      </c>
      <c r="AC2763">
        <v>58</v>
      </c>
      <c r="AD2763">
        <v>6.24</v>
      </c>
    </row>
    <row r="2764" spans="1:30" x14ac:dyDescent="0.25">
      <c r="A2764" s="1">
        <v>44784.917453703703</v>
      </c>
      <c r="B2764" s="1">
        <v>44784.916250000002</v>
      </c>
      <c r="C2764">
        <v>115703</v>
      </c>
      <c r="D2764" t="s">
        <v>47</v>
      </c>
      <c r="E2764" t="s">
        <v>35</v>
      </c>
      <c r="F2764">
        <v>7</v>
      </c>
      <c r="G2764">
        <v>43.953625000000002</v>
      </c>
      <c r="H2764">
        <v>-71.508859999999999</v>
      </c>
      <c r="I2764">
        <v>1493</v>
      </c>
      <c r="J2764">
        <v>70</v>
      </c>
      <c r="K2764">
        <v>0</v>
      </c>
      <c r="L2764" s="1">
        <v>44784.917384259257</v>
      </c>
      <c r="M2764">
        <v>0.1</v>
      </c>
      <c r="N2764">
        <v>201</v>
      </c>
      <c r="O2764">
        <v>200.9</v>
      </c>
      <c r="P2764">
        <v>200</v>
      </c>
      <c r="Q2764">
        <v>0</v>
      </c>
      <c r="R2764">
        <v>0</v>
      </c>
      <c r="S2764">
        <v>0</v>
      </c>
      <c r="T2764" t="s">
        <v>60</v>
      </c>
      <c r="V2764">
        <v>66</v>
      </c>
      <c r="W2764">
        <v>0</v>
      </c>
      <c r="X2764">
        <v>66</v>
      </c>
      <c r="Y2764">
        <v>1</v>
      </c>
      <c r="Z2764">
        <v>0</v>
      </c>
      <c r="AA2764">
        <v>1</v>
      </c>
      <c r="AB2764" t="s">
        <v>36</v>
      </c>
      <c r="AC2764">
        <v>66</v>
      </c>
    </row>
    <row r="2765" spans="1:30" x14ac:dyDescent="0.25">
      <c r="A2765" s="1">
        <v>44784.917453703703</v>
      </c>
      <c r="B2765" s="1">
        <v>44784.915671296294</v>
      </c>
      <c r="C2765">
        <v>12050</v>
      </c>
      <c r="D2765" t="s">
        <v>49</v>
      </c>
      <c r="E2765" t="s">
        <v>35</v>
      </c>
      <c r="F2765">
        <v>7</v>
      </c>
      <c r="G2765">
        <v>44.220573000000002</v>
      </c>
      <c r="H2765">
        <v>-71.732315</v>
      </c>
      <c r="I2765">
        <v>999</v>
      </c>
      <c r="J2765">
        <v>76</v>
      </c>
      <c r="K2765">
        <v>0</v>
      </c>
      <c r="L2765" s="1">
        <v>44784.917384259257</v>
      </c>
      <c r="M2765">
        <v>20.3</v>
      </c>
      <c r="N2765">
        <v>19.7</v>
      </c>
      <c r="O2765">
        <v>0.6</v>
      </c>
      <c r="P2765">
        <v>3</v>
      </c>
      <c r="Q2765">
        <v>1.1000000000000001</v>
      </c>
      <c r="R2765">
        <v>1</v>
      </c>
      <c r="S2765">
        <v>1.05</v>
      </c>
      <c r="T2765" t="s">
        <v>33</v>
      </c>
      <c r="U2765">
        <v>20</v>
      </c>
      <c r="V2765">
        <v>58</v>
      </c>
      <c r="W2765">
        <v>0</v>
      </c>
      <c r="X2765">
        <v>58</v>
      </c>
      <c r="Y2765">
        <v>0</v>
      </c>
      <c r="Z2765">
        <v>0</v>
      </c>
      <c r="AA2765">
        <v>0</v>
      </c>
      <c r="AB2765" t="s">
        <v>36</v>
      </c>
      <c r="AC2765">
        <v>58</v>
      </c>
      <c r="AD2765">
        <v>10.3</v>
      </c>
    </row>
    <row r="2766" spans="1:30" x14ac:dyDescent="0.25">
      <c r="A2766" s="1">
        <v>44784.91746527778</v>
      </c>
      <c r="B2766" s="1">
        <v>44784.91578703704</v>
      </c>
      <c r="C2766">
        <v>23443</v>
      </c>
      <c r="D2766" t="s">
        <v>50</v>
      </c>
      <c r="E2766" t="s">
        <v>35</v>
      </c>
      <c r="F2766">
        <v>7</v>
      </c>
      <c r="G2766">
        <v>43.556139999999999</v>
      </c>
      <c r="H2766">
        <v>-72.370990000000006</v>
      </c>
      <c r="I2766">
        <v>523</v>
      </c>
      <c r="J2766">
        <v>72</v>
      </c>
      <c r="K2766">
        <v>0</v>
      </c>
      <c r="L2766" s="1">
        <v>44784.917384259257</v>
      </c>
      <c r="M2766">
        <v>6.7</v>
      </c>
      <c r="N2766">
        <v>6.1</v>
      </c>
      <c r="O2766">
        <v>0.6</v>
      </c>
      <c r="P2766">
        <v>9</v>
      </c>
      <c r="Q2766">
        <v>0</v>
      </c>
      <c r="R2766">
        <v>0.1</v>
      </c>
      <c r="S2766">
        <v>0.05</v>
      </c>
      <c r="T2766" t="s">
        <v>33</v>
      </c>
      <c r="U2766">
        <v>6.4</v>
      </c>
      <c r="V2766">
        <v>67</v>
      </c>
      <c r="W2766">
        <v>0</v>
      </c>
      <c r="X2766">
        <v>67</v>
      </c>
      <c r="Y2766">
        <v>0</v>
      </c>
      <c r="Z2766">
        <v>0</v>
      </c>
      <c r="AA2766">
        <v>0</v>
      </c>
      <c r="AB2766" t="s">
        <v>36</v>
      </c>
      <c r="AC2766">
        <v>67</v>
      </c>
      <c r="AD2766">
        <v>1.37</v>
      </c>
    </row>
    <row r="2767" spans="1:30" x14ac:dyDescent="0.25">
      <c r="A2767" s="1">
        <v>44784.91746527778</v>
      </c>
      <c r="B2767" s="1">
        <v>44784.915891203702</v>
      </c>
      <c r="C2767">
        <v>58135</v>
      </c>
      <c r="D2767" t="s">
        <v>51</v>
      </c>
      <c r="E2767" t="s">
        <v>35</v>
      </c>
      <c r="F2767">
        <v>7</v>
      </c>
      <c r="G2767">
        <v>42.883873000000001</v>
      </c>
      <c r="H2767">
        <v>-71.972915999999998</v>
      </c>
      <c r="I2767">
        <v>808</v>
      </c>
      <c r="J2767">
        <v>74</v>
      </c>
      <c r="K2767">
        <v>0</v>
      </c>
      <c r="L2767" s="1">
        <v>44784.917384259257</v>
      </c>
      <c r="M2767">
        <v>5.5</v>
      </c>
      <c r="N2767">
        <v>5.4</v>
      </c>
      <c r="O2767">
        <v>0.1</v>
      </c>
      <c r="P2767">
        <v>2</v>
      </c>
      <c r="Q2767">
        <v>0</v>
      </c>
      <c r="R2767">
        <v>1.1000000000000001</v>
      </c>
      <c r="S2767">
        <v>0.55000000000000004</v>
      </c>
      <c r="T2767" t="s">
        <v>33</v>
      </c>
      <c r="U2767">
        <v>5.45</v>
      </c>
      <c r="V2767">
        <v>60</v>
      </c>
      <c r="W2767">
        <v>0</v>
      </c>
      <c r="X2767">
        <v>60</v>
      </c>
      <c r="Y2767">
        <v>0</v>
      </c>
      <c r="Z2767">
        <v>0</v>
      </c>
      <c r="AA2767">
        <v>0</v>
      </c>
      <c r="AB2767" t="s">
        <v>36</v>
      </c>
      <c r="AC2767">
        <v>60</v>
      </c>
      <c r="AD2767">
        <v>1.28</v>
      </c>
    </row>
    <row r="2768" spans="1:30" x14ac:dyDescent="0.25">
      <c r="A2768" s="1">
        <v>44784.91747685185</v>
      </c>
      <c r="B2768" s="1">
        <v>44784.915868055556</v>
      </c>
      <c r="C2768">
        <v>148555</v>
      </c>
      <c r="D2768" t="s">
        <v>52</v>
      </c>
      <c r="E2768" t="s">
        <v>53</v>
      </c>
      <c r="F2768">
        <v>7</v>
      </c>
      <c r="G2768">
        <v>42.904949999999999</v>
      </c>
      <c r="H2768">
        <v>-71.386764999999997</v>
      </c>
      <c r="I2768">
        <v>363</v>
      </c>
      <c r="J2768">
        <v>0</v>
      </c>
      <c r="K2768">
        <v>0</v>
      </c>
      <c r="L2768" s="1">
        <v>44784.917384259257</v>
      </c>
      <c r="M2768">
        <v>6.3</v>
      </c>
      <c r="N2768">
        <v>7.1</v>
      </c>
      <c r="O2768">
        <v>0.8</v>
      </c>
      <c r="P2768">
        <v>12</v>
      </c>
      <c r="Q2768">
        <v>0.6</v>
      </c>
      <c r="R2768">
        <v>0.5</v>
      </c>
      <c r="S2768">
        <v>0.55000000000000004</v>
      </c>
      <c r="T2768" t="s">
        <v>33</v>
      </c>
      <c r="U2768">
        <v>6.7</v>
      </c>
      <c r="V2768">
        <v>0</v>
      </c>
      <c r="W2768">
        <v>0</v>
      </c>
      <c r="X2768">
        <v>0</v>
      </c>
      <c r="Y2768">
        <v>0</v>
      </c>
      <c r="Z2768">
        <v>0</v>
      </c>
      <c r="AA2768">
        <v>0</v>
      </c>
      <c r="AB2768" t="s">
        <v>38</v>
      </c>
    </row>
    <row r="2769" spans="1:30" x14ac:dyDescent="0.25">
      <c r="A2769" s="1">
        <v>44784.91747685185</v>
      </c>
      <c r="B2769" s="1">
        <v>44784.916770833333</v>
      </c>
      <c r="C2769">
        <v>146644</v>
      </c>
      <c r="D2769" t="s">
        <v>54</v>
      </c>
      <c r="E2769" t="s">
        <v>53</v>
      </c>
      <c r="F2769">
        <v>7</v>
      </c>
      <c r="G2769">
        <v>43.06015</v>
      </c>
      <c r="H2769">
        <v>-70.758930000000007</v>
      </c>
      <c r="I2769">
        <v>35</v>
      </c>
      <c r="J2769">
        <v>70</v>
      </c>
      <c r="K2769">
        <v>72</v>
      </c>
      <c r="L2769" s="1">
        <v>44784.917384259257</v>
      </c>
      <c r="M2769">
        <v>12.3</v>
      </c>
      <c r="N2769">
        <v>10.7</v>
      </c>
      <c r="O2769">
        <v>1.6</v>
      </c>
      <c r="P2769">
        <v>14</v>
      </c>
      <c r="Q2769">
        <v>0.1</v>
      </c>
      <c r="R2769">
        <v>0.1</v>
      </c>
      <c r="S2769">
        <v>0.1</v>
      </c>
      <c r="T2769" t="s">
        <v>33</v>
      </c>
      <c r="U2769">
        <v>11.5</v>
      </c>
      <c r="V2769">
        <v>71</v>
      </c>
      <c r="W2769">
        <v>76</v>
      </c>
      <c r="X2769">
        <v>5</v>
      </c>
      <c r="Y2769">
        <v>0</v>
      </c>
      <c r="Z2769">
        <v>1</v>
      </c>
      <c r="AA2769">
        <v>1</v>
      </c>
      <c r="AB2769" t="s">
        <v>33</v>
      </c>
      <c r="AC2769">
        <v>73.5</v>
      </c>
      <c r="AD2769">
        <v>4.03</v>
      </c>
    </row>
    <row r="2770" spans="1:30" x14ac:dyDescent="0.25">
      <c r="A2770" s="1">
        <v>44784.917488425926</v>
      </c>
      <c r="B2770" s="1">
        <v>43755.283437500002</v>
      </c>
      <c r="C2770">
        <v>12188</v>
      </c>
      <c r="D2770" t="s">
        <v>55</v>
      </c>
      <c r="E2770" t="s">
        <v>35</v>
      </c>
      <c r="F2770">
        <v>4.1100000000000003</v>
      </c>
      <c r="G2770">
        <v>42.927050000000001</v>
      </c>
      <c r="H2770">
        <v>-72.279610000000005</v>
      </c>
      <c r="I2770">
        <v>475</v>
      </c>
      <c r="J2770">
        <v>95</v>
      </c>
      <c r="K2770">
        <v>0</v>
      </c>
      <c r="L2770" s="1">
        <v>44784.917384259257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 t="s">
        <v>32</v>
      </c>
      <c r="V2770">
        <v>77</v>
      </c>
      <c r="W2770">
        <v>0</v>
      </c>
      <c r="X2770">
        <v>77</v>
      </c>
      <c r="Y2770">
        <v>0</v>
      </c>
      <c r="Z2770">
        <v>0</v>
      </c>
      <c r="AA2770">
        <v>0</v>
      </c>
      <c r="AB2770" t="s">
        <v>36</v>
      </c>
      <c r="AC2770">
        <v>77</v>
      </c>
    </row>
    <row r="2771" spans="1:30" x14ac:dyDescent="0.25">
      <c r="A2771" s="1">
        <v>44784.917488425926</v>
      </c>
      <c r="B2771" s="1">
        <v>44784.917164351849</v>
      </c>
      <c r="C2771">
        <v>1224</v>
      </c>
      <c r="D2771" t="s">
        <v>56</v>
      </c>
      <c r="E2771" t="s">
        <v>35</v>
      </c>
      <c r="F2771" t="s">
        <v>57</v>
      </c>
      <c r="G2771">
        <v>42.938034000000002</v>
      </c>
      <c r="H2771">
        <v>-72.259299999999996</v>
      </c>
      <c r="I2771">
        <v>792</v>
      </c>
      <c r="J2771">
        <v>78</v>
      </c>
      <c r="K2771">
        <v>0</v>
      </c>
      <c r="L2771" s="1">
        <v>44784.917384259257</v>
      </c>
      <c r="M2771">
        <v>5.0999999999999996</v>
      </c>
      <c r="N2771">
        <v>0</v>
      </c>
      <c r="O2771">
        <v>5.0999999999999996</v>
      </c>
      <c r="P2771">
        <v>200</v>
      </c>
      <c r="Q2771">
        <v>0.2</v>
      </c>
      <c r="R2771">
        <v>0</v>
      </c>
      <c r="S2771">
        <v>0.1</v>
      </c>
      <c r="T2771" t="s">
        <v>43</v>
      </c>
      <c r="V2771">
        <v>60</v>
      </c>
      <c r="W2771">
        <v>0</v>
      </c>
      <c r="X2771">
        <v>60</v>
      </c>
      <c r="Y2771">
        <v>3</v>
      </c>
      <c r="Z2771">
        <v>0</v>
      </c>
      <c r="AA2771">
        <v>3</v>
      </c>
      <c r="AB2771" t="s">
        <v>36</v>
      </c>
      <c r="AC2771">
        <v>60</v>
      </c>
    </row>
    <row r="2772" spans="1:30" x14ac:dyDescent="0.25">
      <c r="A2772" s="1">
        <v>44784.917500000003</v>
      </c>
      <c r="B2772" s="1">
        <v>44784.916608796295</v>
      </c>
      <c r="C2772">
        <v>1202</v>
      </c>
      <c r="D2772" t="s">
        <v>58</v>
      </c>
      <c r="E2772" t="s">
        <v>35</v>
      </c>
      <c r="F2772" t="s">
        <v>57</v>
      </c>
      <c r="G2772">
        <v>42.936554000000001</v>
      </c>
      <c r="H2772">
        <v>-72.271019999999993</v>
      </c>
      <c r="I2772">
        <v>488</v>
      </c>
      <c r="J2772">
        <v>0</v>
      </c>
      <c r="K2772">
        <v>0</v>
      </c>
      <c r="L2772" s="1">
        <v>44784.917384259257</v>
      </c>
      <c r="M2772">
        <v>7</v>
      </c>
      <c r="N2772">
        <v>6.4</v>
      </c>
      <c r="O2772">
        <v>0.6</v>
      </c>
      <c r="P2772">
        <v>9</v>
      </c>
      <c r="Q2772">
        <v>1.1000000000000001</v>
      </c>
      <c r="R2772">
        <v>1.2</v>
      </c>
      <c r="S2772">
        <v>1.1499999999999999</v>
      </c>
      <c r="T2772" t="s">
        <v>33</v>
      </c>
      <c r="U2772">
        <v>6.7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 t="s">
        <v>38</v>
      </c>
    </row>
    <row r="2773" spans="1:30" x14ac:dyDescent="0.25">
      <c r="A2773" s="1">
        <v>44784.917500000003</v>
      </c>
      <c r="B2773" s="1">
        <v>44612.080023148148</v>
      </c>
      <c r="C2773">
        <v>25985</v>
      </c>
      <c r="D2773" t="s">
        <v>59</v>
      </c>
      <c r="E2773" t="s">
        <v>35</v>
      </c>
      <c r="F2773">
        <v>6.01</v>
      </c>
      <c r="G2773">
        <v>42.927326000000001</v>
      </c>
      <c r="H2773">
        <v>-72.279979999999995</v>
      </c>
      <c r="I2773">
        <v>477</v>
      </c>
      <c r="J2773">
        <v>78</v>
      </c>
      <c r="K2773">
        <v>0</v>
      </c>
      <c r="L2773" s="1">
        <v>44784.917384259257</v>
      </c>
      <c r="M2773">
        <v>1.1000000000000001</v>
      </c>
      <c r="N2773">
        <v>1</v>
      </c>
      <c r="O2773">
        <v>0.1</v>
      </c>
      <c r="P2773">
        <v>10</v>
      </c>
      <c r="Q2773">
        <v>0</v>
      </c>
      <c r="R2773">
        <v>0</v>
      </c>
      <c r="S2773">
        <v>0</v>
      </c>
      <c r="T2773" t="s">
        <v>32</v>
      </c>
      <c r="V2773">
        <v>22</v>
      </c>
      <c r="W2773">
        <v>0</v>
      </c>
      <c r="X2773">
        <v>22</v>
      </c>
      <c r="Y2773">
        <v>0</v>
      </c>
      <c r="Z2773">
        <v>0</v>
      </c>
      <c r="AA2773">
        <v>0</v>
      </c>
      <c r="AB2773" t="s">
        <v>36</v>
      </c>
      <c r="AC2773">
        <v>22</v>
      </c>
    </row>
    <row r="2774" spans="1:30" x14ac:dyDescent="0.25">
      <c r="A2774" s="1">
        <v>44784.924340277779</v>
      </c>
      <c r="B2774" s="1">
        <v>44775.701319444444</v>
      </c>
      <c r="C2774">
        <v>151708</v>
      </c>
      <c r="D2774" t="s">
        <v>30</v>
      </c>
      <c r="E2774" t="s">
        <v>31</v>
      </c>
      <c r="F2774">
        <v>7</v>
      </c>
      <c r="G2774">
        <v>43.192042999999998</v>
      </c>
      <c r="H2774">
        <v>-71.541579999999996</v>
      </c>
      <c r="I2774">
        <v>291</v>
      </c>
      <c r="J2774">
        <v>93</v>
      </c>
      <c r="K2774">
        <v>94</v>
      </c>
      <c r="L2774" s="1">
        <v>44784.924328703702</v>
      </c>
      <c r="M2774">
        <v>7.9</v>
      </c>
      <c r="N2774">
        <v>7.6</v>
      </c>
      <c r="O2774">
        <v>0.3</v>
      </c>
      <c r="P2774">
        <v>4</v>
      </c>
      <c r="Q2774">
        <v>0</v>
      </c>
      <c r="R2774">
        <v>0</v>
      </c>
      <c r="S2774">
        <v>0</v>
      </c>
      <c r="T2774" t="s">
        <v>32</v>
      </c>
      <c r="V2774">
        <v>42</v>
      </c>
      <c r="W2774">
        <v>41</v>
      </c>
      <c r="X2774">
        <v>1</v>
      </c>
      <c r="Y2774">
        <v>0</v>
      </c>
      <c r="Z2774">
        <v>0</v>
      </c>
      <c r="AA2774">
        <v>0</v>
      </c>
      <c r="AB2774" t="s">
        <v>33</v>
      </c>
      <c r="AC2774">
        <v>41.5</v>
      </c>
    </row>
    <row r="2775" spans="1:30" x14ac:dyDescent="0.25">
      <c r="A2775" s="1">
        <v>44784.924340277779</v>
      </c>
      <c r="B2775" s="1">
        <v>44784.922754629632</v>
      </c>
      <c r="C2775">
        <v>143456</v>
      </c>
      <c r="D2775" t="s">
        <v>34</v>
      </c>
      <c r="E2775" t="s">
        <v>35</v>
      </c>
      <c r="F2775">
        <v>7</v>
      </c>
      <c r="G2775">
        <v>43.08963</v>
      </c>
      <c r="H2775">
        <v>-71.502440000000007</v>
      </c>
      <c r="I2775">
        <v>619</v>
      </c>
      <c r="J2775">
        <v>76</v>
      </c>
      <c r="K2775">
        <v>0</v>
      </c>
      <c r="L2775" s="1">
        <v>44784.924328703702</v>
      </c>
      <c r="M2775">
        <v>3.2</v>
      </c>
      <c r="N2775">
        <v>3.6</v>
      </c>
      <c r="O2775">
        <v>0.4</v>
      </c>
      <c r="P2775">
        <v>12</v>
      </c>
      <c r="Q2775">
        <v>0</v>
      </c>
      <c r="R2775">
        <v>0.1</v>
      </c>
      <c r="S2775">
        <v>0.05</v>
      </c>
      <c r="T2775" t="s">
        <v>33</v>
      </c>
      <c r="U2775">
        <v>3.4</v>
      </c>
      <c r="V2775">
        <v>57</v>
      </c>
      <c r="W2775">
        <v>0</v>
      </c>
      <c r="X2775">
        <v>57</v>
      </c>
      <c r="Y2775">
        <v>1</v>
      </c>
      <c r="Z2775">
        <v>0</v>
      </c>
      <c r="AA2775">
        <v>1</v>
      </c>
      <c r="AB2775" t="s">
        <v>36</v>
      </c>
      <c r="AC2775">
        <v>57</v>
      </c>
      <c r="AD2775">
        <v>0.24</v>
      </c>
    </row>
    <row r="2776" spans="1:30" x14ac:dyDescent="0.25">
      <c r="A2776" s="1">
        <v>44784.924351851849</v>
      </c>
      <c r="B2776" s="1">
        <v>44784.922893518517</v>
      </c>
      <c r="C2776">
        <v>151702</v>
      </c>
      <c r="D2776" t="s">
        <v>37</v>
      </c>
      <c r="E2776" t="s">
        <v>31</v>
      </c>
      <c r="F2776">
        <v>7</v>
      </c>
      <c r="G2776">
        <v>43.118609999999997</v>
      </c>
      <c r="H2776">
        <v>-71.61618</v>
      </c>
      <c r="I2776">
        <v>885</v>
      </c>
      <c r="J2776">
        <v>0</v>
      </c>
      <c r="K2776">
        <v>0</v>
      </c>
      <c r="L2776" s="1">
        <v>44784.924328703702</v>
      </c>
      <c r="M2776">
        <v>3.1</v>
      </c>
      <c r="N2776">
        <v>3.2</v>
      </c>
      <c r="O2776">
        <v>0.1</v>
      </c>
      <c r="P2776">
        <v>3</v>
      </c>
      <c r="Q2776">
        <v>0.2</v>
      </c>
      <c r="R2776">
        <v>0.1</v>
      </c>
      <c r="S2776">
        <v>0.15</v>
      </c>
      <c r="T2776" t="s">
        <v>33</v>
      </c>
      <c r="U2776">
        <v>3.15</v>
      </c>
      <c r="V2776">
        <v>0</v>
      </c>
      <c r="W2776">
        <v>0</v>
      </c>
      <c r="X2776">
        <v>0</v>
      </c>
      <c r="Y2776">
        <v>0</v>
      </c>
      <c r="Z2776">
        <v>0</v>
      </c>
      <c r="AA2776">
        <v>0</v>
      </c>
      <c r="AB2776" t="s">
        <v>38</v>
      </c>
    </row>
    <row r="2777" spans="1:30" x14ac:dyDescent="0.25">
      <c r="A2777" s="1">
        <v>44784.924351851849</v>
      </c>
      <c r="B2777" s="1">
        <v>44784.922800925924</v>
      </c>
      <c r="C2777">
        <v>151700</v>
      </c>
      <c r="D2777" t="s">
        <v>30</v>
      </c>
      <c r="E2777" t="s">
        <v>31</v>
      </c>
      <c r="F2777">
        <v>7</v>
      </c>
      <c r="G2777">
        <v>43.19211</v>
      </c>
      <c r="H2777">
        <v>-71.541460000000001</v>
      </c>
      <c r="I2777">
        <v>286</v>
      </c>
      <c r="J2777">
        <v>79</v>
      </c>
      <c r="K2777">
        <v>0</v>
      </c>
      <c r="L2777" s="1">
        <v>44784.924328703702</v>
      </c>
      <c r="M2777">
        <v>2.5</v>
      </c>
      <c r="N2777">
        <v>2.9</v>
      </c>
      <c r="O2777">
        <v>0.4</v>
      </c>
      <c r="P2777">
        <v>15</v>
      </c>
      <c r="Q2777">
        <v>0.1</v>
      </c>
      <c r="R2777">
        <v>0.1</v>
      </c>
      <c r="S2777">
        <v>0.1</v>
      </c>
      <c r="T2777" t="s">
        <v>33</v>
      </c>
      <c r="U2777">
        <v>2.7</v>
      </c>
      <c r="V2777">
        <v>47</v>
      </c>
      <c r="W2777">
        <v>0</v>
      </c>
      <c r="X2777">
        <v>47</v>
      </c>
      <c r="Y2777">
        <v>0</v>
      </c>
      <c r="Z2777">
        <v>0</v>
      </c>
      <c r="AA2777">
        <v>0</v>
      </c>
      <c r="AB2777" t="s">
        <v>36</v>
      </c>
      <c r="AC2777">
        <v>47</v>
      </c>
      <c r="AD2777">
        <v>0.52</v>
      </c>
    </row>
    <row r="2778" spans="1:30" x14ac:dyDescent="0.25">
      <c r="A2778" s="1">
        <v>44784.924363425926</v>
      </c>
      <c r="B2778" s="1">
        <v>44784.92324074074</v>
      </c>
      <c r="C2778">
        <v>135984</v>
      </c>
      <c r="D2778" t="s">
        <v>39</v>
      </c>
      <c r="E2778" t="s">
        <v>31</v>
      </c>
      <c r="F2778">
        <v>7</v>
      </c>
      <c r="G2778">
        <v>43.565852999999997</v>
      </c>
      <c r="H2778">
        <v>-71.496129999999994</v>
      </c>
      <c r="I2778">
        <v>708</v>
      </c>
      <c r="J2778">
        <v>68</v>
      </c>
      <c r="K2778">
        <v>0</v>
      </c>
      <c r="L2778" s="1">
        <v>44784.924328703702</v>
      </c>
      <c r="M2778">
        <v>4.2</v>
      </c>
      <c r="N2778">
        <v>3.7</v>
      </c>
      <c r="O2778">
        <v>0.5</v>
      </c>
      <c r="P2778">
        <v>13</v>
      </c>
      <c r="Q2778">
        <v>0.1</v>
      </c>
      <c r="R2778">
        <v>0.1</v>
      </c>
      <c r="S2778">
        <v>0.1</v>
      </c>
      <c r="T2778" t="s">
        <v>33</v>
      </c>
      <c r="U2778">
        <v>3.95</v>
      </c>
      <c r="V2778">
        <v>89</v>
      </c>
      <c r="W2778">
        <v>0</v>
      </c>
      <c r="X2778">
        <v>89</v>
      </c>
      <c r="Y2778">
        <v>2</v>
      </c>
      <c r="Z2778">
        <v>0</v>
      </c>
      <c r="AA2778">
        <v>2</v>
      </c>
      <c r="AB2778" t="s">
        <v>36</v>
      </c>
      <c r="AC2778">
        <v>89</v>
      </c>
      <c r="AD2778">
        <v>-1.66</v>
      </c>
    </row>
    <row r="2779" spans="1:30" x14ac:dyDescent="0.25">
      <c r="A2779" s="1">
        <v>44784.924363425926</v>
      </c>
      <c r="B2779" s="1">
        <v>44780.394780092596</v>
      </c>
      <c r="C2779">
        <v>151712</v>
      </c>
      <c r="D2779" t="s">
        <v>40</v>
      </c>
      <c r="E2779" t="s">
        <v>31</v>
      </c>
      <c r="F2779">
        <v>7</v>
      </c>
      <c r="G2779">
        <v>43.289763999999998</v>
      </c>
      <c r="H2779">
        <v>-71.564260000000004</v>
      </c>
      <c r="I2779">
        <v>370</v>
      </c>
      <c r="J2779">
        <v>86</v>
      </c>
      <c r="K2779">
        <v>0</v>
      </c>
      <c r="L2779" s="1">
        <v>44784.924328703702</v>
      </c>
      <c r="M2779">
        <v>14</v>
      </c>
      <c r="N2779">
        <v>13.2</v>
      </c>
      <c r="O2779">
        <v>0.8</v>
      </c>
      <c r="P2779">
        <v>6</v>
      </c>
      <c r="Q2779">
        <v>0</v>
      </c>
      <c r="R2779">
        <v>0</v>
      </c>
      <c r="S2779">
        <v>0</v>
      </c>
      <c r="T2779" t="s">
        <v>32</v>
      </c>
      <c r="V2779">
        <v>59</v>
      </c>
      <c r="W2779">
        <v>0</v>
      </c>
      <c r="X2779">
        <v>59</v>
      </c>
      <c r="Y2779">
        <v>0</v>
      </c>
      <c r="Z2779">
        <v>0</v>
      </c>
      <c r="AA2779">
        <v>0</v>
      </c>
      <c r="AB2779" t="s">
        <v>36</v>
      </c>
      <c r="AC2779">
        <v>59</v>
      </c>
    </row>
    <row r="2780" spans="1:30" x14ac:dyDescent="0.25">
      <c r="A2780" s="1">
        <v>44784.924375000002</v>
      </c>
      <c r="B2780" s="1">
        <v>44784.923958333333</v>
      </c>
      <c r="C2780">
        <v>151710</v>
      </c>
      <c r="D2780" t="s">
        <v>41</v>
      </c>
      <c r="E2780" t="s">
        <v>31</v>
      </c>
      <c r="F2780">
        <v>7</v>
      </c>
      <c r="G2780">
        <v>43.132477000000002</v>
      </c>
      <c r="H2780">
        <v>-71.458374000000006</v>
      </c>
      <c r="I2780">
        <v>230</v>
      </c>
      <c r="J2780">
        <v>77</v>
      </c>
      <c r="K2780">
        <v>0</v>
      </c>
      <c r="L2780" s="1">
        <v>44784.924328703702</v>
      </c>
      <c r="M2780">
        <v>6.7</v>
      </c>
      <c r="N2780">
        <v>5.0999999999999996</v>
      </c>
      <c r="O2780">
        <v>1.6</v>
      </c>
      <c r="P2780">
        <v>27</v>
      </c>
      <c r="Q2780">
        <v>0.9</v>
      </c>
      <c r="R2780">
        <v>0.4</v>
      </c>
      <c r="S2780">
        <v>0.65</v>
      </c>
      <c r="T2780" t="s">
        <v>33</v>
      </c>
      <c r="U2780">
        <v>5.9</v>
      </c>
      <c r="V2780">
        <v>53</v>
      </c>
      <c r="W2780">
        <v>0</v>
      </c>
      <c r="X2780">
        <v>53</v>
      </c>
      <c r="Y2780">
        <v>3</v>
      </c>
      <c r="Z2780">
        <v>0</v>
      </c>
      <c r="AA2780">
        <v>3</v>
      </c>
      <c r="AB2780" t="s">
        <v>36</v>
      </c>
      <c r="AC2780">
        <v>53</v>
      </c>
      <c r="AD2780">
        <v>2.0499999999999998</v>
      </c>
    </row>
    <row r="2781" spans="1:30" x14ac:dyDescent="0.25">
      <c r="A2781" s="1">
        <v>44784.924375000002</v>
      </c>
      <c r="B2781" s="1">
        <v>44784.923576388886</v>
      </c>
      <c r="C2781">
        <v>151706</v>
      </c>
      <c r="D2781" t="s">
        <v>42</v>
      </c>
      <c r="E2781" t="s">
        <v>31</v>
      </c>
      <c r="F2781">
        <v>7</v>
      </c>
      <c r="G2781">
        <v>43.004080000000002</v>
      </c>
      <c r="H2781">
        <v>-71.177040000000005</v>
      </c>
      <c r="I2781">
        <v>194</v>
      </c>
      <c r="J2781">
        <v>75</v>
      </c>
      <c r="K2781">
        <v>0</v>
      </c>
      <c r="L2781" s="1">
        <v>44784.924328703702</v>
      </c>
      <c r="M2781">
        <v>13.8</v>
      </c>
      <c r="N2781">
        <v>0</v>
      </c>
      <c r="O2781">
        <v>13.8</v>
      </c>
      <c r="P2781">
        <v>200</v>
      </c>
      <c r="Q2781">
        <v>0.5</v>
      </c>
      <c r="R2781">
        <v>0</v>
      </c>
      <c r="S2781">
        <v>0.25</v>
      </c>
      <c r="T2781" t="s">
        <v>43</v>
      </c>
      <c r="V2781">
        <v>69</v>
      </c>
      <c r="W2781">
        <v>0</v>
      </c>
      <c r="X2781">
        <v>69</v>
      </c>
      <c r="Y2781">
        <v>0</v>
      </c>
      <c r="Z2781">
        <v>0</v>
      </c>
      <c r="AA2781">
        <v>0</v>
      </c>
      <c r="AB2781" t="s">
        <v>36</v>
      </c>
      <c r="AC2781">
        <v>69</v>
      </c>
    </row>
    <row r="2782" spans="1:30" x14ac:dyDescent="0.25">
      <c r="A2782" s="1">
        <v>44784.924386574072</v>
      </c>
      <c r="B2782" s="1">
        <v>44784.923402777778</v>
      </c>
      <c r="C2782">
        <v>12212</v>
      </c>
      <c r="D2782" t="s">
        <v>44</v>
      </c>
      <c r="E2782" t="s">
        <v>35</v>
      </c>
      <c r="F2782">
        <v>7</v>
      </c>
      <c r="G2782">
        <v>42.930529999999997</v>
      </c>
      <c r="H2782">
        <v>-72.272350000000003</v>
      </c>
      <c r="I2782">
        <v>476</v>
      </c>
      <c r="J2782">
        <v>78</v>
      </c>
      <c r="K2782">
        <v>0</v>
      </c>
      <c r="L2782" s="1">
        <v>44784.924328703702</v>
      </c>
      <c r="M2782">
        <v>5.6</v>
      </c>
      <c r="N2782">
        <v>4.9000000000000004</v>
      </c>
      <c r="O2782">
        <v>0.7</v>
      </c>
      <c r="P2782">
        <v>13</v>
      </c>
      <c r="Q2782">
        <v>0</v>
      </c>
      <c r="R2782">
        <v>0.1</v>
      </c>
      <c r="S2782">
        <v>0.05</v>
      </c>
      <c r="T2782" t="s">
        <v>33</v>
      </c>
      <c r="U2782">
        <v>5.25</v>
      </c>
      <c r="V2782">
        <v>55</v>
      </c>
      <c r="W2782">
        <v>0</v>
      </c>
      <c r="X2782">
        <v>55</v>
      </c>
      <c r="Y2782">
        <v>2</v>
      </c>
      <c r="Z2782">
        <v>0</v>
      </c>
      <c r="AA2782">
        <v>2</v>
      </c>
      <c r="AB2782" t="s">
        <v>36</v>
      </c>
      <c r="AC2782">
        <v>55</v>
      </c>
      <c r="AD2782">
        <v>1.51</v>
      </c>
    </row>
    <row r="2783" spans="1:30" x14ac:dyDescent="0.25">
      <c r="A2783" s="1">
        <v>44784.924386574072</v>
      </c>
      <c r="B2783" s="1">
        <v>44769.376736111109</v>
      </c>
      <c r="C2783">
        <v>12178</v>
      </c>
      <c r="D2783" t="s">
        <v>45</v>
      </c>
      <c r="E2783" t="s">
        <v>35</v>
      </c>
      <c r="F2783">
        <v>7</v>
      </c>
      <c r="G2783">
        <v>42.899563000000001</v>
      </c>
      <c r="H2783">
        <v>-71.464650000000006</v>
      </c>
      <c r="I2783">
        <v>301</v>
      </c>
      <c r="J2783">
        <v>85</v>
      </c>
      <c r="K2783">
        <v>0</v>
      </c>
      <c r="L2783" s="1">
        <v>44784.924328703702</v>
      </c>
      <c r="M2783">
        <v>3.8</v>
      </c>
      <c r="N2783">
        <v>3.1</v>
      </c>
      <c r="O2783">
        <v>0.7</v>
      </c>
      <c r="P2783">
        <v>20</v>
      </c>
      <c r="Q2783">
        <v>0</v>
      </c>
      <c r="R2783">
        <v>0</v>
      </c>
      <c r="S2783">
        <v>0</v>
      </c>
      <c r="T2783" t="s">
        <v>32</v>
      </c>
      <c r="V2783">
        <v>35</v>
      </c>
      <c r="W2783">
        <v>0</v>
      </c>
      <c r="X2783">
        <v>35</v>
      </c>
      <c r="Y2783">
        <v>0</v>
      </c>
      <c r="Z2783">
        <v>0</v>
      </c>
      <c r="AA2783">
        <v>0</v>
      </c>
      <c r="AB2783" t="s">
        <v>36</v>
      </c>
      <c r="AC2783">
        <v>35</v>
      </c>
    </row>
    <row r="2784" spans="1:30" x14ac:dyDescent="0.25">
      <c r="A2784" s="1">
        <v>44784.924386574072</v>
      </c>
      <c r="B2784" s="1">
        <v>44784.924039351848</v>
      </c>
      <c r="C2784">
        <v>75981</v>
      </c>
      <c r="D2784" t="s">
        <v>46</v>
      </c>
      <c r="E2784" t="s">
        <v>35</v>
      </c>
      <c r="F2784">
        <v>7</v>
      </c>
      <c r="G2784">
        <v>42.97</v>
      </c>
      <c r="H2784">
        <v>-71.06</v>
      </c>
      <c r="I2784">
        <v>136</v>
      </c>
      <c r="J2784">
        <v>79</v>
      </c>
      <c r="K2784">
        <v>0</v>
      </c>
      <c r="L2784" s="1">
        <v>44784.924328703702</v>
      </c>
      <c r="M2784">
        <v>24.3</v>
      </c>
      <c r="N2784">
        <v>11.4</v>
      </c>
      <c r="O2784">
        <v>12.9</v>
      </c>
      <c r="P2784">
        <v>72</v>
      </c>
      <c r="Q2784">
        <v>9</v>
      </c>
      <c r="R2784">
        <v>0</v>
      </c>
      <c r="S2784">
        <v>4.5</v>
      </c>
      <c r="T2784" t="s">
        <v>60</v>
      </c>
      <c r="V2784">
        <v>59</v>
      </c>
      <c r="W2784">
        <v>0</v>
      </c>
      <c r="X2784">
        <v>59</v>
      </c>
      <c r="Y2784">
        <v>1</v>
      </c>
      <c r="Z2784">
        <v>0</v>
      </c>
      <c r="AA2784">
        <v>1</v>
      </c>
      <c r="AB2784" t="s">
        <v>36</v>
      </c>
      <c r="AC2784">
        <v>59</v>
      </c>
    </row>
    <row r="2785" spans="1:30" x14ac:dyDescent="0.25">
      <c r="A2785" s="1">
        <v>44784.924398148149</v>
      </c>
      <c r="B2785" s="1">
        <v>44784.923194444447</v>
      </c>
      <c r="C2785">
        <v>115703</v>
      </c>
      <c r="D2785" t="s">
        <v>47</v>
      </c>
      <c r="E2785" t="s">
        <v>35</v>
      </c>
      <c r="F2785">
        <v>7</v>
      </c>
      <c r="G2785">
        <v>43.953625000000002</v>
      </c>
      <c r="H2785">
        <v>-71.508859999999999</v>
      </c>
      <c r="I2785">
        <v>1493</v>
      </c>
      <c r="J2785">
        <v>69</v>
      </c>
      <c r="K2785">
        <v>0</v>
      </c>
      <c r="L2785" s="1">
        <v>44784.924328703702</v>
      </c>
      <c r="M2785">
        <v>0.1</v>
      </c>
      <c r="N2785">
        <v>201</v>
      </c>
      <c r="O2785">
        <v>200.9</v>
      </c>
      <c r="P2785">
        <v>200</v>
      </c>
      <c r="Q2785">
        <v>0</v>
      </c>
      <c r="R2785">
        <v>0</v>
      </c>
      <c r="S2785">
        <v>0</v>
      </c>
      <c r="T2785" t="s">
        <v>60</v>
      </c>
      <c r="V2785">
        <v>66</v>
      </c>
      <c r="W2785">
        <v>0</v>
      </c>
      <c r="X2785">
        <v>66</v>
      </c>
      <c r="Y2785">
        <v>0</v>
      </c>
      <c r="Z2785">
        <v>0</v>
      </c>
      <c r="AA2785">
        <v>0</v>
      </c>
      <c r="AB2785" t="s">
        <v>36</v>
      </c>
      <c r="AC2785">
        <v>66</v>
      </c>
    </row>
    <row r="2786" spans="1:30" x14ac:dyDescent="0.25">
      <c r="A2786" s="1">
        <v>44784.924502314818</v>
      </c>
      <c r="B2786" s="1">
        <v>44784.924004629633</v>
      </c>
      <c r="C2786">
        <v>12050</v>
      </c>
      <c r="D2786" t="s">
        <v>49</v>
      </c>
      <c r="E2786" t="s">
        <v>35</v>
      </c>
      <c r="F2786">
        <v>7</v>
      </c>
      <c r="G2786">
        <v>44.220573000000002</v>
      </c>
      <c r="H2786">
        <v>-71.732315</v>
      </c>
      <c r="I2786">
        <v>999</v>
      </c>
      <c r="J2786">
        <v>75</v>
      </c>
      <c r="K2786">
        <v>0</v>
      </c>
      <c r="L2786" s="1">
        <v>44784.924328703702</v>
      </c>
      <c r="M2786">
        <v>23.9</v>
      </c>
      <c r="N2786">
        <v>23</v>
      </c>
      <c r="O2786">
        <v>0.9</v>
      </c>
      <c r="P2786">
        <v>4</v>
      </c>
      <c r="Q2786">
        <v>3.6</v>
      </c>
      <c r="R2786">
        <v>3.3</v>
      </c>
      <c r="S2786">
        <v>3.45</v>
      </c>
      <c r="T2786" t="s">
        <v>33</v>
      </c>
      <c r="U2786">
        <v>23.45</v>
      </c>
      <c r="V2786">
        <v>58</v>
      </c>
      <c r="W2786">
        <v>0</v>
      </c>
      <c r="X2786">
        <v>58</v>
      </c>
      <c r="Y2786">
        <v>0</v>
      </c>
      <c r="Z2786">
        <v>0</v>
      </c>
      <c r="AA2786">
        <v>0</v>
      </c>
      <c r="AB2786" t="s">
        <v>36</v>
      </c>
      <c r="AC2786">
        <v>58</v>
      </c>
      <c r="AD2786">
        <v>12.4</v>
      </c>
    </row>
    <row r="2787" spans="1:30" x14ac:dyDescent="0.25">
      <c r="A2787" s="1">
        <v>44784.924502314818</v>
      </c>
      <c r="B2787" s="1">
        <v>44784.924120370371</v>
      </c>
      <c r="C2787">
        <v>23443</v>
      </c>
      <c r="D2787" t="s">
        <v>50</v>
      </c>
      <c r="E2787" t="s">
        <v>35</v>
      </c>
      <c r="F2787">
        <v>7</v>
      </c>
      <c r="G2787">
        <v>43.556139999999999</v>
      </c>
      <c r="H2787">
        <v>-72.370990000000006</v>
      </c>
      <c r="I2787">
        <v>523</v>
      </c>
      <c r="J2787">
        <v>72</v>
      </c>
      <c r="K2787">
        <v>0</v>
      </c>
      <c r="L2787" s="1">
        <v>44784.924328703702</v>
      </c>
      <c r="M2787">
        <v>6.9</v>
      </c>
      <c r="N2787">
        <v>6.3</v>
      </c>
      <c r="O2787">
        <v>0.6</v>
      </c>
      <c r="P2787">
        <v>9</v>
      </c>
      <c r="Q2787">
        <v>0.2</v>
      </c>
      <c r="R2787">
        <v>0.2</v>
      </c>
      <c r="S2787">
        <v>0.2</v>
      </c>
      <c r="T2787" t="s">
        <v>33</v>
      </c>
      <c r="U2787">
        <v>6.6</v>
      </c>
      <c r="V2787">
        <v>68</v>
      </c>
      <c r="W2787">
        <v>0</v>
      </c>
      <c r="X2787">
        <v>68</v>
      </c>
      <c r="Y2787">
        <v>1</v>
      </c>
      <c r="Z2787">
        <v>0</v>
      </c>
      <c r="AA2787">
        <v>1</v>
      </c>
      <c r="AB2787" t="s">
        <v>36</v>
      </c>
      <c r="AC2787">
        <v>68</v>
      </c>
      <c r="AD2787">
        <v>1.43</v>
      </c>
    </row>
    <row r="2788" spans="1:30" x14ac:dyDescent="0.25">
      <c r="A2788" s="1">
        <v>44784.924513888887</v>
      </c>
      <c r="B2788" s="1">
        <v>44784.924224537041</v>
      </c>
      <c r="C2788">
        <v>58135</v>
      </c>
      <c r="D2788" t="s">
        <v>51</v>
      </c>
      <c r="E2788" t="s">
        <v>35</v>
      </c>
      <c r="F2788">
        <v>7</v>
      </c>
      <c r="G2788">
        <v>42.883873000000001</v>
      </c>
      <c r="H2788">
        <v>-71.972915999999998</v>
      </c>
      <c r="I2788">
        <v>808</v>
      </c>
      <c r="J2788">
        <v>73</v>
      </c>
      <c r="K2788">
        <v>0</v>
      </c>
      <c r="L2788" s="1">
        <v>44784.924328703702</v>
      </c>
      <c r="M2788">
        <v>5.3</v>
      </c>
      <c r="N2788">
        <v>13</v>
      </c>
      <c r="O2788">
        <v>7.7</v>
      </c>
      <c r="P2788">
        <v>84</v>
      </c>
      <c r="Q2788">
        <v>0.2</v>
      </c>
      <c r="R2788">
        <v>7.6</v>
      </c>
      <c r="S2788">
        <v>3.9</v>
      </c>
      <c r="T2788" t="s">
        <v>33</v>
      </c>
      <c r="U2788">
        <v>9.15</v>
      </c>
      <c r="V2788">
        <v>61</v>
      </c>
      <c r="W2788">
        <v>0</v>
      </c>
      <c r="X2788">
        <v>61</v>
      </c>
      <c r="Y2788">
        <v>1</v>
      </c>
      <c r="Z2788">
        <v>0</v>
      </c>
      <c r="AA2788">
        <v>1</v>
      </c>
      <c r="AB2788" t="s">
        <v>36</v>
      </c>
      <c r="AC2788">
        <v>61</v>
      </c>
      <c r="AD2788">
        <v>3.47</v>
      </c>
    </row>
    <row r="2789" spans="1:30" x14ac:dyDescent="0.25">
      <c r="A2789" s="1">
        <v>44784.924513888887</v>
      </c>
      <c r="B2789" s="1">
        <v>44784.924201388887</v>
      </c>
      <c r="C2789">
        <v>148555</v>
      </c>
      <c r="D2789" t="s">
        <v>52</v>
      </c>
      <c r="E2789" t="s">
        <v>53</v>
      </c>
      <c r="F2789">
        <v>7</v>
      </c>
      <c r="G2789">
        <v>42.904949999999999</v>
      </c>
      <c r="H2789">
        <v>-71.386764999999997</v>
      </c>
      <c r="I2789">
        <v>363</v>
      </c>
      <c r="J2789">
        <v>0</v>
      </c>
      <c r="K2789">
        <v>0</v>
      </c>
      <c r="L2789" s="1">
        <v>44784.924328703702</v>
      </c>
      <c r="M2789">
        <v>5.2</v>
      </c>
      <c r="N2789">
        <v>6.2</v>
      </c>
      <c r="O2789">
        <v>1</v>
      </c>
      <c r="P2789">
        <v>18</v>
      </c>
      <c r="Q2789">
        <v>1.1000000000000001</v>
      </c>
      <c r="R2789">
        <v>0.9</v>
      </c>
      <c r="S2789">
        <v>1</v>
      </c>
      <c r="T2789" t="s">
        <v>33</v>
      </c>
      <c r="U2789">
        <v>5.7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 t="s">
        <v>38</v>
      </c>
    </row>
    <row r="2790" spans="1:30" x14ac:dyDescent="0.25">
      <c r="A2790" s="1">
        <v>44784.924513888887</v>
      </c>
      <c r="B2790" s="1">
        <v>44784.923703703702</v>
      </c>
      <c r="C2790">
        <v>146644</v>
      </c>
      <c r="D2790" t="s">
        <v>54</v>
      </c>
      <c r="E2790" t="s">
        <v>53</v>
      </c>
      <c r="F2790">
        <v>7</v>
      </c>
      <c r="G2790">
        <v>43.06015</v>
      </c>
      <c r="H2790">
        <v>-70.758930000000007</v>
      </c>
      <c r="I2790">
        <v>35</v>
      </c>
      <c r="J2790">
        <v>70</v>
      </c>
      <c r="K2790">
        <v>72</v>
      </c>
      <c r="L2790" s="1">
        <v>44784.924328703702</v>
      </c>
      <c r="M2790">
        <v>12.4</v>
      </c>
      <c r="N2790">
        <v>10.8</v>
      </c>
      <c r="O2790">
        <v>1.6</v>
      </c>
      <c r="P2790">
        <v>14</v>
      </c>
      <c r="Q2790">
        <v>0.1</v>
      </c>
      <c r="R2790">
        <v>0.1</v>
      </c>
      <c r="S2790">
        <v>0.1</v>
      </c>
      <c r="T2790" t="s">
        <v>33</v>
      </c>
      <c r="U2790">
        <v>11.6</v>
      </c>
      <c r="V2790">
        <v>71</v>
      </c>
      <c r="W2790">
        <v>75</v>
      </c>
      <c r="X2790">
        <v>4</v>
      </c>
      <c r="Y2790">
        <v>0</v>
      </c>
      <c r="Z2790">
        <v>1</v>
      </c>
      <c r="AA2790">
        <v>1</v>
      </c>
      <c r="AB2790" t="s">
        <v>33</v>
      </c>
      <c r="AC2790">
        <v>73</v>
      </c>
      <c r="AD2790">
        <v>4.13</v>
      </c>
    </row>
    <row r="2791" spans="1:30" x14ac:dyDescent="0.25">
      <c r="A2791" s="1">
        <v>44784.924525462964</v>
      </c>
      <c r="B2791" s="1">
        <v>43755.283437500002</v>
      </c>
      <c r="C2791">
        <v>12188</v>
      </c>
      <c r="D2791" t="s">
        <v>55</v>
      </c>
      <c r="E2791" t="s">
        <v>35</v>
      </c>
      <c r="F2791">
        <v>4.1100000000000003</v>
      </c>
      <c r="G2791">
        <v>42.927050000000001</v>
      </c>
      <c r="H2791">
        <v>-72.279610000000005</v>
      </c>
      <c r="I2791">
        <v>475</v>
      </c>
      <c r="J2791">
        <v>95</v>
      </c>
      <c r="K2791">
        <v>0</v>
      </c>
      <c r="L2791" s="1">
        <v>44784.924328703702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 t="s">
        <v>32</v>
      </c>
      <c r="V2791">
        <v>77</v>
      </c>
      <c r="W2791">
        <v>0</v>
      </c>
      <c r="X2791">
        <v>77</v>
      </c>
      <c r="Y2791">
        <v>0</v>
      </c>
      <c r="Z2791">
        <v>0</v>
      </c>
      <c r="AA2791">
        <v>0</v>
      </c>
      <c r="AB2791" t="s">
        <v>36</v>
      </c>
      <c r="AC2791">
        <v>77</v>
      </c>
    </row>
    <row r="2792" spans="1:30" x14ac:dyDescent="0.25">
      <c r="A2792" s="1">
        <v>44784.924525462964</v>
      </c>
      <c r="B2792" s="1">
        <v>44784.924108796295</v>
      </c>
      <c r="C2792">
        <v>1224</v>
      </c>
      <c r="D2792" t="s">
        <v>56</v>
      </c>
      <c r="E2792" t="s">
        <v>35</v>
      </c>
      <c r="F2792" t="s">
        <v>57</v>
      </c>
      <c r="G2792">
        <v>42.938034000000002</v>
      </c>
      <c r="H2792">
        <v>-72.259299999999996</v>
      </c>
      <c r="I2792">
        <v>792</v>
      </c>
      <c r="J2792">
        <v>78</v>
      </c>
      <c r="K2792">
        <v>0</v>
      </c>
      <c r="L2792" s="1">
        <v>44784.924328703702</v>
      </c>
      <c r="M2792">
        <v>5.0999999999999996</v>
      </c>
      <c r="N2792">
        <v>0</v>
      </c>
      <c r="O2792">
        <v>5.0999999999999996</v>
      </c>
      <c r="P2792">
        <v>200</v>
      </c>
      <c r="Q2792">
        <v>0</v>
      </c>
      <c r="R2792">
        <v>0</v>
      </c>
      <c r="S2792">
        <v>0</v>
      </c>
      <c r="T2792" t="s">
        <v>43</v>
      </c>
      <c r="V2792">
        <v>61</v>
      </c>
      <c r="W2792">
        <v>0</v>
      </c>
      <c r="X2792">
        <v>61</v>
      </c>
      <c r="Y2792">
        <v>1</v>
      </c>
      <c r="Z2792">
        <v>0</v>
      </c>
      <c r="AA2792">
        <v>1</v>
      </c>
      <c r="AB2792" t="s">
        <v>36</v>
      </c>
      <c r="AC2792">
        <v>61</v>
      </c>
    </row>
    <row r="2793" spans="1:30" x14ac:dyDescent="0.25">
      <c r="A2793" s="1">
        <v>44784.924537037034</v>
      </c>
      <c r="B2793" s="1">
        <v>44784.923564814817</v>
      </c>
      <c r="C2793">
        <v>1202</v>
      </c>
      <c r="D2793" t="s">
        <v>58</v>
      </c>
      <c r="E2793" t="s">
        <v>35</v>
      </c>
      <c r="F2793" t="s">
        <v>57</v>
      </c>
      <c r="G2793">
        <v>42.936554000000001</v>
      </c>
      <c r="H2793">
        <v>-72.271019999999993</v>
      </c>
      <c r="I2793">
        <v>488</v>
      </c>
      <c r="J2793">
        <v>0</v>
      </c>
      <c r="K2793">
        <v>0</v>
      </c>
      <c r="L2793" s="1">
        <v>44784.924328703702</v>
      </c>
      <c r="M2793">
        <v>6.9</v>
      </c>
      <c r="N2793">
        <v>6.5</v>
      </c>
      <c r="O2793">
        <v>0.4</v>
      </c>
      <c r="P2793">
        <v>6</v>
      </c>
      <c r="Q2793">
        <v>0.1</v>
      </c>
      <c r="R2793">
        <v>0.1</v>
      </c>
      <c r="S2793">
        <v>0.1</v>
      </c>
      <c r="T2793" t="s">
        <v>33</v>
      </c>
      <c r="U2793">
        <v>6.7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 t="s">
        <v>38</v>
      </c>
    </row>
    <row r="2794" spans="1:30" x14ac:dyDescent="0.25">
      <c r="A2794" s="1">
        <v>44784.924537037034</v>
      </c>
      <c r="B2794" s="1">
        <v>44612.080023148148</v>
      </c>
      <c r="C2794">
        <v>25985</v>
      </c>
      <c r="D2794" t="s">
        <v>59</v>
      </c>
      <c r="E2794" t="s">
        <v>35</v>
      </c>
      <c r="F2794">
        <v>6.01</v>
      </c>
      <c r="G2794">
        <v>42.927326000000001</v>
      </c>
      <c r="H2794">
        <v>-72.279979999999995</v>
      </c>
      <c r="I2794">
        <v>477</v>
      </c>
      <c r="J2794">
        <v>78</v>
      </c>
      <c r="K2794">
        <v>0</v>
      </c>
      <c r="L2794" s="1">
        <v>44784.924328703702</v>
      </c>
      <c r="M2794">
        <v>1.1000000000000001</v>
      </c>
      <c r="N2794">
        <v>1</v>
      </c>
      <c r="O2794">
        <v>0.1</v>
      </c>
      <c r="P2794">
        <v>10</v>
      </c>
      <c r="Q2794">
        <v>0</v>
      </c>
      <c r="R2794">
        <v>0</v>
      </c>
      <c r="S2794">
        <v>0</v>
      </c>
      <c r="T2794" t="s">
        <v>32</v>
      </c>
      <c r="V2794">
        <v>22</v>
      </c>
      <c r="W2794">
        <v>0</v>
      </c>
      <c r="X2794">
        <v>22</v>
      </c>
      <c r="Y2794">
        <v>0</v>
      </c>
      <c r="Z2794">
        <v>0</v>
      </c>
      <c r="AA2794">
        <v>0</v>
      </c>
      <c r="AB2794" t="s">
        <v>36</v>
      </c>
      <c r="AC2794">
        <v>22</v>
      </c>
    </row>
    <row r="2795" spans="1:30" x14ac:dyDescent="0.25">
      <c r="A2795" s="1">
        <v>44784.931284722225</v>
      </c>
      <c r="B2795" s="1">
        <v>44775.701319444444</v>
      </c>
      <c r="C2795">
        <v>151708</v>
      </c>
      <c r="D2795" t="s">
        <v>30</v>
      </c>
      <c r="E2795" t="s">
        <v>31</v>
      </c>
      <c r="F2795">
        <v>7</v>
      </c>
      <c r="G2795">
        <v>43.192042999999998</v>
      </c>
      <c r="H2795">
        <v>-71.541579999999996</v>
      </c>
      <c r="I2795">
        <v>291</v>
      </c>
      <c r="J2795">
        <v>93</v>
      </c>
      <c r="K2795">
        <v>94</v>
      </c>
      <c r="L2795" s="1">
        <v>44784.931273148148</v>
      </c>
      <c r="M2795">
        <v>7.9</v>
      </c>
      <c r="N2795">
        <v>7.6</v>
      </c>
      <c r="O2795">
        <v>0.3</v>
      </c>
      <c r="P2795">
        <v>4</v>
      </c>
      <c r="Q2795">
        <v>0</v>
      </c>
      <c r="R2795">
        <v>0</v>
      </c>
      <c r="S2795">
        <v>0</v>
      </c>
      <c r="T2795" t="s">
        <v>32</v>
      </c>
      <c r="V2795">
        <v>42</v>
      </c>
      <c r="W2795">
        <v>41</v>
      </c>
      <c r="X2795">
        <v>1</v>
      </c>
      <c r="Y2795">
        <v>0</v>
      </c>
      <c r="Z2795">
        <v>0</v>
      </c>
      <c r="AA2795">
        <v>0</v>
      </c>
      <c r="AB2795" t="s">
        <v>33</v>
      </c>
      <c r="AC2795">
        <v>41.5</v>
      </c>
    </row>
    <row r="2796" spans="1:30" x14ac:dyDescent="0.25">
      <c r="A2796" s="1">
        <v>44784.931284722225</v>
      </c>
      <c r="B2796" s="1">
        <v>44784.929699074077</v>
      </c>
      <c r="C2796">
        <v>143456</v>
      </c>
      <c r="D2796" t="s">
        <v>34</v>
      </c>
      <c r="E2796" t="s">
        <v>35</v>
      </c>
      <c r="F2796">
        <v>7</v>
      </c>
      <c r="G2796">
        <v>43.08963</v>
      </c>
      <c r="H2796">
        <v>-71.502440000000007</v>
      </c>
      <c r="I2796">
        <v>619</v>
      </c>
      <c r="J2796">
        <v>75</v>
      </c>
      <c r="K2796">
        <v>0</v>
      </c>
      <c r="L2796" s="1">
        <v>44784.931273148148</v>
      </c>
      <c r="M2796">
        <v>3.2</v>
      </c>
      <c r="N2796">
        <v>3.7</v>
      </c>
      <c r="O2796">
        <v>0.5</v>
      </c>
      <c r="P2796">
        <v>14</v>
      </c>
      <c r="Q2796">
        <v>0</v>
      </c>
      <c r="R2796">
        <v>0.1</v>
      </c>
      <c r="S2796">
        <v>0.05</v>
      </c>
      <c r="T2796" t="s">
        <v>33</v>
      </c>
      <c r="U2796">
        <v>3.45</v>
      </c>
      <c r="V2796">
        <v>58</v>
      </c>
      <c r="W2796">
        <v>0</v>
      </c>
      <c r="X2796">
        <v>58</v>
      </c>
      <c r="Y2796">
        <v>1</v>
      </c>
      <c r="Z2796">
        <v>0</v>
      </c>
      <c r="AA2796">
        <v>1</v>
      </c>
      <c r="AB2796" t="s">
        <v>36</v>
      </c>
      <c r="AC2796">
        <v>58</v>
      </c>
      <c r="AD2796">
        <v>0.2</v>
      </c>
    </row>
    <row r="2797" spans="1:30" x14ac:dyDescent="0.25">
      <c r="A2797" s="1">
        <v>44784.931296296294</v>
      </c>
      <c r="B2797" s="1">
        <v>44784.929837962962</v>
      </c>
      <c r="C2797">
        <v>151702</v>
      </c>
      <c r="D2797" t="s">
        <v>37</v>
      </c>
      <c r="E2797" t="s">
        <v>31</v>
      </c>
      <c r="F2797">
        <v>7</v>
      </c>
      <c r="G2797">
        <v>43.118609999999997</v>
      </c>
      <c r="H2797">
        <v>-71.61618</v>
      </c>
      <c r="I2797">
        <v>885</v>
      </c>
      <c r="J2797">
        <v>0</v>
      </c>
      <c r="K2797">
        <v>0</v>
      </c>
      <c r="L2797" s="1">
        <v>44784.931273148148</v>
      </c>
      <c r="M2797">
        <v>3.1</v>
      </c>
      <c r="N2797">
        <v>3.1</v>
      </c>
      <c r="O2797">
        <v>0</v>
      </c>
      <c r="P2797">
        <v>0</v>
      </c>
      <c r="Q2797">
        <v>0</v>
      </c>
      <c r="R2797">
        <v>0.1</v>
      </c>
      <c r="S2797">
        <v>0.05</v>
      </c>
      <c r="T2797" t="s">
        <v>33</v>
      </c>
      <c r="U2797">
        <v>3.1</v>
      </c>
      <c r="V2797">
        <v>0</v>
      </c>
      <c r="W2797">
        <v>0</v>
      </c>
      <c r="X2797">
        <v>0</v>
      </c>
      <c r="Y2797">
        <v>0</v>
      </c>
      <c r="Z2797">
        <v>0</v>
      </c>
      <c r="AA2797">
        <v>0</v>
      </c>
      <c r="AB2797" t="s">
        <v>38</v>
      </c>
    </row>
    <row r="2798" spans="1:30" x14ac:dyDescent="0.25">
      <c r="A2798" s="1">
        <v>44784.931296296294</v>
      </c>
      <c r="B2798" s="1">
        <v>44784.929745370369</v>
      </c>
      <c r="C2798">
        <v>151700</v>
      </c>
      <c r="D2798" t="s">
        <v>30</v>
      </c>
      <c r="E2798" t="s">
        <v>31</v>
      </c>
      <c r="F2798">
        <v>7</v>
      </c>
      <c r="G2798">
        <v>43.19211</v>
      </c>
      <c r="H2798">
        <v>-71.541460000000001</v>
      </c>
      <c r="I2798">
        <v>286</v>
      </c>
      <c r="J2798">
        <v>79</v>
      </c>
      <c r="K2798">
        <v>0</v>
      </c>
      <c r="L2798" s="1">
        <v>44784.931273148148</v>
      </c>
      <c r="M2798">
        <v>2.5</v>
      </c>
      <c r="N2798">
        <v>2.8</v>
      </c>
      <c r="O2798">
        <v>0.3</v>
      </c>
      <c r="P2798">
        <v>11</v>
      </c>
      <c r="Q2798">
        <v>0</v>
      </c>
      <c r="R2798">
        <v>0.1</v>
      </c>
      <c r="S2798">
        <v>0.05</v>
      </c>
      <c r="T2798" t="s">
        <v>33</v>
      </c>
      <c r="U2798">
        <v>2.65</v>
      </c>
      <c r="V2798">
        <v>48</v>
      </c>
      <c r="W2798">
        <v>0</v>
      </c>
      <c r="X2798">
        <v>48</v>
      </c>
      <c r="Y2798">
        <v>1</v>
      </c>
      <c r="Z2798">
        <v>0</v>
      </c>
      <c r="AA2798">
        <v>1</v>
      </c>
      <c r="AB2798" t="s">
        <v>36</v>
      </c>
      <c r="AC2798">
        <v>48</v>
      </c>
      <c r="AD2798">
        <v>0.42</v>
      </c>
    </row>
    <row r="2799" spans="1:30" x14ac:dyDescent="0.25">
      <c r="A2799" s="1">
        <v>44784.931307870371</v>
      </c>
      <c r="B2799" s="1">
        <v>44784.930185185185</v>
      </c>
      <c r="C2799">
        <v>135984</v>
      </c>
      <c r="D2799" t="s">
        <v>39</v>
      </c>
      <c r="E2799" t="s">
        <v>31</v>
      </c>
      <c r="F2799">
        <v>7</v>
      </c>
      <c r="G2799">
        <v>43.565852999999997</v>
      </c>
      <c r="H2799">
        <v>-71.496129999999994</v>
      </c>
      <c r="I2799">
        <v>708</v>
      </c>
      <c r="J2799">
        <v>67</v>
      </c>
      <c r="K2799">
        <v>0</v>
      </c>
      <c r="L2799" s="1">
        <v>44784.931273148148</v>
      </c>
      <c r="M2799">
        <v>4.4000000000000004</v>
      </c>
      <c r="N2799">
        <v>3.8</v>
      </c>
      <c r="O2799">
        <v>0.6</v>
      </c>
      <c r="P2799">
        <v>15</v>
      </c>
      <c r="Q2799">
        <v>0.2</v>
      </c>
      <c r="R2799">
        <v>0.1</v>
      </c>
      <c r="S2799">
        <v>0.15</v>
      </c>
      <c r="T2799" t="s">
        <v>33</v>
      </c>
      <c r="U2799">
        <v>4.0999999999999996</v>
      </c>
      <c r="V2799">
        <v>89</v>
      </c>
      <c r="W2799">
        <v>0</v>
      </c>
      <c r="X2799">
        <v>89</v>
      </c>
      <c r="Y2799">
        <v>0</v>
      </c>
      <c r="Z2799">
        <v>0</v>
      </c>
      <c r="AA2799">
        <v>0</v>
      </c>
      <c r="AB2799" t="s">
        <v>36</v>
      </c>
      <c r="AC2799">
        <v>89</v>
      </c>
      <c r="AD2799">
        <v>-1.57</v>
      </c>
    </row>
    <row r="2800" spans="1:30" x14ac:dyDescent="0.25">
      <c r="A2800" s="1">
        <v>44784.931307870371</v>
      </c>
      <c r="B2800" s="1">
        <v>44780.394780092596</v>
      </c>
      <c r="C2800">
        <v>151712</v>
      </c>
      <c r="D2800" t="s">
        <v>40</v>
      </c>
      <c r="E2800" t="s">
        <v>31</v>
      </c>
      <c r="F2800">
        <v>7</v>
      </c>
      <c r="G2800">
        <v>43.289763999999998</v>
      </c>
      <c r="H2800">
        <v>-71.564260000000004</v>
      </c>
      <c r="I2800">
        <v>370</v>
      </c>
      <c r="J2800">
        <v>86</v>
      </c>
      <c r="K2800">
        <v>0</v>
      </c>
      <c r="L2800" s="1">
        <v>44784.931273148148</v>
      </c>
      <c r="M2800">
        <v>14</v>
      </c>
      <c r="N2800">
        <v>13.2</v>
      </c>
      <c r="O2800">
        <v>0.8</v>
      </c>
      <c r="P2800">
        <v>6</v>
      </c>
      <c r="Q2800">
        <v>0</v>
      </c>
      <c r="R2800">
        <v>0</v>
      </c>
      <c r="S2800">
        <v>0</v>
      </c>
      <c r="T2800" t="s">
        <v>32</v>
      </c>
      <c r="V2800">
        <v>59</v>
      </c>
      <c r="W2800">
        <v>0</v>
      </c>
      <c r="X2800">
        <v>59</v>
      </c>
      <c r="Y2800">
        <v>0</v>
      </c>
      <c r="Z2800">
        <v>0</v>
      </c>
      <c r="AA2800">
        <v>0</v>
      </c>
      <c r="AB2800" t="s">
        <v>36</v>
      </c>
      <c r="AC2800">
        <v>59</v>
      </c>
    </row>
    <row r="2801" spans="1:30" x14ac:dyDescent="0.25">
      <c r="A2801" s="1">
        <v>44784.931307870371</v>
      </c>
      <c r="B2801" s="1">
        <v>44784.929513888892</v>
      </c>
      <c r="C2801">
        <v>151710</v>
      </c>
      <c r="D2801" t="s">
        <v>41</v>
      </c>
      <c r="E2801" t="s">
        <v>31</v>
      </c>
      <c r="F2801">
        <v>7</v>
      </c>
      <c r="G2801">
        <v>43.132477000000002</v>
      </c>
      <c r="H2801">
        <v>-71.458374000000006</v>
      </c>
      <c r="I2801">
        <v>230</v>
      </c>
      <c r="J2801">
        <v>77</v>
      </c>
      <c r="K2801">
        <v>0</v>
      </c>
      <c r="L2801" s="1">
        <v>44784.931273148148</v>
      </c>
      <c r="M2801">
        <v>7.4</v>
      </c>
      <c r="N2801">
        <v>5.8</v>
      </c>
      <c r="O2801">
        <v>1.6</v>
      </c>
      <c r="P2801">
        <v>24</v>
      </c>
      <c r="Q2801">
        <v>0.7</v>
      </c>
      <c r="R2801">
        <v>0.7</v>
      </c>
      <c r="S2801">
        <v>0.7</v>
      </c>
      <c r="T2801" t="s">
        <v>33</v>
      </c>
      <c r="U2801">
        <v>6.6</v>
      </c>
      <c r="V2801">
        <v>53</v>
      </c>
      <c r="W2801">
        <v>0</v>
      </c>
      <c r="X2801">
        <v>53</v>
      </c>
      <c r="Y2801">
        <v>0</v>
      </c>
      <c r="Z2801">
        <v>0</v>
      </c>
      <c r="AA2801">
        <v>0</v>
      </c>
      <c r="AB2801" t="s">
        <v>36</v>
      </c>
      <c r="AC2801">
        <v>53</v>
      </c>
      <c r="AD2801">
        <v>2.48</v>
      </c>
    </row>
    <row r="2802" spans="1:30" x14ac:dyDescent="0.25">
      <c r="A2802" s="1">
        <v>44784.931319444448</v>
      </c>
      <c r="B2802" s="1">
        <v>44784.930520833332</v>
      </c>
      <c r="C2802">
        <v>151706</v>
      </c>
      <c r="D2802" t="s">
        <v>42</v>
      </c>
      <c r="E2802" t="s">
        <v>31</v>
      </c>
      <c r="F2802">
        <v>7</v>
      </c>
      <c r="G2802">
        <v>43.004080000000002</v>
      </c>
      <c r="H2802">
        <v>-71.177040000000005</v>
      </c>
      <c r="I2802">
        <v>194</v>
      </c>
      <c r="J2802">
        <v>75</v>
      </c>
      <c r="K2802">
        <v>0</v>
      </c>
      <c r="L2802" s="1">
        <v>44784.931273148148</v>
      </c>
      <c r="M2802">
        <v>13.7</v>
      </c>
      <c r="N2802">
        <v>0</v>
      </c>
      <c r="O2802">
        <v>13.7</v>
      </c>
      <c r="P2802">
        <v>200</v>
      </c>
      <c r="Q2802">
        <v>0.1</v>
      </c>
      <c r="R2802">
        <v>0</v>
      </c>
      <c r="S2802">
        <v>0.05</v>
      </c>
      <c r="T2802" t="s">
        <v>43</v>
      </c>
      <c r="V2802">
        <v>70</v>
      </c>
      <c r="W2802">
        <v>0</v>
      </c>
      <c r="X2802">
        <v>70</v>
      </c>
      <c r="Y2802">
        <v>1</v>
      </c>
      <c r="Z2802">
        <v>0</v>
      </c>
      <c r="AA2802">
        <v>1</v>
      </c>
      <c r="AB2802" t="s">
        <v>36</v>
      </c>
      <c r="AC2802">
        <v>70</v>
      </c>
    </row>
    <row r="2803" spans="1:30" x14ac:dyDescent="0.25">
      <c r="A2803" s="1">
        <v>44784.931319444448</v>
      </c>
      <c r="B2803" s="1">
        <v>44784.930347222224</v>
      </c>
      <c r="C2803">
        <v>12212</v>
      </c>
      <c r="D2803" t="s">
        <v>44</v>
      </c>
      <c r="E2803" t="s">
        <v>35</v>
      </c>
      <c r="F2803">
        <v>7</v>
      </c>
      <c r="G2803">
        <v>42.930529999999997</v>
      </c>
      <c r="H2803">
        <v>-72.272350000000003</v>
      </c>
      <c r="I2803">
        <v>476</v>
      </c>
      <c r="J2803">
        <v>78</v>
      </c>
      <c r="K2803">
        <v>0</v>
      </c>
      <c r="L2803" s="1">
        <v>44784.931273148148</v>
      </c>
      <c r="M2803">
        <v>5.4</v>
      </c>
      <c r="N2803">
        <v>4.8</v>
      </c>
      <c r="O2803">
        <v>0.6</v>
      </c>
      <c r="P2803">
        <v>12</v>
      </c>
      <c r="Q2803">
        <v>0.2</v>
      </c>
      <c r="R2803">
        <v>0.1</v>
      </c>
      <c r="S2803">
        <v>0.15</v>
      </c>
      <c r="T2803" t="s">
        <v>33</v>
      </c>
      <c r="U2803">
        <v>5.0999999999999996</v>
      </c>
      <c r="V2803">
        <v>56</v>
      </c>
      <c r="W2803">
        <v>0</v>
      </c>
      <c r="X2803">
        <v>56</v>
      </c>
      <c r="Y2803">
        <v>1</v>
      </c>
      <c r="Z2803">
        <v>0</v>
      </c>
      <c r="AA2803">
        <v>1</v>
      </c>
      <c r="AB2803" t="s">
        <v>36</v>
      </c>
      <c r="AC2803">
        <v>56</v>
      </c>
      <c r="AD2803">
        <v>1.35</v>
      </c>
    </row>
    <row r="2804" spans="1:30" x14ac:dyDescent="0.25">
      <c r="A2804" s="1">
        <v>44784.931331018517</v>
      </c>
      <c r="B2804" s="1">
        <v>44769.376736111109</v>
      </c>
      <c r="C2804">
        <v>12178</v>
      </c>
      <c r="D2804" t="s">
        <v>45</v>
      </c>
      <c r="E2804" t="s">
        <v>35</v>
      </c>
      <c r="F2804">
        <v>7</v>
      </c>
      <c r="G2804">
        <v>42.899563000000001</v>
      </c>
      <c r="H2804">
        <v>-71.464650000000006</v>
      </c>
      <c r="I2804">
        <v>301</v>
      </c>
      <c r="J2804">
        <v>85</v>
      </c>
      <c r="K2804">
        <v>0</v>
      </c>
      <c r="L2804" s="1">
        <v>44784.931273148148</v>
      </c>
      <c r="M2804">
        <v>3.8</v>
      </c>
      <c r="N2804">
        <v>3.1</v>
      </c>
      <c r="O2804">
        <v>0.7</v>
      </c>
      <c r="P2804">
        <v>20</v>
      </c>
      <c r="Q2804">
        <v>0</v>
      </c>
      <c r="R2804">
        <v>0</v>
      </c>
      <c r="S2804">
        <v>0</v>
      </c>
      <c r="T2804" t="s">
        <v>32</v>
      </c>
      <c r="V2804">
        <v>35</v>
      </c>
      <c r="W2804">
        <v>0</v>
      </c>
      <c r="X2804">
        <v>35</v>
      </c>
      <c r="Y2804">
        <v>0</v>
      </c>
      <c r="Z2804">
        <v>0</v>
      </c>
      <c r="AA2804">
        <v>0</v>
      </c>
      <c r="AB2804" t="s">
        <v>36</v>
      </c>
      <c r="AC2804">
        <v>35</v>
      </c>
    </row>
    <row r="2805" spans="1:30" x14ac:dyDescent="0.25">
      <c r="A2805" s="1">
        <v>44784.931331018517</v>
      </c>
      <c r="B2805" s="1">
        <v>44784.929594907408</v>
      </c>
      <c r="C2805">
        <v>75981</v>
      </c>
      <c r="D2805" t="s">
        <v>46</v>
      </c>
      <c r="E2805" t="s">
        <v>35</v>
      </c>
      <c r="F2805">
        <v>7</v>
      </c>
      <c r="G2805">
        <v>42.97</v>
      </c>
      <c r="H2805">
        <v>-71.06</v>
      </c>
      <c r="I2805">
        <v>136</v>
      </c>
      <c r="J2805">
        <v>79</v>
      </c>
      <c r="K2805">
        <v>0</v>
      </c>
      <c r="L2805" s="1">
        <v>44784.931273148148</v>
      </c>
      <c r="M2805">
        <v>30.2</v>
      </c>
      <c r="N2805">
        <v>11.5</v>
      </c>
      <c r="O2805">
        <v>18.7</v>
      </c>
      <c r="P2805">
        <v>90</v>
      </c>
      <c r="Q2805">
        <v>5.9</v>
      </c>
      <c r="R2805">
        <v>0.1</v>
      </c>
      <c r="S2805">
        <v>3</v>
      </c>
      <c r="T2805" t="s">
        <v>60</v>
      </c>
      <c r="V2805">
        <v>60</v>
      </c>
      <c r="W2805">
        <v>0</v>
      </c>
      <c r="X2805">
        <v>60</v>
      </c>
      <c r="Y2805">
        <v>1</v>
      </c>
      <c r="Z2805">
        <v>0</v>
      </c>
      <c r="AA2805">
        <v>1</v>
      </c>
      <c r="AB2805" t="s">
        <v>36</v>
      </c>
      <c r="AC2805">
        <v>60</v>
      </c>
    </row>
    <row r="2806" spans="1:30" x14ac:dyDescent="0.25">
      <c r="A2806" s="1">
        <v>44784.931331018517</v>
      </c>
      <c r="B2806" s="1">
        <v>44784.930138888885</v>
      </c>
      <c r="C2806">
        <v>115703</v>
      </c>
      <c r="D2806" t="s">
        <v>47</v>
      </c>
      <c r="E2806" t="s">
        <v>35</v>
      </c>
      <c r="F2806">
        <v>7</v>
      </c>
      <c r="G2806">
        <v>43.953625000000002</v>
      </c>
      <c r="H2806">
        <v>-71.508859999999999</v>
      </c>
      <c r="I2806">
        <v>1493</v>
      </c>
      <c r="J2806">
        <v>70</v>
      </c>
      <c r="K2806">
        <v>0</v>
      </c>
      <c r="L2806" s="1">
        <v>44784.931273148148</v>
      </c>
      <c r="M2806">
        <v>0.1</v>
      </c>
      <c r="N2806">
        <v>201</v>
      </c>
      <c r="O2806">
        <v>200.9</v>
      </c>
      <c r="P2806">
        <v>200</v>
      </c>
      <c r="Q2806">
        <v>0</v>
      </c>
      <c r="R2806">
        <v>0</v>
      </c>
      <c r="S2806">
        <v>0</v>
      </c>
      <c r="T2806" t="s">
        <v>60</v>
      </c>
      <c r="V2806">
        <v>65</v>
      </c>
      <c r="W2806">
        <v>0</v>
      </c>
      <c r="X2806">
        <v>65</v>
      </c>
      <c r="Y2806">
        <v>1</v>
      </c>
      <c r="Z2806">
        <v>0</v>
      </c>
      <c r="AA2806">
        <v>1</v>
      </c>
      <c r="AB2806" t="s">
        <v>36</v>
      </c>
      <c r="AC2806">
        <v>65</v>
      </c>
    </row>
    <row r="2807" spans="1:30" x14ac:dyDescent="0.25">
      <c r="A2807" s="1">
        <v>44784.931342592594</v>
      </c>
      <c r="B2807" s="1">
        <v>44784.929560185185</v>
      </c>
      <c r="C2807">
        <v>12050</v>
      </c>
      <c r="D2807" t="s">
        <v>49</v>
      </c>
      <c r="E2807" t="s">
        <v>35</v>
      </c>
      <c r="F2807">
        <v>7</v>
      </c>
      <c r="G2807">
        <v>44.220573000000002</v>
      </c>
      <c r="H2807">
        <v>-71.732315</v>
      </c>
      <c r="I2807">
        <v>999</v>
      </c>
      <c r="J2807">
        <v>75</v>
      </c>
      <c r="K2807">
        <v>0</v>
      </c>
      <c r="L2807" s="1">
        <v>44784.931273148148</v>
      </c>
      <c r="M2807">
        <v>26.5</v>
      </c>
      <c r="N2807">
        <v>25.8</v>
      </c>
      <c r="O2807">
        <v>0.7</v>
      </c>
      <c r="P2807">
        <v>3</v>
      </c>
      <c r="Q2807">
        <v>2.6</v>
      </c>
      <c r="R2807">
        <v>2.8</v>
      </c>
      <c r="S2807">
        <v>2.7</v>
      </c>
      <c r="T2807" t="s">
        <v>33</v>
      </c>
      <c r="U2807">
        <v>26.15</v>
      </c>
      <c r="V2807">
        <v>57</v>
      </c>
      <c r="W2807">
        <v>0</v>
      </c>
      <c r="X2807">
        <v>57</v>
      </c>
      <c r="Y2807">
        <v>1</v>
      </c>
      <c r="Z2807">
        <v>0</v>
      </c>
      <c r="AA2807">
        <v>1</v>
      </c>
      <c r="AB2807" t="s">
        <v>36</v>
      </c>
      <c r="AC2807">
        <v>57</v>
      </c>
      <c r="AD2807">
        <v>14.12</v>
      </c>
    </row>
    <row r="2808" spans="1:30" x14ac:dyDescent="0.25">
      <c r="A2808" s="1">
        <v>44784.931342592594</v>
      </c>
      <c r="B2808" s="1">
        <v>44784.929675925923</v>
      </c>
      <c r="C2808">
        <v>23443</v>
      </c>
      <c r="D2808" t="s">
        <v>50</v>
      </c>
      <c r="E2808" t="s">
        <v>35</v>
      </c>
      <c r="F2808">
        <v>7</v>
      </c>
      <c r="G2808">
        <v>43.556139999999999</v>
      </c>
      <c r="H2808">
        <v>-72.370990000000006</v>
      </c>
      <c r="I2808">
        <v>523</v>
      </c>
      <c r="J2808">
        <v>72</v>
      </c>
      <c r="K2808">
        <v>0</v>
      </c>
      <c r="L2808" s="1">
        <v>44784.931273148148</v>
      </c>
      <c r="M2808">
        <v>6.9</v>
      </c>
      <c r="N2808">
        <v>6.2</v>
      </c>
      <c r="O2808">
        <v>0.7</v>
      </c>
      <c r="P2808">
        <v>11</v>
      </c>
      <c r="Q2808">
        <v>0</v>
      </c>
      <c r="R2808">
        <v>0.1</v>
      </c>
      <c r="S2808">
        <v>0.05</v>
      </c>
      <c r="T2808" t="s">
        <v>33</v>
      </c>
      <c r="U2808">
        <v>6.55</v>
      </c>
      <c r="V2808">
        <v>68</v>
      </c>
      <c r="W2808">
        <v>0</v>
      </c>
      <c r="X2808">
        <v>68</v>
      </c>
      <c r="Y2808">
        <v>0</v>
      </c>
      <c r="Z2808">
        <v>0</v>
      </c>
      <c r="AA2808">
        <v>0</v>
      </c>
      <c r="AB2808" t="s">
        <v>36</v>
      </c>
      <c r="AC2808">
        <v>68</v>
      </c>
      <c r="AD2808">
        <v>1.4</v>
      </c>
    </row>
    <row r="2809" spans="1:30" x14ac:dyDescent="0.25">
      <c r="A2809" s="1">
        <v>44784.931354166663</v>
      </c>
      <c r="B2809" s="1">
        <v>44784.929780092592</v>
      </c>
      <c r="C2809">
        <v>58135</v>
      </c>
      <c r="D2809" t="s">
        <v>51</v>
      </c>
      <c r="E2809" t="s">
        <v>35</v>
      </c>
      <c r="F2809">
        <v>7</v>
      </c>
      <c r="G2809">
        <v>42.883873000000001</v>
      </c>
      <c r="H2809">
        <v>-71.972915999999998</v>
      </c>
      <c r="I2809">
        <v>808</v>
      </c>
      <c r="J2809">
        <v>73</v>
      </c>
      <c r="K2809">
        <v>0</v>
      </c>
      <c r="L2809" s="1">
        <v>44784.931273148148</v>
      </c>
      <c r="M2809">
        <v>5.3</v>
      </c>
      <c r="N2809">
        <v>12.3</v>
      </c>
      <c r="O2809">
        <v>7</v>
      </c>
      <c r="P2809">
        <v>80</v>
      </c>
      <c r="Q2809">
        <v>0</v>
      </c>
      <c r="R2809">
        <v>0.7</v>
      </c>
      <c r="S2809">
        <v>0.35</v>
      </c>
      <c r="T2809" t="s">
        <v>33</v>
      </c>
      <c r="U2809">
        <v>8.8000000000000007</v>
      </c>
      <c r="V2809">
        <v>61</v>
      </c>
      <c r="W2809">
        <v>0</v>
      </c>
      <c r="X2809">
        <v>61</v>
      </c>
      <c r="Y2809">
        <v>0</v>
      </c>
      <c r="Z2809">
        <v>0</v>
      </c>
      <c r="AA2809">
        <v>0</v>
      </c>
      <c r="AB2809" t="s">
        <v>36</v>
      </c>
      <c r="AC2809">
        <v>61</v>
      </c>
      <c r="AD2809">
        <v>3.26</v>
      </c>
    </row>
    <row r="2810" spans="1:30" x14ac:dyDescent="0.25">
      <c r="A2810" s="1">
        <v>44784.931354166663</v>
      </c>
      <c r="B2810" s="1">
        <v>44784.929768518516</v>
      </c>
      <c r="C2810">
        <v>148555</v>
      </c>
      <c r="D2810" t="s">
        <v>52</v>
      </c>
      <c r="E2810" t="s">
        <v>53</v>
      </c>
      <c r="F2810">
        <v>7</v>
      </c>
      <c r="G2810">
        <v>42.904949999999999</v>
      </c>
      <c r="H2810">
        <v>-71.386764999999997</v>
      </c>
      <c r="I2810">
        <v>363</v>
      </c>
      <c r="J2810">
        <v>0</v>
      </c>
      <c r="K2810">
        <v>0</v>
      </c>
      <c r="L2810" s="1">
        <v>44784.931273148148</v>
      </c>
      <c r="M2810">
        <v>4.5</v>
      </c>
      <c r="N2810">
        <v>5.2</v>
      </c>
      <c r="O2810">
        <v>0.7</v>
      </c>
      <c r="P2810">
        <v>14</v>
      </c>
      <c r="Q2810">
        <v>0.7</v>
      </c>
      <c r="R2810">
        <v>1</v>
      </c>
      <c r="S2810">
        <v>0.85</v>
      </c>
      <c r="T2810" t="s">
        <v>33</v>
      </c>
      <c r="U2810">
        <v>4.8499999999999996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 t="s">
        <v>38</v>
      </c>
    </row>
    <row r="2811" spans="1:30" x14ac:dyDescent="0.25">
      <c r="A2811" s="1">
        <v>44784.93136574074</v>
      </c>
      <c r="B2811" s="1">
        <v>44784.930648148147</v>
      </c>
      <c r="C2811">
        <v>146644</v>
      </c>
      <c r="D2811" t="s">
        <v>54</v>
      </c>
      <c r="E2811" t="s">
        <v>53</v>
      </c>
      <c r="F2811">
        <v>7</v>
      </c>
      <c r="G2811">
        <v>43.06015</v>
      </c>
      <c r="H2811">
        <v>-70.758930000000007</v>
      </c>
      <c r="I2811">
        <v>35</v>
      </c>
      <c r="J2811">
        <v>70</v>
      </c>
      <c r="K2811">
        <v>72</v>
      </c>
      <c r="L2811" s="1">
        <v>44784.931273148148</v>
      </c>
      <c r="M2811">
        <v>12.5</v>
      </c>
      <c r="N2811">
        <v>10.8</v>
      </c>
      <c r="O2811">
        <v>1.7</v>
      </c>
      <c r="P2811">
        <v>15</v>
      </c>
      <c r="Q2811">
        <v>0.1</v>
      </c>
      <c r="R2811">
        <v>0</v>
      </c>
      <c r="S2811">
        <v>0.05</v>
      </c>
      <c r="T2811" t="s">
        <v>33</v>
      </c>
      <c r="U2811">
        <v>11.65</v>
      </c>
      <c r="V2811">
        <v>71</v>
      </c>
      <c r="W2811">
        <v>76</v>
      </c>
      <c r="X2811">
        <v>5</v>
      </c>
      <c r="Y2811">
        <v>0</v>
      </c>
      <c r="Z2811">
        <v>1</v>
      </c>
      <c r="AA2811">
        <v>1</v>
      </c>
      <c r="AB2811" t="s">
        <v>33</v>
      </c>
      <c r="AC2811">
        <v>73.5</v>
      </c>
      <c r="AD2811">
        <v>4.12</v>
      </c>
    </row>
    <row r="2812" spans="1:30" x14ac:dyDescent="0.25">
      <c r="A2812" s="1">
        <v>44784.93136574074</v>
      </c>
      <c r="B2812" s="1">
        <v>43755.283437500002</v>
      </c>
      <c r="C2812">
        <v>12188</v>
      </c>
      <c r="D2812" t="s">
        <v>55</v>
      </c>
      <c r="E2812" t="s">
        <v>35</v>
      </c>
      <c r="F2812">
        <v>4.1100000000000003</v>
      </c>
      <c r="G2812">
        <v>42.927050000000001</v>
      </c>
      <c r="H2812">
        <v>-72.279610000000005</v>
      </c>
      <c r="I2812">
        <v>475</v>
      </c>
      <c r="J2812">
        <v>95</v>
      </c>
      <c r="K2812">
        <v>0</v>
      </c>
      <c r="L2812" s="1">
        <v>44784.931273148148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 t="s">
        <v>32</v>
      </c>
      <c r="V2812">
        <v>77</v>
      </c>
      <c r="W2812">
        <v>0</v>
      </c>
      <c r="X2812">
        <v>77</v>
      </c>
      <c r="Y2812">
        <v>0</v>
      </c>
      <c r="Z2812">
        <v>0</v>
      </c>
      <c r="AA2812">
        <v>0</v>
      </c>
      <c r="AB2812" t="s">
        <v>36</v>
      </c>
      <c r="AC2812">
        <v>77</v>
      </c>
    </row>
    <row r="2813" spans="1:30" x14ac:dyDescent="0.25">
      <c r="A2813" s="1">
        <v>44784.93136574074</v>
      </c>
      <c r="B2813" s="1">
        <v>44784.929664351854</v>
      </c>
      <c r="C2813">
        <v>1224</v>
      </c>
      <c r="D2813" t="s">
        <v>56</v>
      </c>
      <c r="E2813" t="s">
        <v>35</v>
      </c>
      <c r="F2813" t="s">
        <v>57</v>
      </c>
      <c r="G2813">
        <v>42.938034000000002</v>
      </c>
      <c r="H2813">
        <v>-72.259299999999996</v>
      </c>
      <c r="I2813">
        <v>792</v>
      </c>
      <c r="J2813">
        <v>77</v>
      </c>
      <c r="K2813">
        <v>0</v>
      </c>
      <c r="L2813" s="1">
        <v>44784.931273148148</v>
      </c>
      <c r="M2813">
        <v>5.2</v>
      </c>
      <c r="N2813">
        <v>0</v>
      </c>
      <c r="O2813">
        <v>5.2</v>
      </c>
      <c r="P2813">
        <v>200</v>
      </c>
      <c r="Q2813">
        <v>0.1</v>
      </c>
      <c r="R2813">
        <v>0</v>
      </c>
      <c r="S2813">
        <v>0.05</v>
      </c>
      <c r="T2813" t="s">
        <v>43</v>
      </c>
      <c r="V2813">
        <v>63</v>
      </c>
      <c r="W2813">
        <v>0</v>
      </c>
      <c r="X2813">
        <v>63</v>
      </c>
      <c r="Y2813">
        <v>2</v>
      </c>
      <c r="Z2813">
        <v>0</v>
      </c>
      <c r="AA2813">
        <v>2</v>
      </c>
      <c r="AB2813" t="s">
        <v>36</v>
      </c>
      <c r="AC2813">
        <v>63</v>
      </c>
    </row>
    <row r="2814" spans="1:30" x14ac:dyDescent="0.25">
      <c r="A2814" s="1">
        <v>44784.931377314817</v>
      </c>
      <c r="B2814" s="1">
        <v>44784.930497685185</v>
      </c>
      <c r="C2814">
        <v>1202</v>
      </c>
      <c r="D2814" t="s">
        <v>58</v>
      </c>
      <c r="E2814" t="s">
        <v>35</v>
      </c>
      <c r="F2814" t="s">
        <v>57</v>
      </c>
      <c r="G2814">
        <v>42.936554000000001</v>
      </c>
      <c r="H2814">
        <v>-72.271019999999993</v>
      </c>
      <c r="I2814">
        <v>488</v>
      </c>
      <c r="J2814">
        <v>0</v>
      </c>
      <c r="K2814">
        <v>0</v>
      </c>
      <c r="L2814" s="1">
        <v>44784.931273148148</v>
      </c>
      <c r="M2814">
        <v>6.4</v>
      </c>
      <c r="N2814">
        <v>6</v>
      </c>
      <c r="O2814">
        <v>0.4</v>
      </c>
      <c r="P2814">
        <v>6</v>
      </c>
      <c r="Q2814">
        <v>0.5</v>
      </c>
      <c r="R2814">
        <v>0.5</v>
      </c>
      <c r="S2814">
        <v>0.5</v>
      </c>
      <c r="T2814" t="s">
        <v>33</v>
      </c>
      <c r="U2814">
        <v>6.2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 t="s">
        <v>38</v>
      </c>
    </row>
    <row r="2815" spans="1:30" x14ac:dyDescent="0.25">
      <c r="A2815" s="1">
        <v>44784.931377314817</v>
      </c>
      <c r="B2815" s="1">
        <v>44612.080023148148</v>
      </c>
      <c r="C2815">
        <v>25985</v>
      </c>
      <c r="D2815" t="s">
        <v>59</v>
      </c>
      <c r="E2815" t="s">
        <v>35</v>
      </c>
      <c r="F2815">
        <v>6.01</v>
      </c>
      <c r="G2815">
        <v>42.927326000000001</v>
      </c>
      <c r="H2815">
        <v>-72.279979999999995</v>
      </c>
      <c r="I2815">
        <v>477</v>
      </c>
      <c r="J2815">
        <v>78</v>
      </c>
      <c r="K2815">
        <v>0</v>
      </c>
      <c r="L2815" s="1">
        <v>44784.931273148148</v>
      </c>
      <c r="M2815">
        <v>1.1000000000000001</v>
      </c>
      <c r="N2815">
        <v>1</v>
      </c>
      <c r="O2815">
        <v>0.1</v>
      </c>
      <c r="P2815">
        <v>10</v>
      </c>
      <c r="Q2815">
        <v>0</v>
      </c>
      <c r="R2815">
        <v>0</v>
      </c>
      <c r="S2815">
        <v>0</v>
      </c>
      <c r="T2815" t="s">
        <v>32</v>
      </c>
      <c r="V2815">
        <v>22</v>
      </c>
      <c r="W2815">
        <v>0</v>
      </c>
      <c r="X2815">
        <v>22</v>
      </c>
      <c r="Y2815">
        <v>0</v>
      </c>
      <c r="Z2815">
        <v>0</v>
      </c>
      <c r="AA2815">
        <v>0</v>
      </c>
      <c r="AB2815" t="s">
        <v>36</v>
      </c>
      <c r="AC2815">
        <v>22</v>
      </c>
    </row>
    <row r="2816" spans="1:30" x14ac:dyDescent="0.25">
      <c r="A2816" s="1">
        <v>44784.93822916667</v>
      </c>
      <c r="B2816" s="1">
        <v>44775.701319444444</v>
      </c>
      <c r="C2816">
        <v>151708</v>
      </c>
      <c r="D2816" t="s">
        <v>30</v>
      </c>
      <c r="E2816" t="s">
        <v>31</v>
      </c>
      <c r="F2816">
        <v>7</v>
      </c>
      <c r="G2816">
        <v>43.192042999999998</v>
      </c>
      <c r="H2816">
        <v>-71.541579999999996</v>
      </c>
      <c r="I2816">
        <v>291</v>
      </c>
      <c r="J2816">
        <v>93</v>
      </c>
      <c r="K2816">
        <v>94</v>
      </c>
      <c r="L2816" s="1">
        <v>44784.938217592593</v>
      </c>
      <c r="M2816">
        <v>7.9</v>
      </c>
      <c r="N2816">
        <v>7.6</v>
      </c>
      <c r="O2816">
        <v>0.3</v>
      </c>
      <c r="P2816">
        <v>4</v>
      </c>
      <c r="Q2816">
        <v>0</v>
      </c>
      <c r="R2816">
        <v>0</v>
      </c>
      <c r="S2816">
        <v>0</v>
      </c>
      <c r="T2816" t="s">
        <v>32</v>
      </c>
      <c r="V2816">
        <v>42</v>
      </c>
      <c r="W2816">
        <v>41</v>
      </c>
      <c r="X2816">
        <v>1</v>
      </c>
      <c r="Y2816">
        <v>0</v>
      </c>
      <c r="Z2816">
        <v>0</v>
      </c>
      <c r="AA2816">
        <v>0</v>
      </c>
      <c r="AB2816" t="s">
        <v>33</v>
      </c>
      <c r="AC2816">
        <v>41.5</v>
      </c>
    </row>
    <row r="2817" spans="1:30" x14ac:dyDescent="0.25">
      <c r="A2817" s="1">
        <v>44784.93822916667</v>
      </c>
      <c r="B2817" s="1">
        <v>44784.936643518522</v>
      </c>
      <c r="C2817">
        <v>143456</v>
      </c>
      <c r="D2817" t="s">
        <v>34</v>
      </c>
      <c r="E2817" t="s">
        <v>35</v>
      </c>
      <c r="F2817">
        <v>7</v>
      </c>
      <c r="G2817">
        <v>43.08963</v>
      </c>
      <c r="H2817">
        <v>-71.502440000000007</v>
      </c>
      <c r="I2817">
        <v>619</v>
      </c>
      <c r="J2817">
        <v>75</v>
      </c>
      <c r="K2817">
        <v>0</v>
      </c>
      <c r="L2817" s="1">
        <v>44784.938217592593</v>
      </c>
      <c r="M2817">
        <v>3.2</v>
      </c>
      <c r="N2817">
        <v>3.6</v>
      </c>
      <c r="O2817">
        <v>0.4</v>
      </c>
      <c r="P2817">
        <v>12</v>
      </c>
      <c r="Q2817">
        <v>0</v>
      </c>
      <c r="R2817">
        <v>0.1</v>
      </c>
      <c r="S2817">
        <v>0.05</v>
      </c>
      <c r="T2817" t="s">
        <v>33</v>
      </c>
      <c r="U2817">
        <v>3.4</v>
      </c>
      <c r="V2817">
        <v>59</v>
      </c>
      <c r="W2817">
        <v>0</v>
      </c>
      <c r="X2817">
        <v>59</v>
      </c>
      <c r="Y2817">
        <v>1</v>
      </c>
      <c r="Z2817">
        <v>0</v>
      </c>
      <c r="AA2817">
        <v>1</v>
      </c>
      <c r="AB2817" t="s">
        <v>36</v>
      </c>
      <c r="AC2817">
        <v>59</v>
      </c>
      <c r="AD2817">
        <v>0.1</v>
      </c>
    </row>
    <row r="2818" spans="1:30" x14ac:dyDescent="0.25">
      <c r="A2818" s="1">
        <v>44784.938240740739</v>
      </c>
      <c r="B2818" s="1">
        <v>44784.936782407407</v>
      </c>
      <c r="C2818">
        <v>151702</v>
      </c>
      <c r="D2818" t="s">
        <v>37</v>
      </c>
      <c r="E2818" t="s">
        <v>31</v>
      </c>
      <c r="F2818">
        <v>7</v>
      </c>
      <c r="G2818">
        <v>43.118609999999997</v>
      </c>
      <c r="H2818">
        <v>-71.61618</v>
      </c>
      <c r="I2818">
        <v>885</v>
      </c>
      <c r="J2818">
        <v>0</v>
      </c>
      <c r="K2818">
        <v>0</v>
      </c>
      <c r="L2818" s="1">
        <v>44784.938217592593</v>
      </c>
      <c r="M2818">
        <v>3.2</v>
      </c>
      <c r="N2818">
        <v>3.2</v>
      </c>
      <c r="O2818">
        <v>0</v>
      </c>
      <c r="P2818">
        <v>0</v>
      </c>
      <c r="Q2818">
        <v>0.1</v>
      </c>
      <c r="R2818">
        <v>0.1</v>
      </c>
      <c r="S2818">
        <v>0.1</v>
      </c>
      <c r="T2818" t="s">
        <v>33</v>
      </c>
      <c r="U2818">
        <v>3.2</v>
      </c>
      <c r="V2818">
        <v>0</v>
      </c>
      <c r="W2818">
        <v>0</v>
      </c>
      <c r="X2818">
        <v>0</v>
      </c>
      <c r="Y2818">
        <v>0</v>
      </c>
      <c r="Z2818">
        <v>0</v>
      </c>
      <c r="AA2818">
        <v>0</v>
      </c>
      <c r="AB2818" t="s">
        <v>38</v>
      </c>
    </row>
    <row r="2819" spans="1:30" x14ac:dyDescent="0.25">
      <c r="A2819" s="1">
        <v>44784.938240740739</v>
      </c>
      <c r="B2819" s="1">
        <v>44784.936689814815</v>
      </c>
      <c r="C2819">
        <v>151700</v>
      </c>
      <c r="D2819" t="s">
        <v>30</v>
      </c>
      <c r="E2819" t="s">
        <v>31</v>
      </c>
      <c r="F2819">
        <v>7</v>
      </c>
      <c r="G2819">
        <v>43.19211</v>
      </c>
      <c r="H2819">
        <v>-71.541460000000001</v>
      </c>
      <c r="I2819">
        <v>286</v>
      </c>
      <c r="J2819">
        <v>79</v>
      </c>
      <c r="K2819">
        <v>0</v>
      </c>
      <c r="L2819" s="1">
        <v>44784.938217592593</v>
      </c>
      <c r="M2819">
        <v>2.5</v>
      </c>
      <c r="N2819">
        <v>2.8</v>
      </c>
      <c r="O2819">
        <v>0.3</v>
      </c>
      <c r="P2819">
        <v>11</v>
      </c>
      <c r="Q2819">
        <v>0</v>
      </c>
      <c r="R2819">
        <v>0</v>
      </c>
      <c r="S2819">
        <v>0</v>
      </c>
      <c r="T2819" t="s">
        <v>33</v>
      </c>
      <c r="U2819">
        <v>2.65</v>
      </c>
      <c r="V2819">
        <v>48</v>
      </c>
      <c r="W2819">
        <v>0</v>
      </c>
      <c r="X2819">
        <v>48</v>
      </c>
      <c r="Y2819">
        <v>0</v>
      </c>
      <c r="Z2819">
        <v>0</v>
      </c>
      <c r="AA2819">
        <v>0</v>
      </c>
      <c r="AB2819" t="s">
        <v>36</v>
      </c>
      <c r="AC2819">
        <v>48</v>
      </c>
      <c r="AD2819">
        <v>0.42</v>
      </c>
    </row>
    <row r="2820" spans="1:30" x14ac:dyDescent="0.25">
      <c r="A2820" s="1">
        <v>44784.938252314816</v>
      </c>
      <c r="B2820" s="1">
        <v>44784.937141203707</v>
      </c>
      <c r="C2820">
        <v>135984</v>
      </c>
      <c r="D2820" t="s">
        <v>39</v>
      </c>
      <c r="E2820" t="s">
        <v>31</v>
      </c>
      <c r="F2820">
        <v>7</v>
      </c>
      <c r="G2820">
        <v>43.565852999999997</v>
      </c>
      <c r="H2820">
        <v>-71.496129999999994</v>
      </c>
      <c r="I2820">
        <v>708</v>
      </c>
      <c r="J2820">
        <v>67</v>
      </c>
      <c r="K2820">
        <v>0</v>
      </c>
      <c r="L2820" s="1">
        <v>44784.938217592593</v>
      </c>
      <c r="M2820">
        <v>4.4000000000000004</v>
      </c>
      <c r="N2820">
        <v>3.8</v>
      </c>
      <c r="O2820">
        <v>0.6</v>
      </c>
      <c r="P2820">
        <v>15</v>
      </c>
      <c r="Q2820">
        <v>0</v>
      </c>
      <c r="R2820">
        <v>0</v>
      </c>
      <c r="S2820">
        <v>0</v>
      </c>
      <c r="T2820" t="s">
        <v>33</v>
      </c>
      <c r="U2820">
        <v>4.0999999999999996</v>
      </c>
      <c r="V2820">
        <v>90</v>
      </c>
      <c r="W2820">
        <v>0</v>
      </c>
      <c r="X2820">
        <v>90</v>
      </c>
      <c r="Y2820">
        <v>1</v>
      </c>
      <c r="Z2820">
        <v>0</v>
      </c>
      <c r="AA2820">
        <v>1</v>
      </c>
      <c r="AB2820" t="s">
        <v>36</v>
      </c>
      <c r="AC2820">
        <v>90</v>
      </c>
      <c r="AD2820">
        <v>-1.64</v>
      </c>
    </row>
    <row r="2821" spans="1:30" x14ac:dyDescent="0.25">
      <c r="A2821" s="1">
        <v>44784.938252314816</v>
      </c>
      <c r="B2821" s="1">
        <v>44780.394780092596</v>
      </c>
      <c r="C2821">
        <v>151712</v>
      </c>
      <c r="D2821" t="s">
        <v>40</v>
      </c>
      <c r="E2821" t="s">
        <v>31</v>
      </c>
      <c r="F2821">
        <v>7</v>
      </c>
      <c r="G2821">
        <v>43.289763999999998</v>
      </c>
      <c r="H2821">
        <v>-71.564260000000004</v>
      </c>
      <c r="I2821">
        <v>370</v>
      </c>
      <c r="J2821">
        <v>86</v>
      </c>
      <c r="K2821">
        <v>0</v>
      </c>
      <c r="L2821" s="1">
        <v>44784.938217592593</v>
      </c>
      <c r="M2821">
        <v>14</v>
      </c>
      <c r="N2821">
        <v>13.2</v>
      </c>
      <c r="O2821">
        <v>0.8</v>
      </c>
      <c r="P2821">
        <v>6</v>
      </c>
      <c r="Q2821">
        <v>0</v>
      </c>
      <c r="R2821">
        <v>0</v>
      </c>
      <c r="S2821">
        <v>0</v>
      </c>
      <c r="T2821" t="s">
        <v>32</v>
      </c>
      <c r="V2821">
        <v>59</v>
      </c>
      <c r="W2821">
        <v>0</v>
      </c>
      <c r="X2821">
        <v>59</v>
      </c>
      <c r="Y2821">
        <v>0</v>
      </c>
      <c r="Z2821">
        <v>0</v>
      </c>
      <c r="AA2821">
        <v>0</v>
      </c>
      <c r="AB2821" t="s">
        <v>36</v>
      </c>
      <c r="AC2821">
        <v>59</v>
      </c>
    </row>
    <row r="2822" spans="1:30" x14ac:dyDescent="0.25">
      <c r="A2822" s="1">
        <v>44784.938263888886</v>
      </c>
      <c r="B2822" s="1">
        <v>44784.93645833333</v>
      </c>
      <c r="C2822">
        <v>151710</v>
      </c>
      <c r="D2822" t="s">
        <v>41</v>
      </c>
      <c r="E2822" t="s">
        <v>31</v>
      </c>
      <c r="F2822">
        <v>7</v>
      </c>
      <c r="G2822">
        <v>43.132477000000002</v>
      </c>
      <c r="H2822">
        <v>-71.458374000000006</v>
      </c>
      <c r="I2822">
        <v>230</v>
      </c>
      <c r="J2822">
        <v>76</v>
      </c>
      <c r="K2822">
        <v>0</v>
      </c>
      <c r="L2822" s="1">
        <v>44784.938217592593</v>
      </c>
      <c r="M2822">
        <v>6.9</v>
      </c>
      <c r="N2822">
        <v>5.3</v>
      </c>
      <c r="O2822">
        <v>1.6</v>
      </c>
      <c r="P2822">
        <v>26</v>
      </c>
      <c r="Q2822">
        <v>0.5</v>
      </c>
      <c r="R2822">
        <v>0.5</v>
      </c>
      <c r="S2822">
        <v>0.5</v>
      </c>
      <c r="T2822" t="s">
        <v>33</v>
      </c>
      <c r="U2822">
        <v>6.1</v>
      </c>
      <c r="V2822">
        <v>54</v>
      </c>
      <c r="W2822">
        <v>0</v>
      </c>
      <c r="X2822">
        <v>54</v>
      </c>
      <c r="Y2822">
        <v>1</v>
      </c>
      <c r="Z2822">
        <v>0</v>
      </c>
      <c r="AA2822">
        <v>1</v>
      </c>
      <c r="AB2822" t="s">
        <v>36</v>
      </c>
      <c r="AC2822">
        <v>54</v>
      </c>
      <c r="AD2822">
        <v>2.1</v>
      </c>
    </row>
    <row r="2823" spans="1:30" x14ac:dyDescent="0.25">
      <c r="A2823" s="1">
        <v>44784.938263888886</v>
      </c>
      <c r="B2823" s="1">
        <v>44784.937465277777</v>
      </c>
      <c r="C2823">
        <v>151706</v>
      </c>
      <c r="D2823" t="s">
        <v>42</v>
      </c>
      <c r="E2823" t="s">
        <v>31</v>
      </c>
      <c r="F2823">
        <v>7</v>
      </c>
      <c r="G2823">
        <v>43.004080000000002</v>
      </c>
      <c r="H2823">
        <v>-71.177040000000005</v>
      </c>
      <c r="I2823">
        <v>194</v>
      </c>
      <c r="J2823">
        <v>75</v>
      </c>
      <c r="K2823">
        <v>0</v>
      </c>
      <c r="L2823" s="1">
        <v>44784.938217592593</v>
      </c>
      <c r="M2823">
        <v>13.4</v>
      </c>
      <c r="N2823">
        <v>0</v>
      </c>
      <c r="O2823">
        <v>13.4</v>
      </c>
      <c r="P2823">
        <v>200</v>
      </c>
      <c r="Q2823">
        <v>0.3</v>
      </c>
      <c r="R2823">
        <v>0</v>
      </c>
      <c r="S2823">
        <v>0.15</v>
      </c>
      <c r="T2823" t="s">
        <v>43</v>
      </c>
      <c r="V2823">
        <v>69</v>
      </c>
      <c r="W2823">
        <v>0</v>
      </c>
      <c r="X2823">
        <v>69</v>
      </c>
      <c r="Y2823">
        <v>1</v>
      </c>
      <c r="Z2823">
        <v>0</v>
      </c>
      <c r="AA2823">
        <v>1</v>
      </c>
      <c r="AB2823" t="s">
        <v>36</v>
      </c>
      <c r="AC2823">
        <v>69</v>
      </c>
    </row>
    <row r="2824" spans="1:30" x14ac:dyDescent="0.25">
      <c r="A2824" s="1">
        <v>44784.938263888886</v>
      </c>
      <c r="B2824" s="1">
        <v>44784.937291666669</v>
      </c>
      <c r="C2824">
        <v>12212</v>
      </c>
      <c r="D2824" t="s">
        <v>44</v>
      </c>
      <c r="E2824" t="s">
        <v>35</v>
      </c>
      <c r="F2824">
        <v>7</v>
      </c>
      <c r="G2824">
        <v>42.930529999999997</v>
      </c>
      <c r="H2824">
        <v>-72.272350000000003</v>
      </c>
      <c r="I2824">
        <v>476</v>
      </c>
      <c r="J2824">
        <v>78</v>
      </c>
      <c r="K2824">
        <v>0</v>
      </c>
      <c r="L2824" s="1">
        <v>44784.938217592593</v>
      </c>
      <c r="M2824">
        <v>5.5</v>
      </c>
      <c r="N2824">
        <v>4.9000000000000004</v>
      </c>
      <c r="O2824">
        <v>0.6</v>
      </c>
      <c r="P2824">
        <v>12</v>
      </c>
      <c r="Q2824">
        <v>0.1</v>
      </c>
      <c r="R2824">
        <v>0.1</v>
      </c>
      <c r="S2824">
        <v>0.1</v>
      </c>
      <c r="T2824" t="s">
        <v>33</v>
      </c>
      <c r="U2824">
        <v>5.2</v>
      </c>
      <c r="V2824">
        <v>57</v>
      </c>
      <c r="W2824">
        <v>0</v>
      </c>
      <c r="X2824">
        <v>57</v>
      </c>
      <c r="Y2824">
        <v>1</v>
      </c>
      <c r="Z2824">
        <v>0</v>
      </c>
      <c r="AA2824">
        <v>1</v>
      </c>
      <c r="AB2824" t="s">
        <v>36</v>
      </c>
      <c r="AC2824">
        <v>57</v>
      </c>
      <c r="AD2824">
        <v>1.34</v>
      </c>
    </row>
    <row r="2825" spans="1:30" x14ac:dyDescent="0.25">
      <c r="A2825" s="1">
        <v>44784.938275462962</v>
      </c>
      <c r="B2825" s="1">
        <v>44769.376736111109</v>
      </c>
      <c r="C2825">
        <v>12178</v>
      </c>
      <c r="D2825" t="s">
        <v>45</v>
      </c>
      <c r="E2825" t="s">
        <v>35</v>
      </c>
      <c r="F2825">
        <v>7</v>
      </c>
      <c r="G2825">
        <v>42.899563000000001</v>
      </c>
      <c r="H2825">
        <v>-71.464650000000006</v>
      </c>
      <c r="I2825">
        <v>301</v>
      </c>
      <c r="J2825">
        <v>85</v>
      </c>
      <c r="K2825">
        <v>0</v>
      </c>
      <c r="L2825" s="1">
        <v>44784.938217592593</v>
      </c>
      <c r="M2825">
        <v>3.8</v>
      </c>
      <c r="N2825">
        <v>3.1</v>
      </c>
      <c r="O2825">
        <v>0.7</v>
      </c>
      <c r="P2825">
        <v>20</v>
      </c>
      <c r="Q2825">
        <v>0</v>
      </c>
      <c r="R2825">
        <v>0</v>
      </c>
      <c r="S2825">
        <v>0</v>
      </c>
      <c r="T2825" t="s">
        <v>32</v>
      </c>
      <c r="V2825">
        <v>35</v>
      </c>
      <c r="W2825">
        <v>0</v>
      </c>
      <c r="X2825">
        <v>35</v>
      </c>
      <c r="Y2825">
        <v>0</v>
      </c>
      <c r="Z2825">
        <v>0</v>
      </c>
      <c r="AA2825">
        <v>0</v>
      </c>
      <c r="AB2825" t="s">
        <v>36</v>
      </c>
      <c r="AC2825">
        <v>35</v>
      </c>
    </row>
    <row r="2826" spans="1:30" x14ac:dyDescent="0.25">
      <c r="A2826" s="1">
        <v>44784.938275462962</v>
      </c>
      <c r="B2826" s="1">
        <v>44784.936539351853</v>
      </c>
      <c r="C2826">
        <v>75981</v>
      </c>
      <c r="D2826" t="s">
        <v>46</v>
      </c>
      <c r="E2826" t="s">
        <v>35</v>
      </c>
      <c r="F2826">
        <v>7</v>
      </c>
      <c r="G2826">
        <v>42.97</v>
      </c>
      <c r="H2826">
        <v>-71.06</v>
      </c>
      <c r="I2826">
        <v>136</v>
      </c>
      <c r="J2826">
        <v>79</v>
      </c>
      <c r="K2826">
        <v>0</v>
      </c>
      <c r="L2826" s="1">
        <v>44784.938217592593</v>
      </c>
      <c r="M2826">
        <v>30</v>
      </c>
      <c r="N2826">
        <v>11.7</v>
      </c>
      <c r="O2826">
        <v>18.3</v>
      </c>
      <c r="P2826">
        <v>88</v>
      </c>
      <c r="Q2826">
        <v>0.2</v>
      </c>
      <c r="R2826">
        <v>0.2</v>
      </c>
      <c r="S2826">
        <v>0.2</v>
      </c>
      <c r="T2826" t="s">
        <v>60</v>
      </c>
      <c r="V2826">
        <v>60</v>
      </c>
      <c r="W2826">
        <v>0</v>
      </c>
      <c r="X2826">
        <v>60</v>
      </c>
      <c r="Y2826">
        <v>0</v>
      </c>
      <c r="Z2826">
        <v>0</v>
      </c>
      <c r="AA2826">
        <v>0</v>
      </c>
      <c r="AB2826" t="s">
        <v>36</v>
      </c>
      <c r="AC2826">
        <v>60</v>
      </c>
    </row>
    <row r="2827" spans="1:30" x14ac:dyDescent="0.25">
      <c r="A2827" s="1">
        <v>44784.938287037039</v>
      </c>
      <c r="B2827" s="1">
        <v>44784.937083333331</v>
      </c>
      <c r="C2827">
        <v>115703</v>
      </c>
      <c r="D2827" t="s">
        <v>47</v>
      </c>
      <c r="E2827" t="s">
        <v>35</v>
      </c>
      <c r="F2827">
        <v>7</v>
      </c>
      <c r="G2827">
        <v>43.953625000000002</v>
      </c>
      <c r="H2827">
        <v>-71.508859999999999</v>
      </c>
      <c r="I2827">
        <v>1493</v>
      </c>
      <c r="J2827">
        <v>68</v>
      </c>
      <c r="K2827">
        <v>0</v>
      </c>
      <c r="L2827" s="1">
        <v>44784.938217592593</v>
      </c>
      <c r="M2827">
        <v>0.1</v>
      </c>
      <c r="N2827">
        <v>201</v>
      </c>
      <c r="O2827">
        <v>200.9</v>
      </c>
      <c r="P2827">
        <v>200</v>
      </c>
      <c r="Q2827">
        <v>0</v>
      </c>
      <c r="R2827">
        <v>0</v>
      </c>
      <c r="S2827">
        <v>0</v>
      </c>
      <c r="T2827" t="s">
        <v>60</v>
      </c>
      <c r="V2827">
        <v>65</v>
      </c>
      <c r="W2827">
        <v>0</v>
      </c>
      <c r="X2827">
        <v>65</v>
      </c>
      <c r="Y2827">
        <v>0</v>
      </c>
      <c r="Z2827">
        <v>0</v>
      </c>
      <c r="AA2827">
        <v>0</v>
      </c>
      <c r="AB2827" t="s">
        <v>36</v>
      </c>
      <c r="AC2827">
        <v>65</v>
      </c>
    </row>
    <row r="2828" spans="1:30" x14ac:dyDescent="0.25">
      <c r="A2828" s="1">
        <v>44784.938287037039</v>
      </c>
      <c r="B2828" s="1">
        <v>44784.93650462963</v>
      </c>
      <c r="C2828">
        <v>12050</v>
      </c>
      <c r="D2828" t="s">
        <v>49</v>
      </c>
      <c r="E2828" t="s">
        <v>35</v>
      </c>
      <c r="F2828">
        <v>7</v>
      </c>
      <c r="G2828">
        <v>44.220573000000002</v>
      </c>
      <c r="H2828">
        <v>-71.732315</v>
      </c>
      <c r="I2828">
        <v>999</v>
      </c>
      <c r="J2828">
        <v>75</v>
      </c>
      <c r="K2828">
        <v>0</v>
      </c>
      <c r="L2828" s="1">
        <v>44784.938217592593</v>
      </c>
      <c r="M2828">
        <v>26.4</v>
      </c>
      <c r="N2828">
        <v>25.6</v>
      </c>
      <c r="O2828">
        <v>0.8</v>
      </c>
      <c r="P2828">
        <v>3</v>
      </c>
      <c r="Q2828">
        <v>0.1</v>
      </c>
      <c r="R2828">
        <v>0.2</v>
      </c>
      <c r="S2828">
        <v>0.15</v>
      </c>
      <c r="T2828" t="s">
        <v>33</v>
      </c>
      <c r="U2828">
        <v>26</v>
      </c>
      <c r="V2828">
        <v>58</v>
      </c>
      <c r="W2828">
        <v>0</v>
      </c>
      <c r="X2828">
        <v>58</v>
      </c>
      <c r="Y2828">
        <v>1</v>
      </c>
      <c r="Z2828">
        <v>0</v>
      </c>
      <c r="AA2828">
        <v>1</v>
      </c>
      <c r="AB2828" t="s">
        <v>36</v>
      </c>
      <c r="AC2828">
        <v>58</v>
      </c>
      <c r="AD2828">
        <v>13.96</v>
      </c>
    </row>
    <row r="2829" spans="1:30" x14ac:dyDescent="0.25">
      <c r="A2829" s="1">
        <v>44784.938298611109</v>
      </c>
      <c r="B2829" s="1">
        <v>44784.936620370368</v>
      </c>
      <c r="C2829">
        <v>23443</v>
      </c>
      <c r="D2829" t="s">
        <v>50</v>
      </c>
      <c r="E2829" t="s">
        <v>35</v>
      </c>
      <c r="F2829">
        <v>7</v>
      </c>
      <c r="G2829">
        <v>43.556139999999999</v>
      </c>
      <c r="H2829">
        <v>-72.370990000000006</v>
      </c>
      <c r="I2829">
        <v>523</v>
      </c>
      <c r="J2829">
        <v>72</v>
      </c>
      <c r="K2829">
        <v>0</v>
      </c>
      <c r="L2829" s="1">
        <v>44784.938217592593</v>
      </c>
      <c r="M2829">
        <v>7.2</v>
      </c>
      <c r="N2829">
        <v>6.3</v>
      </c>
      <c r="O2829">
        <v>0.9</v>
      </c>
      <c r="P2829">
        <v>13</v>
      </c>
      <c r="Q2829">
        <v>0.3</v>
      </c>
      <c r="R2829">
        <v>0.1</v>
      </c>
      <c r="S2829">
        <v>0.2</v>
      </c>
      <c r="T2829" t="s">
        <v>33</v>
      </c>
      <c r="U2829">
        <v>6.75</v>
      </c>
      <c r="V2829">
        <v>68</v>
      </c>
      <c r="W2829">
        <v>0</v>
      </c>
      <c r="X2829">
        <v>68</v>
      </c>
      <c r="Y2829">
        <v>0</v>
      </c>
      <c r="Z2829">
        <v>0</v>
      </c>
      <c r="AA2829">
        <v>0</v>
      </c>
      <c r="AB2829" t="s">
        <v>36</v>
      </c>
      <c r="AC2829">
        <v>68</v>
      </c>
      <c r="AD2829">
        <v>1.52</v>
      </c>
    </row>
    <row r="2830" spans="1:30" x14ac:dyDescent="0.25">
      <c r="A2830" s="1">
        <v>44784.938298611109</v>
      </c>
      <c r="B2830" s="1">
        <v>44784.936724537038</v>
      </c>
      <c r="C2830">
        <v>58135</v>
      </c>
      <c r="D2830" t="s">
        <v>51</v>
      </c>
      <c r="E2830" t="s">
        <v>35</v>
      </c>
      <c r="F2830">
        <v>7</v>
      </c>
      <c r="G2830">
        <v>42.883873000000001</v>
      </c>
      <c r="H2830">
        <v>-71.972915999999998</v>
      </c>
      <c r="I2830">
        <v>808</v>
      </c>
      <c r="J2830">
        <v>72</v>
      </c>
      <c r="K2830">
        <v>0</v>
      </c>
      <c r="L2830" s="1">
        <v>44784.938217592593</v>
      </c>
      <c r="M2830">
        <v>5.4</v>
      </c>
      <c r="N2830">
        <v>8.6999999999999993</v>
      </c>
      <c r="O2830">
        <v>3.3</v>
      </c>
      <c r="P2830">
        <v>47</v>
      </c>
      <c r="Q2830">
        <v>0.1</v>
      </c>
      <c r="R2830">
        <v>3.6</v>
      </c>
      <c r="S2830">
        <v>1.85</v>
      </c>
      <c r="T2830" t="s">
        <v>33</v>
      </c>
      <c r="U2830">
        <v>7.05</v>
      </c>
      <c r="V2830">
        <v>61</v>
      </c>
      <c r="W2830">
        <v>0</v>
      </c>
      <c r="X2830">
        <v>61</v>
      </c>
      <c r="Y2830">
        <v>0</v>
      </c>
      <c r="Z2830">
        <v>0</v>
      </c>
      <c r="AA2830">
        <v>0</v>
      </c>
      <c r="AB2830" t="s">
        <v>36</v>
      </c>
      <c r="AC2830">
        <v>61</v>
      </c>
      <c r="AD2830">
        <v>2.19</v>
      </c>
    </row>
    <row r="2831" spans="1:30" x14ac:dyDescent="0.25">
      <c r="A2831" s="1">
        <v>44784.938310185185</v>
      </c>
      <c r="B2831" s="1">
        <v>44784.936712962961</v>
      </c>
      <c r="C2831">
        <v>148555</v>
      </c>
      <c r="D2831" t="s">
        <v>52</v>
      </c>
      <c r="E2831" t="s">
        <v>53</v>
      </c>
      <c r="F2831">
        <v>7</v>
      </c>
      <c r="G2831">
        <v>42.904949999999999</v>
      </c>
      <c r="H2831">
        <v>-71.386764999999997</v>
      </c>
      <c r="I2831">
        <v>363</v>
      </c>
      <c r="J2831">
        <v>0</v>
      </c>
      <c r="K2831">
        <v>0</v>
      </c>
      <c r="L2831" s="1">
        <v>44784.938217592593</v>
      </c>
      <c r="M2831">
        <v>3.9</v>
      </c>
      <c r="N2831">
        <v>4.5999999999999996</v>
      </c>
      <c r="O2831">
        <v>0.7</v>
      </c>
      <c r="P2831">
        <v>16</v>
      </c>
      <c r="Q2831">
        <v>0.6</v>
      </c>
      <c r="R2831">
        <v>0.6</v>
      </c>
      <c r="S2831">
        <v>0.6</v>
      </c>
      <c r="T2831" t="s">
        <v>33</v>
      </c>
      <c r="U2831">
        <v>4.25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 t="s">
        <v>38</v>
      </c>
    </row>
    <row r="2832" spans="1:30" x14ac:dyDescent="0.25">
      <c r="A2832" s="1">
        <v>44784.938310185185</v>
      </c>
      <c r="B2832" s="1">
        <v>44784.937592592592</v>
      </c>
      <c r="C2832">
        <v>146644</v>
      </c>
      <c r="D2832" t="s">
        <v>54</v>
      </c>
      <c r="E2832" t="s">
        <v>53</v>
      </c>
      <c r="F2832">
        <v>7</v>
      </c>
      <c r="G2832">
        <v>43.06015</v>
      </c>
      <c r="H2832">
        <v>-70.758930000000007</v>
      </c>
      <c r="I2832">
        <v>35</v>
      </c>
      <c r="J2832">
        <v>70</v>
      </c>
      <c r="K2832">
        <v>72</v>
      </c>
      <c r="L2832" s="1">
        <v>44784.938217592593</v>
      </c>
      <c r="M2832">
        <v>12.4</v>
      </c>
      <c r="N2832">
        <v>10.9</v>
      </c>
      <c r="O2832">
        <v>1.5</v>
      </c>
      <c r="P2832">
        <v>13</v>
      </c>
      <c r="Q2832">
        <v>0.1</v>
      </c>
      <c r="R2832">
        <v>0.1</v>
      </c>
      <c r="S2832">
        <v>0.1</v>
      </c>
      <c r="T2832" t="s">
        <v>33</v>
      </c>
      <c r="U2832">
        <v>11.65</v>
      </c>
      <c r="V2832">
        <v>71</v>
      </c>
      <c r="W2832">
        <v>76</v>
      </c>
      <c r="X2832">
        <v>5</v>
      </c>
      <c r="Y2832">
        <v>0</v>
      </c>
      <c r="Z2832">
        <v>0</v>
      </c>
      <c r="AA2832">
        <v>0</v>
      </c>
      <c r="AB2832" t="s">
        <v>33</v>
      </c>
      <c r="AC2832">
        <v>73.5</v>
      </c>
      <c r="AD2832">
        <v>4.12</v>
      </c>
    </row>
    <row r="2833" spans="1:30" x14ac:dyDescent="0.25">
      <c r="A2833" s="1">
        <v>44784.938321759262</v>
      </c>
      <c r="B2833" s="1">
        <v>43755.283437500002</v>
      </c>
      <c r="C2833">
        <v>12188</v>
      </c>
      <c r="D2833" t="s">
        <v>55</v>
      </c>
      <c r="E2833" t="s">
        <v>35</v>
      </c>
      <c r="F2833">
        <v>4.1100000000000003</v>
      </c>
      <c r="G2833">
        <v>42.927050000000001</v>
      </c>
      <c r="H2833">
        <v>-72.279610000000005</v>
      </c>
      <c r="I2833">
        <v>475</v>
      </c>
      <c r="J2833">
        <v>95</v>
      </c>
      <c r="K2833">
        <v>0</v>
      </c>
      <c r="L2833" s="1">
        <v>44784.938217592593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 t="s">
        <v>32</v>
      </c>
      <c r="V2833">
        <v>77</v>
      </c>
      <c r="W2833">
        <v>0</v>
      </c>
      <c r="X2833">
        <v>77</v>
      </c>
      <c r="Y2833">
        <v>0</v>
      </c>
      <c r="Z2833">
        <v>0</v>
      </c>
      <c r="AA2833">
        <v>0</v>
      </c>
      <c r="AB2833" t="s">
        <v>36</v>
      </c>
      <c r="AC2833">
        <v>77</v>
      </c>
    </row>
    <row r="2834" spans="1:30" x14ac:dyDescent="0.25">
      <c r="A2834" s="1">
        <v>44784.938321759262</v>
      </c>
      <c r="B2834" s="1">
        <v>44784.937997685185</v>
      </c>
      <c r="C2834">
        <v>1224</v>
      </c>
      <c r="D2834" t="s">
        <v>56</v>
      </c>
      <c r="E2834" t="s">
        <v>35</v>
      </c>
      <c r="F2834" t="s">
        <v>57</v>
      </c>
      <c r="G2834">
        <v>42.938034000000002</v>
      </c>
      <c r="H2834">
        <v>-72.259299999999996</v>
      </c>
      <c r="I2834">
        <v>792</v>
      </c>
      <c r="J2834">
        <v>77</v>
      </c>
      <c r="K2834">
        <v>0</v>
      </c>
      <c r="L2834" s="1">
        <v>44784.938217592593</v>
      </c>
      <c r="M2834">
        <v>5.5</v>
      </c>
      <c r="N2834">
        <v>0</v>
      </c>
      <c r="O2834">
        <v>5.5</v>
      </c>
      <c r="P2834">
        <v>200</v>
      </c>
      <c r="Q2834">
        <v>0.3</v>
      </c>
      <c r="R2834">
        <v>0</v>
      </c>
      <c r="S2834">
        <v>0.15</v>
      </c>
      <c r="T2834" t="s">
        <v>43</v>
      </c>
      <c r="V2834">
        <v>65</v>
      </c>
      <c r="W2834">
        <v>0</v>
      </c>
      <c r="X2834">
        <v>65</v>
      </c>
      <c r="Y2834">
        <v>2</v>
      </c>
      <c r="Z2834">
        <v>0</v>
      </c>
      <c r="AA2834">
        <v>2</v>
      </c>
      <c r="AB2834" t="s">
        <v>36</v>
      </c>
      <c r="AC2834">
        <v>65</v>
      </c>
    </row>
    <row r="2835" spans="1:30" x14ac:dyDescent="0.25">
      <c r="A2835" s="1">
        <v>44784.938333333332</v>
      </c>
      <c r="B2835" s="1">
        <v>44784.9374537037</v>
      </c>
      <c r="C2835">
        <v>1202</v>
      </c>
      <c r="D2835" t="s">
        <v>58</v>
      </c>
      <c r="E2835" t="s">
        <v>35</v>
      </c>
      <c r="F2835" t="s">
        <v>57</v>
      </c>
      <c r="G2835">
        <v>42.936554000000001</v>
      </c>
      <c r="H2835">
        <v>-72.271019999999993</v>
      </c>
      <c r="I2835">
        <v>488</v>
      </c>
      <c r="J2835">
        <v>0</v>
      </c>
      <c r="K2835">
        <v>0</v>
      </c>
      <c r="L2835" s="1">
        <v>44784.938217592593</v>
      </c>
      <c r="M2835">
        <v>6.1</v>
      </c>
      <c r="N2835">
        <v>5.9</v>
      </c>
      <c r="O2835">
        <v>0.2</v>
      </c>
      <c r="P2835">
        <v>3</v>
      </c>
      <c r="Q2835">
        <v>0.3</v>
      </c>
      <c r="R2835">
        <v>0.1</v>
      </c>
      <c r="S2835">
        <v>0.2</v>
      </c>
      <c r="T2835" t="s">
        <v>33</v>
      </c>
      <c r="U2835">
        <v>6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 t="s">
        <v>38</v>
      </c>
    </row>
    <row r="2836" spans="1:30" x14ac:dyDescent="0.25">
      <c r="A2836" s="1">
        <v>44784.938333333332</v>
      </c>
      <c r="B2836" s="1">
        <v>44612.080023148148</v>
      </c>
      <c r="C2836">
        <v>25985</v>
      </c>
      <c r="D2836" t="s">
        <v>59</v>
      </c>
      <c r="E2836" t="s">
        <v>35</v>
      </c>
      <c r="F2836">
        <v>6.01</v>
      </c>
      <c r="G2836">
        <v>42.927326000000001</v>
      </c>
      <c r="H2836">
        <v>-72.279979999999995</v>
      </c>
      <c r="I2836">
        <v>477</v>
      </c>
      <c r="J2836">
        <v>78</v>
      </c>
      <c r="K2836">
        <v>0</v>
      </c>
      <c r="L2836" s="1">
        <v>44784.938217592593</v>
      </c>
      <c r="M2836">
        <v>1.1000000000000001</v>
      </c>
      <c r="N2836">
        <v>1</v>
      </c>
      <c r="O2836">
        <v>0.1</v>
      </c>
      <c r="P2836">
        <v>10</v>
      </c>
      <c r="Q2836">
        <v>0</v>
      </c>
      <c r="R2836">
        <v>0</v>
      </c>
      <c r="S2836">
        <v>0</v>
      </c>
      <c r="T2836" t="s">
        <v>32</v>
      </c>
      <c r="V2836">
        <v>22</v>
      </c>
      <c r="W2836">
        <v>0</v>
      </c>
      <c r="X2836">
        <v>22</v>
      </c>
      <c r="Y2836">
        <v>0</v>
      </c>
      <c r="Z2836">
        <v>0</v>
      </c>
      <c r="AA2836">
        <v>0</v>
      </c>
      <c r="AB2836" t="s">
        <v>36</v>
      </c>
      <c r="AC2836">
        <v>22</v>
      </c>
    </row>
    <row r="2837" spans="1:30" x14ac:dyDescent="0.25">
      <c r="A2837" s="1">
        <v>44784.945173611108</v>
      </c>
      <c r="B2837" s="1">
        <v>44775.701319444444</v>
      </c>
      <c r="C2837">
        <v>151708</v>
      </c>
      <c r="D2837" t="s">
        <v>30</v>
      </c>
      <c r="E2837" t="s">
        <v>31</v>
      </c>
      <c r="F2837">
        <v>7</v>
      </c>
      <c r="G2837">
        <v>43.192042999999998</v>
      </c>
      <c r="H2837">
        <v>-71.541579999999996</v>
      </c>
      <c r="I2837">
        <v>291</v>
      </c>
      <c r="J2837">
        <v>93</v>
      </c>
      <c r="K2837">
        <v>94</v>
      </c>
      <c r="L2837" s="1">
        <v>44784.945162037038</v>
      </c>
      <c r="M2837">
        <v>7.9</v>
      </c>
      <c r="N2837">
        <v>7.6</v>
      </c>
      <c r="O2837">
        <v>0.3</v>
      </c>
      <c r="P2837">
        <v>4</v>
      </c>
      <c r="Q2837">
        <v>0</v>
      </c>
      <c r="R2837">
        <v>0</v>
      </c>
      <c r="S2837">
        <v>0</v>
      </c>
      <c r="T2837" t="s">
        <v>32</v>
      </c>
      <c r="V2837">
        <v>42</v>
      </c>
      <c r="W2837">
        <v>41</v>
      </c>
      <c r="X2837">
        <v>1</v>
      </c>
      <c r="Y2837">
        <v>0</v>
      </c>
      <c r="Z2837">
        <v>0</v>
      </c>
      <c r="AA2837">
        <v>0</v>
      </c>
      <c r="AB2837" t="s">
        <v>33</v>
      </c>
      <c r="AC2837">
        <v>41.5</v>
      </c>
    </row>
    <row r="2838" spans="1:30" x14ac:dyDescent="0.25">
      <c r="A2838" s="1">
        <v>44784.945173611108</v>
      </c>
      <c r="B2838" s="1">
        <v>44784.943599537037</v>
      </c>
      <c r="C2838">
        <v>143456</v>
      </c>
      <c r="D2838" t="s">
        <v>34</v>
      </c>
      <c r="E2838" t="s">
        <v>35</v>
      </c>
      <c r="F2838">
        <v>7</v>
      </c>
      <c r="G2838">
        <v>43.08963</v>
      </c>
      <c r="H2838">
        <v>-71.502440000000007</v>
      </c>
      <c r="I2838">
        <v>619</v>
      </c>
      <c r="J2838">
        <v>75</v>
      </c>
      <c r="K2838">
        <v>0</v>
      </c>
      <c r="L2838" s="1">
        <v>44784.945162037038</v>
      </c>
      <c r="M2838">
        <v>3</v>
      </c>
      <c r="N2838">
        <v>3.6</v>
      </c>
      <c r="O2838">
        <v>0.6</v>
      </c>
      <c r="P2838">
        <v>18</v>
      </c>
      <c r="Q2838">
        <v>0.2</v>
      </c>
      <c r="R2838">
        <v>0</v>
      </c>
      <c r="S2838">
        <v>0.1</v>
      </c>
      <c r="T2838" t="s">
        <v>33</v>
      </c>
      <c r="U2838">
        <v>3.3</v>
      </c>
      <c r="V2838">
        <v>58</v>
      </c>
      <c r="W2838">
        <v>0</v>
      </c>
      <c r="X2838">
        <v>58</v>
      </c>
      <c r="Y2838">
        <v>1</v>
      </c>
      <c r="Z2838">
        <v>0</v>
      </c>
      <c r="AA2838">
        <v>1</v>
      </c>
      <c r="AB2838" t="s">
        <v>36</v>
      </c>
      <c r="AC2838">
        <v>58</v>
      </c>
      <c r="AD2838">
        <v>0.11</v>
      </c>
    </row>
    <row r="2839" spans="1:30" x14ac:dyDescent="0.25">
      <c r="A2839" s="1">
        <v>44784.945185185185</v>
      </c>
      <c r="B2839" s="1">
        <v>44784.943726851852</v>
      </c>
      <c r="C2839">
        <v>151702</v>
      </c>
      <c r="D2839" t="s">
        <v>37</v>
      </c>
      <c r="E2839" t="s">
        <v>31</v>
      </c>
      <c r="F2839">
        <v>7</v>
      </c>
      <c r="G2839">
        <v>43.118609999999997</v>
      </c>
      <c r="H2839">
        <v>-71.61618</v>
      </c>
      <c r="I2839">
        <v>885</v>
      </c>
      <c r="J2839">
        <v>0</v>
      </c>
      <c r="K2839">
        <v>0</v>
      </c>
      <c r="L2839" s="1">
        <v>44784.945162037038</v>
      </c>
      <c r="M2839">
        <v>3.2</v>
      </c>
      <c r="N2839">
        <v>3.3</v>
      </c>
      <c r="O2839">
        <v>0.1</v>
      </c>
      <c r="P2839">
        <v>3</v>
      </c>
      <c r="Q2839">
        <v>0</v>
      </c>
      <c r="R2839">
        <v>0.1</v>
      </c>
      <c r="S2839">
        <v>0.05</v>
      </c>
      <c r="T2839" t="s">
        <v>33</v>
      </c>
      <c r="U2839">
        <v>3.25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 t="s">
        <v>38</v>
      </c>
    </row>
    <row r="2840" spans="1:30" x14ac:dyDescent="0.25">
      <c r="A2840" s="1">
        <v>44784.945185185185</v>
      </c>
      <c r="B2840" s="1">
        <v>44784.94363425926</v>
      </c>
      <c r="C2840">
        <v>151700</v>
      </c>
      <c r="D2840" t="s">
        <v>30</v>
      </c>
      <c r="E2840" t="s">
        <v>31</v>
      </c>
      <c r="F2840">
        <v>7</v>
      </c>
      <c r="G2840">
        <v>43.19211</v>
      </c>
      <c r="H2840">
        <v>-71.541460000000001</v>
      </c>
      <c r="I2840">
        <v>286</v>
      </c>
      <c r="J2840">
        <v>78</v>
      </c>
      <c r="K2840">
        <v>0</v>
      </c>
      <c r="L2840" s="1">
        <v>44784.945162037038</v>
      </c>
      <c r="M2840">
        <v>2.6</v>
      </c>
      <c r="N2840">
        <v>3.1</v>
      </c>
      <c r="O2840">
        <v>0.5</v>
      </c>
      <c r="P2840">
        <v>18</v>
      </c>
      <c r="Q2840">
        <v>0.1</v>
      </c>
      <c r="R2840">
        <v>0.3</v>
      </c>
      <c r="S2840">
        <v>0.2</v>
      </c>
      <c r="T2840" t="s">
        <v>33</v>
      </c>
      <c r="U2840">
        <v>2.85</v>
      </c>
      <c r="V2840">
        <v>49</v>
      </c>
      <c r="W2840">
        <v>0</v>
      </c>
      <c r="X2840">
        <v>49</v>
      </c>
      <c r="Y2840">
        <v>1</v>
      </c>
      <c r="Z2840">
        <v>0</v>
      </c>
      <c r="AA2840">
        <v>1</v>
      </c>
      <c r="AB2840" t="s">
        <v>36</v>
      </c>
      <c r="AC2840">
        <v>49</v>
      </c>
      <c r="AD2840">
        <v>0.47</v>
      </c>
    </row>
    <row r="2841" spans="1:30" x14ac:dyDescent="0.25">
      <c r="A2841" s="1">
        <v>44784.945196759261</v>
      </c>
      <c r="B2841" s="1">
        <v>44784.944074074076</v>
      </c>
      <c r="C2841">
        <v>135984</v>
      </c>
      <c r="D2841" t="s">
        <v>39</v>
      </c>
      <c r="E2841" t="s">
        <v>31</v>
      </c>
      <c r="F2841">
        <v>7</v>
      </c>
      <c r="G2841">
        <v>43.565852999999997</v>
      </c>
      <c r="H2841">
        <v>-71.496129999999994</v>
      </c>
      <c r="I2841">
        <v>708</v>
      </c>
      <c r="J2841">
        <v>67</v>
      </c>
      <c r="K2841">
        <v>0</v>
      </c>
      <c r="L2841" s="1">
        <v>44784.945162037038</v>
      </c>
      <c r="M2841">
        <v>4.3</v>
      </c>
      <c r="N2841">
        <v>3.9</v>
      </c>
      <c r="O2841">
        <v>0.4</v>
      </c>
      <c r="P2841">
        <v>10</v>
      </c>
      <c r="Q2841">
        <v>0.1</v>
      </c>
      <c r="R2841">
        <v>0.1</v>
      </c>
      <c r="S2841">
        <v>0.1</v>
      </c>
      <c r="T2841" t="s">
        <v>33</v>
      </c>
      <c r="U2841">
        <v>4.0999999999999996</v>
      </c>
      <c r="V2841">
        <v>90</v>
      </c>
      <c r="W2841">
        <v>0</v>
      </c>
      <c r="X2841">
        <v>90</v>
      </c>
      <c r="Y2841">
        <v>0</v>
      </c>
      <c r="Z2841">
        <v>0</v>
      </c>
      <c r="AA2841">
        <v>0</v>
      </c>
      <c r="AB2841" t="s">
        <v>36</v>
      </c>
      <c r="AC2841">
        <v>90</v>
      </c>
      <c r="AD2841">
        <v>-1.64</v>
      </c>
    </row>
    <row r="2842" spans="1:30" x14ac:dyDescent="0.25">
      <c r="A2842" s="1">
        <v>44784.945196759261</v>
      </c>
      <c r="B2842" s="1">
        <v>44780.394780092596</v>
      </c>
      <c r="C2842">
        <v>151712</v>
      </c>
      <c r="D2842" t="s">
        <v>40</v>
      </c>
      <c r="E2842" t="s">
        <v>31</v>
      </c>
      <c r="F2842">
        <v>7</v>
      </c>
      <c r="G2842">
        <v>43.289763999999998</v>
      </c>
      <c r="H2842">
        <v>-71.564260000000004</v>
      </c>
      <c r="I2842">
        <v>370</v>
      </c>
      <c r="J2842">
        <v>86</v>
      </c>
      <c r="K2842">
        <v>0</v>
      </c>
      <c r="L2842" s="1">
        <v>44784.945162037038</v>
      </c>
      <c r="M2842">
        <v>14</v>
      </c>
      <c r="N2842">
        <v>13.2</v>
      </c>
      <c r="O2842">
        <v>0.8</v>
      </c>
      <c r="P2842">
        <v>6</v>
      </c>
      <c r="Q2842">
        <v>0</v>
      </c>
      <c r="R2842">
        <v>0</v>
      </c>
      <c r="S2842">
        <v>0</v>
      </c>
      <c r="T2842" t="s">
        <v>32</v>
      </c>
      <c r="V2842">
        <v>59</v>
      </c>
      <c r="W2842">
        <v>0</v>
      </c>
      <c r="X2842">
        <v>59</v>
      </c>
      <c r="Y2842">
        <v>0</v>
      </c>
      <c r="Z2842">
        <v>0</v>
      </c>
      <c r="AA2842">
        <v>0</v>
      </c>
      <c r="AB2842" t="s">
        <v>36</v>
      </c>
      <c r="AC2842">
        <v>59</v>
      </c>
    </row>
    <row r="2843" spans="1:30" x14ac:dyDescent="0.25">
      <c r="A2843" s="1">
        <v>44784.945208333331</v>
      </c>
      <c r="B2843" s="1">
        <v>44784.943402777775</v>
      </c>
      <c r="C2843">
        <v>151710</v>
      </c>
      <c r="D2843" t="s">
        <v>41</v>
      </c>
      <c r="E2843" t="s">
        <v>31</v>
      </c>
      <c r="F2843">
        <v>7</v>
      </c>
      <c r="G2843">
        <v>43.132477000000002</v>
      </c>
      <c r="H2843">
        <v>-71.458374000000006</v>
      </c>
      <c r="I2843">
        <v>230</v>
      </c>
      <c r="J2843">
        <v>76</v>
      </c>
      <c r="K2843">
        <v>0</v>
      </c>
      <c r="L2843" s="1">
        <v>44784.945162037038</v>
      </c>
      <c r="M2843">
        <v>6.2</v>
      </c>
      <c r="N2843">
        <v>5</v>
      </c>
      <c r="O2843">
        <v>1.2</v>
      </c>
      <c r="P2843">
        <v>21</v>
      </c>
      <c r="Q2843">
        <v>0.7</v>
      </c>
      <c r="R2843">
        <v>0.3</v>
      </c>
      <c r="S2843">
        <v>0.5</v>
      </c>
      <c r="T2843" t="s">
        <v>33</v>
      </c>
      <c r="U2843">
        <v>5.6</v>
      </c>
      <c r="V2843">
        <v>54</v>
      </c>
      <c r="W2843">
        <v>0</v>
      </c>
      <c r="X2843">
        <v>54</v>
      </c>
      <c r="Y2843">
        <v>0</v>
      </c>
      <c r="Z2843">
        <v>0</v>
      </c>
      <c r="AA2843">
        <v>0</v>
      </c>
      <c r="AB2843" t="s">
        <v>36</v>
      </c>
      <c r="AC2843">
        <v>54</v>
      </c>
      <c r="AD2843">
        <v>1.8</v>
      </c>
    </row>
    <row r="2844" spans="1:30" x14ac:dyDescent="0.25">
      <c r="A2844" s="1">
        <v>44784.945208333331</v>
      </c>
      <c r="B2844" s="1">
        <v>44784.944409722222</v>
      </c>
      <c r="C2844">
        <v>151706</v>
      </c>
      <c r="D2844" t="s">
        <v>42</v>
      </c>
      <c r="E2844" t="s">
        <v>31</v>
      </c>
      <c r="F2844">
        <v>7</v>
      </c>
      <c r="G2844">
        <v>43.004080000000002</v>
      </c>
      <c r="H2844">
        <v>-71.177040000000005</v>
      </c>
      <c r="I2844">
        <v>194</v>
      </c>
      <c r="J2844">
        <v>75</v>
      </c>
      <c r="K2844">
        <v>0</v>
      </c>
      <c r="L2844" s="1">
        <v>44784.945162037038</v>
      </c>
      <c r="M2844">
        <v>13.4</v>
      </c>
      <c r="N2844">
        <v>0</v>
      </c>
      <c r="O2844">
        <v>13.4</v>
      </c>
      <c r="P2844">
        <v>200</v>
      </c>
      <c r="Q2844">
        <v>0</v>
      </c>
      <c r="R2844">
        <v>0</v>
      </c>
      <c r="S2844">
        <v>0</v>
      </c>
      <c r="T2844" t="s">
        <v>43</v>
      </c>
      <c r="V2844">
        <v>69</v>
      </c>
      <c r="W2844">
        <v>0</v>
      </c>
      <c r="X2844">
        <v>69</v>
      </c>
      <c r="Y2844">
        <v>0</v>
      </c>
      <c r="Z2844">
        <v>0</v>
      </c>
      <c r="AA2844">
        <v>0</v>
      </c>
      <c r="AB2844" t="s">
        <v>36</v>
      </c>
      <c r="AC2844">
        <v>69</v>
      </c>
    </row>
    <row r="2845" spans="1:30" x14ac:dyDescent="0.25">
      <c r="A2845" s="1">
        <v>44784.945208333331</v>
      </c>
      <c r="B2845" s="1">
        <v>44784.944247685184</v>
      </c>
      <c r="C2845">
        <v>12212</v>
      </c>
      <c r="D2845" t="s">
        <v>44</v>
      </c>
      <c r="E2845" t="s">
        <v>35</v>
      </c>
      <c r="F2845">
        <v>7</v>
      </c>
      <c r="G2845">
        <v>42.930529999999997</v>
      </c>
      <c r="H2845">
        <v>-72.272350000000003</v>
      </c>
      <c r="I2845">
        <v>476</v>
      </c>
      <c r="J2845">
        <v>77</v>
      </c>
      <c r="K2845">
        <v>0</v>
      </c>
      <c r="L2845" s="1">
        <v>44784.945162037038</v>
      </c>
      <c r="M2845">
        <v>5.8</v>
      </c>
      <c r="N2845">
        <v>4.9000000000000004</v>
      </c>
      <c r="O2845">
        <v>0.9</v>
      </c>
      <c r="P2845">
        <v>17</v>
      </c>
      <c r="Q2845">
        <v>0.3</v>
      </c>
      <c r="R2845">
        <v>0</v>
      </c>
      <c r="S2845">
        <v>0.15</v>
      </c>
      <c r="T2845" t="s">
        <v>33</v>
      </c>
      <c r="U2845">
        <v>5.35</v>
      </c>
      <c r="V2845">
        <v>58</v>
      </c>
      <c r="W2845">
        <v>0</v>
      </c>
      <c r="X2845">
        <v>58</v>
      </c>
      <c r="Y2845">
        <v>1</v>
      </c>
      <c r="Z2845">
        <v>0</v>
      </c>
      <c r="AA2845">
        <v>1</v>
      </c>
      <c r="AB2845" t="s">
        <v>36</v>
      </c>
      <c r="AC2845">
        <v>58</v>
      </c>
      <c r="AD2845">
        <v>1.36</v>
      </c>
    </row>
    <row r="2846" spans="1:30" x14ac:dyDescent="0.25">
      <c r="A2846" s="1">
        <v>44784.945219907408</v>
      </c>
      <c r="B2846" s="1">
        <v>44769.376736111109</v>
      </c>
      <c r="C2846">
        <v>12178</v>
      </c>
      <c r="D2846" t="s">
        <v>45</v>
      </c>
      <c r="E2846" t="s">
        <v>35</v>
      </c>
      <c r="F2846">
        <v>7</v>
      </c>
      <c r="G2846">
        <v>42.899563000000001</v>
      </c>
      <c r="H2846">
        <v>-71.464650000000006</v>
      </c>
      <c r="I2846">
        <v>301</v>
      </c>
      <c r="J2846">
        <v>85</v>
      </c>
      <c r="K2846">
        <v>0</v>
      </c>
      <c r="L2846" s="1">
        <v>44784.945162037038</v>
      </c>
      <c r="M2846">
        <v>3.8</v>
      </c>
      <c r="N2846">
        <v>3.1</v>
      </c>
      <c r="O2846">
        <v>0.7</v>
      </c>
      <c r="P2846">
        <v>20</v>
      </c>
      <c r="Q2846">
        <v>0</v>
      </c>
      <c r="R2846">
        <v>0</v>
      </c>
      <c r="S2846">
        <v>0</v>
      </c>
      <c r="T2846" t="s">
        <v>32</v>
      </c>
      <c r="V2846">
        <v>35</v>
      </c>
      <c r="W2846">
        <v>0</v>
      </c>
      <c r="X2846">
        <v>35</v>
      </c>
      <c r="Y2846">
        <v>0</v>
      </c>
      <c r="Z2846">
        <v>0</v>
      </c>
      <c r="AA2846">
        <v>0</v>
      </c>
      <c r="AB2846" t="s">
        <v>36</v>
      </c>
      <c r="AC2846">
        <v>35</v>
      </c>
    </row>
    <row r="2847" spans="1:30" x14ac:dyDescent="0.25">
      <c r="A2847" s="1">
        <v>44784.945219907408</v>
      </c>
      <c r="B2847" s="1">
        <v>44784.943483796298</v>
      </c>
      <c r="C2847">
        <v>75981</v>
      </c>
      <c r="D2847" t="s">
        <v>46</v>
      </c>
      <c r="E2847" t="s">
        <v>35</v>
      </c>
      <c r="F2847">
        <v>7</v>
      </c>
      <c r="G2847">
        <v>42.97</v>
      </c>
      <c r="H2847">
        <v>-71.06</v>
      </c>
      <c r="I2847">
        <v>136</v>
      </c>
      <c r="J2847">
        <v>79</v>
      </c>
      <c r="K2847">
        <v>0</v>
      </c>
      <c r="L2847" s="1">
        <v>44784.945162037038</v>
      </c>
      <c r="M2847">
        <v>28.4</v>
      </c>
      <c r="N2847">
        <v>11.8</v>
      </c>
      <c r="O2847">
        <v>16.600000000000001</v>
      </c>
      <c r="P2847">
        <v>83</v>
      </c>
      <c r="Q2847">
        <v>1.6</v>
      </c>
      <c r="R2847">
        <v>0.1</v>
      </c>
      <c r="S2847">
        <v>0.85</v>
      </c>
      <c r="T2847" t="s">
        <v>60</v>
      </c>
      <c r="V2847">
        <v>60</v>
      </c>
      <c r="W2847">
        <v>0</v>
      </c>
      <c r="X2847">
        <v>60</v>
      </c>
      <c r="Y2847">
        <v>0</v>
      </c>
      <c r="Z2847">
        <v>0</v>
      </c>
      <c r="AA2847">
        <v>0</v>
      </c>
      <c r="AB2847" t="s">
        <v>36</v>
      </c>
      <c r="AC2847">
        <v>60</v>
      </c>
    </row>
    <row r="2848" spans="1:30" x14ac:dyDescent="0.25">
      <c r="A2848" s="1">
        <v>44784.945231481484</v>
      </c>
      <c r="B2848" s="1">
        <v>44784.944027777776</v>
      </c>
      <c r="C2848">
        <v>115703</v>
      </c>
      <c r="D2848" t="s">
        <v>47</v>
      </c>
      <c r="E2848" t="s">
        <v>35</v>
      </c>
      <c r="F2848">
        <v>7</v>
      </c>
      <c r="G2848">
        <v>43.953625000000002</v>
      </c>
      <c r="H2848">
        <v>-71.508859999999999</v>
      </c>
      <c r="I2848">
        <v>1493</v>
      </c>
      <c r="J2848">
        <v>69</v>
      </c>
      <c r="K2848">
        <v>0</v>
      </c>
      <c r="L2848" s="1">
        <v>44784.945162037038</v>
      </c>
      <c r="M2848">
        <v>0.1</v>
      </c>
      <c r="N2848">
        <v>201</v>
      </c>
      <c r="O2848">
        <v>200.9</v>
      </c>
      <c r="P2848">
        <v>200</v>
      </c>
      <c r="Q2848">
        <v>0</v>
      </c>
      <c r="R2848">
        <v>0</v>
      </c>
      <c r="S2848">
        <v>0</v>
      </c>
      <c r="T2848" t="s">
        <v>60</v>
      </c>
      <c r="V2848">
        <v>66</v>
      </c>
      <c r="W2848">
        <v>0</v>
      </c>
      <c r="X2848">
        <v>66</v>
      </c>
      <c r="Y2848">
        <v>1</v>
      </c>
      <c r="Z2848">
        <v>0</v>
      </c>
      <c r="AA2848">
        <v>1</v>
      </c>
      <c r="AB2848" t="s">
        <v>36</v>
      </c>
      <c r="AC2848">
        <v>66</v>
      </c>
    </row>
    <row r="2849" spans="1:30" x14ac:dyDescent="0.25">
      <c r="A2849" s="1">
        <v>44784.945231481484</v>
      </c>
      <c r="B2849" s="1">
        <v>44784.943449074075</v>
      </c>
      <c r="C2849">
        <v>12050</v>
      </c>
      <c r="D2849" t="s">
        <v>49</v>
      </c>
      <c r="E2849" t="s">
        <v>35</v>
      </c>
      <c r="F2849">
        <v>7</v>
      </c>
      <c r="G2849">
        <v>44.220573000000002</v>
      </c>
      <c r="H2849">
        <v>-71.732315</v>
      </c>
      <c r="I2849">
        <v>999</v>
      </c>
      <c r="J2849">
        <v>75</v>
      </c>
      <c r="K2849">
        <v>0</v>
      </c>
      <c r="L2849" s="1">
        <v>44784.945162037038</v>
      </c>
      <c r="M2849">
        <v>23.6</v>
      </c>
      <c r="N2849">
        <v>23.1</v>
      </c>
      <c r="O2849">
        <v>0.5</v>
      </c>
      <c r="P2849">
        <v>2</v>
      </c>
      <c r="Q2849">
        <v>2.8</v>
      </c>
      <c r="R2849">
        <v>2.5</v>
      </c>
      <c r="S2849">
        <v>2.65</v>
      </c>
      <c r="T2849" t="s">
        <v>33</v>
      </c>
      <c r="U2849">
        <v>23.35</v>
      </c>
      <c r="V2849">
        <v>58</v>
      </c>
      <c r="W2849">
        <v>0</v>
      </c>
      <c r="X2849">
        <v>58</v>
      </c>
      <c r="Y2849">
        <v>0</v>
      </c>
      <c r="Z2849">
        <v>0</v>
      </c>
      <c r="AA2849">
        <v>0</v>
      </c>
      <c r="AB2849" t="s">
        <v>36</v>
      </c>
      <c r="AC2849">
        <v>58</v>
      </c>
      <c r="AD2849">
        <v>12.34</v>
      </c>
    </row>
    <row r="2850" spans="1:30" x14ac:dyDescent="0.25">
      <c r="A2850" s="1">
        <v>44784.945243055554</v>
      </c>
      <c r="B2850" s="1">
        <v>44784.943564814814</v>
      </c>
      <c r="C2850">
        <v>23443</v>
      </c>
      <c r="D2850" t="s">
        <v>50</v>
      </c>
      <c r="E2850" t="s">
        <v>35</v>
      </c>
      <c r="F2850">
        <v>7</v>
      </c>
      <c r="G2850">
        <v>43.556139999999999</v>
      </c>
      <c r="H2850">
        <v>-72.370990000000006</v>
      </c>
      <c r="I2850">
        <v>523</v>
      </c>
      <c r="J2850">
        <v>72</v>
      </c>
      <c r="K2850">
        <v>0</v>
      </c>
      <c r="L2850" s="1">
        <v>44784.945162037038</v>
      </c>
      <c r="M2850">
        <v>7.5</v>
      </c>
      <c r="N2850">
        <v>6.6</v>
      </c>
      <c r="O2850">
        <v>0.9</v>
      </c>
      <c r="P2850">
        <v>13</v>
      </c>
      <c r="Q2850">
        <v>0.3</v>
      </c>
      <c r="R2850">
        <v>0.3</v>
      </c>
      <c r="S2850">
        <v>0.3</v>
      </c>
      <c r="T2850" t="s">
        <v>33</v>
      </c>
      <c r="U2850">
        <v>7.05</v>
      </c>
      <c r="V2850">
        <v>68</v>
      </c>
      <c r="W2850">
        <v>0</v>
      </c>
      <c r="X2850">
        <v>68</v>
      </c>
      <c r="Y2850">
        <v>0</v>
      </c>
      <c r="Z2850">
        <v>0</v>
      </c>
      <c r="AA2850">
        <v>0</v>
      </c>
      <c r="AB2850" t="s">
        <v>36</v>
      </c>
      <c r="AC2850">
        <v>68</v>
      </c>
      <c r="AD2850">
        <v>1.7</v>
      </c>
    </row>
    <row r="2851" spans="1:30" x14ac:dyDescent="0.25">
      <c r="A2851" s="1">
        <v>44784.945243055554</v>
      </c>
      <c r="B2851" s="1">
        <v>44784.942291666666</v>
      </c>
      <c r="C2851">
        <v>58135</v>
      </c>
      <c r="D2851" t="s">
        <v>51</v>
      </c>
      <c r="E2851" t="s">
        <v>35</v>
      </c>
      <c r="F2851">
        <v>7</v>
      </c>
      <c r="G2851">
        <v>42.883873000000001</v>
      </c>
      <c r="H2851">
        <v>-71.972915999999998</v>
      </c>
      <c r="I2851">
        <v>808</v>
      </c>
      <c r="J2851">
        <v>72</v>
      </c>
      <c r="K2851">
        <v>0</v>
      </c>
      <c r="L2851" s="1">
        <v>44784.945162037038</v>
      </c>
      <c r="M2851">
        <v>5.6</v>
      </c>
      <c r="N2851">
        <v>7.1</v>
      </c>
      <c r="O2851">
        <v>1.5</v>
      </c>
      <c r="P2851">
        <v>24</v>
      </c>
      <c r="Q2851">
        <v>0.2</v>
      </c>
      <c r="R2851">
        <v>1.6</v>
      </c>
      <c r="S2851">
        <v>0.9</v>
      </c>
      <c r="T2851" t="s">
        <v>32</v>
      </c>
      <c r="V2851">
        <v>60</v>
      </c>
      <c r="W2851">
        <v>0</v>
      </c>
      <c r="X2851">
        <v>60</v>
      </c>
      <c r="Y2851">
        <v>1</v>
      </c>
      <c r="Z2851">
        <v>0</v>
      </c>
      <c r="AA2851">
        <v>1</v>
      </c>
      <c r="AB2851" t="s">
        <v>36</v>
      </c>
      <c r="AC2851">
        <v>60</v>
      </c>
    </row>
    <row r="2852" spans="1:30" x14ac:dyDescent="0.25">
      <c r="A2852" s="1">
        <v>44784.945254629631</v>
      </c>
      <c r="B2852" s="1">
        <v>44784.943657407406</v>
      </c>
      <c r="C2852">
        <v>148555</v>
      </c>
      <c r="D2852" t="s">
        <v>52</v>
      </c>
      <c r="E2852" t="s">
        <v>53</v>
      </c>
      <c r="F2852">
        <v>7</v>
      </c>
      <c r="G2852">
        <v>42.904949999999999</v>
      </c>
      <c r="H2852">
        <v>-71.386764999999997</v>
      </c>
      <c r="I2852">
        <v>363</v>
      </c>
      <c r="J2852">
        <v>0</v>
      </c>
      <c r="K2852">
        <v>0</v>
      </c>
      <c r="L2852" s="1">
        <v>44784.945162037038</v>
      </c>
      <c r="M2852">
        <v>3.4</v>
      </c>
      <c r="N2852">
        <v>4.2</v>
      </c>
      <c r="O2852">
        <v>0.8</v>
      </c>
      <c r="P2852">
        <v>21</v>
      </c>
      <c r="Q2852">
        <v>0.5</v>
      </c>
      <c r="R2852">
        <v>0.4</v>
      </c>
      <c r="S2852">
        <v>0.45</v>
      </c>
      <c r="T2852" t="s">
        <v>33</v>
      </c>
      <c r="U2852">
        <v>3.8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 t="s">
        <v>38</v>
      </c>
    </row>
    <row r="2853" spans="1:30" x14ac:dyDescent="0.25">
      <c r="A2853" s="1">
        <v>44784.945254629631</v>
      </c>
      <c r="B2853" s="1">
        <v>44784.944548611114</v>
      </c>
      <c r="C2853">
        <v>146644</v>
      </c>
      <c r="D2853" t="s">
        <v>54</v>
      </c>
      <c r="E2853" t="s">
        <v>53</v>
      </c>
      <c r="F2853">
        <v>7</v>
      </c>
      <c r="G2853">
        <v>43.06015</v>
      </c>
      <c r="H2853">
        <v>-70.758930000000007</v>
      </c>
      <c r="I2853">
        <v>35</v>
      </c>
      <c r="J2853">
        <v>70</v>
      </c>
      <c r="K2853">
        <v>72</v>
      </c>
      <c r="L2853" s="1">
        <v>44784.945162037038</v>
      </c>
      <c r="M2853">
        <v>12.5</v>
      </c>
      <c r="N2853">
        <v>11.1</v>
      </c>
      <c r="O2853">
        <v>1.4</v>
      </c>
      <c r="P2853">
        <v>12</v>
      </c>
      <c r="Q2853">
        <v>0.1</v>
      </c>
      <c r="R2853">
        <v>0.2</v>
      </c>
      <c r="S2853">
        <v>0.15</v>
      </c>
      <c r="T2853" t="s">
        <v>33</v>
      </c>
      <c r="U2853">
        <v>11.8</v>
      </c>
      <c r="V2853">
        <v>74</v>
      </c>
      <c r="W2853">
        <v>78</v>
      </c>
      <c r="X2853">
        <v>4</v>
      </c>
      <c r="Y2853">
        <v>3</v>
      </c>
      <c r="Z2853">
        <v>2</v>
      </c>
      <c r="AA2853">
        <v>1</v>
      </c>
      <c r="AB2853" t="s">
        <v>33</v>
      </c>
      <c r="AC2853">
        <v>76</v>
      </c>
      <c r="AD2853">
        <v>4.04</v>
      </c>
    </row>
    <row r="2854" spans="1:30" x14ac:dyDescent="0.25">
      <c r="A2854" s="1">
        <v>44784.945254629631</v>
      </c>
      <c r="B2854" s="1">
        <v>43755.283437500002</v>
      </c>
      <c r="C2854">
        <v>12188</v>
      </c>
      <c r="D2854" t="s">
        <v>55</v>
      </c>
      <c r="E2854" t="s">
        <v>35</v>
      </c>
      <c r="F2854">
        <v>4.1100000000000003</v>
      </c>
      <c r="G2854">
        <v>42.927050000000001</v>
      </c>
      <c r="H2854">
        <v>-72.279610000000005</v>
      </c>
      <c r="I2854">
        <v>475</v>
      </c>
      <c r="J2854">
        <v>95</v>
      </c>
      <c r="K2854">
        <v>0</v>
      </c>
      <c r="L2854" s="1">
        <v>44784.945162037038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 t="s">
        <v>32</v>
      </c>
      <c r="V2854">
        <v>77</v>
      </c>
      <c r="W2854">
        <v>0</v>
      </c>
      <c r="X2854">
        <v>77</v>
      </c>
      <c r="Y2854">
        <v>0</v>
      </c>
      <c r="Z2854">
        <v>0</v>
      </c>
      <c r="AA2854">
        <v>0</v>
      </c>
      <c r="AB2854" t="s">
        <v>36</v>
      </c>
      <c r="AC2854">
        <v>77</v>
      </c>
    </row>
    <row r="2855" spans="1:30" x14ac:dyDescent="0.25">
      <c r="A2855" s="1">
        <v>44784.9452662037</v>
      </c>
      <c r="B2855" s="1">
        <v>44784.94494212963</v>
      </c>
      <c r="C2855">
        <v>1224</v>
      </c>
      <c r="D2855" t="s">
        <v>56</v>
      </c>
      <c r="E2855" t="s">
        <v>35</v>
      </c>
      <c r="F2855" t="s">
        <v>57</v>
      </c>
      <c r="G2855">
        <v>42.938034000000002</v>
      </c>
      <c r="H2855">
        <v>-72.259299999999996</v>
      </c>
      <c r="I2855">
        <v>792</v>
      </c>
      <c r="J2855">
        <v>77</v>
      </c>
      <c r="K2855">
        <v>0</v>
      </c>
      <c r="L2855" s="1">
        <v>44784.945162037038</v>
      </c>
      <c r="M2855">
        <v>5.7</v>
      </c>
      <c r="N2855">
        <v>0</v>
      </c>
      <c r="O2855">
        <v>5.7</v>
      </c>
      <c r="P2855">
        <v>200</v>
      </c>
      <c r="Q2855">
        <v>0.2</v>
      </c>
      <c r="R2855">
        <v>0</v>
      </c>
      <c r="S2855">
        <v>0.1</v>
      </c>
      <c r="T2855" t="s">
        <v>43</v>
      </c>
      <c r="V2855">
        <v>66</v>
      </c>
      <c r="W2855">
        <v>0</v>
      </c>
      <c r="X2855">
        <v>66</v>
      </c>
      <c r="Y2855">
        <v>1</v>
      </c>
      <c r="Z2855">
        <v>0</v>
      </c>
      <c r="AA2855">
        <v>1</v>
      </c>
      <c r="AB2855" t="s">
        <v>36</v>
      </c>
      <c r="AC2855">
        <v>66</v>
      </c>
    </row>
    <row r="2856" spans="1:30" x14ac:dyDescent="0.25">
      <c r="A2856" s="1">
        <v>44784.945277777777</v>
      </c>
      <c r="B2856" s="1">
        <v>44784.944386574076</v>
      </c>
      <c r="C2856">
        <v>1202</v>
      </c>
      <c r="D2856" t="s">
        <v>58</v>
      </c>
      <c r="E2856" t="s">
        <v>35</v>
      </c>
      <c r="F2856" t="s">
        <v>57</v>
      </c>
      <c r="G2856">
        <v>42.936554000000001</v>
      </c>
      <c r="H2856">
        <v>-72.271019999999993</v>
      </c>
      <c r="I2856">
        <v>488</v>
      </c>
      <c r="J2856">
        <v>0</v>
      </c>
      <c r="K2856">
        <v>0</v>
      </c>
      <c r="L2856" s="1">
        <v>44784.945162037038</v>
      </c>
      <c r="M2856">
        <v>6.4</v>
      </c>
      <c r="N2856">
        <v>5.8</v>
      </c>
      <c r="O2856">
        <v>0.6</v>
      </c>
      <c r="P2856">
        <v>10</v>
      </c>
      <c r="Q2856">
        <v>0.3</v>
      </c>
      <c r="R2856">
        <v>0.1</v>
      </c>
      <c r="S2856">
        <v>0.2</v>
      </c>
      <c r="T2856" t="s">
        <v>33</v>
      </c>
      <c r="U2856">
        <v>6.1</v>
      </c>
      <c r="V2856">
        <v>0</v>
      </c>
      <c r="W2856">
        <v>0</v>
      </c>
      <c r="X2856">
        <v>0</v>
      </c>
      <c r="Y2856">
        <v>0</v>
      </c>
      <c r="Z2856">
        <v>0</v>
      </c>
      <c r="AA2856">
        <v>0</v>
      </c>
      <c r="AB2856" t="s">
        <v>38</v>
      </c>
    </row>
    <row r="2857" spans="1:30" x14ac:dyDescent="0.25">
      <c r="A2857" s="1">
        <v>44784.945277777777</v>
      </c>
      <c r="B2857" s="1">
        <v>44612.080023148148</v>
      </c>
      <c r="C2857">
        <v>25985</v>
      </c>
      <c r="D2857" t="s">
        <v>59</v>
      </c>
      <c r="E2857" t="s">
        <v>35</v>
      </c>
      <c r="F2857">
        <v>6.01</v>
      </c>
      <c r="G2857">
        <v>42.927326000000001</v>
      </c>
      <c r="H2857">
        <v>-72.279979999999995</v>
      </c>
      <c r="I2857">
        <v>477</v>
      </c>
      <c r="J2857">
        <v>78</v>
      </c>
      <c r="K2857">
        <v>0</v>
      </c>
      <c r="L2857" s="1">
        <v>44784.945162037038</v>
      </c>
      <c r="M2857">
        <v>1.1000000000000001</v>
      </c>
      <c r="N2857">
        <v>1</v>
      </c>
      <c r="O2857">
        <v>0.1</v>
      </c>
      <c r="P2857">
        <v>10</v>
      </c>
      <c r="Q2857">
        <v>0</v>
      </c>
      <c r="R2857">
        <v>0</v>
      </c>
      <c r="S2857">
        <v>0</v>
      </c>
      <c r="T2857" t="s">
        <v>32</v>
      </c>
      <c r="V2857">
        <v>22</v>
      </c>
      <c r="W2857">
        <v>0</v>
      </c>
      <c r="X2857">
        <v>22</v>
      </c>
      <c r="Y2857">
        <v>0</v>
      </c>
      <c r="Z2857">
        <v>0</v>
      </c>
      <c r="AA2857">
        <v>0</v>
      </c>
      <c r="AB2857" t="s">
        <v>36</v>
      </c>
      <c r="AC2857">
        <v>22</v>
      </c>
    </row>
    <row r="2858" spans="1:30" x14ac:dyDescent="0.25">
      <c r="A2858" s="1">
        <v>44784.952118055553</v>
      </c>
      <c r="B2858" s="1">
        <v>44775.701319444444</v>
      </c>
      <c r="C2858">
        <v>151708</v>
      </c>
      <c r="D2858" t="s">
        <v>30</v>
      </c>
      <c r="E2858" t="s">
        <v>31</v>
      </c>
      <c r="F2858">
        <v>7</v>
      </c>
      <c r="G2858">
        <v>43.192042999999998</v>
      </c>
      <c r="H2858">
        <v>-71.541579999999996</v>
      </c>
      <c r="I2858">
        <v>291</v>
      </c>
      <c r="J2858">
        <v>93</v>
      </c>
      <c r="K2858">
        <v>94</v>
      </c>
      <c r="L2858" s="1">
        <v>44784.952106481483</v>
      </c>
      <c r="M2858">
        <v>7.9</v>
      </c>
      <c r="N2858">
        <v>7.6</v>
      </c>
      <c r="O2858">
        <v>0.3</v>
      </c>
      <c r="P2858">
        <v>4</v>
      </c>
      <c r="Q2858">
        <v>0</v>
      </c>
      <c r="R2858">
        <v>0</v>
      </c>
      <c r="S2858">
        <v>0</v>
      </c>
      <c r="T2858" t="s">
        <v>32</v>
      </c>
      <c r="V2858">
        <v>42</v>
      </c>
      <c r="W2858">
        <v>41</v>
      </c>
      <c r="X2858">
        <v>1</v>
      </c>
      <c r="Y2858">
        <v>0</v>
      </c>
      <c r="Z2858">
        <v>0</v>
      </c>
      <c r="AA2858">
        <v>0</v>
      </c>
      <c r="AB2858" t="s">
        <v>33</v>
      </c>
      <c r="AC2858">
        <v>41.5</v>
      </c>
    </row>
    <row r="2859" spans="1:30" x14ac:dyDescent="0.25">
      <c r="A2859" s="1">
        <v>44784.952118055553</v>
      </c>
      <c r="B2859" s="1">
        <v>44784.950543981482</v>
      </c>
      <c r="C2859">
        <v>143456</v>
      </c>
      <c r="D2859" t="s">
        <v>34</v>
      </c>
      <c r="E2859" t="s">
        <v>35</v>
      </c>
      <c r="F2859">
        <v>7</v>
      </c>
      <c r="G2859">
        <v>43.08963</v>
      </c>
      <c r="H2859">
        <v>-71.502440000000007</v>
      </c>
      <c r="I2859">
        <v>619</v>
      </c>
      <c r="J2859">
        <v>74</v>
      </c>
      <c r="K2859">
        <v>0</v>
      </c>
      <c r="L2859" s="1">
        <v>44784.952106481483</v>
      </c>
      <c r="M2859">
        <v>3</v>
      </c>
      <c r="N2859">
        <v>3.5</v>
      </c>
      <c r="O2859">
        <v>0.5</v>
      </c>
      <c r="P2859">
        <v>15</v>
      </c>
      <c r="Q2859">
        <v>0</v>
      </c>
      <c r="R2859">
        <v>0.1</v>
      </c>
      <c r="S2859">
        <v>0.05</v>
      </c>
      <c r="T2859" t="s">
        <v>33</v>
      </c>
      <c r="U2859">
        <v>3.25</v>
      </c>
      <c r="V2859">
        <v>58</v>
      </c>
      <c r="W2859">
        <v>0</v>
      </c>
      <c r="X2859">
        <v>58</v>
      </c>
      <c r="Y2859">
        <v>0</v>
      </c>
      <c r="Z2859">
        <v>0</v>
      </c>
      <c r="AA2859">
        <v>0</v>
      </c>
      <c r="AB2859" t="s">
        <v>36</v>
      </c>
      <c r="AC2859">
        <v>58</v>
      </c>
      <c r="AD2859">
        <v>0.08</v>
      </c>
    </row>
    <row r="2860" spans="1:30" x14ac:dyDescent="0.25">
      <c r="A2860" s="1">
        <v>44784.95212962963</v>
      </c>
      <c r="B2860" s="1">
        <v>44784.950682870367</v>
      </c>
      <c r="C2860">
        <v>151702</v>
      </c>
      <c r="D2860" t="s">
        <v>37</v>
      </c>
      <c r="E2860" t="s">
        <v>31</v>
      </c>
      <c r="F2860">
        <v>7</v>
      </c>
      <c r="G2860">
        <v>43.118609999999997</v>
      </c>
      <c r="H2860">
        <v>-71.61618</v>
      </c>
      <c r="I2860">
        <v>885</v>
      </c>
      <c r="J2860">
        <v>0</v>
      </c>
      <c r="K2860">
        <v>0</v>
      </c>
      <c r="L2860" s="1">
        <v>44784.952106481483</v>
      </c>
      <c r="M2860">
        <v>3.2</v>
      </c>
      <c r="N2860">
        <v>3.3</v>
      </c>
      <c r="O2860">
        <v>0.1</v>
      </c>
      <c r="P2860">
        <v>3</v>
      </c>
      <c r="Q2860">
        <v>0</v>
      </c>
      <c r="R2860">
        <v>0</v>
      </c>
      <c r="S2860">
        <v>0</v>
      </c>
      <c r="T2860" t="s">
        <v>33</v>
      </c>
      <c r="U2860">
        <v>3.25</v>
      </c>
      <c r="V2860">
        <v>0</v>
      </c>
      <c r="W2860">
        <v>0</v>
      </c>
      <c r="X2860">
        <v>0</v>
      </c>
      <c r="Y2860">
        <v>0</v>
      </c>
      <c r="Z2860">
        <v>0</v>
      </c>
      <c r="AA2860">
        <v>0</v>
      </c>
      <c r="AB2860" t="s">
        <v>38</v>
      </c>
    </row>
    <row r="2861" spans="1:30" x14ac:dyDescent="0.25">
      <c r="A2861" s="1">
        <v>44784.95212962963</v>
      </c>
      <c r="B2861" s="1">
        <v>44784.950578703705</v>
      </c>
      <c r="C2861">
        <v>151700</v>
      </c>
      <c r="D2861" t="s">
        <v>30</v>
      </c>
      <c r="E2861" t="s">
        <v>31</v>
      </c>
      <c r="F2861">
        <v>7</v>
      </c>
      <c r="G2861">
        <v>43.19211</v>
      </c>
      <c r="H2861">
        <v>-71.541460000000001</v>
      </c>
      <c r="I2861">
        <v>286</v>
      </c>
      <c r="J2861">
        <v>77</v>
      </c>
      <c r="K2861">
        <v>0</v>
      </c>
      <c r="L2861" s="1">
        <v>44784.952106481483</v>
      </c>
      <c r="M2861">
        <v>2.6</v>
      </c>
      <c r="N2861">
        <v>3.2</v>
      </c>
      <c r="O2861">
        <v>0.6</v>
      </c>
      <c r="P2861">
        <v>21</v>
      </c>
      <c r="Q2861">
        <v>0</v>
      </c>
      <c r="R2861">
        <v>0.1</v>
      </c>
      <c r="S2861">
        <v>0.05</v>
      </c>
      <c r="T2861" t="s">
        <v>33</v>
      </c>
      <c r="U2861">
        <v>2.9</v>
      </c>
      <c r="V2861">
        <v>50</v>
      </c>
      <c r="W2861">
        <v>0</v>
      </c>
      <c r="X2861">
        <v>50</v>
      </c>
      <c r="Y2861">
        <v>1</v>
      </c>
      <c r="Z2861">
        <v>0</v>
      </c>
      <c r="AA2861">
        <v>1</v>
      </c>
      <c r="AB2861" t="s">
        <v>36</v>
      </c>
      <c r="AC2861">
        <v>50</v>
      </c>
      <c r="AD2861">
        <v>0.43</v>
      </c>
    </row>
    <row r="2862" spans="1:30" x14ac:dyDescent="0.25">
      <c r="A2862" s="1">
        <v>44784.952141203707</v>
      </c>
      <c r="B2862" s="1">
        <v>44784.951018518521</v>
      </c>
      <c r="C2862">
        <v>135984</v>
      </c>
      <c r="D2862" t="s">
        <v>39</v>
      </c>
      <c r="E2862" t="s">
        <v>31</v>
      </c>
      <c r="F2862">
        <v>7</v>
      </c>
      <c r="G2862">
        <v>43.565852999999997</v>
      </c>
      <c r="H2862">
        <v>-71.496129999999994</v>
      </c>
      <c r="I2862">
        <v>708</v>
      </c>
      <c r="J2862">
        <v>67</v>
      </c>
      <c r="K2862">
        <v>0</v>
      </c>
      <c r="L2862" s="1">
        <v>44784.952106481483</v>
      </c>
      <c r="M2862">
        <v>4.4000000000000004</v>
      </c>
      <c r="N2862">
        <v>4.0999999999999996</v>
      </c>
      <c r="O2862">
        <v>0.3</v>
      </c>
      <c r="P2862">
        <v>7</v>
      </c>
      <c r="Q2862">
        <v>0.1</v>
      </c>
      <c r="R2862">
        <v>0.2</v>
      </c>
      <c r="S2862">
        <v>0.15</v>
      </c>
      <c r="T2862" t="s">
        <v>33</v>
      </c>
      <c r="U2862">
        <v>4.25</v>
      </c>
      <c r="V2862">
        <v>90</v>
      </c>
      <c r="W2862">
        <v>0</v>
      </c>
      <c r="X2862">
        <v>90</v>
      </c>
      <c r="Y2862">
        <v>0</v>
      </c>
      <c r="Z2862">
        <v>0</v>
      </c>
      <c r="AA2862">
        <v>0</v>
      </c>
      <c r="AB2862" t="s">
        <v>36</v>
      </c>
      <c r="AC2862">
        <v>90</v>
      </c>
      <c r="AD2862">
        <v>-1.55</v>
      </c>
    </row>
    <row r="2863" spans="1:30" x14ac:dyDescent="0.25">
      <c r="A2863" s="1">
        <v>44784.952141203707</v>
      </c>
      <c r="B2863" s="1">
        <v>44780.394780092596</v>
      </c>
      <c r="C2863">
        <v>151712</v>
      </c>
      <c r="D2863" t="s">
        <v>40</v>
      </c>
      <c r="E2863" t="s">
        <v>31</v>
      </c>
      <c r="F2863">
        <v>7</v>
      </c>
      <c r="G2863">
        <v>43.289763999999998</v>
      </c>
      <c r="H2863">
        <v>-71.564260000000004</v>
      </c>
      <c r="I2863">
        <v>370</v>
      </c>
      <c r="J2863">
        <v>86</v>
      </c>
      <c r="K2863">
        <v>0</v>
      </c>
      <c r="L2863" s="1">
        <v>44784.952106481483</v>
      </c>
      <c r="M2863">
        <v>14</v>
      </c>
      <c r="N2863">
        <v>13.2</v>
      </c>
      <c r="O2863">
        <v>0.8</v>
      </c>
      <c r="P2863">
        <v>6</v>
      </c>
      <c r="Q2863">
        <v>0</v>
      </c>
      <c r="R2863">
        <v>0</v>
      </c>
      <c r="S2863">
        <v>0</v>
      </c>
      <c r="T2863" t="s">
        <v>32</v>
      </c>
      <c r="V2863">
        <v>59</v>
      </c>
      <c r="W2863">
        <v>0</v>
      </c>
      <c r="X2863">
        <v>59</v>
      </c>
      <c r="Y2863">
        <v>0</v>
      </c>
      <c r="Z2863">
        <v>0</v>
      </c>
      <c r="AA2863">
        <v>0</v>
      </c>
      <c r="AB2863" t="s">
        <v>36</v>
      </c>
      <c r="AC2863">
        <v>59</v>
      </c>
    </row>
    <row r="2864" spans="1:30" x14ac:dyDescent="0.25">
      <c r="A2864" s="1">
        <v>44784.952152777776</v>
      </c>
      <c r="B2864" s="1">
        <v>44784.951747685183</v>
      </c>
      <c r="C2864">
        <v>151710</v>
      </c>
      <c r="D2864" t="s">
        <v>41</v>
      </c>
      <c r="E2864" t="s">
        <v>31</v>
      </c>
      <c r="F2864">
        <v>7</v>
      </c>
      <c r="G2864">
        <v>43.132477000000002</v>
      </c>
      <c r="H2864">
        <v>-71.458374000000006</v>
      </c>
      <c r="I2864">
        <v>230</v>
      </c>
      <c r="J2864">
        <v>76</v>
      </c>
      <c r="K2864">
        <v>0</v>
      </c>
      <c r="L2864" s="1">
        <v>44784.952106481483</v>
      </c>
      <c r="M2864">
        <v>6.1</v>
      </c>
      <c r="N2864">
        <v>4.7</v>
      </c>
      <c r="O2864">
        <v>1.4</v>
      </c>
      <c r="P2864">
        <v>26</v>
      </c>
      <c r="Q2864">
        <v>0.1</v>
      </c>
      <c r="R2864">
        <v>0.3</v>
      </c>
      <c r="S2864">
        <v>0.2</v>
      </c>
      <c r="T2864" t="s">
        <v>33</v>
      </c>
      <c r="U2864">
        <v>5.4</v>
      </c>
      <c r="V2864">
        <v>53</v>
      </c>
      <c r="W2864">
        <v>0</v>
      </c>
      <c r="X2864">
        <v>53</v>
      </c>
      <c r="Y2864">
        <v>1</v>
      </c>
      <c r="Z2864">
        <v>0</v>
      </c>
      <c r="AA2864">
        <v>1</v>
      </c>
      <c r="AB2864" t="s">
        <v>36</v>
      </c>
      <c r="AC2864">
        <v>53</v>
      </c>
      <c r="AD2864">
        <v>1.74</v>
      </c>
    </row>
    <row r="2865" spans="1:30" x14ac:dyDescent="0.25">
      <c r="A2865" s="1">
        <v>44784.952152777776</v>
      </c>
      <c r="B2865" s="1">
        <v>44784.951354166667</v>
      </c>
      <c r="C2865">
        <v>151706</v>
      </c>
      <c r="D2865" t="s">
        <v>42</v>
      </c>
      <c r="E2865" t="s">
        <v>31</v>
      </c>
      <c r="F2865">
        <v>7</v>
      </c>
      <c r="G2865">
        <v>43.004080000000002</v>
      </c>
      <c r="H2865">
        <v>-71.177040000000005</v>
      </c>
      <c r="I2865">
        <v>194</v>
      </c>
      <c r="J2865">
        <v>75</v>
      </c>
      <c r="K2865">
        <v>0</v>
      </c>
      <c r="L2865" s="1">
        <v>44784.952106481483</v>
      </c>
      <c r="M2865">
        <v>13.4</v>
      </c>
      <c r="N2865">
        <v>0</v>
      </c>
      <c r="O2865">
        <v>13.4</v>
      </c>
      <c r="P2865">
        <v>200</v>
      </c>
      <c r="Q2865">
        <v>0</v>
      </c>
      <c r="R2865">
        <v>0</v>
      </c>
      <c r="S2865">
        <v>0</v>
      </c>
      <c r="T2865" t="s">
        <v>43</v>
      </c>
      <c r="V2865">
        <v>69</v>
      </c>
      <c r="W2865">
        <v>0</v>
      </c>
      <c r="X2865">
        <v>69</v>
      </c>
      <c r="Y2865">
        <v>0</v>
      </c>
      <c r="Z2865">
        <v>0</v>
      </c>
      <c r="AA2865">
        <v>0</v>
      </c>
      <c r="AB2865" t="s">
        <v>36</v>
      </c>
      <c r="AC2865">
        <v>69</v>
      </c>
    </row>
    <row r="2866" spans="1:30" x14ac:dyDescent="0.25">
      <c r="A2866" s="1">
        <v>44784.952164351853</v>
      </c>
      <c r="B2866" s="1">
        <v>44784.951180555552</v>
      </c>
      <c r="C2866">
        <v>12212</v>
      </c>
      <c r="D2866" t="s">
        <v>44</v>
      </c>
      <c r="E2866" t="s">
        <v>35</v>
      </c>
      <c r="F2866">
        <v>7</v>
      </c>
      <c r="G2866">
        <v>42.930529999999997</v>
      </c>
      <c r="H2866">
        <v>-72.272350000000003</v>
      </c>
      <c r="I2866">
        <v>476</v>
      </c>
      <c r="J2866">
        <v>77</v>
      </c>
      <c r="K2866">
        <v>0</v>
      </c>
      <c r="L2866" s="1">
        <v>44784.952106481483</v>
      </c>
      <c r="M2866">
        <v>5.8</v>
      </c>
      <c r="N2866">
        <v>4.9000000000000004</v>
      </c>
      <c r="O2866">
        <v>0.9</v>
      </c>
      <c r="P2866">
        <v>17</v>
      </c>
      <c r="Q2866">
        <v>0</v>
      </c>
      <c r="R2866">
        <v>0</v>
      </c>
      <c r="S2866">
        <v>0</v>
      </c>
      <c r="T2866" t="s">
        <v>33</v>
      </c>
      <c r="U2866">
        <v>5.35</v>
      </c>
      <c r="V2866">
        <v>59</v>
      </c>
      <c r="W2866">
        <v>0</v>
      </c>
      <c r="X2866">
        <v>59</v>
      </c>
      <c r="Y2866">
        <v>1</v>
      </c>
      <c r="Z2866">
        <v>0</v>
      </c>
      <c r="AA2866">
        <v>1</v>
      </c>
      <c r="AB2866" t="s">
        <v>36</v>
      </c>
      <c r="AC2866">
        <v>59</v>
      </c>
      <c r="AD2866">
        <v>1.29</v>
      </c>
    </row>
    <row r="2867" spans="1:30" x14ac:dyDescent="0.25">
      <c r="A2867" s="1">
        <v>44784.952164351853</v>
      </c>
      <c r="B2867" s="1">
        <v>44769.376736111109</v>
      </c>
      <c r="C2867">
        <v>12178</v>
      </c>
      <c r="D2867" t="s">
        <v>45</v>
      </c>
      <c r="E2867" t="s">
        <v>35</v>
      </c>
      <c r="F2867">
        <v>7</v>
      </c>
      <c r="G2867">
        <v>42.899563000000001</v>
      </c>
      <c r="H2867">
        <v>-71.464650000000006</v>
      </c>
      <c r="I2867">
        <v>301</v>
      </c>
      <c r="J2867">
        <v>85</v>
      </c>
      <c r="K2867">
        <v>0</v>
      </c>
      <c r="L2867" s="1">
        <v>44784.952106481483</v>
      </c>
      <c r="M2867">
        <v>3.8</v>
      </c>
      <c r="N2867">
        <v>3.1</v>
      </c>
      <c r="O2867">
        <v>0.7</v>
      </c>
      <c r="P2867">
        <v>20</v>
      </c>
      <c r="Q2867">
        <v>0</v>
      </c>
      <c r="R2867">
        <v>0</v>
      </c>
      <c r="S2867">
        <v>0</v>
      </c>
      <c r="T2867" t="s">
        <v>32</v>
      </c>
      <c r="V2867">
        <v>35</v>
      </c>
      <c r="W2867">
        <v>0</v>
      </c>
      <c r="X2867">
        <v>35</v>
      </c>
      <c r="Y2867">
        <v>0</v>
      </c>
      <c r="Z2867">
        <v>0</v>
      </c>
      <c r="AA2867">
        <v>0</v>
      </c>
      <c r="AB2867" t="s">
        <v>36</v>
      </c>
      <c r="AC2867">
        <v>35</v>
      </c>
    </row>
    <row r="2868" spans="1:30" x14ac:dyDescent="0.25">
      <c r="A2868" s="1">
        <v>44784.952164351853</v>
      </c>
      <c r="B2868" s="1">
        <v>44784.950428240743</v>
      </c>
      <c r="C2868">
        <v>75981</v>
      </c>
      <c r="D2868" t="s">
        <v>46</v>
      </c>
      <c r="E2868" t="s">
        <v>35</v>
      </c>
      <c r="F2868">
        <v>7</v>
      </c>
      <c r="G2868">
        <v>42.97</v>
      </c>
      <c r="H2868">
        <v>-71.06</v>
      </c>
      <c r="I2868">
        <v>136</v>
      </c>
      <c r="J2868">
        <v>79</v>
      </c>
      <c r="K2868">
        <v>0</v>
      </c>
      <c r="L2868" s="1">
        <v>44784.952106481483</v>
      </c>
      <c r="M2868">
        <v>21.7</v>
      </c>
      <c r="N2868">
        <v>11.9</v>
      </c>
      <c r="O2868">
        <v>9.8000000000000007</v>
      </c>
      <c r="P2868">
        <v>58</v>
      </c>
      <c r="Q2868">
        <v>6.7</v>
      </c>
      <c r="R2868">
        <v>0.1</v>
      </c>
      <c r="S2868">
        <v>3.4</v>
      </c>
      <c r="T2868" t="s">
        <v>33</v>
      </c>
      <c r="U2868">
        <v>16.8</v>
      </c>
      <c r="V2868">
        <v>60</v>
      </c>
      <c r="W2868">
        <v>0</v>
      </c>
      <c r="X2868">
        <v>60</v>
      </c>
      <c r="Y2868">
        <v>0</v>
      </c>
      <c r="Z2868">
        <v>0</v>
      </c>
      <c r="AA2868">
        <v>0</v>
      </c>
      <c r="AB2868" t="s">
        <v>36</v>
      </c>
      <c r="AC2868">
        <v>60</v>
      </c>
      <c r="AD2868">
        <v>8.2100000000000009</v>
      </c>
    </row>
    <row r="2869" spans="1:30" x14ac:dyDescent="0.25">
      <c r="A2869" s="1">
        <v>44784.952175925922</v>
      </c>
      <c r="B2869" s="1">
        <v>44784.950972222221</v>
      </c>
      <c r="C2869">
        <v>115703</v>
      </c>
      <c r="D2869" t="s">
        <v>47</v>
      </c>
      <c r="E2869" t="s">
        <v>35</v>
      </c>
      <c r="F2869">
        <v>7</v>
      </c>
      <c r="G2869">
        <v>43.953625000000002</v>
      </c>
      <c r="H2869">
        <v>-71.508859999999999</v>
      </c>
      <c r="I2869">
        <v>1493</v>
      </c>
      <c r="J2869">
        <v>69</v>
      </c>
      <c r="K2869">
        <v>0</v>
      </c>
      <c r="L2869" s="1">
        <v>44784.952106481483</v>
      </c>
      <c r="M2869">
        <v>0.1</v>
      </c>
      <c r="N2869">
        <v>201</v>
      </c>
      <c r="O2869">
        <v>200.9</v>
      </c>
      <c r="P2869">
        <v>200</v>
      </c>
      <c r="Q2869">
        <v>0</v>
      </c>
      <c r="R2869">
        <v>0</v>
      </c>
      <c r="S2869">
        <v>0</v>
      </c>
      <c r="T2869" t="s">
        <v>60</v>
      </c>
      <c r="V2869">
        <v>66</v>
      </c>
      <c r="W2869">
        <v>0</v>
      </c>
      <c r="X2869">
        <v>66</v>
      </c>
      <c r="Y2869">
        <v>0</v>
      </c>
      <c r="Z2869">
        <v>0</v>
      </c>
      <c r="AA2869">
        <v>0</v>
      </c>
      <c r="AB2869" t="s">
        <v>36</v>
      </c>
      <c r="AC2869">
        <v>66</v>
      </c>
    </row>
    <row r="2870" spans="1:30" x14ac:dyDescent="0.25">
      <c r="A2870" s="1">
        <v>44784.952175925922</v>
      </c>
      <c r="B2870" s="1">
        <v>44784.95039351852</v>
      </c>
      <c r="C2870">
        <v>12050</v>
      </c>
      <c r="D2870" t="s">
        <v>49</v>
      </c>
      <c r="E2870" t="s">
        <v>35</v>
      </c>
      <c r="F2870">
        <v>7</v>
      </c>
      <c r="G2870">
        <v>44.220573000000002</v>
      </c>
      <c r="H2870">
        <v>-71.732315</v>
      </c>
      <c r="I2870">
        <v>999</v>
      </c>
      <c r="J2870">
        <v>74</v>
      </c>
      <c r="K2870">
        <v>0</v>
      </c>
      <c r="L2870" s="1">
        <v>44784.952106481483</v>
      </c>
      <c r="M2870">
        <v>19.3</v>
      </c>
      <c r="N2870">
        <v>19.100000000000001</v>
      </c>
      <c r="O2870">
        <v>0.2</v>
      </c>
      <c r="P2870">
        <v>1</v>
      </c>
      <c r="Q2870">
        <v>4.3</v>
      </c>
      <c r="R2870">
        <v>4</v>
      </c>
      <c r="S2870">
        <v>4.1500000000000004</v>
      </c>
      <c r="T2870" t="s">
        <v>33</v>
      </c>
      <c r="U2870">
        <v>19.2</v>
      </c>
      <c r="V2870">
        <v>58</v>
      </c>
      <c r="W2870">
        <v>0</v>
      </c>
      <c r="X2870">
        <v>58</v>
      </c>
      <c r="Y2870">
        <v>0</v>
      </c>
      <c r="Z2870">
        <v>0</v>
      </c>
      <c r="AA2870">
        <v>0</v>
      </c>
      <c r="AB2870" t="s">
        <v>36</v>
      </c>
      <c r="AC2870">
        <v>58</v>
      </c>
      <c r="AD2870">
        <v>9.81</v>
      </c>
    </row>
    <row r="2871" spans="1:30" x14ac:dyDescent="0.25">
      <c r="A2871" s="1">
        <v>44784.952233796299</v>
      </c>
      <c r="B2871" s="1">
        <v>44784.951909722222</v>
      </c>
      <c r="C2871">
        <v>23443</v>
      </c>
      <c r="D2871" t="s">
        <v>50</v>
      </c>
      <c r="E2871" t="s">
        <v>35</v>
      </c>
      <c r="F2871">
        <v>7</v>
      </c>
      <c r="G2871">
        <v>43.556139999999999</v>
      </c>
      <c r="H2871">
        <v>-72.370990000000006</v>
      </c>
      <c r="I2871">
        <v>523</v>
      </c>
      <c r="J2871">
        <v>71</v>
      </c>
      <c r="K2871">
        <v>0</v>
      </c>
      <c r="L2871" s="1">
        <v>44784.952106481483</v>
      </c>
      <c r="M2871">
        <v>7.6</v>
      </c>
      <c r="N2871">
        <v>6.5</v>
      </c>
      <c r="O2871">
        <v>1.1000000000000001</v>
      </c>
      <c r="P2871">
        <v>16</v>
      </c>
      <c r="Q2871">
        <v>0.1</v>
      </c>
      <c r="R2871">
        <v>0.1</v>
      </c>
      <c r="S2871">
        <v>0.1</v>
      </c>
      <c r="T2871" t="s">
        <v>33</v>
      </c>
      <c r="U2871">
        <v>7.05</v>
      </c>
      <c r="V2871">
        <v>68</v>
      </c>
      <c r="W2871">
        <v>0</v>
      </c>
      <c r="X2871">
        <v>68</v>
      </c>
      <c r="Y2871">
        <v>0</v>
      </c>
      <c r="Z2871">
        <v>0</v>
      </c>
      <c r="AA2871">
        <v>0</v>
      </c>
      <c r="AB2871" t="s">
        <v>36</v>
      </c>
      <c r="AC2871">
        <v>68</v>
      </c>
      <c r="AD2871">
        <v>1.7</v>
      </c>
    </row>
    <row r="2872" spans="1:30" x14ac:dyDescent="0.25">
      <c r="A2872" s="1">
        <v>44784.952233796299</v>
      </c>
      <c r="B2872" s="1">
        <v>44784.952013888891</v>
      </c>
      <c r="C2872">
        <v>58135</v>
      </c>
      <c r="D2872" t="s">
        <v>51</v>
      </c>
      <c r="E2872" t="s">
        <v>35</v>
      </c>
      <c r="F2872">
        <v>7</v>
      </c>
      <c r="G2872">
        <v>42.883873000000001</v>
      </c>
      <c r="H2872">
        <v>-71.972915999999998</v>
      </c>
      <c r="I2872">
        <v>808</v>
      </c>
      <c r="J2872">
        <v>72</v>
      </c>
      <c r="K2872">
        <v>0</v>
      </c>
      <c r="L2872" s="1">
        <v>44784.952106481483</v>
      </c>
      <c r="M2872">
        <v>5.6</v>
      </c>
      <c r="N2872">
        <v>5.6</v>
      </c>
      <c r="O2872">
        <v>0</v>
      </c>
      <c r="P2872">
        <v>0</v>
      </c>
      <c r="Q2872">
        <v>0</v>
      </c>
      <c r="R2872">
        <v>1.5</v>
      </c>
      <c r="S2872">
        <v>0.75</v>
      </c>
      <c r="T2872" t="s">
        <v>33</v>
      </c>
      <c r="U2872">
        <v>5.6</v>
      </c>
      <c r="V2872">
        <v>61</v>
      </c>
      <c r="W2872">
        <v>0</v>
      </c>
      <c r="X2872">
        <v>61</v>
      </c>
      <c r="Y2872">
        <v>1</v>
      </c>
      <c r="Z2872">
        <v>0</v>
      </c>
      <c r="AA2872">
        <v>1</v>
      </c>
      <c r="AB2872" t="s">
        <v>36</v>
      </c>
      <c r="AC2872">
        <v>61</v>
      </c>
      <c r="AD2872">
        <v>1.31</v>
      </c>
    </row>
    <row r="2873" spans="1:30" x14ac:dyDescent="0.25">
      <c r="A2873" s="1">
        <v>44784.952245370368</v>
      </c>
      <c r="B2873" s="1">
        <v>44784.950601851851</v>
      </c>
      <c r="C2873">
        <v>148555</v>
      </c>
      <c r="D2873" t="s">
        <v>52</v>
      </c>
      <c r="E2873" t="s">
        <v>53</v>
      </c>
      <c r="F2873">
        <v>7</v>
      </c>
      <c r="G2873">
        <v>42.904949999999999</v>
      </c>
      <c r="H2873">
        <v>-71.386764999999997</v>
      </c>
      <c r="I2873">
        <v>363</v>
      </c>
      <c r="J2873">
        <v>0</v>
      </c>
      <c r="K2873">
        <v>0</v>
      </c>
      <c r="L2873" s="1">
        <v>44784.952106481483</v>
      </c>
      <c r="M2873">
        <v>3.3</v>
      </c>
      <c r="N2873">
        <v>4</v>
      </c>
      <c r="O2873">
        <v>0.7</v>
      </c>
      <c r="P2873">
        <v>19</v>
      </c>
      <c r="Q2873">
        <v>0.1</v>
      </c>
      <c r="R2873">
        <v>0.2</v>
      </c>
      <c r="S2873">
        <v>0.15</v>
      </c>
      <c r="T2873" t="s">
        <v>33</v>
      </c>
      <c r="U2873">
        <v>3.65</v>
      </c>
      <c r="V2873">
        <v>0</v>
      </c>
      <c r="W2873">
        <v>0</v>
      </c>
      <c r="X2873">
        <v>0</v>
      </c>
      <c r="Y2873">
        <v>0</v>
      </c>
      <c r="Z2873">
        <v>0</v>
      </c>
      <c r="AA2873">
        <v>0</v>
      </c>
      <c r="AB2873" t="s">
        <v>38</v>
      </c>
    </row>
    <row r="2874" spans="1:30" x14ac:dyDescent="0.25">
      <c r="A2874" s="1">
        <v>44784.952245370368</v>
      </c>
      <c r="B2874" s="1">
        <v>44784.951493055552</v>
      </c>
      <c r="C2874">
        <v>146644</v>
      </c>
      <c r="D2874" t="s">
        <v>54</v>
      </c>
      <c r="E2874" t="s">
        <v>53</v>
      </c>
      <c r="F2874">
        <v>7</v>
      </c>
      <c r="G2874">
        <v>43.06015</v>
      </c>
      <c r="H2874">
        <v>-70.758930000000007</v>
      </c>
      <c r="I2874">
        <v>35</v>
      </c>
      <c r="J2874">
        <v>71</v>
      </c>
      <c r="K2874">
        <v>73</v>
      </c>
      <c r="L2874" s="1">
        <v>44784.952106481483</v>
      </c>
      <c r="M2874">
        <v>13.1</v>
      </c>
      <c r="N2874">
        <v>11.6</v>
      </c>
      <c r="O2874">
        <v>1.5</v>
      </c>
      <c r="P2874">
        <v>12</v>
      </c>
      <c r="Q2874">
        <v>0.6</v>
      </c>
      <c r="R2874">
        <v>0.5</v>
      </c>
      <c r="S2874">
        <v>0.55000000000000004</v>
      </c>
      <c r="T2874" t="s">
        <v>33</v>
      </c>
      <c r="U2874">
        <v>12.35</v>
      </c>
      <c r="V2874">
        <v>72</v>
      </c>
      <c r="W2874">
        <v>76</v>
      </c>
      <c r="X2874">
        <v>4</v>
      </c>
      <c r="Y2874">
        <v>2</v>
      </c>
      <c r="Z2874">
        <v>2</v>
      </c>
      <c r="AA2874">
        <v>0</v>
      </c>
      <c r="AB2874" t="s">
        <v>33</v>
      </c>
      <c r="AC2874">
        <v>74</v>
      </c>
      <c r="AD2874">
        <v>4.51</v>
      </c>
    </row>
    <row r="2875" spans="1:30" x14ac:dyDescent="0.25">
      <c r="A2875" s="1">
        <v>44784.952256944445</v>
      </c>
      <c r="B2875" s="1">
        <v>43755.283437500002</v>
      </c>
      <c r="C2875">
        <v>12188</v>
      </c>
      <c r="D2875" t="s">
        <v>55</v>
      </c>
      <c r="E2875" t="s">
        <v>35</v>
      </c>
      <c r="F2875">
        <v>4.1100000000000003</v>
      </c>
      <c r="G2875">
        <v>42.927050000000001</v>
      </c>
      <c r="H2875">
        <v>-72.279610000000005</v>
      </c>
      <c r="I2875">
        <v>475</v>
      </c>
      <c r="J2875">
        <v>95</v>
      </c>
      <c r="K2875">
        <v>0</v>
      </c>
      <c r="L2875" s="1">
        <v>44784.952106481483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 t="s">
        <v>32</v>
      </c>
      <c r="V2875">
        <v>77</v>
      </c>
      <c r="W2875">
        <v>0</v>
      </c>
      <c r="X2875">
        <v>77</v>
      </c>
      <c r="Y2875">
        <v>0</v>
      </c>
      <c r="Z2875">
        <v>0</v>
      </c>
      <c r="AA2875">
        <v>0</v>
      </c>
      <c r="AB2875" t="s">
        <v>36</v>
      </c>
      <c r="AC2875">
        <v>77</v>
      </c>
    </row>
    <row r="2876" spans="1:30" x14ac:dyDescent="0.25">
      <c r="A2876" s="1">
        <v>44784.952256944445</v>
      </c>
      <c r="B2876" s="1">
        <v>44784.951898148145</v>
      </c>
      <c r="C2876">
        <v>1224</v>
      </c>
      <c r="D2876" t="s">
        <v>56</v>
      </c>
      <c r="E2876" t="s">
        <v>35</v>
      </c>
      <c r="F2876" t="s">
        <v>57</v>
      </c>
      <c r="G2876">
        <v>42.938034000000002</v>
      </c>
      <c r="H2876">
        <v>-72.259299999999996</v>
      </c>
      <c r="I2876">
        <v>792</v>
      </c>
      <c r="J2876">
        <v>76</v>
      </c>
      <c r="K2876">
        <v>0</v>
      </c>
      <c r="L2876" s="1">
        <v>44784.952106481483</v>
      </c>
      <c r="M2876">
        <v>5.8</v>
      </c>
      <c r="N2876">
        <v>0</v>
      </c>
      <c r="O2876">
        <v>5.8</v>
      </c>
      <c r="P2876">
        <v>200</v>
      </c>
      <c r="Q2876">
        <v>0.1</v>
      </c>
      <c r="R2876">
        <v>0</v>
      </c>
      <c r="S2876">
        <v>0.05</v>
      </c>
      <c r="T2876" t="s">
        <v>43</v>
      </c>
      <c r="V2876">
        <v>67</v>
      </c>
      <c r="W2876">
        <v>0</v>
      </c>
      <c r="X2876">
        <v>67</v>
      </c>
      <c r="Y2876">
        <v>1</v>
      </c>
      <c r="Z2876">
        <v>0</v>
      </c>
      <c r="AA2876">
        <v>1</v>
      </c>
      <c r="AB2876" t="s">
        <v>36</v>
      </c>
      <c r="AC2876">
        <v>67</v>
      </c>
    </row>
    <row r="2877" spans="1:30" x14ac:dyDescent="0.25">
      <c r="A2877" s="1">
        <v>44784.952268518522</v>
      </c>
      <c r="B2877" s="1">
        <v>44784.951342592591</v>
      </c>
      <c r="C2877">
        <v>1202</v>
      </c>
      <c r="D2877" t="s">
        <v>58</v>
      </c>
      <c r="E2877" t="s">
        <v>35</v>
      </c>
      <c r="F2877" t="s">
        <v>57</v>
      </c>
      <c r="G2877">
        <v>42.936554000000001</v>
      </c>
      <c r="H2877">
        <v>-72.271019999999993</v>
      </c>
      <c r="I2877">
        <v>488</v>
      </c>
      <c r="J2877">
        <v>0</v>
      </c>
      <c r="K2877">
        <v>0</v>
      </c>
      <c r="L2877" s="1">
        <v>44784.952106481483</v>
      </c>
      <c r="M2877">
        <v>6.5</v>
      </c>
      <c r="N2877">
        <v>5.9</v>
      </c>
      <c r="O2877">
        <v>0.6</v>
      </c>
      <c r="P2877">
        <v>10</v>
      </c>
      <c r="Q2877">
        <v>0.1</v>
      </c>
      <c r="R2877">
        <v>0.1</v>
      </c>
      <c r="S2877">
        <v>0.1</v>
      </c>
      <c r="T2877" t="s">
        <v>33</v>
      </c>
      <c r="U2877">
        <v>6.2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 t="s">
        <v>38</v>
      </c>
    </row>
    <row r="2878" spans="1:30" x14ac:dyDescent="0.25">
      <c r="A2878" s="1">
        <v>44784.952268518522</v>
      </c>
      <c r="B2878" s="1">
        <v>44612.080023148148</v>
      </c>
      <c r="C2878">
        <v>25985</v>
      </c>
      <c r="D2878" t="s">
        <v>59</v>
      </c>
      <c r="E2878" t="s">
        <v>35</v>
      </c>
      <c r="F2878">
        <v>6.01</v>
      </c>
      <c r="G2878">
        <v>42.927326000000001</v>
      </c>
      <c r="H2878">
        <v>-72.279979999999995</v>
      </c>
      <c r="I2878">
        <v>477</v>
      </c>
      <c r="J2878">
        <v>78</v>
      </c>
      <c r="K2878">
        <v>0</v>
      </c>
      <c r="L2878" s="1">
        <v>44784.952106481483</v>
      </c>
      <c r="M2878">
        <v>1.1000000000000001</v>
      </c>
      <c r="N2878">
        <v>1</v>
      </c>
      <c r="O2878">
        <v>0.1</v>
      </c>
      <c r="P2878">
        <v>10</v>
      </c>
      <c r="Q2878">
        <v>0</v>
      </c>
      <c r="R2878">
        <v>0</v>
      </c>
      <c r="S2878">
        <v>0</v>
      </c>
      <c r="T2878" t="s">
        <v>32</v>
      </c>
      <c r="V2878">
        <v>22</v>
      </c>
      <c r="W2878">
        <v>0</v>
      </c>
      <c r="X2878">
        <v>22</v>
      </c>
      <c r="Y2878">
        <v>0</v>
      </c>
      <c r="Z2878">
        <v>0</v>
      </c>
      <c r="AA2878">
        <v>0</v>
      </c>
      <c r="AB2878" t="s">
        <v>36</v>
      </c>
      <c r="AC2878">
        <v>22</v>
      </c>
    </row>
    <row r="2879" spans="1:30" x14ac:dyDescent="0.25">
      <c r="A2879" s="1">
        <v>44784.959062499998</v>
      </c>
      <c r="B2879" s="1">
        <v>44775.701319444444</v>
      </c>
      <c r="C2879">
        <v>151708</v>
      </c>
      <c r="D2879" t="s">
        <v>30</v>
      </c>
      <c r="E2879" t="s">
        <v>31</v>
      </c>
      <c r="F2879">
        <v>7</v>
      </c>
      <c r="G2879">
        <v>43.192042999999998</v>
      </c>
      <c r="H2879">
        <v>-71.541579999999996</v>
      </c>
      <c r="I2879">
        <v>291</v>
      </c>
      <c r="J2879">
        <v>93</v>
      </c>
      <c r="K2879">
        <v>94</v>
      </c>
      <c r="L2879" s="1">
        <v>44784.959050925929</v>
      </c>
      <c r="M2879">
        <v>7.9</v>
      </c>
      <c r="N2879">
        <v>7.6</v>
      </c>
      <c r="O2879">
        <v>0.3</v>
      </c>
      <c r="P2879">
        <v>4</v>
      </c>
      <c r="Q2879">
        <v>0</v>
      </c>
      <c r="R2879">
        <v>0</v>
      </c>
      <c r="S2879">
        <v>0</v>
      </c>
      <c r="T2879" t="s">
        <v>32</v>
      </c>
      <c r="V2879">
        <v>42</v>
      </c>
      <c r="W2879">
        <v>41</v>
      </c>
      <c r="X2879">
        <v>1</v>
      </c>
      <c r="Y2879">
        <v>0</v>
      </c>
      <c r="Z2879">
        <v>0</v>
      </c>
      <c r="AA2879">
        <v>0</v>
      </c>
      <c r="AB2879" t="s">
        <v>33</v>
      </c>
      <c r="AC2879">
        <v>41.5</v>
      </c>
    </row>
    <row r="2880" spans="1:30" x14ac:dyDescent="0.25">
      <c r="A2880" s="1">
        <v>44784.959062499998</v>
      </c>
      <c r="B2880" s="1">
        <v>44784.957476851851</v>
      </c>
      <c r="C2880">
        <v>143456</v>
      </c>
      <c r="D2880" t="s">
        <v>34</v>
      </c>
      <c r="E2880" t="s">
        <v>35</v>
      </c>
      <c r="F2880">
        <v>7</v>
      </c>
      <c r="G2880">
        <v>43.08963</v>
      </c>
      <c r="H2880">
        <v>-71.502440000000007</v>
      </c>
      <c r="I2880">
        <v>619</v>
      </c>
      <c r="J2880">
        <v>74</v>
      </c>
      <c r="K2880">
        <v>0</v>
      </c>
      <c r="L2880" s="1">
        <v>44784.959050925929</v>
      </c>
      <c r="M2880">
        <v>3.1</v>
      </c>
      <c r="N2880">
        <v>3.6</v>
      </c>
      <c r="O2880">
        <v>0.5</v>
      </c>
      <c r="P2880">
        <v>15</v>
      </c>
      <c r="Q2880">
        <v>0.1</v>
      </c>
      <c r="R2880">
        <v>0.1</v>
      </c>
      <c r="S2880">
        <v>0.1</v>
      </c>
      <c r="T2880" t="s">
        <v>33</v>
      </c>
      <c r="U2880">
        <v>3.35</v>
      </c>
      <c r="V2880">
        <v>59</v>
      </c>
      <c r="W2880">
        <v>0</v>
      </c>
      <c r="X2880">
        <v>59</v>
      </c>
      <c r="Y2880">
        <v>1</v>
      </c>
      <c r="Z2880">
        <v>0</v>
      </c>
      <c r="AA2880">
        <v>1</v>
      </c>
      <c r="AB2880" t="s">
        <v>36</v>
      </c>
      <c r="AC2880">
        <v>59</v>
      </c>
      <c r="AD2880">
        <v>7.0000000000000007E-2</v>
      </c>
    </row>
    <row r="2881" spans="1:30" x14ac:dyDescent="0.25">
      <c r="A2881" s="1">
        <v>44784.959074074075</v>
      </c>
      <c r="B2881" s="1">
        <v>44784.957615740743</v>
      </c>
      <c r="C2881">
        <v>151702</v>
      </c>
      <c r="D2881" t="s">
        <v>37</v>
      </c>
      <c r="E2881" t="s">
        <v>31</v>
      </c>
      <c r="F2881">
        <v>7</v>
      </c>
      <c r="G2881">
        <v>43.118609999999997</v>
      </c>
      <c r="H2881">
        <v>-71.61618</v>
      </c>
      <c r="I2881">
        <v>885</v>
      </c>
      <c r="J2881">
        <v>0</v>
      </c>
      <c r="K2881">
        <v>0</v>
      </c>
      <c r="L2881" s="1">
        <v>44784.959050925929</v>
      </c>
      <c r="M2881">
        <v>3.2</v>
      </c>
      <c r="N2881">
        <v>3.4</v>
      </c>
      <c r="O2881">
        <v>0.2</v>
      </c>
      <c r="P2881">
        <v>6</v>
      </c>
      <c r="Q2881">
        <v>0</v>
      </c>
      <c r="R2881">
        <v>0.1</v>
      </c>
      <c r="S2881">
        <v>0.05</v>
      </c>
      <c r="T2881" t="s">
        <v>33</v>
      </c>
      <c r="U2881">
        <v>3.3</v>
      </c>
      <c r="V2881">
        <v>0</v>
      </c>
      <c r="W2881">
        <v>0</v>
      </c>
      <c r="X2881">
        <v>0</v>
      </c>
      <c r="Y2881">
        <v>0</v>
      </c>
      <c r="Z2881">
        <v>0</v>
      </c>
      <c r="AA2881">
        <v>0</v>
      </c>
      <c r="AB2881" t="s">
        <v>38</v>
      </c>
    </row>
    <row r="2882" spans="1:30" x14ac:dyDescent="0.25">
      <c r="A2882" s="1">
        <v>44784.959074074075</v>
      </c>
      <c r="B2882" s="1">
        <v>44784.95752314815</v>
      </c>
      <c r="C2882">
        <v>151700</v>
      </c>
      <c r="D2882" t="s">
        <v>30</v>
      </c>
      <c r="E2882" t="s">
        <v>31</v>
      </c>
      <c r="F2882">
        <v>7</v>
      </c>
      <c r="G2882">
        <v>43.19211</v>
      </c>
      <c r="H2882">
        <v>-71.541460000000001</v>
      </c>
      <c r="I2882">
        <v>286</v>
      </c>
      <c r="J2882">
        <v>77</v>
      </c>
      <c r="K2882">
        <v>0</v>
      </c>
      <c r="L2882" s="1">
        <v>44784.959050925929</v>
      </c>
      <c r="M2882">
        <v>2.6</v>
      </c>
      <c r="N2882">
        <v>3.2</v>
      </c>
      <c r="O2882">
        <v>0.6</v>
      </c>
      <c r="P2882">
        <v>21</v>
      </c>
      <c r="Q2882">
        <v>0</v>
      </c>
      <c r="R2882">
        <v>0</v>
      </c>
      <c r="S2882">
        <v>0</v>
      </c>
      <c r="T2882" t="s">
        <v>33</v>
      </c>
      <c r="U2882">
        <v>2.9</v>
      </c>
      <c r="V2882">
        <v>51</v>
      </c>
      <c r="W2882">
        <v>0</v>
      </c>
      <c r="X2882">
        <v>51</v>
      </c>
      <c r="Y2882">
        <v>1</v>
      </c>
      <c r="Z2882">
        <v>0</v>
      </c>
      <c r="AA2882">
        <v>1</v>
      </c>
      <c r="AB2882" t="s">
        <v>36</v>
      </c>
      <c r="AC2882">
        <v>51</v>
      </c>
      <c r="AD2882">
        <v>0.36</v>
      </c>
    </row>
    <row r="2883" spans="1:30" x14ac:dyDescent="0.25">
      <c r="A2883" s="1">
        <v>44784.959085648145</v>
      </c>
      <c r="B2883" s="1">
        <v>44784.957962962966</v>
      </c>
      <c r="C2883">
        <v>135984</v>
      </c>
      <c r="D2883" t="s">
        <v>39</v>
      </c>
      <c r="E2883" t="s">
        <v>31</v>
      </c>
      <c r="F2883">
        <v>7</v>
      </c>
      <c r="G2883">
        <v>43.565852999999997</v>
      </c>
      <c r="H2883">
        <v>-71.496129999999994</v>
      </c>
      <c r="I2883">
        <v>708</v>
      </c>
      <c r="J2883">
        <v>67</v>
      </c>
      <c r="K2883">
        <v>0</v>
      </c>
      <c r="L2883" s="1">
        <v>44784.959050925929</v>
      </c>
      <c r="M2883">
        <v>4.3</v>
      </c>
      <c r="N2883">
        <v>4.0999999999999996</v>
      </c>
      <c r="O2883">
        <v>0.2</v>
      </c>
      <c r="P2883">
        <v>5</v>
      </c>
      <c r="Q2883">
        <v>0.1</v>
      </c>
      <c r="R2883">
        <v>0</v>
      </c>
      <c r="S2883">
        <v>0.05</v>
      </c>
      <c r="T2883" t="s">
        <v>33</v>
      </c>
      <c r="U2883">
        <v>4.2</v>
      </c>
      <c r="V2883">
        <v>90</v>
      </c>
      <c r="W2883">
        <v>0</v>
      </c>
      <c r="X2883">
        <v>90</v>
      </c>
      <c r="Y2883">
        <v>0</v>
      </c>
      <c r="Z2883">
        <v>0</v>
      </c>
      <c r="AA2883">
        <v>0</v>
      </c>
      <c r="AB2883" t="s">
        <v>36</v>
      </c>
      <c r="AC2883">
        <v>90</v>
      </c>
      <c r="AD2883">
        <v>-1.58</v>
      </c>
    </row>
    <row r="2884" spans="1:30" x14ac:dyDescent="0.25">
      <c r="A2884" s="1">
        <v>44784.959085648145</v>
      </c>
      <c r="B2884" s="1">
        <v>44780.394780092596</v>
      </c>
      <c r="C2884">
        <v>151712</v>
      </c>
      <c r="D2884" t="s">
        <v>40</v>
      </c>
      <c r="E2884" t="s">
        <v>31</v>
      </c>
      <c r="F2884">
        <v>7</v>
      </c>
      <c r="G2884">
        <v>43.289763999999998</v>
      </c>
      <c r="H2884">
        <v>-71.564260000000004</v>
      </c>
      <c r="I2884">
        <v>370</v>
      </c>
      <c r="J2884">
        <v>86</v>
      </c>
      <c r="K2884">
        <v>0</v>
      </c>
      <c r="L2884" s="1">
        <v>44784.959050925929</v>
      </c>
      <c r="M2884">
        <v>14</v>
      </c>
      <c r="N2884">
        <v>13.2</v>
      </c>
      <c r="O2884">
        <v>0.8</v>
      </c>
      <c r="P2884">
        <v>6</v>
      </c>
      <c r="Q2884">
        <v>0</v>
      </c>
      <c r="R2884">
        <v>0</v>
      </c>
      <c r="S2884">
        <v>0</v>
      </c>
      <c r="T2884" t="s">
        <v>32</v>
      </c>
      <c r="V2884">
        <v>59</v>
      </c>
      <c r="W2884">
        <v>0</v>
      </c>
      <c r="X2884">
        <v>59</v>
      </c>
      <c r="Y2884">
        <v>0</v>
      </c>
      <c r="Z2884">
        <v>0</v>
      </c>
      <c r="AA2884">
        <v>0</v>
      </c>
      <c r="AB2884" t="s">
        <v>36</v>
      </c>
      <c r="AC2884">
        <v>59</v>
      </c>
    </row>
    <row r="2885" spans="1:30" x14ac:dyDescent="0.25">
      <c r="A2885" s="1">
        <v>44784.959097222221</v>
      </c>
      <c r="B2885" s="1">
        <v>44784.958692129629</v>
      </c>
      <c r="C2885">
        <v>151710</v>
      </c>
      <c r="D2885" t="s">
        <v>41</v>
      </c>
      <c r="E2885" t="s">
        <v>31</v>
      </c>
      <c r="F2885">
        <v>7</v>
      </c>
      <c r="G2885">
        <v>43.132477000000002</v>
      </c>
      <c r="H2885">
        <v>-71.458374000000006</v>
      </c>
      <c r="I2885">
        <v>230</v>
      </c>
      <c r="J2885">
        <v>75</v>
      </c>
      <c r="K2885">
        <v>0</v>
      </c>
      <c r="L2885" s="1">
        <v>44784.959050925929</v>
      </c>
      <c r="M2885">
        <v>6.2</v>
      </c>
      <c r="N2885">
        <v>4.5</v>
      </c>
      <c r="O2885">
        <v>1.7</v>
      </c>
      <c r="P2885">
        <v>32</v>
      </c>
      <c r="Q2885">
        <v>0.1</v>
      </c>
      <c r="R2885">
        <v>0.2</v>
      </c>
      <c r="S2885">
        <v>0.15</v>
      </c>
      <c r="T2885" t="s">
        <v>33</v>
      </c>
      <c r="U2885">
        <v>5.35</v>
      </c>
      <c r="V2885">
        <v>54</v>
      </c>
      <c r="W2885">
        <v>0</v>
      </c>
      <c r="X2885">
        <v>54</v>
      </c>
      <c r="Y2885">
        <v>1</v>
      </c>
      <c r="Z2885">
        <v>0</v>
      </c>
      <c r="AA2885">
        <v>1</v>
      </c>
      <c r="AB2885" t="s">
        <v>36</v>
      </c>
      <c r="AC2885">
        <v>54</v>
      </c>
      <c r="AD2885">
        <v>1.64</v>
      </c>
    </row>
    <row r="2886" spans="1:30" x14ac:dyDescent="0.25">
      <c r="A2886" s="1">
        <v>44784.959097222221</v>
      </c>
      <c r="B2886" s="1">
        <v>44784.958298611113</v>
      </c>
      <c r="C2886">
        <v>151706</v>
      </c>
      <c r="D2886" t="s">
        <v>42</v>
      </c>
      <c r="E2886" t="s">
        <v>31</v>
      </c>
      <c r="F2886">
        <v>7</v>
      </c>
      <c r="G2886">
        <v>43.004080000000002</v>
      </c>
      <c r="H2886">
        <v>-71.177040000000005</v>
      </c>
      <c r="I2886">
        <v>194</v>
      </c>
      <c r="J2886">
        <v>75</v>
      </c>
      <c r="K2886">
        <v>0</v>
      </c>
      <c r="L2886" s="1">
        <v>44784.959050925929</v>
      </c>
      <c r="M2886">
        <v>13.6</v>
      </c>
      <c r="N2886">
        <v>0</v>
      </c>
      <c r="O2886">
        <v>13.6</v>
      </c>
      <c r="P2886">
        <v>200</v>
      </c>
      <c r="Q2886">
        <v>0.2</v>
      </c>
      <c r="R2886">
        <v>0</v>
      </c>
      <c r="S2886">
        <v>0.1</v>
      </c>
      <c r="T2886" t="s">
        <v>43</v>
      </c>
      <c r="V2886">
        <v>69</v>
      </c>
      <c r="W2886">
        <v>0</v>
      </c>
      <c r="X2886">
        <v>69</v>
      </c>
      <c r="Y2886">
        <v>0</v>
      </c>
      <c r="Z2886">
        <v>0</v>
      </c>
      <c r="AA2886">
        <v>0</v>
      </c>
      <c r="AB2886" t="s">
        <v>36</v>
      </c>
      <c r="AC2886">
        <v>69</v>
      </c>
    </row>
    <row r="2887" spans="1:30" x14ac:dyDescent="0.25">
      <c r="A2887" s="1">
        <v>44784.959108796298</v>
      </c>
      <c r="B2887" s="1">
        <v>44784.958124999997</v>
      </c>
      <c r="C2887">
        <v>12212</v>
      </c>
      <c r="D2887" t="s">
        <v>44</v>
      </c>
      <c r="E2887" t="s">
        <v>35</v>
      </c>
      <c r="F2887">
        <v>7</v>
      </c>
      <c r="G2887">
        <v>42.930529999999997</v>
      </c>
      <c r="H2887">
        <v>-72.272350000000003</v>
      </c>
      <c r="I2887">
        <v>476</v>
      </c>
      <c r="J2887">
        <v>77</v>
      </c>
      <c r="K2887">
        <v>0</v>
      </c>
      <c r="L2887" s="1">
        <v>44784.959050925929</v>
      </c>
      <c r="M2887">
        <v>5.8</v>
      </c>
      <c r="N2887">
        <v>5</v>
      </c>
      <c r="O2887">
        <v>0.8</v>
      </c>
      <c r="P2887">
        <v>15</v>
      </c>
      <c r="Q2887">
        <v>0</v>
      </c>
      <c r="R2887">
        <v>0.1</v>
      </c>
      <c r="S2887">
        <v>0.05</v>
      </c>
      <c r="T2887" t="s">
        <v>33</v>
      </c>
      <c r="U2887">
        <v>5.4</v>
      </c>
      <c r="V2887">
        <v>59</v>
      </c>
      <c r="W2887">
        <v>0</v>
      </c>
      <c r="X2887">
        <v>59</v>
      </c>
      <c r="Y2887">
        <v>0</v>
      </c>
      <c r="Z2887">
        <v>0</v>
      </c>
      <c r="AA2887">
        <v>0</v>
      </c>
      <c r="AB2887" t="s">
        <v>36</v>
      </c>
      <c r="AC2887">
        <v>59</v>
      </c>
      <c r="AD2887">
        <v>1.32</v>
      </c>
    </row>
    <row r="2888" spans="1:30" x14ac:dyDescent="0.25">
      <c r="A2888" s="1">
        <v>44784.959108796298</v>
      </c>
      <c r="B2888" s="1">
        <v>44769.376736111109</v>
      </c>
      <c r="C2888">
        <v>12178</v>
      </c>
      <c r="D2888" t="s">
        <v>45</v>
      </c>
      <c r="E2888" t="s">
        <v>35</v>
      </c>
      <c r="F2888">
        <v>7</v>
      </c>
      <c r="G2888">
        <v>42.899563000000001</v>
      </c>
      <c r="H2888">
        <v>-71.464650000000006</v>
      </c>
      <c r="I2888">
        <v>301</v>
      </c>
      <c r="J2888">
        <v>85</v>
      </c>
      <c r="K2888">
        <v>0</v>
      </c>
      <c r="L2888" s="1">
        <v>44784.959050925929</v>
      </c>
      <c r="M2888">
        <v>3.8</v>
      </c>
      <c r="N2888">
        <v>3.1</v>
      </c>
      <c r="O2888">
        <v>0.7</v>
      </c>
      <c r="P2888">
        <v>20</v>
      </c>
      <c r="Q2888">
        <v>0</v>
      </c>
      <c r="R2888">
        <v>0</v>
      </c>
      <c r="S2888">
        <v>0</v>
      </c>
      <c r="T2888" t="s">
        <v>32</v>
      </c>
      <c r="V2888">
        <v>35</v>
      </c>
      <c r="W2888">
        <v>0</v>
      </c>
      <c r="X2888">
        <v>35</v>
      </c>
      <c r="Y2888">
        <v>0</v>
      </c>
      <c r="Z2888">
        <v>0</v>
      </c>
      <c r="AA2888">
        <v>0</v>
      </c>
      <c r="AB2888" t="s">
        <v>36</v>
      </c>
      <c r="AC2888">
        <v>35</v>
      </c>
    </row>
    <row r="2889" spans="1:30" x14ac:dyDescent="0.25">
      <c r="A2889" s="1">
        <v>44784.959120370368</v>
      </c>
      <c r="B2889" s="1">
        <v>44784.957372685189</v>
      </c>
      <c r="C2889">
        <v>75981</v>
      </c>
      <c r="D2889" t="s">
        <v>46</v>
      </c>
      <c r="E2889" t="s">
        <v>35</v>
      </c>
      <c r="F2889">
        <v>7</v>
      </c>
      <c r="G2889">
        <v>42.97</v>
      </c>
      <c r="H2889">
        <v>-71.06</v>
      </c>
      <c r="I2889">
        <v>136</v>
      </c>
      <c r="J2889">
        <v>78</v>
      </c>
      <c r="K2889">
        <v>0</v>
      </c>
      <c r="L2889" s="1">
        <v>44784.959050925929</v>
      </c>
      <c r="M2889">
        <v>17.7</v>
      </c>
      <c r="N2889">
        <v>12</v>
      </c>
      <c r="O2889">
        <v>5.7</v>
      </c>
      <c r="P2889">
        <v>38</v>
      </c>
      <c r="Q2889">
        <v>4</v>
      </c>
      <c r="R2889">
        <v>0.1</v>
      </c>
      <c r="S2889">
        <v>2.0499999999999998</v>
      </c>
      <c r="T2889" t="s">
        <v>33</v>
      </c>
      <c r="U2889">
        <v>14.85</v>
      </c>
      <c r="V2889">
        <v>60</v>
      </c>
      <c r="W2889">
        <v>0</v>
      </c>
      <c r="X2889">
        <v>60</v>
      </c>
      <c r="Y2889">
        <v>0</v>
      </c>
      <c r="Z2889">
        <v>0</v>
      </c>
      <c r="AA2889">
        <v>0</v>
      </c>
      <c r="AB2889" t="s">
        <v>36</v>
      </c>
      <c r="AC2889">
        <v>60</v>
      </c>
      <c r="AD2889">
        <v>7.02</v>
      </c>
    </row>
    <row r="2890" spans="1:30" x14ac:dyDescent="0.25">
      <c r="A2890" s="1">
        <v>44784.959120370368</v>
      </c>
      <c r="B2890" s="1">
        <v>44784.957916666666</v>
      </c>
      <c r="C2890">
        <v>115703</v>
      </c>
      <c r="D2890" t="s">
        <v>47</v>
      </c>
      <c r="E2890" t="s">
        <v>35</v>
      </c>
      <c r="F2890">
        <v>7</v>
      </c>
      <c r="G2890">
        <v>43.953625000000002</v>
      </c>
      <c r="H2890">
        <v>-71.508859999999999</v>
      </c>
      <c r="I2890">
        <v>1493</v>
      </c>
      <c r="J2890">
        <v>69</v>
      </c>
      <c r="K2890">
        <v>0</v>
      </c>
      <c r="L2890" s="1">
        <v>44784.959050925929</v>
      </c>
      <c r="M2890">
        <v>0.1</v>
      </c>
      <c r="N2890">
        <v>201</v>
      </c>
      <c r="O2890">
        <v>200.9</v>
      </c>
      <c r="P2890">
        <v>200</v>
      </c>
      <c r="Q2890">
        <v>0</v>
      </c>
      <c r="R2890">
        <v>0</v>
      </c>
      <c r="S2890">
        <v>0</v>
      </c>
      <c r="T2890" t="s">
        <v>60</v>
      </c>
      <c r="V2890">
        <v>66</v>
      </c>
      <c r="W2890">
        <v>0</v>
      </c>
      <c r="X2890">
        <v>66</v>
      </c>
      <c r="Y2890">
        <v>0</v>
      </c>
      <c r="Z2890">
        <v>0</v>
      </c>
      <c r="AA2890">
        <v>0</v>
      </c>
      <c r="AB2890" t="s">
        <v>36</v>
      </c>
      <c r="AC2890">
        <v>66</v>
      </c>
    </row>
    <row r="2891" spans="1:30" x14ac:dyDescent="0.25">
      <c r="A2891" s="1">
        <v>44784.959120370368</v>
      </c>
      <c r="B2891" s="1">
        <v>44784.957349537035</v>
      </c>
      <c r="C2891">
        <v>12050</v>
      </c>
      <c r="D2891" t="s">
        <v>49</v>
      </c>
      <c r="E2891" t="s">
        <v>35</v>
      </c>
      <c r="F2891">
        <v>7</v>
      </c>
      <c r="G2891">
        <v>44.220573000000002</v>
      </c>
      <c r="H2891">
        <v>-71.732315</v>
      </c>
      <c r="I2891">
        <v>999</v>
      </c>
      <c r="J2891">
        <v>74</v>
      </c>
      <c r="K2891">
        <v>0</v>
      </c>
      <c r="L2891" s="1">
        <v>44784.959050925929</v>
      </c>
      <c r="M2891">
        <v>17.7</v>
      </c>
      <c r="N2891">
        <v>17.3</v>
      </c>
      <c r="O2891">
        <v>0.4</v>
      </c>
      <c r="P2891">
        <v>2</v>
      </c>
      <c r="Q2891">
        <v>1.6</v>
      </c>
      <c r="R2891">
        <v>1.8</v>
      </c>
      <c r="S2891">
        <v>1.7</v>
      </c>
      <c r="T2891" t="s">
        <v>33</v>
      </c>
      <c r="U2891">
        <v>17.5</v>
      </c>
      <c r="V2891">
        <v>58</v>
      </c>
      <c r="W2891">
        <v>0</v>
      </c>
      <c r="X2891">
        <v>58</v>
      </c>
      <c r="Y2891">
        <v>0</v>
      </c>
      <c r="Z2891">
        <v>0</v>
      </c>
      <c r="AA2891">
        <v>0</v>
      </c>
      <c r="AB2891" t="s">
        <v>36</v>
      </c>
      <c r="AC2891">
        <v>58</v>
      </c>
      <c r="AD2891">
        <v>8.77</v>
      </c>
    </row>
    <row r="2892" spans="1:30" x14ac:dyDescent="0.25">
      <c r="A2892" s="1">
        <v>44784.959131944444</v>
      </c>
      <c r="B2892" s="1">
        <v>44784.958854166667</v>
      </c>
      <c r="C2892">
        <v>23443</v>
      </c>
      <c r="D2892" t="s">
        <v>50</v>
      </c>
      <c r="E2892" t="s">
        <v>35</v>
      </c>
      <c r="F2892">
        <v>7</v>
      </c>
      <c r="G2892">
        <v>43.556139999999999</v>
      </c>
      <c r="H2892">
        <v>-72.370990000000006</v>
      </c>
      <c r="I2892">
        <v>523</v>
      </c>
      <c r="J2892">
        <v>71</v>
      </c>
      <c r="K2892">
        <v>0</v>
      </c>
      <c r="L2892" s="1">
        <v>44784.959050925929</v>
      </c>
      <c r="M2892">
        <v>7.2</v>
      </c>
      <c r="N2892">
        <v>6.7</v>
      </c>
      <c r="O2892">
        <v>0.5</v>
      </c>
      <c r="P2892">
        <v>7</v>
      </c>
      <c r="Q2892">
        <v>0.4</v>
      </c>
      <c r="R2892">
        <v>0.2</v>
      </c>
      <c r="S2892">
        <v>0.3</v>
      </c>
      <c r="T2892" t="s">
        <v>33</v>
      </c>
      <c r="U2892">
        <v>6.95</v>
      </c>
      <c r="V2892">
        <v>67</v>
      </c>
      <c r="W2892">
        <v>0</v>
      </c>
      <c r="X2892">
        <v>67</v>
      </c>
      <c r="Y2892">
        <v>1</v>
      </c>
      <c r="Z2892">
        <v>0</v>
      </c>
      <c r="AA2892">
        <v>1</v>
      </c>
      <c r="AB2892" t="s">
        <v>36</v>
      </c>
      <c r="AC2892">
        <v>67</v>
      </c>
      <c r="AD2892">
        <v>1.71</v>
      </c>
    </row>
    <row r="2893" spans="1:30" x14ac:dyDescent="0.25">
      <c r="A2893" s="1">
        <v>44784.959131944444</v>
      </c>
      <c r="B2893" s="1">
        <v>44784.957569444443</v>
      </c>
      <c r="C2893">
        <v>58135</v>
      </c>
      <c r="D2893" t="s">
        <v>51</v>
      </c>
      <c r="E2893" t="s">
        <v>35</v>
      </c>
      <c r="F2893">
        <v>7</v>
      </c>
      <c r="G2893">
        <v>42.883873000000001</v>
      </c>
      <c r="H2893">
        <v>-71.972915999999998</v>
      </c>
      <c r="I2893">
        <v>808</v>
      </c>
      <c r="J2893">
        <v>72</v>
      </c>
      <c r="K2893">
        <v>0</v>
      </c>
      <c r="L2893" s="1">
        <v>44784.959050925929</v>
      </c>
      <c r="M2893">
        <v>5.6</v>
      </c>
      <c r="N2893">
        <v>5.2</v>
      </c>
      <c r="O2893">
        <v>0.4</v>
      </c>
      <c r="P2893">
        <v>7</v>
      </c>
      <c r="Q2893">
        <v>0</v>
      </c>
      <c r="R2893">
        <v>0.4</v>
      </c>
      <c r="S2893">
        <v>0.2</v>
      </c>
      <c r="T2893" t="s">
        <v>33</v>
      </c>
      <c r="U2893">
        <v>5.4</v>
      </c>
      <c r="V2893">
        <v>62</v>
      </c>
      <c r="W2893">
        <v>0</v>
      </c>
      <c r="X2893">
        <v>62</v>
      </c>
      <c r="Y2893">
        <v>1</v>
      </c>
      <c r="Z2893">
        <v>0</v>
      </c>
      <c r="AA2893">
        <v>1</v>
      </c>
      <c r="AB2893" t="s">
        <v>36</v>
      </c>
      <c r="AC2893">
        <v>62</v>
      </c>
      <c r="AD2893">
        <v>1.1100000000000001</v>
      </c>
    </row>
    <row r="2894" spans="1:30" x14ac:dyDescent="0.25">
      <c r="A2894" s="1">
        <v>44784.959143518521</v>
      </c>
      <c r="B2894" s="1">
        <v>44784.957546296297</v>
      </c>
      <c r="C2894">
        <v>148555</v>
      </c>
      <c r="D2894" t="s">
        <v>52</v>
      </c>
      <c r="E2894" t="s">
        <v>53</v>
      </c>
      <c r="F2894">
        <v>7</v>
      </c>
      <c r="G2894">
        <v>42.904949999999999</v>
      </c>
      <c r="H2894">
        <v>-71.386764999999997</v>
      </c>
      <c r="I2894">
        <v>363</v>
      </c>
      <c r="J2894">
        <v>0</v>
      </c>
      <c r="K2894">
        <v>0</v>
      </c>
      <c r="L2894" s="1">
        <v>44784.959050925929</v>
      </c>
      <c r="M2894">
        <v>3.1</v>
      </c>
      <c r="N2894">
        <v>3.9</v>
      </c>
      <c r="O2894">
        <v>0.8</v>
      </c>
      <c r="P2894">
        <v>23</v>
      </c>
      <c r="Q2894">
        <v>0.2</v>
      </c>
      <c r="R2894">
        <v>0.1</v>
      </c>
      <c r="S2894">
        <v>0.15</v>
      </c>
      <c r="T2894" t="s">
        <v>33</v>
      </c>
      <c r="U2894">
        <v>3.5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 t="s">
        <v>38</v>
      </c>
    </row>
    <row r="2895" spans="1:30" x14ac:dyDescent="0.25">
      <c r="A2895" s="1">
        <v>44784.959143518521</v>
      </c>
      <c r="B2895" s="1">
        <v>44784.958425925928</v>
      </c>
      <c r="C2895">
        <v>146644</v>
      </c>
      <c r="D2895" t="s">
        <v>54</v>
      </c>
      <c r="E2895" t="s">
        <v>53</v>
      </c>
      <c r="F2895">
        <v>7</v>
      </c>
      <c r="G2895">
        <v>43.06015</v>
      </c>
      <c r="H2895">
        <v>-70.758930000000007</v>
      </c>
      <c r="I2895">
        <v>35</v>
      </c>
      <c r="J2895">
        <v>71</v>
      </c>
      <c r="K2895">
        <v>73</v>
      </c>
      <c r="L2895" s="1">
        <v>44784.959050925929</v>
      </c>
      <c r="M2895">
        <v>13.5</v>
      </c>
      <c r="N2895">
        <v>11.9</v>
      </c>
      <c r="O2895">
        <v>1.6</v>
      </c>
      <c r="P2895">
        <v>13</v>
      </c>
      <c r="Q2895">
        <v>0.4</v>
      </c>
      <c r="R2895">
        <v>0.3</v>
      </c>
      <c r="S2895">
        <v>0.35</v>
      </c>
      <c r="T2895" t="s">
        <v>33</v>
      </c>
      <c r="U2895">
        <v>12.7</v>
      </c>
      <c r="V2895">
        <v>71</v>
      </c>
      <c r="W2895">
        <v>75</v>
      </c>
      <c r="X2895">
        <v>4</v>
      </c>
      <c r="Y2895">
        <v>1</v>
      </c>
      <c r="Z2895">
        <v>1</v>
      </c>
      <c r="AA2895">
        <v>0</v>
      </c>
      <c r="AB2895" t="s">
        <v>33</v>
      </c>
      <c r="AC2895">
        <v>73</v>
      </c>
      <c r="AD2895">
        <v>4.8</v>
      </c>
    </row>
    <row r="2896" spans="1:30" x14ac:dyDescent="0.25">
      <c r="A2896" s="1">
        <v>44784.959155092591</v>
      </c>
      <c r="B2896" s="1">
        <v>43755.283437500002</v>
      </c>
      <c r="C2896">
        <v>12188</v>
      </c>
      <c r="D2896" t="s">
        <v>55</v>
      </c>
      <c r="E2896" t="s">
        <v>35</v>
      </c>
      <c r="F2896">
        <v>4.1100000000000003</v>
      </c>
      <c r="G2896">
        <v>42.927050000000001</v>
      </c>
      <c r="H2896">
        <v>-72.279610000000005</v>
      </c>
      <c r="I2896">
        <v>475</v>
      </c>
      <c r="J2896">
        <v>95</v>
      </c>
      <c r="K2896">
        <v>0</v>
      </c>
      <c r="L2896" s="1">
        <v>44784.959050925929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 t="s">
        <v>32</v>
      </c>
      <c r="V2896">
        <v>77</v>
      </c>
      <c r="W2896">
        <v>0</v>
      </c>
      <c r="X2896">
        <v>77</v>
      </c>
      <c r="Y2896">
        <v>0</v>
      </c>
      <c r="Z2896">
        <v>0</v>
      </c>
      <c r="AA2896">
        <v>0</v>
      </c>
      <c r="AB2896" t="s">
        <v>36</v>
      </c>
      <c r="AC2896">
        <v>77</v>
      </c>
    </row>
    <row r="2897" spans="1:30" x14ac:dyDescent="0.25">
      <c r="A2897" s="1">
        <v>44784.959155092591</v>
      </c>
      <c r="B2897" s="1">
        <v>44784.95884259259</v>
      </c>
      <c r="C2897">
        <v>1224</v>
      </c>
      <c r="D2897" t="s">
        <v>56</v>
      </c>
      <c r="E2897" t="s">
        <v>35</v>
      </c>
      <c r="F2897" t="s">
        <v>57</v>
      </c>
      <c r="G2897">
        <v>42.938034000000002</v>
      </c>
      <c r="H2897">
        <v>-72.259299999999996</v>
      </c>
      <c r="I2897">
        <v>792</v>
      </c>
      <c r="J2897">
        <v>76</v>
      </c>
      <c r="K2897">
        <v>0</v>
      </c>
      <c r="L2897" s="1">
        <v>44784.959050925929</v>
      </c>
      <c r="M2897">
        <v>5.9</v>
      </c>
      <c r="N2897">
        <v>0</v>
      </c>
      <c r="O2897">
        <v>5.9</v>
      </c>
      <c r="P2897">
        <v>200</v>
      </c>
      <c r="Q2897">
        <v>0.1</v>
      </c>
      <c r="R2897">
        <v>0</v>
      </c>
      <c r="S2897">
        <v>0.05</v>
      </c>
      <c r="T2897" t="s">
        <v>43</v>
      </c>
      <c r="V2897">
        <v>68</v>
      </c>
      <c r="W2897">
        <v>0</v>
      </c>
      <c r="X2897">
        <v>68</v>
      </c>
      <c r="Y2897">
        <v>1</v>
      </c>
      <c r="Z2897">
        <v>0</v>
      </c>
      <c r="AA2897">
        <v>1</v>
      </c>
      <c r="AB2897" t="s">
        <v>36</v>
      </c>
      <c r="AC2897">
        <v>68</v>
      </c>
    </row>
    <row r="2898" spans="1:30" x14ac:dyDescent="0.25">
      <c r="A2898" s="1">
        <v>44784.959166666667</v>
      </c>
      <c r="B2898" s="1">
        <v>44784.958287037036</v>
      </c>
      <c r="C2898">
        <v>1202</v>
      </c>
      <c r="D2898" t="s">
        <v>58</v>
      </c>
      <c r="E2898" t="s">
        <v>35</v>
      </c>
      <c r="F2898" t="s">
        <v>57</v>
      </c>
      <c r="G2898">
        <v>42.936554000000001</v>
      </c>
      <c r="H2898">
        <v>-72.271019999999993</v>
      </c>
      <c r="I2898">
        <v>488</v>
      </c>
      <c r="J2898">
        <v>0</v>
      </c>
      <c r="K2898">
        <v>0</v>
      </c>
      <c r="L2898" s="1">
        <v>44784.959050925929</v>
      </c>
      <c r="M2898">
        <v>6.3</v>
      </c>
      <c r="N2898">
        <v>5.7</v>
      </c>
      <c r="O2898">
        <v>0.6</v>
      </c>
      <c r="P2898">
        <v>10</v>
      </c>
      <c r="Q2898">
        <v>0.2</v>
      </c>
      <c r="R2898">
        <v>0.2</v>
      </c>
      <c r="S2898">
        <v>0.2</v>
      </c>
      <c r="T2898" t="s">
        <v>33</v>
      </c>
      <c r="U2898">
        <v>6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 t="s">
        <v>38</v>
      </c>
    </row>
    <row r="2899" spans="1:30" x14ac:dyDescent="0.25">
      <c r="A2899" s="1">
        <v>44784.959166666667</v>
      </c>
      <c r="B2899" s="1">
        <v>44612.080023148148</v>
      </c>
      <c r="C2899">
        <v>25985</v>
      </c>
      <c r="D2899" t="s">
        <v>59</v>
      </c>
      <c r="E2899" t="s">
        <v>35</v>
      </c>
      <c r="F2899">
        <v>6.01</v>
      </c>
      <c r="G2899">
        <v>42.927326000000001</v>
      </c>
      <c r="H2899">
        <v>-72.279979999999995</v>
      </c>
      <c r="I2899">
        <v>477</v>
      </c>
      <c r="J2899">
        <v>78</v>
      </c>
      <c r="K2899">
        <v>0</v>
      </c>
      <c r="L2899" s="1">
        <v>44784.959050925929</v>
      </c>
      <c r="M2899">
        <v>1.1000000000000001</v>
      </c>
      <c r="N2899">
        <v>1</v>
      </c>
      <c r="O2899">
        <v>0.1</v>
      </c>
      <c r="P2899">
        <v>10</v>
      </c>
      <c r="Q2899">
        <v>0</v>
      </c>
      <c r="R2899">
        <v>0</v>
      </c>
      <c r="S2899">
        <v>0</v>
      </c>
      <c r="T2899" t="s">
        <v>32</v>
      </c>
      <c r="V2899">
        <v>22</v>
      </c>
      <c r="W2899">
        <v>0</v>
      </c>
      <c r="X2899">
        <v>22</v>
      </c>
      <c r="Y2899">
        <v>0</v>
      </c>
      <c r="Z2899">
        <v>0</v>
      </c>
      <c r="AA2899">
        <v>0</v>
      </c>
      <c r="AB2899" t="s">
        <v>36</v>
      </c>
      <c r="AC2899">
        <v>22</v>
      </c>
    </row>
    <row r="2900" spans="1:30" x14ac:dyDescent="0.25">
      <c r="A2900" s="1">
        <v>44784.966006944444</v>
      </c>
      <c r="B2900" s="1">
        <v>44775.701319444444</v>
      </c>
      <c r="C2900">
        <v>151708</v>
      </c>
      <c r="D2900" t="s">
        <v>30</v>
      </c>
      <c r="E2900" t="s">
        <v>31</v>
      </c>
      <c r="F2900">
        <v>7</v>
      </c>
      <c r="G2900">
        <v>43.192042999999998</v>
      </c>
      <c r="H2900">
        <v>-71.541579999999996</v>
      </c>
      <c r="I2900">
        <v>291</v>
      </c>
      <c r="J2900">
        <v>93</v>
      </c>
      <c r="K2900">
        <v>94</v>
      </c>
      <c r="L2900" s="1">
        <v>44784.965995370374</v>
      </c>
      <c r="M2900">
        <v>7.9</v>
      </c>
      <c r="N2900">
        <v>7.6</v>
      </c>
      <c r="O2900">
        <v>0.3</v>
      </c>
      <c r="P2900">
        <v>4</v>
      </c>
      <c r="Q2900">
        <v>0</v>
      </c>
      <c r="R2900">
        <v>0</v>
      </c>
      <c r="S2900">
        <v>0</v>
      </c>
      <c r="T2900" t="s">
        <v>32</v>
      </c>
      <c r="V2900">
        <v>42</v>
      </c>
      <c r="W2900">
        <v>41</v>
      </c>
      <c r="X2900">
        <v>1</v>
      </c>
      <c r="Y2900">
        <v>0</v>
      </c>
      <c r="Z2900">
        <v>0</v>
      </c>
      <c r="AA2900">
        <v>0</v>
      </c>
      <c r="AB2900" t="s">
        <v>33</v>
      </c>
      <c r="AC2900">
        <v>41.5</v>
      </c>
    </row>
    <row r="2901" spans="1:30" x14ac:dyDescent="0.25">
      <c r="A2901" s="1">
        <v>44784.966006944444</v>
      </c>
      <c r="B2901" s="1">
        <v>44784.964421296296</v>
      </c>
      <c r="C2901">
        <v>143456</v>
      </c>
      <c r="D2901" t="s">
        <v>34</v>
      </c>
      <c r="E2901" t="s">
        <v>35</v>
      </c>
      <c r="F2901">
        <v>7</v>
      </c>
      <c r="G2901">
        <v>43.08963</v>
      </c>
      <c r="H2901">
        <v>-71.502440000000007</v>
      </c>
      <c r="I2901">
        <v>619</v>
      </c>
      <c r="J2901">
        <v>74</v>
      </c>
      <c r="K2901">
        <v>0</v>
      </c>
      <c r="L2901" s="1">
        <v>44784.965995370374</v>
      </c>
      <c r="M2901">
        <v>3</v>
      </c>
      <c r="N2901">
        <v>3.6</v>
      </c>
      <c r="O2901">
        <v>0.6</v>
      </c>
      <c r="P2901">
        <v>18</v>
      </c>
      <c r="Q2901">
        <v>0.1</v>
      </c>
      <c r="R2901">
        <v>0</v>
      </c>
      <c r="S2901">
        <v>0.05</v>
      </c>
      <c r="T2901" t="s">
        <v>33</v>
      </c>
      <c r="U2901">
        <v>3.3</v>
      </c>
      <c r="V2901">
        <v>59</v>
      </c>
      <c r="W2901">
        <v>0</v>
      </c>
      <c r="X2901">
        <v>59</v>
      </c>
      <c r="Y2901">
        <v>0</v>
      </c>
      <c r="Z2901">
        <v>0</v>
      </c>
      <c r="AA2901">
        <v>0</v>
      </c>
      <c r="AB2901" t="s">
        <v>36</v>
      </c>
      <c r="AC2901">
        <v>59</v>
      </c>
      <c r="AD2901">
        <v>0.04</v>
      </c>
    </row>
    <row r="2902" spans="1:30" x14ac:dyDescent="0.25">
      <c r="A2902" s="1">
        <v>44784.96601851852</v>
      </c>
      <c r="B2902" s="1">
        <v>44784.964560185188</v>
      </c>
      <c r="C2902">
        <v>151702</v>
      </c>
      <c r="D2902" t="s">
        <v>37</v>
      </c>
      <c r="E2902" t="s">
        <v>31</v>
      </c>
      <c r="F2902">
        <v>7</v>
      </c>
      <c r="G2902">
        <v>43.118609999999997</v>
      </c>
      <c r="H2902">
        <v>-71.61618</v>
      </c>
      <c r="I2902">
        <v>885</v>
      </c>
      <c r="J2902">
        <v>0</v>
      </c>
      <c r="K2902">
        <v>0</v>
      </c>
      <c r="L2902" s="1">
        <v>44784.965995370374</v>
      </c>
      <c r="M2902">
        <v>3.5</v>
      </c>
      <c r="N2902">
        <v>3.6</v>
      </c>
      <c r="O2902">
        <v>0.1</v>
      </c>
      <c r="P2902">
        <v>3</v>
      </c>
      <c r="Q2902">
        <v>0.3</v>
      </c>
      <c r="R2902">
        <v>0.2</v>
      </c>
      <c r="S2902">
        <v>0.25</v>
      </c>
      <c r="T2902" t="s">
        <v>33</v>
      </c>
      <c r="U2902">
        <v>3.55</v>
      </c>
      <c r="V2902">
        <v>0</v>
      </c>
      <c r="W2902">
        <v>0</v>
      </c>
      <c r="X2902">
        <v>0</v>
      </c>
      <c r="Y2902">
        <v>0</v>
      </c>
      <c r="Z2902">
        <v>0</v>
      </c>
      <c r="AA2902">
        <v>0</v>
      </c>
      <c r="AB2902" t="s">
        <v>38</v>
      </c>
    </row>
    <row r="2903" spans="1:30" x14ac:dyDescent="0.25">
      <c r="A2903" s="1">
        <v>44784.96601851852</v>
      </c>
      <c r="B2903" s="1">
        <v>44784.964467592596</v>
      </c>
      <c r="C2903">
        <v>151700</v>
      </c>
      <c r="D2903" t="s">
        <v>30</v>
      </c>
      <c r="E2903" t="s">
        <v>31</v>
      </c>
      <c r="F2903">
        <v>7</v>
      </c>
      <c r="G2903">
        <v>43.19211</v>
      </c>
      <c r="H2903">
        <v>-71.541460000000001</v>
      </c>
      <c r="I2903">
        <v>286</v>
      </c>
      <c r="J2903">
        <v>77</v>
      </c>
      <c r="K2903">
        <v>0</v>
      </c>
      <c r="L2903" s="1">
        <v>44784.965995370374</v>
      </c>
      <c r="M2903">
        <v>2.6</v>
      </c>
      <c r="N2903">
        <v>3.3</v>
      </c>
      <c r="O2903">
        <v>0.7</v>
      </c>
      <c r="P2903">
        <v>24</v>
      </c>
      <c r="Q2903">
        <v>0</v>
      </c>
      <c r="R2903">
        <v>0.1</v>
      </c>
      <c r="S2903">
        <v>0.05</v>
      </c>
      <c r="T2903" t="s">
        <v>33</v>
      </c>
      <c r="U2903">
        <v>2.95</v>
      </c>
      <c r="V2903">
        <v>52</v>
      </c>
      <c r="W2903">
        <v>0</v>
      </c>
      <c r="X2903">
        <v>52</v>
      </c>
      <c r="Y2903">
        <v>1</v>
      </c>
      <c r="Z2903">
        <v>0</v>
      </c>
      <c r="AA2903">
        <v>1</v>
      </c>
      <c r="AB2903" t="s">
        <v>36</v>
      </c>
      <c r="AC2903">
        <v>52</v>
      </c>
      <c r="AD2903">
        <v>0.32</v>
      </c>
    </row>
    <row r="2904" spans="1:30" x14ac:dyDescent="0.25">
      <c r="A2904" s="1">
        <v>44784.96603009259</v>
      </c>
      <c r="B2904" s="1">
        <v>44784.964918981481</v>
      </c>
      <c r="C2904">
        <v>135984</v>
      </c>
      <c r="D2904" t="s">
        <v>39</v>
      </c>
      <c r="E2904" t="s">
        <v>31</v>
      </c>
      <c r="F2904">
        <v>7</v>
      </c>
      <c r="G2904">
        <v>43.565852999999997</v>
      </c>
      <c r="H2904">
        <v>-71.496129999999994</v>
      </c>
      <c r="I2904">
        <v>708</v>
      </c>
      <c r="J2904">
        <v>67</v>
      </c>
      <c r="K2904">
        <v>0</v>
      </c>
      <c r="L2904" s="1">
        <v>44784.965995370374</v>
      </c>
      <c r="M2904">
        <v>4.3</v>
      </c>
      <c r="N2904">
        <v>4.0999999999999996</v>
      </c>
      <c r="O2904">
        <v>0.2</v>
      </c>
      <c r="P2904">
        <v>5</v>
      </c>
      <c r="Q2904">
        <v>0</v>
      </c>
      <c r="R2904">
        <v>0</v>
      </c>
      <c r="S2904">
        <v>0</v>
      </c>
      <c r="T2904" t="s">
        <v>33</v>
      </c>
      <c r="U2904">
        <v>4.2</v>
      </c>
      <c r="V2904">
        <v>90</v>
      </c>
      <c r="W2904">
        <v>0</v>
      </c>
      <c r="X2904">
        <v>90</v>
      </c>
      <c r="Y2904">
        <v>0</v>
      </c>
      <c r="Z2904">
        <v>0</v>
      </c>
      <c r="AA2904">
        <v>0</v>
      </c>
      <c r="AB2904" t="s">
        <v>36</v>
      </c>
      <c r="AC2904">
        <v>90</v>
      </c>
      <c r="AD2904">
        <v>-1.58</v>
      </c>
    </row>
    <row r="2905" spans="1:30" x14ac:dyDescent="0.25">
      <c r="A2905" s="1">
        <v>44784.96603009259</v>
      </c>
      <c r="B2905" s="1">
        <v>44780.394780092596</v>
      </c>
      <c r="C2905">
        <v>151712</v>
      </c>
      <c r="D2905" t="s">
        <v>40</v>
      </c>
      <c r="E2905" t="s">
        <v>31</v>
      </c>
      <c r="F2905">
        <v>7</v>
      </c>
      <c r="G2905">
        <v>43.289763999999998</v>
      </c>
      <c r="H2905">
        <v>-71.564260000000004</v>
      </c>
      <c r="I2905">
        <v>370</v>
      </c>
      <c r="J2905">
        <v>86</v>
      </c>
      <c r="K2905">
        <v>0</v>
      </c>
      <c r="L2905" s="1">
        <v>44784.965995370374</v>
      </c>
      <c r="M2905">
        <v>14</v>
      </c>
      <c r="N2905">
        <v>13.2</v>
      </c>
      <c r="O2905">
        <v>0.8</v>
      </c>
      <c r="P2905">
        <v>6</v>
      </c>
      <c r="Q2905">
        <v>0</v>
      </c>
      <c r="R2905">
        <v>0</v>
      </c>
      <c r="S2905">
        <v>0</v>
      </c>
      <c r="T2905" t="s">
        <v>32</v>
      </c>
      <c r="V2905">
        <v>59</v>
      </c>
      <c r="W2905">
        <v>0</v>
      </c>
      <c r="X2905">
        <v>59</v>
      </c>
      <c r="Y2905">
        <v>0</v>
      </c>
      <c r="Z2905">
        <v>0</v>
      </c>
      <c r="AA2905">
        <v>0</v>
      </c>
      <c r="AB2905" t="s">
        <v>36</v>
      </c>
      <c r="AC2905">
        <v>59</v>
      </c>
    </row>
    <row r="2906" spans="1:30" x14ac:dyDescent="0.25">
      <c r="A2906" s="1">
        <v>44784.966041666667</v>
      </c>
      <c r="B2906" s="1">
        <v>44784.964247685188</v>
      </c>
      <c r="C2906">
        <v>151710</v>
      </c>
      <c r="D2906" t="s">
        <v>41</v>
      </c>
      <c r="E2906" t="s">
        <v>31</v>
      </c>
      <c r="F2906">
        <v>7</v>
      </c>
      <c r="G2906">
        <v>43.132477000000002</v>
      </c>
      <c r="H2906">
        <v>-71.458374000000006</v>
      </c>
      <c r="I2906">
        <v>230</v>
      </c>
      <c r="J2906">
        <v>75</v>
      </c>
      <c r="K2906">
        <v>0</v>
      </c>
      <c r="L2906" s="1">
        <v>44784.965995370374</v>
      </c>
      <c r="M2906">
        <v>6.4</v>
      </c>
      <c r="N2906">
        <v>4.5</v>
      </c>
      <c r="O2906">
        <v>1.9</v>
      </c>
      <c r="P2906">
        <v>35</v>
      </c>
      <c r="Q2906">
        <v>0.2</v>
      </c>
      <c r="R2906">
        <v>0</v>
      </c>
      <c r="S2906">
        <v>0.1</v>
      </c>
      <c r="T2906" t="s">
        <v>33</v>
      </c>
      <c r="U2906">
        <v>5.45</v>
      </c>
      <c r="V2906">
        <v>54</v>
      </c>
      <c r="W2906">
        <v>0</v>
      </c>
      <c r="X2906">
        <v>54</v>
      </c>
      <c r="Y2906">
        <v>0</v>
      </c>
      <c r="Z2906">
        <v>0</v>
      </c>
      <c r="AA2906">
        <v>0</v>
      </c>
      <c r="AB2906" t="s">
        <v>36</v>
      </c>
      <c r="AC2906">
        <v>54</v>
      </c>
      <c r="AD2906">
        <v>1.7</v>
      </c>
    </row>
    <row r="2907" spans="1:30" x14ac:dyDescent="0.25">
      <c r="A2907" s="1">
        <v>44784.966041666667</v>
      </c>
      <c r="B2907" s="1">
        <v>44784.965243055558</v>
      </c>
      <c r="C2907">
        <v>151706</v>
      </c>
      <c r="D2907" t="s">
        <v>42</v>
      </c>
      <c r="E2907" t="s">
        <v>31</v>
      </c>
      <c r="F2907">
        <v>7</v>
      </c>
      <c r="G2907">
        <v>43.004080000000002</v>
      </c>
      <c r="H2907">
        <v>-71.177040000000005</v>
      </c>
      <c r="I2907">
        <v>194</v>
      </c>
      <c r="J2907">
        <v>74</v>
      </c>
      <c r="K2907">
        <v>0</v>
      </c>
      <c r="L2907" s="1">
        <v>44784.965995370374</v>
      </c>
      <c r="M2907">
        <v>13.4</v>
      </c>
      <c r="N2907">
        <v>0</v>
      </c>
      <c r="O2907">
        <v>13.4</v>
      </c>
      <c r="P2907">
        <v>200</v>
      </c>
      <c r="Q2907">
        <v>0.2</v>
      </c>
      <c r="R2907">
        <v>0</v>
      </c>
      <c r="S2907">
        <v>0.1</v>
      </c>
      <c r="T2907" t="s">
        <v>43</v>
      </c>
      <c r="V2907">
        <v>70</v>
      </c>
      <c r="W2907">
        <v>0</v>
      </c>
      <c r="X2907">
        <v>70</v>
      </c>
      <c r="Y2907">
        <v>1</v>
      </c>
      <c r="Z2907">
        <v>0</v>
      </c>
      <c r="AA2907">
        <v>1</v>
      </c>
      <c r="AB2907" t="s">
        <v>36</v>
      </c>
      <c r="AC2907">
        <v>70</v>
      </c>
    </row>
    <row r="2908" spans="1:30" x14ac:dyDescent="0.25">
      <c r="A2908" s="1">
        <v>44784.966053240743</v>
      </c>
      <c r="B2908" s="1">
        <v>44784.965069444443</v>
      </c>
      <c r="C2908">
        <v>12212</v>
      </c>
      <c r="D2908" t="s">
        <v>44</v>
      </c>
      <c r="E2908" t="s">
        <v>35</v>
      </c>
      <c r="F2908">
        <v>7</v>
      </c>
      <c r="G2908">
        <v>42.930529999999997</v>
      </c>
      <c r="H2908">
        <v>-72.272350000000003</v>
      </c>
      <c r="I2908">
        <v>476</v>
      </c>
      <c r="J2908">
        <v>77</v>
      </c>
      <c r="K2908">
        <v>0</v>
      </c>
      <c r="L2908" s="1">
        <v>44784.965995370374</v>
      </c>
      <c r="M2908">
        <v>5.8</v>
      </c>
      <c r="N2908">
        <v>4.9000000000000004</v>
      </c>
      <c r="O2908">
        <v>0.9</v>
      </c>
      <c r="P2908">
        <v>17</v>
      </c>
      <c r="Q2908">
        <v>0</v>
      </c>
      <c r="R2908">
        <v>0.1</v>
      </c>
      <c r="S2908">
        <v>0.05</v>
      </c>
      <c r="T2908" t="s">
        <v>33</v>
      </c>
      <c r="U2908">
        <v>5.35</v>
      </c>
      <c r="V2908">
        <v>60</v>
      </c>
      <c r="W2908">
        <v>0</v>
      </c>
      <c r="X2908">
        <v>60</v>
      </c>
      <c r="Y2908">
        <v>1</v>
      </c>
      <c r="Z2908">
        <v>0</v>
      </c>
      <c r="AA2908">
        <v>1</v>
      </c>
      <c r="AB2908" t="s">
        <v>36</v>
      </c>
      <c r="AC2908">
        <v>60</v>
      </c>
      <c r="AD2908">
        <v>1.22</v>
      </c>
    </row>
    <row r="2909" spans="1:30" x14ac:dyDescent="0.25">
      <c r="A2909" s="1">
        <v>44784.966053240743</v>
      </c>
      <c r="B2909" s="1">
        <v>44769.376736111109</v>
      </c>
      <c r="C2909">
        <v>12178</v>
      </c>
      <c r="D2909" t="s">
        <v>45</v>
      </c>
      <c r="E2909" t="s">
        <v>35</v>
      </c>
      <c r="F2909">
        <v>7</v>
      </c>
      <c r="G2909">
        <v>42.899563000000001</v>
      </c>
      <c r="H2909">
        <v>-71.464650000000006</v>
      </c>
      <c r="I2909">
        <v>301</v>
      </c>
      <c r="J2909">
        <v>85</v>
      </c>
      <c r="K2909">
        <v>0</v>
      </c>
      <c r="L2909" s="1">
        <v>44784.965995370374</v>
      </c>
      <c r="M2909">
        <v>3.8</v>
      </c>
      <c r="N2909">
        <v>3.1</v>
      </c>
      <c r="O2909">
        <v>0.7</v>
      </c>
      <c r="P2909">
        <v>20</v>
      </c>
      <c r="Q2909">
        <v>0</v>
      </c>
      <c r="R2909">
        <v>0</v>
      </c>
      <c r="S2909">
        <v>0</v>
      </c>
      <c r="T2909" t="s">
        <v>32</v>
      </c>
      <c r="V2909">
        <v>35</v>
      </c>
      <c r="W2909">
        <v>0</v>
      </c>
      <c r="X2909">
        <v>35</v>
      </c>
      <c r="Y2909">
        <v>0</v>
      </c>
      <c r="Z2909">
        <v>0</v>
      </c>
      <c r="AA2909">
        <v>0</v>
      </c>
      <c r="AB2909" t="s">
        <v>36</v>
      </c>
      <c r="AC2909">
        <v>35</v>
      </c>
    </row>
    <row r="2910" spans="1:30" x14ac:dyDescent="0.25">
      <c r="A2910" s="1">
        <v>44784.966064814813</v>
      </c>
      <c r="B2910" s="1">
        <v>44784.964317129627</v>
      </c>
      <c r="C2910">
        <v>75981</v>
      </c>
      <c r="D2910" t="s">
        <v>46</v>
      </c>
      <c r="E2910" t="s">
        <v>35</v>
      </c>
      <c r="F2910">
        <v>7</v>
      </c>
      <c r="G2910">
        <v>42.97</v>
      </c>
      <c r="H2910">
        <v>-71.06</v>
      </c>
      <c r="I2910">
        <v>136</v>
      </c>
      <c r="J2910">
        <v>78</v>
      </c>
      <c r="K2910">
        <v>0</v>
      </c>
      <c r="L2910" s="1">
        <v>44784.965995370374</v>
      </c>
      <c r="M2910">
        <v>15.7</v>
      </c>
      <c r="N2910">
        <v>12.2</v>
      </c>
      <c r="O2910">
        <v>3.5</v>
      </c>
      <c r="P2910">
        <v>25</v>
      </c>
      <c r="Q2910">
        <v>2</v>
      </c>
      <c r="R2910">
        <v>0.2</v>
      </c>
      <c r="S2910">
        <v>1.1000000000000001</v>
      </c>
      <c r="T2910" t="s">
        <v>33</v>
      </c>
      <c r="U2910">
        <v>13.95</v>
      </c>
      <c r="V2910">
        <v>60</v>
      </c>
      <c r="W2910">
        <v>0</v>
      </c>
      <c r="X2910">
        <v>60</v>
      </c>
      <c r="Y2910">
        <v>0</v>
      </c>
      <c r="Z2910">
        <v>0</v>
      </c>
      <c r="AA2910">
        <v>0</v>
      </c>
      <c r="AB2910" t="s">
        <v>36</v>
      </c>
      <c r="AC2910">
        <v>60</v>
      </c>
      <c r="AD2910">
        <v>6.47</v>
      </c>
    </row>
    <row r="2911" spans="1:30" x14ac:dyDescent="0.25">
      <c r="A2911" s="1">
        <v>44784.966064814813</v>
      </c>
      <c r="B2911" s="1">
        <v>44784.964861111112</v>
      </c>
      <c r="C2911">
        <v>115703</v>
      </c>
      <c r="D2911" t="s">
        <v>47</v>
      </c>
      <c r="E2911" t="s">
        <v>35</v>
      </c>
      <c r="F2911">
        <v>7</v>
      </c>
      <c r="G2911">
        <v>43.953625000000002</v>
      </c>
      <c r="H2911">
        <v>-71.508859999999999</v>
      </c>
      <c r="I2911">
        <v>1493</v>
      </c>
      <c r="J2911">
        <v>68</v>
      </c>
      <c r="K2911">
        <v>0</v>
      </c>
      <c r="L2911" s="1">
        <v>44784.965995370374</v>
      </c>
      <c r="M2911">
        <v>0</v>
      </c>
      <c r="N2911">
        <v>201</v>
      </c>
      <c r="O2911">
        <v>201</v>
      </c>
      <c r="P2911">
        <v>200</v>
      </c>
      <c r="Q2911">
        <v>0.1</v>
      </c>
      <c r="R2911">
        <v>0</v>
      </c>
      <c r="S2911">
        <v>0.05</v>
      </c>
      <c r="T2911" t="s">
        <v>48</v>
      </c>
      <c r="V2911">
        <v>67</v>
      </c>
      <c r="W2911">
        <v>0</v>
      </c>
      <c r="X2911">
        <v>67</v>
      </c>
      <c r="Y2911">
        <v>1</v>
      </c>
      <c r="Z2911">
        <v>0</v>
      </c>
      <c r="AA2911">
        <v>1</v>
      </c>
      <c r="AB2911" t="s">
        <v>36</v>
      </c>
      <c r="AC2911">
        <v>67</v>
      </c>
    </row>
    <row r="2912" spans="1:30" x14ac:dyDescent="0.25">
      <c r="A2912" s="1">
        <v>44784.966064814813</v>
      </c>
      <c r="B2912" s="1">
        <v>44784.96429398148</v>
      </c>
      <c r="C2912">
        <v>12050</v>
      </c>
      <c r="D2912" t="s">
        <v>49</v>
      </c>
      <c r="E2912" t="s">
        <v>35</v>
      </c>
      <c r="F2912">
        <v>7</v>
      </c>
      <c r="G2912">
        <v>44.220573000000002</v>
      </c>
      <c r="H2912">
        <v>-71.732315</v>
      </c>
      <c r="I2912">
        <v>999</v>
      </c>
      <c r="J2912">
        <v>74</v>
      </c>
      <c r="K2912">
        <v>0</v>
      </c>
      <c r="L2912" s="1">
        <v>44784.965995370374</v>
      </c>
      <c r="M2912">
        <v>17.5</v>
      </c>
      <c r="N2912">
        <v>17.3</v>
      </c>
      <c r="O2912">
        <v>0.2</v>
      </c>
      <c r="P2912">
        <v>1</v>
      </c>
      <c r="Q2912">
        <v>0.2</v>
      </c>
      <c r="R2912">
        <v>0</v>
      </c>
      <c r="S2912">
        <v>0.1</v>
      </c>
      <c r="T2912" t="s">
        <v>33</v>
      </c>
      <c r="U2912">
        <v>17.399999999999999</v>
      </c>
      <c r="V2912">
        <v>58</v>
      </c>
      <c r="W2912">
        <v>0</v>
      </c>
      <c r="X2912">
        <v>58</v>
      </c>
      <c r="Y2912">
        <v>0</v>
      </c>
      <c r="Z2912">
        <v>0</v>
      </c>
      <c r="AA2912">
        <v>0</v>
      </c>
      <c r="AB2912" t="s">
        <v>36</v>
      </c>
      <c r="AC2912">
        <v>58</v>
      </c>
      <c r="AD2912">
        <v>8.7100000000000009</v>
      </c>
    </row>
    <row r="2913" spans="1:30" x14ac:dyDescent="0.25">
      <c r="A2913" s="1">
        <v>44784.966157407405</v>
      </c>
      <c r="B2913" s="1">
        <v>44784.965798611112</v>
      </c>
      <c r="C2913">
        <v>23443</v>
      </c>
      <c r="D2913" t="s">
        <v>50</v>
      </c>
      <c r="E2913" t="s">
        <v>35</v>
      </c>
      <c r="F2913">
        <v>7</v>
      </c>
      <c r="G2913">
        <v>43.556139999999999</v>
      </c>
      <c r="H2913">
        <v>-72.370990000000006</v>
      </c>
      <c r="I2913">
        <v>523</v>
      </c>
      <c r="J2913">
        <v>71</v>
      </c>
      <c r="K2913">
        <v>0</v>
      </c>
      <c r="L2913" s="1">
        <v>44784.965995370374</v>
      </c>
      <c r="M2913">
        <v>7.3</v>
      </c>
      <c r="N2913">
        <v>6.5</v>
      </c>
      <c r="O2913">
        <v>0.8</v>
      </c>
      <c r="P2913">
        <v>12</v>
      </c>
      <c r="Q2913">
        <v>0.1</v>
      </c>
      <c r="R2913">
        <v>0.2</v>
      </c>
      <c r="S2913">
        <v>0.15</v>
      </c>
      <c r="T2913" t="s">
        <v>33</v>
      </c>
      <c r="U2913">
        <v>6.9</v>
      </c>
      <c r="V2913">
        <v>67</v>
      </c>
      <c r="W2913">
        <v>0</v>
      </c>
      <c r="X2913">
        <v>67</v>
      </c>
      <c r="Y2913">
        <v>0</v>
      </c>
      <c r="Z2913">
        <v>0</v>
      </c>
      <c r="AA2913">
        <v>0</v>
      </c>
      <c r="AB2913" t="s">
        <v>36</v>
      </c>
      <c r="AC2913">
        <v>67</v>
      </c>
      <c r="AD2913">
        <v>1.68</v>
      </c>
    </row>
    <row r="2914" spans="1:30" x14ac:dyDescent="0.25">
      <c r="A2914" s="1">
        <v>44784.966157407405</v>
      </c>
      <c r="B2914" s="1">
        <v>44784.965902777774</v>
      </c>
      <c r="C2914">
        <v>58135</v>
      </c>
      <c r="D2914" t="s">
        <v>51</v>
      </c>
      <c r="E2914" t="s">
        <v>35</v>
      </c>
      <c r="F2914">
        <v>7</v>
      </c>
      <c r="G2914">
        <v>42.883873000000001</v>
      </c>
      <c r="H2914">
        <v>-71.972915999999998</v>
      </c>
      <c r="I2914">
        <v>808</v>
      </c>
      <c r="J2914">
        <v>72</v>
      </c>
      <c r="K2914">
        <v>0</v>
      </c>
      <c r="L2914" s="1">
        <v>44784.965995370374</v>
      </c>
      <c r="M2914">
        <v>5.7</v>
      </c>
      <c r="N2914">
        <v>4.7</v>
      </c>
      <c r="O2914">
        <v>1</v>
      </c>
      <c r="P2914">
        <v>19</v>
      </c>
      <c r="Q2914">
        <v>0.1</v>
      </c>
      <c r="R2914">
        <v>0.5</v>
      </c>
      <c r="S2914">
        <v>0.3</v>
      </c>
      <c r="T2914" t="s">
        <v>33</v>
      </c>
      <c r="U2914">
        <v>5.2</v>
      </c>
      <c r="V2914">
        <v>61</v>
      </c>
      <c r="W2914">
        <v>0</v>
      </c>
      <c r="X2914">
        <v>61</v>
      </c>
      <c r="Y2914">
        <v>1</v>
      </c>
      <c r="Z2914">
        <v>0</v>
      </c>
      <c r="AA2914">
        <v>1</v>
      </c>
      <c r="AB2914" t="s">
        <v>36</v>
      </c>
      <c r="AC2914">
        <v>61</v>
      </c>
      <c r="AD2914">
        <v>1.06</v>
      </c>
    </row>
    <row r="2915" spans="1:30" x14ac:dyDescent="0.25">
      <c r="A2915" s="1">
        <v>44784.966168981482</v>
      </c>
      <c r="B2915" s="1">
        <v>44784.965879629628</v>
      </c>
      <c r="C2915">
        <v>148555</v>
      </c>
      <c r="D2915" t="s">
        <v>52</v>
      </c>
      <c r="E2915" t="s">
        <v>53</v>
      </c>
      <c r="F2915">
        <v>7</v>
      </c>
      <c r="G2915">
        <v>42.904949999999999</v>
      </c>
      <c r="H2915">
        <v>-71.386764999999997</v>
      </c>
      <c r="I2915">
        <v>363</v>
      </c>
      <c r="J2915">
        <v>0</v>
      </c>
      <c r="K2915">
        <v>0</v>
      </c>
      <c r="L2915" s="1">
        <v>44784.965995370374</v>
      </c>
      <c r="M2915">
        <v>3.1</v>
      </c>
      <c r="N2915">
        <v>3.7</v>
      </c>
      <c r="O2915">
        <v>0.6</v>
      </c>
      <c r="P2915">
        <v>18</v>
      </c>
      <c r="Q2915">
        <v>0</v>
      </c>
      <c r="R2915">
        <v>0.2</v>
      </c>
      <c r="S2915">
        <v>0.1</v>
      </c>
      <c r="T2915" t="s">
        <v>33</v>
      </c>
      <c r="U2915">
        <v>3.4</v>
      </c>
      <c r="V2915">
        <v>0</v>
      </c>
      <c r="W2915">
        <v>0</v>
      </c>
      <c r="X2915">
        <v>0</v>
      </c>
      <c r="Y2915">
        <v>0</v>
      </c>
      <c r="Z2915">
        <v>0</v>
      </c>
      <c r="AA2915">
        <v>0</v>
      </c>
      <c r="AB2915" t="s">
        <v>38</v>
      </c>
    </row>
    <row r="2916" spans="1:30" x14ac:dyDescent="0.25">
      <c r="A2916" s="1">
        <v>44784.966168981482</v>
      </c>
      <c r="B2916" s="1">
        <v>44784.963993055557</v>
      </c>
      <c r="C2916">
        <v>146644</v>
      </c>
      <c r="D2916" t="s">
        <v>54</v>
      </c>
      <c r="E2916" t="s">
        <v>53</v>
      </c>
      <c r="F2916">
        <v>7</v>
      </c>
      <c r="G2916">
        <v>43.06015</v>
      </c>
      <c r="H2916">
        <v>-70.758930000000007</v>
      </c>
      <c r="I2916">
        <v>35</v>
      </c>
      <c r="J2916">
        <v>71</v>
      </c>
      <c r="K2916">
        <v>73</v>
      </c>
      <c r="L2916" s="1">
        <v>44784.965995370374</v>
      </c>
      <c r="M2916">
        <v>13.6</v>
      </c>
      <c r="N2916">
        <v>12</v>
      </c>
      <c r="O2916">
        <v>1.6</v>
      </c>
      <c r="P2916">
        <v>12</v>
      </c>
      <c r="Q2916">
        <v>0.1</v>
      </c>
      <c r="R2916">
        <v>0.1</v>
      </c>
      <c r="S2916">
        <v>0.1</v>
      </c>
      <c r="T2916" t="s">
        <v>33</v>
      </c>
      <c r="U2916">
        <v>12.8</v>
      </c>
      <c r="V2916">
        <v>70</v>
      </c>
      <c r="W2916">
        <v>75</v>
      </c>
      <c r="X2916">
        <v>5</v>
      </c>
      <c r="Y2916">
        <v>1</v>
      </c>
      <c r="Z2916">
        <v>0</v>
      </c>
      <c r="AA2916">
        <v>1</v>
      </c>
      <c r="AB2916" t="s">
        <v>33</v>
      </c>
      <c r="AC2916">
        <v>72.5</v>
      </c>
      <c r="AD2916">
        <v>4.8899999999999997</v>
      </c>
    </row>
    <row r="2917" spans="1:30" x14ac:dyDescent="0.25">
      <c r="A2917" s="1">
        <v>44784.966180555559</v>
      </c>
      <c r="B2917" s="1">
        <v>43755.283437500002</v>
      </c>
      <c r="C2917">
        <v>12188</v>
      </c>
      <c r="D2917" t="s">
        <v>55</v>
      </c>
      <c r="E2917" t="s">
        <v>35</v>
      </c>
      <c r="F2917">
        <v>4.1100000000000003</v>
      </c>
      <c r="G2917">
        <v>42.927050000000001</v>
      </c>
      <c r="H2917">
        <v>-72.279610000000005</v>
      </c>
      <c r="I2917">
        <v>475</v>
      </c>
      <c r="J2917">
        <v>95</v>
      </c>
      <c r="K2917">
        <v>0</v>
      </c>
      <c r="L2917" s="1">
        <v>44784.965995370374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 t="s">
        <v>32</v>
      </c>
      <c r="V2917">
        <v>77</v>
      </c>
      <c r="W2917">
        <v>0</v>
      </c>
      <c r="X2917">
        <v>77</v>
      </c>
      <c r="Y2917">
        <v>0</v>
      </c>
      <c r="Z2917">
        <v>0</v>
      </c>
      <c r="AA2917">
        <v>0</v>
      </c>
      <c r="AB2917" t="s">
        <v>36</v>
      </c>
      <c r="AC2917">
        <v>77</v>
      </c>
    </row>
    <row r="2918" spans="1:30" x14ac:dyDescent="0.25">
      <c r="A2918" s="1">
        <v>44784.966180555559</v>
      </c>
      <c r="B2918" s="1">
        <v>44784.965787037036</v>
      </c>
      <c r="C2918">
        <v>1224</v>
      </c>
      <c r="D2918" t="s">
        <v>56</v>
      </c>
      <c r="E2918" t="s">
        <v>35</v>
      </c>
      <c r="F2918" t="s">
        <v>57</v>
      </c>
      <c r="G2918">
        <v>42.938034000000002</v>
      </c>
      <c r="H2918">
        <v>-72.259299999999996</v>
      </c>
      <c r="I2918">
        <v>792</v>
      </c>
      <c r="J2918">
        <v>75</v>
      </c>
      <c r="K2918">
        <v>0</v>
      </c>
      <c r="L2918" s="1">
        <v>44784.965995370374</v>
      </c>
      <c r="M2918">
        <v>5.7</v>
      </c>
      <c r="N2918">
        <v>0.1</v>
      </c>
      <c r="O2918">
        <v>5.6</v>
      </c>
      <c r="P2918">
        <v>193</v>
      </c>
      <c r="Q2918">
        <v>0.2</v>
      </c>
      <c r="R2918">
        <v>0.1</v>
      </c>
      <c r="S2918">
        <v>0.15</v>
      </c>
      <c r="T2918" t="s">
        <v>33</v>
      </c>
      <c r="U2918">
        <v>2.9</v>
      </c>
      <c r="V2918">
        <v>70</v>
      </c>
      <c r="W2918">
        <v>0</v>
      </c>
      <c r="X2918">
        <v>70</v>
      </c>
      <c r="Y2918">
        <v>2</v>
      </c>
      <c r="Z2918">
        <v>0</v>
      </c>
      <c r="AA2918">
        <v>2</v>
      </c>
      <c r="AB2918" t="s">
        <v>36</v>
      </c>
      <c r="AC2918">
        <v>70</v>
      </c>
      <c r="AD2918">
        <v>-0.97</v>
      </c>
    </row>
    <row r="2919" spans="1:30" x14ac:dyDescent="0.25">
      <c r="A2919" s="1">
        <v>44784.966180555559</v>
      </c>
      <c r="B2919" s="1">
        <v>44784.965231481481</v>
      </c>
      <c r="C2919">
        <v>1202</v>
      </c>
      <c r="D2919" t="s">
        <v>58</v>
      </c>
      <c r="E2919" t="s">
        <v>35</v>
      </c>
      <c r="F2919" t="s">
        <v>57</v>
      </c>
      <c r="G2919">
        <v>42.936554000000001</v>
      </c>
      <c r="H2919">
        <v>-72.271019999999993</v>
      </c>
      <c r="I2919">
        <v>488</v>
      </c>
      <c r="J2919">
        <v>0</v>
      </c>
      <c r="K2919">
        <v>0</v>
      </c>
      <c r="L2919" s="1">
        <v>44784.965995370374</v>
      </c>
      <c r="M2919">
        <v>6.3</v>
      </c>
      <c r="N2919">
        <v>5.5</v>
      </c>
      <c r="O2919">
        <v>0.8</v>
      </c>
      <c r="P2919">
        <v>14</v>
      </c>
      <c r="Q2919">
        <v>0</v>
      </c>
      <c r="R2919">
        <v>0.2</v>
      </c>
      <c r="S2919">
        <v>0.1</v>
      </c>
      <c r="T2919" t="s">
        <v>33</v>
      </c>
      <c r="U2919">
        <v>5.9</v>
      </c>
      <c r="V2919">
        <v>0</v>
      </c>
      <c r="W2919">
        <v>0</v>
      </c>
      <c r="X2919">
        <v>0</v>
      </c>
      <c r="Y2919">
        <v>0</v>
      </c>
      <c r="Z2919">
        <v>0</v>
      </c>
      <c r="AA2919">
        <v>0</v>
      </c>
      <c r="AB2919" t="s">
        <v>38</v>
      </c>
    </row>
    <row r="2920" spans="1:30" x14ac:dyDescent="0.25">
      <c r="A2920" s="1">
        <v>44784.966192129628</v>
      </c>
      <c r="B2920" s="1">
        <v>44612.080023148148</v>
      </c>
      <c r="C2920">
        <v>25985</v>
      </c>
      <c r="D2920" t="s">
        <v>59</v>
      </c>
      <c r="E2920" t="s">
        <v>35</v>
      </c>
      <c r="F2920">
        <v>6.01</v>
      </c>
      <c r="G2920">
        <v>42.927326000000001</v>
      </c>
      <c r="H2920">
        <v>-72.279979999999995</v>
      </c>
      <c r="I2920">
        <v>477</v>
      </c>
      <c r="J2920">
        <v>78</v>
      </c>
      <c r="K2920">
        <v>0</v>
      </c>
      <c r="L2920" s="1">
        <v>44784.965995370374</v>
      </c>
      <c r="M2920">
        <v>1.1000000000000001</v>
      </c>
      <c r="N2920">
        <v>1</v>
      </c>
      <c r="O2920">
        <v>0.1</v>
      </c>
      <c r="P2920">
        <v>10</v>
      </c>
      <c r="Q2920">
        <v>0</v>
      </c>
      <c r="R2920">
        <v>0</v>
      </c>
      <c r="S2920">
        <v>0</v>
      </c>
      <c r="T2920" t="s">
        <v>32</v>
      </c>
      <c r="V2920">
        <v>22</v>
      </c>
      <c r="W2920">
        <v>0</v>
      </c>
      <c r="X2920">
        <v>22</v>
      </c>
      <c r="Y2920">
        <v>0</v>
      </c>
      <c r="Z2920">
        <v>0</v>
      </c>
      <c r="AA2920">
        <v>0</v>
      </c>
      <c r="AB2920" t="s">
        <v>36</v>
      </c>
      <c r="AC2920">
        <v>22</v>
      </c>
    </row>
    <row r="2921" spans="1:30" x14ac:dyDescent="0.25">
      <c r="A2921" s="1">
        <v>44784.972951388889</v>
      </c>
      <c r="B2921" s="1">
        <v>44775.701319444444</v>
      </c>
      <c r="C2921">
        <v>151708</v>
      </c>
      <c r="D2921" t="s">
        <v>30</v>
      </c>
      <c r="E2921" t="s">
        <v>31</v>
      </c>
      <c r="F2921">
        <v>7</v>
      </c>
      <c r="G2921">
        <v>43.192042999999998</v>
      </c>
      <c r="H2921">
        <v>-71.541579999999996</v>
      </c>
      <c r="I2921">
        <v>291</v>
      </c>
      <c r="J2921">
        <v>93</v>
      </c>
      <c r="K2921">
        <v>94</v>
      </c>
      <c r="L2921" s="1">
        <v>44784.972939814812</v>
      </c>
      <c r="M2921">
        <v>7.9</v>
      </c>
      <c r="N2921">
        <v>7.6</v>
      </c>
      <c r="O2921">
        <v>0.3</v>
      </c>
      <c r="P2921">
        <v>4</v>
      </c>
      <c r="Q2921">
        <v>0</v>
      </c>
      <c r="R2921">
        <v>0</v>
      </c>
      <c r="S2921">
        <v>0</v>
      </c>
      <c r="T2921" t="s">
        <v>32</v>
      </c>
      <c r="V2921">
        <v>42</v>
      </c>
      <c r="W2921">
        <v>41</v>
      </c>
      <c r="X2921">
        <v>1</v>
      </c>
      <c r="Y2921">
        <v>0</v>
      </c>
      <c r="Z2921">
        <v>0</v>
      </c>
      <c r="AA2921">
        <v>0</v>
      </c>
      <c r="AB2921" t="s">
        <v>33</v>
      </c>
      <c r="AC2921">
        <v>41.5</v>
      </c>
    </row>
    <row r="2922" spans="1:30" x14ac:dyDescent="0.25">
      <c r="A2922" s="1">
        <v>44784.972962962966</v>
      </c>
      <c r="B2922" s="1">
        <v>44784.971377314818</v>
      </c>
      <c r="C2922">
        <v>143456</v>
      </c>
      <c r="D2922" t="s">
        <v>34</v>
      </c>
      <c r="E2922" t="s">
        <v>35</v>
      </c>
      <c r="F2922">
        <v>7</v>
      </c>
      <c r="G2922">
        <v>43.08963</v>
      </c>
      <c r="H2922">
        <v>-71.502440000000007</v>
      </c>
      <c r="I2922">
        <v>619</v>
      </c>
      <c r="J2922">
        <v>73</v>
      </c>
      <c r="K2922">
        <v>0</v>
      </c>
      <c r="L2922" s="1">
        <v>44784.972939814812</v>
      </c>
      <c r="M2922">
        <v>3</v>
      </c>
      <c r="N2922">
        <v>3.7</v>
      </c>
      <c r="O2922">
        <v>0.7</v>
      </c>
      <c r="P2922">
        <v>21</v>
      </c>
      <c r="Q2922">
        <v>0</v>
      </c>
      <c r="R2922">
        <v>0.1</v>
      </c>
      <c r="S2922">
        <v>0.05</v>
      </c>
      <c r="T2922" t="s">
        <v>33</v>
      </c>
      <c r="U2922">
        <v>3.35</v>
      </c>
      <c r="V2922">
        <v>58</v>
      </c>
      <c r="W2922">
        <v>0</v>
      </c>
      <c r="X2922">
        <v>58</v>
      </c>
      <c r="Y2922">
        <v>1</v>
      </c>
      <c r="Z2922">
        <v>0</v>
      </c>
      <c r="AA2922">
        <v>1</v>
      </c>
      <c r="AB2922" t="s">
        <v>36</v>
      </c>
      <c r="AC2922">
        <v>58</v>
      </c>
      <c r="AD2922">
        <v>0.14000000000000001</v>
      </c>
    </row>
    <row r="2923" spans="1:30" x14ac:dyDescent="0.25">
      <c r="A2923" s="1">
        <v>44784.972962962966</v>
      </c>
      <c r="B2923" s="1">
        <v>44784.971504629626</v>
      </c>
      <c r="C2923">
        <v>151702</v>
      </c>
      <c r="D2923" t="s">
        <v>37</v>
      </c>
      <c r="E2923" t="s">
        <v>31</v>
      </c>
      <c r="F2923">
        <v>7</v>
      </c>
      <c r="G2923">
        <v>43.118609999999997</v>
      </c>
      <c r="H2923">
        <v>-71.61618</v>
      </c>
      <c r="I2923">
        <v>885</v>
      </c>
      <c r="J2923">
        <v>0</v>
      </c>
      <c r="K2923">
        <v>0</v>
      </c>
      <c r="L2923" s="1">
        <v>44784.972939814812</v>
      </c>
      <c r="M2923">
        <v>3.8</v>
      </c>
      <c r="N2923">
        <v>3.7</v>
      </c>
      <c r="O2923">
        <v>0.1</v>
      </c>
      <c r="P2923">
        <v>3</v>
      </c>
      <c r="Q2923">
        <v>0.3</v>
      </c>
      <c r="R2923">
        <v>0.1</v>
      </c>
      <c r="S2923">
        <v>0.2</v>
      </c>
      <c r="T2923" t="s">
        <v>33</v>
      </c>
      <c r="U2923">
        <v>3.75</v>
      </c>
      <c r="V2923">
        <v>0</v>
      </c>
      <c r="W2923">
        <v>0</v>
      </c>
      <c r="X2923">
        <v>0</v>
      </c>
      <c r="Y2923">
        <v>0</v>
      </c>
      <c r="Z2923">
        <v>0</v>
      </c>
      <c r="AA2923">
        <v>0</v>
      </c>
      <c r="AB2923" t="s">
        <v>38</v>
      </c>
    </row>
    <row r="2924" spans="1:30" x14ac:dyDescent="0.25">
      <c r="A2924" s="1">
        <v>44784.972962962966</v>
      </c>
      <c r="B2924" s="1">
        <v>44784.971412037034</v>
      </c>
      <c r="C2924">
        <v>151700</v>
      </c>
      <c r="D2924" t="s">
        <v>30</v>
      </c>
      <c r="E2924" t="s">
        <v>31</v>
      </c>
      <c r="F2924">
        <v>7</v>
      </c>
      <c r="G2924">
        <v>43.19211</v>
      </c>
      <c r="H2924">
        <v>-71.541460000000001</v>
      </c>
      <c r="I2924">
        <v>286</v>
      </c>
      <c r="J2924">
        <v>76</v>
      </c>
      <c r="K2924">
        <v>0</v>
      </c>
      <c r="L2924" s="1">
        <v>44784.972939814812</v>
      </c>
      <c r="M2924">
        <v>2.8</v>
      </c>
      <c r="N2924">
        <v>3.3</v>
      </c>
      <c r="O2924">
        <v>0.5</v>
      </c>
      <c r="P2924">
        <v>16</v>
      </c>
      <c r="Q2924">
        <v>0.2</v>
      </c>
      <c r="R2924">
        <v>0</v>
      </c>
      <c r="S2924">
        <v>0.1</v>
      </c>
      <c r="T2924" t="s">
        <v>33</v>
      </c>
      <c r="U2924">
        <v>3.05</v>
      </c>
      <c r="V2924">
        <v>53</v>
      </c>
      <c r="W2924">
        <v>0</v>
      </c>
      <c r="X2924">
        <v>53</v>
      </c>
      <c r="Y2924">
        <v>1</v>
      </c>
      <c r="Z2924">
        <v>0</v>
      </c>
      <c r="AA2924">
        <v>1</v>
      </c>
      <c r="AB2924" t="s">
        <v>36</v>
      </c>
      <c r="AC2924">
        <v>53</v>
      </c>
      <c r="AD2924">
        <v>0.31</v>
      </c>
    </row>
    <row r="2925" spans="1:30" x14ac:dyDescent="0.25">
      <c r="A2925" s="1">
        <v>44784.972974537035</v>
      </c>
      <c r="B2925" s="1">
        <v>44784.971863425926</v>
      </c>
      <c r="C2925">
        <v>135984</v>
      </c>
      <c r="D2925" t="s">
        <v>39</v>
      </c>
      <c r="E2925" t="s">
        <v>31</v>
      </c>
      <c r="F2925">
        <v>7</v>
      </c>
      <c r="G2925">
        <v>43.565852999999997</v>
      </c>
      <c r="H2925">
        <v>-71.496129999999994</v>
      </c>
      <c r="I2925">
        <v>708</v>
      </c>
      <c r="J2925">
        <v>67</v>
      </c>
      <c r="K2925">
        <v>0</v>
      </c>
      <c r="L2925" s="1">
        <v>44784.972939814812</v>
      </c>
      <c r="M2925">
        <v>4.4000000000000004</v>
      </c>
      <c r="N2925">
        <v>4.0999999999999996</v>
      </c>
      <c r="O2925">
        <v>0.3</v>
      </c>
      <c r="P2925">
        <v>7</v>
      </c>
      <c r="Q2925">
        <v>0.1</v>
      </c>
      <c r="R2925">
        <v>0</v>
      </c>
      <c r="S2925">
        <v>0.05</v>
      </c>
      <c r="T2925" t="s">
        <v>33</v>
      </c>
      <c r="U2925">
        <v>4.25</v>
      </c>
      <c r="V2925">
        <v>90</v>
      </c>
      <c r="W2925">
        <v>0</v>
      </c>
      <c r="X2925">
        <v>90</v>
      </c>
      <c r="Y2925">
        <v>0</v>
      </c>
      <c r="Z2925">
        <v>0</v>
      </c>
      <c r="AA2925">
        <v>0</v>
      </c>
      <c r="AB2925" t="s">
        <v>36</v>
      </c>
      <c r="AC2925">
        <v>90</v>
      </c>
      <c r="AD2925">
        <v>-1.55</v>
      </c>
    </row>
    <row r="2926" spans="1:30" x14ac:dyDescent="0.25">
      <c r="A2926" s="1">
        <v>44784.972974537035</v>
      </c>
      <c r="B2926" s="1">
        <v>44780.394780092596</v>
      </c>
      <c r="C2926">
        <v>151712</v>
      </c>
      <c r="D2926" t="s">
        <v>40</v>
      </c>
      <c r="E2926" t="s">
        <v>31</v>
      </c>
      <c r="F2926">
        <v>7</v>
      </c>
      <c r="G2926">
        <v>43.289763999999998</v>
      </c>
      <c r="H2926">
        <v>-71.564260000000004</v>
      </c>
      <c r="I2926">
        <v>370</v>
      </c>
      <c r="J2926">
        <v>86</v>
      </c>
      <c r="K2926">
        <v>0</v>
      </c>
      <c r="L2926" s="1">
        <v>44784.972939814812</v>
      </c>
      <c r="M2926">
        <v>14</v>
      </c>
      <c r="N2926">
        <v>13.2</v>
      </c>
      <c r="O2926">
        <v>0.8</v>
      </c>
      <c r="P2926">
        <v>6</v>
      </c>
      <c r="Q2926">
        <v>0</v>
      </c>
      <c r="R2926">
        <v>0</v>
      </c>
      <c r="S2926">
        <v>0</v>
      </c>
      <c r="T2926" t="s">
        <v>32</v>
      </c>
      <c r="V2926">
        <v>59</v>
      </c>
      <c r="W2926">
        <v>0</v>
      </c>
      <c r="X2926">
        <v>59</v>
      </c>
      <c r="Y2926">
        <v>0</v>
      </c>
      <c r="Z2926">
        <v>0</v>
      </c>
      <c r="AA2926">
        <v>0</v>
      </c>
      <c r="AB2926" t="s">
        <v>36</v>
      </c>
      <c r="AC2926">
        <v>59</v>
      </c>
    </row>
    <row r="2927" spans="1:30" x14ac:dyDescent="0.25">
      <c r="A2927" s="1">
        <v>44784.972986111112</v>
      </c>
      <c r="B2927" s="1">
        <v>44784.971192129633</v>
      </c>
      <c r="C2927">
        <v>151710</v>
      </c>
      <c r="D2927" t="s">
        <v>41</v>
      </c>
      <c r="E2927" t="s">
        <v>31</v>
      </c>
      <c r="F2927">
        <v>7</v>
      </c>
      <c r="G2927">
        <v>43.132477000000002</v>
      </c>
      <c r="H2927">
        <v>-71.458374000000006</v>
      </c>
      <c r="I2927">
        <v>230</v>
      </c>
      <c r="J2927">
        <v>74</v>
      </c>
      <c r="K2927">
        <v>0</v>
      </c>
      <c r="L2927" s="1">
        <v>44784.972939814812</v>
      </c>
      <c r="M2927">
        <v>6</v>
      </c>
      <c r="N2927">
        <v>4.4000000000000004</v>
      </c>
      <c r="O2927">
        <v>1.6</v>
      </c>
      <c r="P2927">
        <v>31</v>
      </c>
      <c r="Q2927">
        <v>0.4</v>
      </c>
      <c r="R2927">
        <v>0.1</v>
      </c>
      <c r="S2927">
        <v>0.25</v>
      </c>
      <c r="T2927" t="s">
        <v>33</v>
      </c>
      <c r="U2927">
        <v>5.2</v>
      </c>
      <c r="V2927">
        <v>55</v>
      </c>
      <c r="W2927">
        <v>0</v>
      </c>
      <c r="X2927">
        <v>55</v>
      </c>
      <c r="Y2927">
        <v>1</v>
      </c>
      <c r="Z2927">
        <v>0</v>
      </c>
      <c r="AA2927">
        <v>1</v>
      </c>
      <c r="AB2927" t="s">
        <v>36</v>
      </c>
      <c r="AC2927">
        <v>55</v>
      </c>
      <c r="AD2927">
        <v>1.48</v>
      </c>
    </row>
    <row r="2928" spans="1:30" x14ac:dyDescent="0.25">
      <c r="A2928" s="1">
        <v>44784.972986111112</v>
      </c>
      <c r="B2928" s="1">
        <v>44784.972187500003</v>
      </c>
      <c r="C2928">
        <v>151706</v>
      </c>
      <c r="D2928" t="s">
        <v>42</v>
      </c>
      <c r="E2928" t="s">
        <v>31</v>
      </c>
      <c r="F2928">
        <v>7</v>
      </c>
      <c r="G2928">
        <v>43.004080000000002</v>
      </c>
      <c r="H2928">
        <v>-71.177040000000005</v>
      </c>
      <c r="I2928">
        <v>194</v>
      </c>
      <c r="J2928">
        <v>74</v>
      </c>
      <c r="K2928">
        <v>0</v>
      </c>
      <c r="L2928" s="1">
        <v>44784.972939814812</v>
      </c>
      <c r="M2928">
        <v>13.4</v>
      </c>
      <c r="N2928">
        <v>0</v>
      </c>
      <c r="O2928">
        <v>13.4</v>
      </c>
      <c r="P2928">
        <v>200</v>
      </c>
      <c r="Q2928">
        <v>0</v>
      </c>
      <c r="R2928">
        <v>0</v>
      </c>
      <c r="S2928">
        <v>0</v>
      </c>
      <c r="T2928" t="s">
        <v>43</v>
      </c>
      <c r="V2928">
        <v>70</v>
      </c>
      <c r="W2928">
        <v>0</v>
      </c>
      <c r="X2928">
        <v>70</v>
      </c>
      <c r="Y2928">
        <v>0</v>
      </c>
      <c r="Z2928">
        <v>0</v>
      </c>
      <c r="AA2928">
        <v>0</v>
      </c>
      <c r="AB2928" t="s">
        <v>36</v>
      </c>
      <c r="AC2928">
        <v>70</v>
      </c>
    </row>
    <row r="2929" spans="1:30" x14ac:dyDescent="0.25">
      <c r="A2929" s="1">
        <v>44784.972997685189</v>
      </c>
      <c r="B2929" s="1">
        <v>44784.972013888888</v>
      </c>
      <c r="C2929">
        <v>12212</v>
      </c>
      <c r="D2929" t="s">
        <v>44</v>
      </c>
      <c r="E2929" t="s">
        <v>35</v>
      </c>
      <c r="F2929">
        <v>7</v>
      </c>
      <c r="G2929">
        <v>42.930529999999997</v>
      </c>
      <c r="H2929">
        <v>-72.272350000000003</v>
      </c>
      <c r="I2929">
        <v>476</v>
      </c>
      <c r="J2929">
        <v>76</v>
      </c>
      <c r="K2929">
        <v>0</v>
      </c>
      <c r="L2929" s="1">
        <v>44784.972939814812</v>
      </c>
      <c r="M2929">
        <v>5.8</v>
      </c>
      <c r="N2929">
        <v>4.8</v>
      </c>
      <c r="O2929">
        <v>1</v>
      </c>
      <c r="P2929">
        <v>19</v>
      </c>
      <c r="Q2929">
        <v>0</v>
      </c>
      <c r="R2929">
        <v>0.1</v>
      </c>
      <c r="S2929">
        <v>0.05</v>
      </c>
      <c r="T2929" t="s">
        <v>33</v>
      </c>
      <c r="U2929">
        <v>5.3</v>
      </c>
      <c r="V2929">
        <v>61</v>
      </c>
      <c r="W2929">
        <v>0</v>
      </c>
      <c r="X2929">
        <v>61</v>
      </c>
      <c r="Y2929">
        <v>1</v>
      </c>
      <c r="Z2929">
        <v>0</v>
      </c>
      <c r="AA2929">
        <v>1</v>
      </c>
      <c r="AB2929" t="s">
        <v>36</v>
      </c>
      <c r="AC2929">
        <v>61</v>
      </c>
      <c r="AD2929">
        <v>1.1200000000000001</v>
      </c>
    </row>
    <row r="2930" spans="1:30" x14ac:dyDescent="0.25">
      <c r="A2930" s="1">
        <v>44784.972997685189</v>
      </c>
      <c r="B2930" s="1">
        <v>44769.376736111109</v>
      </c>
      <c r="C2930">
        <v>12178</v>
      </c>
      <c r="D2930" t="s">
        <v>45</v>
      </c>
      <c r="E2930" t="s">
        <v>35</v>
      </c>
      <c r="F2930">
        <v>7</v>
      </c>
      <c r="G2930">
        <v>42.899563000000001</v>
      </c>
      <c r="H2930">
        <v>-71.464650000000006</v>
      </c>
      <c r="I2930">
        <v>301</v>
      </c>
      <c r="J2930">
        <v>85</v>
      </c>
      <c r="K2930">
        <v>0</v>
      </c>
      <c r="L2930" s="1">
        <v>44784.972939814812</v>
      </c>
      <c r="M2930">
        <v>3.8</v>
      </c>
      <c r="N2930">
        <v>3.1</v>
      </c>
      <c r="O2930">
        <v>0.7</v>
      </c>
      <c r="P2930">
        <v>20</v>
      </c>
      <c r="Q2930">
        <v>0</v>
      </c>
      <c r="R2930">
        <v>0</v>
      </c>
      <c r="S2930">
        <v>0</v>
      </c>
      <c r="T2930" t="s">
        <v>32</v>
      </c>
      <c r="V2930">
        <v>35</v>
      </c>
      <c r="W2930">
        <v>0</v>
      </c>
      <c r="X2930">
        <v>35</v>
      </c>
      <c r="Y2930">
        <v>0</v>
      </c>
      <c r="Z2930">
        <v>0</v>
      </c>
      <c r="AA2930">
        <v>0</v>
      </c>
      <c r="AB2930" t="s">
        <v>36</v>
      </c>
      <c r="AC2930">
        <v>35</v>
      </c>
    </row>
    <row r="2931" spans="1:30" x14ac:dyDescent="0.25">
      <c r="A2931" s="1">
        <v>44784.972997685189</v>
      </c>
      <c r="B2931" s="1">
        <v>44784.971261574072</v>
      </c>
      <c r="C2931">
        <v>75981</v>
      </c>
      <c r="D2931" t="s">
        <v>46</v>
      </c>
      <c r="E2931" t="s">
        <v>35</v>
      </c>
      <c r="F2931">
        <v>7</v>
      </c>
      <c r="G2931">
        <v>42.97</v>
      </c>
      <c r="H2931">
        <v>-71.06</v>
      </c>
      <c r="I2931">
        <v>136</v>
      </c>
      <c r="J2931">
        <v>78</v>
      </c>
      <c r="K2931">
        <v>0</v>
      </c>
      <c r="L2931" s="1">
        <v>44784.972939814812</v>
      </c>
      <c r="M2931">
        <v>14.4</v>
      </c>
      <c r="N2931">
        <v>12.3</v>
      </c>
      <c r="O2931">
        <v>2.1</v>
      </c>
      <c r="P2931">
        <v>16</v>
      </c>
      <c r="Q2931">
        <v>1.3</v>
      </c>
      <c r="R2931">
        <v>0.1</v>
      </c>
      <c r="S2931">
        <v>0.7</v>
      </c>
      <c r="T2931" t="s">
        <v>33</v>
      </c>
      <c r="U2931">
        <v>13.35</v>
      </c>
      <c r="V2931">
        <v>60</v>
      </c>
      <c r="W2931">
        <v>0</v>
      </c>
      <c r="X2931">
        <v>60</v>
      </c>
      <c r="Y2931">
        <v>0</v>
      </c>
      <c r="Z2931">
        <v>0</v>
      </c>
      <c r="AA2931">
        <v>0</v>
      </c>
      <c r="AB2931" t="s">
        <v>36</v>
      </c>
      <c r="AC2931">
        <v>60</v>
      </c>
      <c r="AD2931">
        <v>6.1</v>
      </c>
    </row>
    <row r="2932" spans="1:30" x14ac:dyDescent="0.25">
      <c r="A2932" s="1">
        <v>44784.973009259258</v>
      </c>
      <c r="B2932" s="1">
        <v>44784.971805555557</v>
      </c>
      <c r="C2932">
        <v>115703</v>
      </c>
      <c r="D2932" t="s">
        <v>47</v>
      </c>
      <c r="E2932" t="s">
        <v>35</v>
      </c>
      <c r="F2932">
        <v>7</v>
      </c>
      <c r="G2932">
        <v>43.953625000000002</v>
      </c>
      <c r="H2932">
        <v>-71.508859999999999</v>
      </c>
      <c r="I2932">
        <v>1493</v>
      </c>
      <c r="J2932">
        <v>68</v>
      </c>
      <c r="K2932">
        <v>0</v>
      </c>
      <c r="L2932" s="1">
        <v>44784.972939814812</v>
      </c>
      <c r="M2932">
        <v>0.1</v>
      </c>
      <c r="N2932">
        <v>201</v>
      </c>
      <c r="O2932">
        <v>200.9</v>
      </c>
      <c r="P2932">
        <v>200</v>
      </c>
      <c r="Q2932">
        <v>0.1</v>
      </c>
      <c r="R2932">
        <v>0</v>
      </c>
      <c r="S2932">
        <v>0.05</v>
      </c>
      <c r="T2932" t="s">
        <v>60</v>
      </c>
      <c r="V2932">
        <v>66</v>
      </c>
      <c r="W2932">
        <v>0</v>
      </c>
      <c r="X2932">
        <v>66</v>
      </c>
      <c r="Y2932">
        <v>1</v>
      </c>
      <c r="Z2932">
        <v>0</v>
      </c>
      <c r="AA2932">
        <v>1</v>
      </c>
      <c r="AB2932" t="s">
        <v>36</v>
      </c>
      <c r="AC2932">
        <v>66</v>
      </c>
    </row>
    <row r="2933" spans="1:30" x14ac:dyDescent="0.25">
      <c r="A2933" s="1">
        <v>44784.973009259258</v>
      </c>
      <c r="B2933" s="1">
        <v>44784.971238425926</v>
      </c>
      <c r="C2933">
        <v>12050</v>
      </c>
      <c r="D2933" t="s">
        <v>49</v>
      </c>
      <c r="E2933" t="s">
        <v>35</v>
      </c>
      <c r="F2933">
        <v>7</v>
      </c>
      <c r="G2933">
        <v>44.220573000000002</v>
      </c>
      <c r="H2933">
        <v>-71.732315</v>
      </c>
      <c r="I2933">
        <v>999</v>
      </c>
      <c r="J2933">
        <v>73</v>
      </c>
      <c r="K2933">
        <v>0</v>
      </c>
      <c r="L2933" s="1">
        <v>44784.972939814812</v>
      </c>
      <c r="M2933">
        <v>18.100000000000001</v>
      </c>
      <c r="N2933">
        <v>17.600000000000001</v>
      </c>
      <c r="O2933">
        <v>0.5</v>
      </c>
      <c r="P2933">
        <v>3</v>
      </c>
      <c r="Q2933">
        <v>0.6</v>
      </c>
      <c r="R2933">
        <v>0.3</v>
      </c>
      <c r="S2933">
        <v>0.44999999999999901</v>
      </c>
      <c r="T2933" t="s">
        <v>33</v>
      </c>
      <c r="U2933">
        <v>17.850000000000001</v>
      </c>
      <c r="V2933">
        <v>58</v>
      </c>
      <c r="W2933">
        <v>0</v>
      </c>
      <c r="X2933">
        <v>58</v>
      </c>
      <c r="Y2933">
        <v>0</v>
      </c>
      <c r="Z2933">
        <v>0</v>
      </c>
      <c r="AA2933">
        <v>0</v>
      </c>
      <c r="AB2933" t="s">
        <v>36</v>
      </c>
      <c r="AC2933">
        <v>58</v>
      </c>
      <c r="AD2933">
        <v>8.99</v>
      </c>
    </row>
    <row r="2934" spans="1:30" x14ac:dyDescent="0.25">
      <c r="A2934" s="1">
        <v>44784.973020833335</v>
      </c>
      <c r="B2934" s="1">
        <v>44784.971354166664</v>
      </c>
      <c r="C2934">
        <v>23443</v>
      </c>
      <c r="D2934" t="s">
        <v>50</v>
      </c>
      <c r="E2934" t="s">
        <v>35</v>
      </c>
      <c r="F2934">
        <v>7</v>
      </c>
      <c r="G2934">
        <v>43.556139999999999</v>
      </c>
      <c r="H2934">
        <v>-72.370990000000006</v>
      </c>
      <c r="I2934">
        <v>523</v>
      </c>
      <c r="J2934">
        <v>71</v>
      </c>
      <c r="K2934">
        <v>0</v>
      </c>
      <c r="L2934" s="1">
        <v>44784.972939814812</v>
      </c>
      <c r="M2934">
        <v>7.2</v>
      </c>
      <c r="N2934">
        <v>6.4</v>
      </c>
      <c r="O2934">
        <v>0.8</v>
      </c>
      <c r="P2934">
        <v>12</v>
      </c>
      <c r="Q2934">
        <v>0.1</v>
      </c>
      <c r="R2934">
        <v>0.1</v>
      </c>
      <c r="S2934">
        <v>0.1</v>
      </c>
      <c r="T2934" t="s">
        <v>33</v>
      </c>
      <c r="U2934">
        <v>6.8</v>
      </c>
      <c r="V2934">
        <v>67</v>
      </c>
      <c r="W2934">
        <v>0</v>
      </c>
      <c r="X2934">
        <v>67</v>
      </c>
      <c r="Y2934">
        <v>0</v>
      </c>
      <c r="Z2934">
        <v>0</v>
      </c>
      <c r="AA2934">
        <v>0</v>
      </c>
      <c r="AB2934" t="s">
        <v>36</v>
      </c>
      <c r="AC2934">
        <v>67</v>
      </c>
      <c r="AD2934">
        <v>1.62</v>
      </c>
    </row>
    <row r="2935" spans="1:30" x14ac:dyDescent="0.25">
      <c r="A2935" s="1">
        <v>44784.973020833335</v>
      </c>
      <c r="B2935" s="1">
        <v>44784.971458333333</v>
      </c>
      <c r="C2935">
        <v>58135</v>
      </c>
      <c r="D2935" t="s">
        <v>51</v>
      </c>
      <c r="E2935" t="s">
        <v>35</v>
      </c>
      <c r="F2935">
        <v>7</v>
      </c>
      <c r="G2935">
        <v>42.883873000000001</v>
      </c>
      <c r="H2935">
        <v>-71.972915999999998</v>
      </c>
      <c r="I2935">
        <v>808</v>
      </c>
      <c r="J2935">
        <v>72</v>
      </c>
      <c r="K2935">
        <v>0</v>
      </c>
      <c r="L2935" s="1">
        <v>44784.972939814812</v>
      </c>
      <c r="M2935">
        <v>6</v>
      </c>
      <c r="N2935">
        <v>4.5999999999999996</v>
      </c>
      <c r="O2935">
        <v>1.4</v>
      </c>
      <c r="P2935">
        <v>26</v>
      </c>
      <c r="Q2935">
        <v>0.3</v>
      </c>
      <c r="R2935">
        <v>0.1</v>
      </c>
      <c r="S2935">
        <v>0.2</v>
      </c>
      <c r="T2935" t="s">
        <v>33</v>
      </c>
      <c r="U2935">
        <v>5.3</v>
      </c>
      <c r="V2935">
        <v>60</v>
      </c>
      <c r="W2935">
        <v>0</v>
      </c>
      <c r="X2935">
        <v>60</v>
      </c>
      <c r="Y2935">
        <v>1</v>
      </c>
      <c r="Z2935">
        <v>0</v>
      </c>
      <c r="AA2935">
        <v>1</v>
      </c>
      <c r="AB2935" t="s">
        <v>36</v>
      </c>
      <c r="AC2935">
        <v>60</v>
      </c>
      <c r="AD2935">
        <v>1.19</v>
      </c>
    </row>
    <row r="2936" spans="1:30" x14ac:dyDescent="0.25">
      <c r="A2936" s="1">
        <v>44784.973032407404</v>
      </c>
      <c r="B2936" s="1">
        <v>44784.971435185187</v>
      </c>
      <c r="C2936">
        <v>148555</v>
      </c>
      <c r="D2936" t="s">
        <v>52</v>
      </c>
      <c r="E2936" t="s">
        <v>53</v>
      </c>
      <c r="F2936">
        <v>7</v>
      </c>
      <c r="G2936">
        <v>42.904949999999999</v>
      </c>
      <c r="H2936">
        <v>-71.386764999999997</v>
      </c>
      <c r="I2936">
        <v>363</v>
      </c>
      <c r="J2936">
        <v>0</v>
      </c>
      <c r="K2936">
        <v>0</v>
      </c>
      <c r="L2936" s="1">
        <v>44784.972939814812</v>
      </c>
      <c r="M2936">
        <v>3</v>
      </c>
      <c r="N2936">
        <v>3.6</v>
      </c>
      <c r="O2936">
        <v>0.6</v>
      </c>
      <c r="P2936">
        <v>18</v>
      </c>
      <c r="Q2936">
        <v>0.1</v>
      </c>
      <c r="R2936">
        <v>0.1</v>
      </c>
      <c r="S2936">
        <v>0.1</v>
      </c>
      <c r="T2936" t="s">
        <v>33</v>
      </c>
      <c r="U2936">
        <v>3.3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 t="s">
        <v>38</v>
      </c>
    </row>
    <row r="2937" spans="1:30" x14ac:dyDescent="0.25">
      <c r="A2937" s="1">
        <v>44784.973032407404</v>
      </c>
      <c r="B2937" s="1">
        <v>44784.970937500002</v>
      </c>
      <c r="C2937">
        <v>146644</v>
      </c>
      <c r="D2937" t="s">
        <v>54</v>
      </c>
      <c r="E2937" t="s">
        <v>53</v>
      </c>
      <c r="F2937">
        <v>7</v>
      </c>
      <c r="G2937">
        <v>43.06015</v>
      </c>
      <c r="H2937">
        <v>-70.758930000000007</v>
      </c>
      <c r="I2937">
        <v>35</v>
      </c>
      <c r="J2937">
        <v>71</v>
      </c>
      <c r="K2937">
        <v>73</v>
      </c>
      <c r="L2937" s="1">
        <v>44784.972939814812</v>
      </c>
      <c r="M2937">
        <v>13.6</v>
      </c>
      <c r="N2937">
        <v>12</v>
      </c>
      <c r="O2937">
        <v>1.6</v>
      </c>
      <c r="P2937">
        <v>12</v>
      </c>
      <c r="Q2937">
        <v>0</v>
      </c>
      <c r="R2937">
        <v>0</v>
      </c>
      <c r="S2937">
        <v>0</v>
      </c>
      <c r="T2937" t="s">
        <v>33</v>
      </c>
      <c r="U2937">
        <v>12.8</v>
      </c>
      <c r="V2937">
        <v>70</v>
      </c>
      <c r="W2937">
        <v>75</v>
      </c>
      <c r="X2937">
        <v>5</v>
      </c>
      <c r="Y2937">
        <v>0</v>
      </c>
      <c r="Z2937">
        <v>0</v>
      </c>
      <c r="AA2937">
        <v>0</v>
      </c>
      <c r="AB2937" t="s">
        <v>33</v>
      </c>
      <c r="AC2937">
        <v>72.5</v>
      </c>
      <c r="AD2937">
        <v>4.8899999999999997</v>
      </c>
    </row>
    <row r="2938" spans="1:30" x14ac:dyDescent="0.25">
      <c r="A2938" s="1">
        <v>44784.973043981481</v>
      </c>
      <c r="B2938" s="1">
        <v>43755.283437500002</v>
      </c>
      <c r="C2938">
        <v>12188</v>
      </c>
      <c r="D2938" t="s">
        <v>55</v>
      </c>
      <c r="E2938" t="s">
        <v>35</v>
      </c>
      <c r="F2938">
        <v>4.1100000000000003</v>
      </c>
      <c r="G2938">
        <v>42.927050000000001</v>
      </c>
      <c r="H2938">
        <v>-72.279610000000005</v>
      </c>
      <c r="I2938">
        <v>475</v>
      </c>
      <c r="J2938">
        <v>95</v>
      </c>
      <c r="K2938">
        <v>0</v>
      </c>
      <c r="L2938" s="1">
        <v>44784.972939814812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 t="s">
        <v>32</v>
      </c>
      <c r="V2938">
        <v>77</v>
      </c>
      <c r="W2938">
        <v>0</v>
      </c>
      <c r="X2938">
        <v>77</v>
      </c>
      <c r="Y2938">
        <v>0</v>
      </c>
      <c r="Z2938">
        <v>0</v>
      </c>
      <c r="AA2938">
        <v>0</v>
      </c>
      <c r="AB2938" t="s">
        <v>36</v>
      </c>
      <c r="AC2938">
        <v>77</v>
      </c>
    </row>
    <row r="2939" spans="1:30" x14ac:dyDescent="0.25">
      <c r="A2939" s="1">
        <v>44784.973043981481</v>
      </c>
      <c r="B2939" s="1">
        <v>44784.972731481481</v>
      </c>
      <c r="C2939">
        <v>1224</v>
      </c>
      <c r="D2939" t="s">
        <v>56</v>
      </c>
      <c r="E2939" t="s">
        <v>35</v>
      </c>
      <c r="F2939" t="s">
        <v>57</v>
      </c>
      <c r="G2939">
        <v>42.938034000000002</v>
      </c>
      <c r="H2939">
        <v>-72.259299999999996</v>
      </c>
      <c r="I2939">
        <v>792</v>
      </c>
      <c r="J2939">
        <v>76</v>
      </c>
      <c r="K2939">
        <v>0</v>
      </c>
      <c r="L2939" s="1">
        <v>44784.972939814812</v>
      </c>
      <c r="M2939">
        <v>5.7</v>
      </c>
      <c r="N2939">
        <v>0</v>
      </c>
      <c r="O2939">
        <v>5.7</v>
      </c>
      <c r="P2939">
        <v>200</v>
      </c>
      <c r="Q2939">
        <v>0</v>
      </c>
      <c r="R2939">
        <v>0.1</v>
      </c>
      <c r="S2939">
        <v>0.05</v>
      </c>
      <c r="T2939" t="s">
        <v>43</v>
      </c>
      <c r="V2939">
        <v>70</v>
      </c>
      <c r="W2939">
        <v>0</v>
      </c>
      <c r="X2939">
        <v>70</v>
      </c>
      <c r="Y2939">
        <v>0</v>
      </c>
      <c r="Z2939">
        <v>0</v>
      </c>
      <c r="AA2939">
        <v>0</v>
      </c>
      <c r="AB2939" t="s">
        <v>36</v>
      </c>
      <c r="AC2939">
        <v>70</v>
      </c>
    </row>
    <row r="2940" spans="1:30" x14ac:dyDescent="0.25">
      <c r="A2940" s="1">
        <v>44784.973055555558</v>
      </c>
      <c r="B2940" s="1">
        <v>44784.972175925926</v>
      </c>
      <c r="C2940">
        <v>1202</v>
      </c>
      <c r="D2940" t="s">
        <v>58</v>
      </c>
      <c r="E2940" t="s">
        <v>35</v>
      </c>
      <c r="F2940" t="s">
        <v>57</v>
      </c>
      <c r="G2940">
        <v>42.936554000000001</v>
      </c>
      <c r="H2940">
        <v>-72.271019999999993</v>
      </c>
      <c r="I2940">
        <v>488</v>
      </c>
      <c r="J2940">
        <v>0</v>
      </c>
      <c r="K2940">
        <v>0</v>
      </c>
      <c r="L2940" s="1">
        <v>44784.972939814812</v>
      </c>
      <c r="M2940">
        <v>6.2</v>
      </c>
      <c r="N2940">
        <v>5.6</v>
      </c>
      <c r="O2940">
        <v>0.6</v>
      </c>
      <c r="P2940">
        <v>10</v>
      </c>
      <c r="Q2940">
        <v>0.1</v>
      </c>
      <c r="R2940">
        <v>0.1</v>
      </c>
      <c r="S2940">
        <v>0.1</v>
      </c>
      <c r="T2940" t="s">
        <v>33</v>
      </c>
      <c r="U2940">
        <v>5.9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 t="s">
        <v>38</v>
      </c>
    </row>
    <row r="2941" spans="1:30" x14ac:dyDescent="0.25">
      <c r="A2941" s="1">
        <v>44784.973055555558</v>
      </c>
      <c r="B2941" s="1">
        <v>44612.080023148148</v>
      </c>
      <c r="C2941">
        <v>25985</v>
      </c>
      <c r="D2941" t="s">
        <v>59</v>
      </c>
      <c r="E2941" t="s">
        <v>35</v>
      </c>
      <c r="F2941">
        <v>6.01</v>
      </c>
      <c r="G2941">
        <v>42.927326000000001</v>
      </c>
      <c r="H2941">
        <v>-72.279979999999995</v>
      </c>
      <c r="I2941">
        <v>477</v>
      </c>
      <c r="J2941">
        <v>78</v>
      </c>
      <c r="K2941">
        <v>0</v>
      </c>
      <c r="L2941" s="1">
        <v>44784.972939814812</v>
      </c>
      <c r="M2941">
        <v>1.1000000000000001</v>
      </c>
      <c r="N2941">
        <v>1</v>
      </c>
      <c r="O2941">
        <v>0.1</v>
      </c>
      <c r="P2941">
        <v>10</v>
      </c>
      <c r="Q2941">
        <v>0</v>
      </c>
      <c r="R2941">
        <v>0</v>
      </c>
      <c r="S2941">
        <v>0</v>
      </c>
      <c r="T2941" t="s">
        <v>32</v>
      </c>
      <c r="V2941">
        <v>22</v>
      </c>
      <c r="W2941">
        <v>0</v>
      </c>
      <c r="X2941">
        <v>22</v>
      </c>
      <c r="Y2941">
        <v>0</v>
      </c>
      <c r="Z2941">
        <v>0</v>
      </c>
      <c r="AA2941">
        <v>0</v>
      </c>
      <c r="AB2941" t="s">
        <v>36</v>
      </c>
      <c r="AC2941">
        <v>22</v>
      </c>
    </row>
    <row r="2942" spans="1:30" x14ac:dyDescent="0.25">
      <c r="A2942" s="1">
        <v>44784.979895833334</v>
      </c>
      <c r="B2942" s="1">
        <v>44775.701319444444</v>
      </c>
      <c r="C2942">
        <v>151708</v>
      </c>
      <c r="D2942" t="s">
        <v>30</v>
      </c>
      <c r="E2942" t="s">
        <v>31</v>
      </c>
      <c r="F2942">
        <v>7</v>
      </c>
      <c r="G2942">
        <v>43.192042999999998</v>
      </c>
      <c r="H2942">
        <v>-71.541579999999996</v>
      </c>
      <c r="I2942">
        <v>291</v>
      </c>
      <c r="J2942">
        <v>93</v>
      </c>
      <c r="K2942">
        <v>94</v>
      </c>
      <c r="L2942" s="1">
        <v>44784.979884259257</v>
      </c>
      <c r="M2942">
        <v>7.9</v>
      </c>
      <c r="N2942">
        <v>7.6</v>
      </c>
      <c r="O2942">
        <v>0.3</v>
      </c>
      <c r="P2942">
        <v>4</v>
      </c>
      <c r="Q2942">
        <v>0</v>
      </c>
      <c r="R2942">
        <v>0</v>
      </c>
      <c r="S2942">
        <v>0</v>
      </c>
      <c r="T2942" t="s">
        <v>32</v>
      </c>
      <c r="V2942">
        <v>42</v>
      </c>
      <c r="W2942">
        <v>41</v>
      </c>
      <c r="X2942">
        <v>1</v>
      </c>
      <c r="Y2942">
        <v>0</v>
      </c>
      <c r="Z2942">
        <v>0</v>
      </c>
      <c r="AA2942">
        <v>0</v>
      </c>
      <c r="AB2942" t="s">
        <v>33</v>
      </c>
      <c r="AC2942">
        <v>41.5</v>
      </c>
    </row>
    <row r="2943" spans="1:30" x14ac:dyDescent="0.25">
      <c r="A2943" s="1">
        <v>44784.979895833334</v>
      </c>
      <c r="B2943" s="1">
        <v>44784.978321759256</v>
      </c>
      <c r="C2943">
        <v>143456</v>
      </c>
      <c r="D2943" t="s">
        <v>34</v>
      </c>
      <c r="E2943" t="s">
        <v>35</v>
      </c>
      <c r="F2943">
        <v>7</v>
      </c>
      <c r="G2943">
        <v>43.08963</v>
      </c>
      <c r="H2943">
        <v>-71.502440000000007</v>
      </c>
      <c r="I2943">
        <v>619</v>
      </c>
      <c r="J2943">
        <v>73</v>
      </c>
      <c r="K2943">
        <v>0</v>
      </c>
      <c r="L2943" s="1">
        <v>44784.979884259257</v>
      </c>
      <c r="M2943">
        <v>3.1</v>
      </c>
      <c r="N2943">
        <v>3.7</v>
      </c>
      <c r="O2943">
        <v>0.6</v>
      </c>
      <c r="P2943">
        <v>18</v>
      </c>
      <c r="Q2943">
        <v>0.1</v>
      </c>
      <c r="R2943">
        <v>0</v>
      </c>
      <c r="S2943">
        <v>0.05</v>
      </c>
      <c r="T2943" t="s">
        <v>33</v>
      </c>
      <c r="U2943">
        <v>3.4</v>
      </c>
      <c r="V2943">
        <v>58</v>
      </c>
      <c r="W2943">
        <v>0</v>
      </c>
      <c r="X2943">
        <v>58</v>
      </c>
      <c r="Y2943">
        <v>0</v>
      </c>
      <c r="Z2943">
        <v>0</v>
      </c>
      <c r="AA2943">
        <v>0</v>
      </c>
      <c r="AB2943" t="s">
        <v>36</v>
      </c>
      <c r="AC2943">
        <v>58</v>
      </c>
      <c r="AD2943">
        <v>0.17</v>
      </c>
    </row>
    <row r="2944" spans="1:30" x14ac:dyDescent="0.25">
      <c r="A2944" s="1">
        <v>44784.979907407411</v>
      </c>
      <c r="B2944" s="1">
        <v>44784.978449074071</v>
      </c>
      <c r="C2944">
        <v>151702</v>
      </c>
      <c r="D2944" t="s">
        <v>37</v>
      </c>
      <c r="E2944" t="s">
        <v>31</v>
      </c>
      <c r="F2944">
        <v>7</v>
      </c>
      <c r="G2944">
        <v>43.118609999999997</v>
      </c>
      <c r="H2944">
        <v>-71.61618</v>
      </c>
      <c r="I2944">
        <v>885</v>
      </c>
      <c r="J2944">
        <v>0</v>
      </c>
      <c r="K2944">
        <v>0</v>
      </c>
      <c r="L2944" s="1">
        <v>44784.979884259257</v>
      </c>
      <c r="M2944">
        <v>3.8</v>
      </c>
      <c r="N2944">
        <v>3.8</v>
      </c>
      <c r="O2944">
        <v>0</v>
      </c>
      <c r="P2944">
        <v>0</v>
      </c>
      <c r="Q2944">
        <v>0</v>
      </c>
      <c r="R2944">
        <v>0.1</v>
      </c>
      <c r="S2944">
        <v>0.05</v>
      </c>
      <c r="T2944" t="s">
        <v>33</v>
      </c>
      <c r="U2944">
        <v>3.8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 t="s">
        <v>38</v>
      </c>
    </row>
    <row r="2945" spans="1:30" x14ac:dyDescent="0.25">
      <c r="A2945" s="1">
        <v>44784.979907407411</v>
      </c>
      <c r="B2945" s="1">
        <v>44784.978356481479</v>
      </c>
      <c r="C2945">
        <v>151700</v>
      </c>
      <c r="D2945" t="s">
        <v>30</v>
      </c>
      <c r="E2945" t="s">
        <v>31</v>
      </c>
      <c r="F2945">
        <v>7</v>
      </c>
      <c r="G2945">
        <v>43.19211</v>
      </c>
      <c r="H2945">
        <v>-71.541460000000001</v>
      </c>
      <c r="I2945">
        <v>286</v>
      </c>
      <c r="J2945">
        <v>76</v>
      </c>
      <c r="K2945">
        <v>0</v>
      </c>
      <c r="L2945" s="1">
        <v>44784.979884259257</v>
      </c>
      <c r="M2945">
        <v>2.7</v>
      </c>
      <c r="N2945">
        <v>3.2</v>
      </c>
      <c r="O2945">
        <v>0.5</v>
      </c>
      <c r="P2945">
        <v>17</v>
      </c>
      <c r="Q2945">
        <v>0.1</v>
      </c>
      <c r="R2945">
        <v>0.1</v>
      </c>
      <c r="S2945">
        <v>0.1</v>
      </c>
      <c r="T2945" t="s">
        <v>33</v>
      </c>
      <c r="U2945">
        <v>2.95</v>
      </c>
      <c r="V2945">
        <v>54</v>
      </c>
      <c r="W2945">
        <v>0</v>
      </c>
      <c r="X2945">
        <v>54</v>
      </c>
      <c r="Y2945">
        <v>1</v>
      </c>
      <c r="Z2945">
        <v>0</v>
      </c>
      <c r="AA2945">
        <v>1</v>
      </c>
      <c r="AB2945" t="s">
        <v>36</v>
      </c>
      <c r="AC2945">
        <v>54</v>
      </c>
      <c r="AD2945">
        <v>0.18</v>
      </c>
    </row>
    <row r="2946" spans="1:30" x14ac:dyDescent="0.25">
      <c r="A2946" s="1">
        <v>44784.97991898148</v>
      </c>
      <c r="B2946" s="1">
        <v>44784.978807870371</v>
      </c>
      <c r="C2946">
        <v>135984</v>
      </c>
      <c r="D2946" t="s">
        <v>39</v>
      </c>
      <c r="E2946" t="s">
        <v>31</v>
      </c>
      <c r="F2946">
        <v>7</v>
      </c>
      <c r="G2946">
        <v>43.565852999999997</v>
      </c>
      <c r="H2946">
        <v>-71.496129999999994</v>
      </c>
      <c r="I2946">
        <v>708</v>
      </c>
      <c r="J2946">
        <v>66</v>
      </c>
      <c r="K2946">
        <v>0</v>
      </c>
      <c r="L2946" s="1">
        <v>44784.979884259257</v>
      </c>
      <c r="M2946">
        <v>4.5</v>
      </c>
      <c r="N2946">
        <v>4.0999999999999996</v>
      </c>
      <c r="O2946">
        <v>0.4</v>
      </c>
      <c r="P2946">
        <v>9</v>
      </c>
      <c r="Q2946">
        <v>0.1</v>
      </c>
      <c r="R2946">
        <v>0</v>
      </c>
      <c r="S2946">
        <v>0.05</v>
      </c>
      <c r="T2946" t="s">
        <v>33</v>
      </c>
      <c r="U2946">
        <v>4.3</v>
      </c>
      <c r="V2946">
        <v>91</v>
      </c>
      <c r="W2946">
        <v>0</v>
      </c>
      <c r="X2946">
        <v>91</v>
      </c>
      <c r="Y2946">
        <v>1</v>
      </c>
      <c r="Z2946">
        <v>0</v>
      </c>
      <c r="AA2946">
        <v>1</v>
      </c>
      <c r="AB2946" t="s">
        <v>36</v>
      </c>
      <c r="AC2946">
        <v>91</v>
      </c>
      <c r="AD2946">
        <v>-1.59</v>
      </c>
    </row>
    <row r="2947" spans="1:30" x14ac:dyDescent="0.25">
      <c r="A2947" s="1">
        <v>44784.97991898148</v>
      </c>
      <c r="B2947" s="1">
        <v>44780.394780092596</v>
      </c>
      <c r="C2947">
        <v>151712</v>
      </c>
      <c r="D2947" t="s">
        <v>40</v>
      </c>
      <c r="E2947" t="s">
        <v>31</v>
      </c>
      <c r="F2947">
        <v>7</v>
      </c>
      <c r="G2947">
        <v>43.289763999999998</v>
      </c>
      <c r="H2947">
        <v>-71.564260000000004</v>
      </c>
      <c r="I2947">
        <v>370</v>
      </c>
      <c r="J2947">
        <v>86</v>
      </c>
      <c r="K2947">
        <v>0</v>
      </c>
      <c r="L2947" s="1">
        <v>44784.979884259257</v>
      </c>
      <c r="M2947">
        <v>14</v>
      </c>
      <c r="N2947">
        <v>13.2</v>
      </c>
      <c r="O2947">
        <v>0.8</v>
      </c>
      <c r="P2947">
        <v>6</v>
      </c>
      <c r="Q2947">
        <v>0</v>
      </c>
      <c r="R2947">
        <v>0</v>
      </c>
      <c r="S2947">
        <v>0</v>
      </c>
      <c r="T2947" t="s">
        <v>32</v>
      </c>
      <c r="V2947">
        <v>59</v>
      </c>
      <c r="W2947">
        <v>0</v>
      </c>
      <c r="X2947">
        <v>59</v>
      </c>
      <c r="Y2947">
        <v>0</v>
      </c>
      <c r="Z2947">
        <v>0</v>
      </c>
      <c r="AA2947">
        <v>0</v>
      </c>
      <c r="AB2947" t="s">
        <v>36</v>
      </c>
      <c r="AC2947">
        <v>59</v>
      </c>
    </row>
    <row r="2948" spans="1:30" x14ac:dyDescent="0.25">
      <c r="A2948" s="1">
        <v>44784.979930555557</v>
      </c>
      <c r="B2948" s="1">
        <v>44784.978136574071</v>
      </c>
      <c r="C2948">
        <v>151710</v>
      </c>
      <c r="D2948" t="s">
        <v>41</v>
      </c>
      <c r="E2948" t="s">
        <v>31</v>
      </c>
      <c r="F2948">
        <v>7</v>
      </c>
      <c r="G2948">
        <v>43.132477000000002</v>
      </c>
      <c r="H2948">
        <v>-71.458374000000006</v>
      </c>
      <c r="I2948">
        <v>230</v>
      </c>
      <c r="J2948">
        <v>74</v>
      </c>
      <c r="K2948">
        <v>0</v>
      </c>
      <c r="L2948" s="1">
        <v>44784.979884259257</v>
      </c>
      <c r="M2948">
        <v>5.9</v>
      </c>
      <c r="N2948">
        <v>4.2</v>
      </c>
      <c r="O2948">
        <v>1.7</v>
      </c>
      <c r="P2948">
        <v>34</v>
      </c>
      <c r="Q2948">
        <v>0.1</v>
      </c>
      <c r="R2948">
        <v>0.2</v>
      </c>
      <c r="S2948">
        <v>0.15</v>
      </c>
      <c r="T2948" t="s">
        <v>33</v>
      </c>
      <c r="U2948">
        <v>5.05</v>
      </c>
      <c r="V2948">
        <v>56</v>
      </c>
      <c r="W2948">
        <v>0</v>
      </c>
      <c r="X2948">
        <v>56</v>
      </c>
      <c r="Y2948">
        <v>1</v>
      </c>
      <c r="Z2948">
        <v>0</v>
      </c>
      <c r="AA2948">
        <v>1</v>
      </c>
      <c r="AB2948" t="s">
        <v>36</v>
      </c>
      <c r="AC2948">
        <v>56</v>
      </c>
      <c r="AD2948">
        <v>1.32</v>
      </c>
    </row>
    <row r="2949" spans="1:30" x14ac:dyDescent="0.25">
      <c r="A2949" s="1">
        <v>44784.979930555557</v>
      </c>
      <c r="B2949" s="1">
        <v>44784.979131944441</v>
      </c>
      <c r="C2949">
        <v>151706</v>
      </c>
      <c r="D2949" t="s">
        <v>42</v>
      </c>
      <c r="E2949" t="s">
        <v>31</v>
      </c>
      <c r="F2949">
        <v>7</v>
      </c>
      <c r="G2949">
        <v>43.004080000000002</v>
      </c>
      <c r="H2949">
        <v>-71.177040000000005</v>
      </c>
      <c r="I2949">
        <v>194</v>
      </c>
      <c r="J2949">
        <v>74</v>
      </c>
      <c r="K2949">
        <v>0</v>
      </c>
      <c r="L2949" s="1">
        <v>44784.979884259257</v>
      </c>
      <c r="M2949">
        <v>13.6</v>
      </c>
      <c r="N2949">
        <v>0</v>
      </c>
      <c r="O2949">
        <v>13.6</v>
      </c>
      <c r="P2949">
        <v>200</v>
      </c>
      <c r="Q2949">
        <v>0.2</v>
      </c>
      <c r="R2949">
        <v>0</v>
      </c>
      <c r="S2949">
        <v>0.1</v>
      </c>
      <c r="T2949" t="s">
        <v>43</v>
      </c>
      <c r="V2949">
        <v>69</v>
      </c>
      <c r="W2949">
        <v>0</v>
      </c>
      <c r="X2949">
        <v>69</v>
      </c>
      <c r="Y2949">
        <v>1</v>
      </c>
      <c r="Z2949">
        <v>0</v>
      </c>
      <c r="AA2949">
        <v>1</v>
      </c>
      <c r="AB2949" t="s">
        <v>36</v>
      </c>
      <c r="AC2949">
        <v>69</v>
      </c>
    </row>
    <row r="2950" spans="1:30" x14ac:dyDescent="0.25">
      <c r="A2950" s="1">
        <v>44784.979942129627</v>
      </c>
      <c r="B2950" s="1">
        <v>44784.97896990741</v>
      </c>
      <c r="C2950">
        <v>12212</v>
      </c>
      <c r="D2950" t="s">
        <v>44</v>
      </c>
      <c r="E2950" t="s">
        <v>35</v>
      </c>
      <c r="F2950">
        <v>7</v>
      </c>
      <c r="G2950">
        <v>42.930529999999997</v>
      </c>
      <c r="H2950">
        <v>-72.272350000000003</v>
      </c>
      <c r="I2950">
        <v>476</v>
      </c>
      <c r="J2950">
        <v>76</v>
      </c>
      <c r="K2950">
        <v>0</v>
      </c>
      <c r="L2950" s="1">
        <v>44784.979884259257</v>
      </c>
      <c r="M2950">
        <v>5.6</v>
      </c>
      <c r="N2950">
        <v>4.9000000000000004</v>
      </c>
      <c r="O2950">
        <v>0.7</v>
      </c>
      <c r="P2950">
        <v>13</v>
      </c>
      <c r="Q2950">
        <v>0.2</v>
      </c>
      <c r="R2950">
        <v>0.1</v>
      </c>
      <c r="S2950">
        <v>0.15</v>
      </c>
      <c r="T2950" t="s">
        <v>33</v>
      </c>
      <c r="U2950">
        <v>5.25</v>
      </c>
      <c r="V2950">
        <v>63</v>
      </c>
      <c r="W2950">
        <v>0</v>
      </c>
      <c r="X2950">
        <v>63</v>
      </c>
      <c r="Y2950">
        <v>2</v>
      </c>
      <c r="Z2950">
        <v>0</v>
      </c>
      <c r="AA2950">
        <v>2</v>
      </c>
      <c r="AB2950" t="s">
        <v>36</v>
      </c>
      <c r="AC2950">
        <v>63</v>
      </c>
      <c r="AD2950">
        <v>0.95</v>
      </c>
    </row>
    <row r="2951" spans="1:30" x14ac:dyDescent="0.25">
      <c r="A2951" s="1">
        <v>44784.979942129627</v>
      </c>
      <c r="B2951" s="1">
        <v>44769.376736111109</v>
      </c>
      <c r="C2951">
        <v>12178</v>
      </c>
      <c r="D2951" t="s">
        <v>45</v>
      </c>
      <c r="E2951" t="s">
        <v>35</v>
      </c>
      <c r="F2951">
        <v>7</v>
      </c>
      <c r="G2951">
        <v>42.899563000000001</v>
      </c>
      <c r="H2951">
        <v>-71.464650000000006</v>
      </c>
      <c r="I2951">
        <v>301</v>
      </c>
      <c r="J2951">
        <v>85</v>
      </c>
      <c r="K2951">
        <v>0</v>
      </c>
      <c r="L2951" s="1">
        <v>44784.979884259257</v>
      </c>
      <c r="M2951">
        <v>3.8</v>
      </c>
      <c r="N2951">
        <v>3.1</v>
      </c>
      <c r="O2951">
        <v>0.7</v>
      </c>
      <c r="P2951">
        <v>20</v>
      </c>
      <c r="Q2951">
        <v>0</v>
      </c>
      <c r="R2951">
        <v>0</v>
      </c>
      <c r="S2951">
        <v>0</v>
      </c>
      <c r="T2951" t="s">
        <v>32</v>
      </c>
      <c r="V2951">
        <v>35</v>
      </c>
      <c r="W2951">
        <v>0</v>
      </c>
      <c r="X2951">
        <v>35</v>
      </c>
      <c r="Y2951">
        <v>0</v>
      </c>
      <c r="Z2951">
        <v>0</v>
      </c>
      <c r="AA2951">
        <v>0</v>
      </c>
      <c r="AB2951" t="s">
        <v>36</v>
      </c>
      <c r="AC2951">
        <v>35</v>
      </c>
    </row>
    <row r="2952" spans="1:30" x14ac:dyDescent="0.25">
      <c r="A2952" s="1">
        <v>44784.979942129627</v>
      </c>
      <c r="B2952" s="1">
        <v>44784.978206018517</v>
      </c>
      <c r="C2952">
        <v>75981</v>
      </c>
      <c r="D2952" t="s">
        <v>46</v>
      </c>
      <c r="E2952" t="s">
        <v>35</v>
      </c>
      <c r="F2952">
        <v>7</v>
      </c>
      <c r="G2952">
        <v>42.97</v>
      </c>
      <c r="H2952">
        <v>-71.06</v>
      </c>
      <c r="I2952">
        <v>136</v>
      </c>
      <c r="J2952">
        <v>78</v>
      </c>
      <c r="K2952">
        <v>0</v>
      </c>
      <c r="L2952" s="1">
        <v>44784.979884259257</v>
      </c>
      <c r="M2952">
        <v>13.6</v>
      </c>
      <c r="N2952">
        <v>12.2</v>
      </c>
      <c r="O2952">
        <v>1.4</v>
      </c>
      <c r="P2952">
        <v>11</v>
      </c>
      <c r="Q2952">
        <v>0.8</v>
      </c>
      <c r="R2952">
        <v>0.1</v>
      </c>
      <c r="S2952">
        <v>0.45</v>
      </c>
      <c r="T2952" t="s">
        <v>33</v>
      </c>
      <c r="U2952">
        <v>12.9</v>
      </c>
      <c r="V2952">
        <v>60</v>
      </c>
      <c r="W2952">
        <v>0</v>
      </c>
      <c r="X2952">
        <v>60</v>
      </c>
      <c r="Y2952">
        <v>0</v>
      </c>
      <c r="Z2952">
        <v>0</v>
      </c>
      <c r="AA2952">
        <v>0</v>
      </c>
      <c r="AB2952" t="s">
        <v>36</v>
      </c>
      <c r="AC2952">
        <v>60</v>
      </c>
      <c r="AD2952">
        <v>5.83</v>
      </c>
    </row>
    <row r="2953" spans="1:30" x14ac:dyDescent="0.25">
      <c r="A2953" s="1">
        <v>44784.979953703703</v>
      </c>
      <c r="B2953" s="1">
        <v>44784.978761574072</v>
      </c>
      <c r="C2953">
        <v>115703</v>
      </c>
      <c r="D2953" t="s">
        <v>47</v>
      </c>
      <c r="E2953" t="s">
        <v>35</v>
      </c>
      <c r="F2953">
        <v>7</v>
      </c>
      <c r="G2953">
        <v>43.953625000000002</v>
      </c>
      <c r="H2953">
        <v>-71.508859999999999</v>
      </c>
      <c r="I2953">
        <v>1493</v>
      </c>
      <c r="J2953">
        <v>68</v>
      </c>
      <c r="K2953">
        <v>0</v>
      </c>
      <c r="L2953" s="1">
        <v>44784.979884259257</v>
      </c>
      <c r="M2953">
        <v>0.1</v>
      </c>
      <c r="N2953">
        <v>201</v>
      </c>
      <c r="O2953">
        <v>200.9</v>
      </c>
      <c r="P2953">
        <v>200</v>
      </c>
      <c r="Q2953">
        <v>0</v>
      </c>
      <c r="R2953">
        <v>0</v>
      </c>
      <c r="S2953">
        <v>0</v>
      </c>
      <c r="T2953" t="s">
        <v>60</v>
      </c>
      <c r="V2953">
        <v>67</v>
      </c>
      <c r="W2953">
        <v>0</v>
      </c>
      <c r="X2953">
        <v>67</v>
      </c>
      <c r="Y2953">
        <v>1</v>
      </c>
      <c r="Z2953">
        <v>0</v>
      </c>
      <c r="AA2953">
        <v>1</v>
      </c>
      <c r="AB2953" t="s">
        <v>36</v>
      </c>
      <c r="AC2953">
        <v>67</v>
      </c>
    </row>
    <row r="2954" spans="1:30" x14ac:dyDescent="0.25">
      <c r="A2954" s="1">
        <v>44784.979953703703</v>
      </c>
      <c r="B2954" s="1">
        <v>44784.978182870371</v>
      </c>
      <c r="C2954">
        <v>12050</v>
      </c>
      <c r="D2954" t="s">
        <v>49</v>
      </c>
      <c r="E2954" t="s">
        <v>35</v>
      </c>
      <c r="F2954">
        <v>7</v>
      </c>
      <c r="G2954">
        <v>44.220573000000002</v>
      </c>
      <c r="H2954">
        <v>-71.732315</v>
      </c>
      <c r="I2954">
        <v>999</v>
      </c>
      <c r="J2954">
        <v>73</v>
      </c>
      <c r="K2954">
        <v>0</v>
      </c>
      <c r="L2954" s="1">
        <v>44784.979884259257</v>
      </c>
      <c r="M2954">
        <v>20.6</v>
      </c>
      <c r="N2954">
        <v>19.8</v>
      </c>
      <c r="O2954">
        <v>0.8</v>
      </c>
      <c r="P2954">
        <v>4</v>
      </c>
      <c r="Q2954">
        <v>2.5</v>
      </c>
      <c r="R2954">
        <v>2.2000000000000002</v>
      </c>
      <c r="S2954">
        <v>2.35</v>
      </c>
      <c r="T2954" t="s">
        <v>33</v>
      </c>
      <c r="U2954">
        <v>20.2</v>
      </c>
      <c r="V2954">
        <v>58</v>
      </c>
      <c r="W2954">
        <v>0</v>
      </c>
      <c r="X2954">
        <v>58</v>
      </c>
      <c r="Y2954">
        <v>0</v>
      </c>
      <c r="Z2954">
        <v>0</v>
      </c>
      <c r="AA2954">
        <v>0</v>
      </c>
      <c r="AB2954" t="s">
        <v>36</v>
      </c>
      <c r="AC2954">
        <v>58</v>
      </c>
      <c r="AD2954">
        <v>10.42</v>
      </c>
    </row>
    <row r="2955" spans="1:30" x14ac:dyDescent="0.25">
      <c r="A2955" s="1">
        <v>44784.97996527778</v>
      </c>
      <c r="B2955" s="1">
        <v>44784.978298611109</v>
      </c>
      <c r="C2955">
        <v>23443</v>
      </c>
      <c r="D2955" t="s">
        <v>50</v>
      </c>
      <c r="E2955" t="s">
        <v>35</v>
      </c>
      <c r="F2955">
        <v>7</v>
      </c>
      <c r="G2955">
        <v>43.556139999999999</v>
      </c>
      <c r="H2955">
        <v>-72.370990000000006</v>
      </c>
      <c r="I2955">
        <v>523</v>
      </c>
      <c r="J2955">
        <v>71</v>
      </c>
      <c r="K2955">
        <v>0</v>
      </c>
      <c r="L2955" s="1">
        <v>44784.979884259257</v>
      </c>
      <c r="M2955">
        <v>6.9</v>
      </c>
      <c r="N2955">
        <v>6.2</v>
      </c>
      <c r="O2955">
        <v>0.7</v>
      </c>
      <c r="P2955">
        <v>11</v>
      </c>
      <c r="Q2955">
        <v>0.3</v>
      </c>
      <c r="R2955">
        <v>0.2</v>
      </c>
      <c r="S2955">
        <v>0.25</v>
      </c>
      <c r="T2955" t="s">
        <v>33</v>
      </c>
      <c r="U2955">
        <v>6.55</v>
      </c>
      <c r="V2955">
        <v>68</v>
      </c>
      <c r="W2955">
        <v>0</v>
      </c>
      <c r="X2955">
        <v>68</v>
      </c>
      <c r="Y2955">
        <v>1</v>
      </c>
      <c r="Z2955">
        <v>0</v>
      </c>
      <c r="AA2955">
        <v>1</v>
      </c>
      <c r="AB2955" t="s">
        <v>36</v>
      </c>
      <c r="AC2955">
        <v>68</v>
      </c>
      <c r="AD2955">
        <v>1.4</v>
      </c>
    </row>
    <row r="2956" spans="1:30" x14ac:dyDescent="0.25">
      <c r="A2956" s="1">
        <v>44784.97996527778</v>
      </c>
      <c r="B2956" s="1">
        <v>44784.978449074071</v>
      </c>
      <c r="C2956">
        <v>58135</v>
      </c>
      <c r="D2956" t="s">
        <v>51</v>
      </c>
      <c r="E2956" t="s">
        <v>35</v>
      </c>
      <c r="F2956">
        <v>7</v>
      </c>
      <c r="G2956">
        <v>42.883873000000001</v>
      </c>
      <c r="H2956">
        <v>-71.972915999999998</v>
      </c>
      <c r="I2956">
        <v>808</v>
      </c>
      <c r="J2956">
        <v>73</v>
      </c>
      <c r="K2956">
        <v>0</v>
      </c>
      <c r="L2956" s="1">
        <v>44784.979884259257</v>
      </c>
      <c r="M2956">
        <v>6.2</v>
      </c>
      <c r="N2956">
        <v>4.4000000000000004</v>
      </c>
      <c r="O2956">
        <v>1.8</v>
      </c>
      <c r="P2956">
        <v>34</v>
      </c>
      <c r="Q2956">
        <v>0.2</v>
      </c>
      <c r="R2956">
        <v>0.2</v>
      </c>
      <c r="S2956">
        <v>0.2</v>
      </c>
      <c r="T2956" t="s">
        <v>33</v>
      </c>
      <c r="U2956">
        <v>5.3</v>
      </c>
      <c r="V2956">
        <v>61</v>
      </c>
      <c r="W2956">
        <v>0</v>
      </c>
      <c r="X2956">
        <v>61</v>
      </c>
      <c r="Y2956">
        <v>1</v>
      </c>
      <c r="Z2956">
        <v>0</v>
      </c>
      <c r="AA2956">
        <v>1</v>
      </c>
      <c r="AB2956" t="s">
        <v>36</v>
      </c>
      <c r="AC2956">
        <v>61</v>
      </c>
      <c r="AD2956">
        <v>1.1200000000000001</v>
      </c>
    </row>
    <row r="2957" spans="1:30" x14ac:dyDescent="0.25">
      <c r="A2957" s="1">
        <v>44784.97997685185</v>
      </c>
      <c r="B2957" s="1">
        <v>44784.978379629632</v>
      </c>
      <c r="C2957">
        <v>148555</v>
      </c>
      <c r="D2957" t="s">
        <v>52</v>
      </c>
      <c r="E2957" t="s">
        <v>53</v>
      </c>
      <c r="F2957">
        <v>7</v>
      </c>
      <c r="G2957">
        <v>42.904949999999999</v>
      </c>
      <c r="H2957">
        <v>-71.386764999999997</v>
      </c>
      <c r="I2957">
        <v>363</v>
      </c>
      <c r="J2957">
        <v>0</v>
      </c>
      <c r="K2957">
        <v>0</v>
      </c>
      <c r="L2957" s="1">
        <v>44784.979884259257</v>
      </c>
      <c r="M2957">
        <v>2.8</v>
      </c>
      <c r="N2957">
        <v>3.5</v>
      </c>
      <c r="O2957">
        <v>0.7</v>
      </c>
      <c r="P2957">
        <v>22</v>
      </c>
      <c r="Q2957">
        <v>0.2</v>
      </c>
      <c r="R2957">
        <v>0.1</v>
      </c>
      <c r="S2957">
        <v>0.15</v>
      </c>
      <c r="T2957" t="s">
        <v>33</v>
      </c>
      <c r="U2957">
        <v>3.15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 t="s">
        <v>38</v>
      </c>
    </row>
    <row r="2958" spans="1:30" x14ac:dyDescent="0.25">
      <c r="A2958" s="1">
        <v>44784.97997685185</v>
      </c>
      <c r="B2958" s="1">
        <v>44784.977881944447</v>
      </c>
      <c r="C2958">
        <v>146644</v>
      </c>
      <c r="D2958" t="s">
        <v>54</v>
      </c>
      <c r="E2958" t="s">
        <v>53</v>
      </c>
      <c r="F2958">
        <v>7</v>
      </c>
      <c r="G2958">
        <v>43.06015</v>
      </c>
      <c r="H2958">
        <v>-70.758930000000007</v>
      </c>
      <c r="I2958">
        <v>35</v>
      </c>
      <c r="J2958">
        <v>71</v>
      </c>
      <c r="K2958">
        <v>73</v>
      </c>
      <c r="L2958" s="1">
        <v>44784.979884259257</v>
      </c>
      <c r="M2958">
        <v>14</v>
      </c>
      <c r="N2958">
        <v>12.4</v>
      </c>
      <c r="O2958">
        <v>1.6</v>
      </c>
      <c r="P2958">
        <v>12</v>
      </c>
      <c r="Q2958">
        <v>0.4</v>
      </c>
      <c r="R2958">
        <v>0.4</v>
      </c>
      <c r="S2958">
        <v>0.4</v>
      </c>
      <c r="T2958" t="s">
        <v>33</v>
      </c>
      <c r="U2958">
        <v>13.2</v>
      </c>
      <c r="V2958">
        <v>70</v>
      </c>
      <c r="W2958">
        <v>75</v>
      </c>
      <c r="X2958">
        <v>5</v>
      </c>
      <c r="Y2958">
        <v>0</v>
      </c>
      <c r="Z2958">
        <v>0</v>
      </c>
      <c r="AA2958">
        <v>0</v>
      </c>
      <c r="AB2958" t="s">
        <v>33</v>
      </c>
      <c r="AC2958">
        <v>72.5</v>
      </c>
      <c r="AD2958">
        <v>5.14</v>
      </c>
    </row>
    <row r="2959" spans="1:30" x14ac:dyDescent="0.25">
      <c r="A2959" s="1">
        <v>44784.979988425926</v>
      </c>
      <c r="B2959" s="1">
        <v>43755.283437500002</v>
      </c>
      <c r="C2959">
        <v>12188</v>
      </c>
      <c r="D2959" t="s">
        <v>55</v>
      </c>
      <c r="E2959" t="s">
        <v>35</v>
      </c>
      <c r="F2959">
        <v>4.1100000000000003</v>
      </c>
      <c r="G2959">
        <v>42.927050000000001</v>
      </c>
      <c r="H2959">
        <v>-72.279610000000005</v>
      </c>
      <c r="I2959">
        <v>475</v>
      </c>
      <c r="J2959">
        <v>95</v>
      </c>
      <c r="K2959">
        <v>0</v>
      </c>
      <c r="L2959" s="1">
        <v>44784.979884259257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 t="s">
        <v>32</v>
      </c>
      <c r="V2959">
        <v>77</v>
      </c>
      <c r="W2959">
        <v>0</v>
      </c>
      <c r="X2959">
        <v>77</v>
      </c>
      <c r="Y2959">
        <v>0</v>
      </c>
      <c r="Z2959">
        <v>0</v>
      </c>
      <c r="AA2959">
        <v>0</v>
      </c>
      <c r="AB2959" t="s">
        <v>36</v>
      </c>
      <c r="AC2959">
        <v>77</v>
      </c>
    </row>
    <row r="2960" spans="1:30" x14ac:dyDescent="0.25">
      <c r="A2960" s="1">
        <v>44784.979988425926</v>
      </c>
      <c r="B2960" s="1">
        <v>44784.97828703704</v>
      </c>
      <c r="C2960">
        <v>1224</v>
      </c>
      <c r="D2960" t="s">
        <v>56</v>
      </c>
      <c r="E2960" t="s">
        <v>35</v>
      </c>
      <c r="F2960" t="s">
        <v>57</v>
      </c>
      <c r="G2960">
        <v>42.938034000000002</v>
      </c>
      <c r="H2960">
        <v>-72.259299999999996</v>
      </c>
      <c r="I2960">
        <v>792</v>
      </c>
      <c r="J2960">
        <v>75</v>
      </c>
      <c r="K2960">
        <v>0</v>
      </c>
      <c r="L2960" s="1">
        <v>44784.979884259257</v>
      </c>
      <c r="M2960">
        <v>5.7</v>
      </c>
      <c r="N2960">
        <v>0</v>
      </c>
      <c r="O2960">
        <v>5.7</v>
      </c>
      <c r="P2960">
        <v>200</v>
      </c>
      <c r="Q2960">
        <v>0</v>
      </c>
      <c r="R2960">
        <v>0</v>
      </c>
      <c r="S2960">
        <v>0</v>
      </c>
      <c r="T2960" t="s">
        <v>43</v>
      </c>
      <c r="V2960">
        <v>71</v>
      </c>
      <c r="W2960">
        <v>0</v>
      </c>
      <c r="X2960">
        <v>71</v>
      </c>
      <c r="Y2960">
        <v>1</v>
      </c>
      <c r="Z2960">
        <v>0</v>
      </c>
      <c r="AA2960">
        <v>1</v>
      </c>
      <c r="AB2960" t="s">
        <v>36</v>
      </c>
      <c r="AC2960">
        <v>71</v>
      </c>
    </row>
    <row r="2961" spans="1:30" x14ac:dyDescent="0.25">
      <c r="A2961" s="1">
        <v>44784.98</v>
      </c>
      <c r="B2961" s="1">
        <v>44784.979120370372</v>
      </c>
      <c r="C2961">
        <v>1202</v>
      </c>
      <c r="D2961" t="s">
        <v>58</v>
      </c>
      <c r="E2961" t="s">
        <v>35</v>
      </c>
      <c r="F2961" t="s">
        <v>57</v>
      </c>
      <c r="G2961">
        <v>42.936554000000001</v>
      </c>
      <c r="H2961">
        <v>-72.271019999999993</v>
      </c>
      <c r="I2961">
        <v>488</v>
      </c>
      <c r="J2961">
        <v>0</v>
      </c>
      <c r="K2961">
        <v>0</v>
      </c>
      <c r="L2961" s="1">
        <v>44784.979884259257</v>
      </c>
      <c r="M2961">
        <v>6.2</v>
      </c>
      <c r="N2961">
        <v>5.7</v>
      </c>
      <c r="O2961">
        <v>0.5</v>
      </c>
      <c r="P2961">
        <v>8</v>
      </c>
      <c r="Q2961">
        <v>0</v>
      </c>
      <c r="R2961">
        <v>0.1</v>
      </c>
      <c r="S2961">
        <v>0.05</v>
      </c>
      <c r="T2961" t="s">
        <v>33</v>
      </c>
      <c r="U2961">
        <v>5.95</v>
      </c>
      <c r="V2961">
        <v>0</v>
      </c>
      <c r="W2961">
        <v>0</v>
      </c>
      <c r="X2961">
        <v>0</v>
      </c>
      <c r="Y2961">
        <v>0</v>
      </c>
      <c r="Z2961">
        <v>0</v>
      </c>
      <c r="AA2961">
        <v>0</v>
      </c>
      <c r="AB2961" t="s">
        <v>38</v>
      </c>
    </row>
    <row r="2962" spans="1:30" x14ac:dyDescent="0.25">
      <c r="A2962" s="1">
        <v>44784.98</v>
      </c>
      <c r="B2962" s="1">
        <v>44612.080023148148</v>
      </c>
      <c r="C2962">
        <v>25985</v>
      </c>
      <c r="D2962" t="s">
        <v>59</v>
      </c>
      <c r="E2962" t="s">
        <v>35</v>
      </c>
      <c r="F2962">
        <v>6.01</v>
      </c>
      <c r="G2962">
        <v>42.927326000000001</v>
      </c>
      <c r="H2962">
        <v>-72.279979999999995</v>
      </c>
      <c r="I2962">
        <v>477</v>
      </c>
      <c r="J2962">
        <v>78</v>
      </c>
      <c r="K2962">
        <v>0</v>
      </c>
      <c r="L2962" s="1">
        <v>44784.979884259257</v>
      </c>
      <c r="M2962">
        <v>1.1000000000000001</v>
      </c>
      <c r="N2962">
        <v>1</v>
      </c>
      <c r="O2962">
        <v>0.1</v>
      </c>
      <c r="P2962">
        <v>10</v>
      </c>
      <c r="Q2962">
        <v>0</v>
      </c>
      <c r="R2962">
        <v>0</v>
      </c>
      <c r="S2962">
        <v>0</v>
      </c>
      <c r="T2962" t="s">
        <v>32</v>
      </c>
      <c r="V2962">
        <v>22</v>
      </c>
      <c r="W2962">
        <v>0</v>
      </c>
      <c r="X2962">
        <v>22</v>
      </c>
      <c r="Y2962">
        <v>0</v>
      </c>
      <c r="Z2962">
        <v>0</v>
      </c>
      <c r="AA2962">
        <v>0</v>
      </c>
      <c r="AB2962" t="s">
        <v>36</v>
      </c>
      <c r="AC2962">
        <v>22</v>
      </c>
    </row>
    <row r="2963" spans="1:30" x14ac:dyDescent="0.25">
      <c r="A2963" s="1">
        <v>44784.986840277779</v>
      </c>
      <c r="B2963" s="1">
        <v>44775.701319444444</v>
      </c>
      <c r="C2963">
        <v>151708</v>
      </c>
      <c r="D2963" t="s">
        <v>30</v>
      </c>
      <c r="E2963" t="s">
        <v>31</v>
      </c>
      <c r="F2963">
        <v>7</v>
      </c>
      <c r="G2963">
        <v>43.192042999999998</v>
      </c>
      <c r="H2963">
        <v>-71.541579999999996</v>
      </c>
      <c r="I2963">
        <v>291</v>
      </c>
      <c r="J2963">
        <v>93</v>
      </c>
      <c r="K2963">
        <v>94</v>
      </c>
      <c r="L2963" s="1">
        <v>44784.986828703702</v>
      </c>
      <c r="M2963">
        <v>7.9</v>
      </c>
      <c r="N2963">
        <v>7.6</v>
      </c>
      <c r="O2963">
        <v>0.3</v>
      </c>
      <c r="P2963">
        <v>4</v>
      </c>
      <c r="Q2963">
        <v>0</v>
      </c>
      <c r="R2963">
        <v>0</v>
      </c>
      <c r="S2963">
        <v>0</v>
      </c>
      <c r="T2963" t="s">
        <v>32</v>
      </c>
      <c r="V2963">
        <v>42</v>
      </c>
      <c r="W2963">
        <v>41</v>
      </c>
      <c r="X2963">
        <v>1</v>
      </c>
      <c r="Y2963">
        <v>0</v>
      </c>
      <c r="Z2963">
        <v>0</v>
      </c>
      <c r="AA2963">
        <v>0</v>
      </c>
      <c r="AB2963" t="s">
        <v>33</v>
      </c>
      <c r="AC2963">
        <v>41.5</v>
      </c>
    </row>
    <row r="2964" spans="1:30" x14ac:dyDescent="0.25">
      <c r="A2964" s="1">
        <v>44784.986840277779</v>
      </c>
      <c r="B2964" s="1">
        <v>44784.985266203701</v>
      </c>
      <c r="C2964">
        <v>143456</v>
      </c>
      <c r="D2964" t="s">
        <v>34</v>
      </c>
      <c r="E2964" t="s">
        <v>35</v>
      </c>
      <c r="F2964">
        <v>7</v>
      </c>
      <c r="G2964">
        <v>43.08963</v>
      </c>
      <c r="H2964">
        <v>-71.502440000000007</v>
      </c>
      <c r="I2964">
        <v>619</v>
      </c>
      <c r="J2964">
        <v>73</v>
      </c>
      <c r="K2964">
        <v>0</v>
      </c>
      <c r="L2964" s="1">
        <v>44784.986828703702</v>
      </c>
      <c r="M2964">
        <v>3.2</v>
      </c>
      <c r="N2964">
        <v>3.7</v>
      </c>
      <c r="O2964">
        <v>0.5</v>
      </c>
      <c r="P2964">
        <v>14</v>
      </c>
      <c r="Q2964">
        <v>0.1</v>
      </c>
      <c r="R2964">
        <v>0</v>
      </c>
      <c r="S2964">
        <v>0.05</v>
      </c>
      <c r="T2964" t="s">
        <v>33</v>
      </c>
      <c r="U2964">
        <v>3.45</v>
      </c>
      <c r="V2964">
        <v>59</v>
      </c>
      <c r="W2964">
        <v>0</v>
      </c>
      <c r="X2964">
        <v>59</v>
      </c>
      <c r="Y2964">
        <v>1</v>
      </c>
      <c r="Z2964">
        <v>0</v>
      </c>
      <c r="AA2964">
        <v>1</v>
      </c>
      <c r="AB2964" t="s">
        <v>36</v>
      </c>
      <c r="AC2964">
        <v>59</v>
      </c>
      <c r="AD2964">
        <v>0.13</v>
      </c>
    </row>
    <row r="2965" spans="1:30" x14ac:dyDescent="0.25">
      <c r="A2965" s="1">
        <v>44784.986851851849</v>
      </c>
      <c r="B2965" s="1">
        <v>44784.985405092593</v>
      </c>
      <c r="C2965">
        <v>151702</v>
      </c>
      <c r="D2965" t="s">
        <v>37</v>
      </c>
      <c r="E2965" t="s">
        <v>31</v>
      </c>
      <c r="F2965">
        <v>7</v>
      </c>
      <c r="G2965">
        <v>43.118609999999997</v>
      </c>
      <c r="H2965">
        <v>-71.61618</v>
      </c>
      <c r="I2965">
        <v>885</v>
      </c>
      <c r="J2965">
        <v>0</v>
      </c>
      <c r="K2965">
        <v>0</v>
      </c>
      <c r="L2965" s="1">
        <v>44784.986828703702</v>
      </c>
      <c r="M2965">
        <v>4</v>
      </c>
      <c r="N2965">
        <v>3.9</v>
      </c>
      <c r="O2965">
        <v>0.1</v>
      </c>
      <c r="P2965">
        <v>3</v>
      </c>
      <c r="Q2965">
        <v>0.2</v>
      </c>
      <c r="R2965">
        <v>0.1</v>
      </c>
      <c r="S2965">
        <v>0.15</v>
      </c>
      <c r="T2965" t="s">
        <v>33</v>
      </c>
      <c r="U2965">
        <v>3.95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 t="s">
        <v>38</v>
      </c>
    </row>
    <row r="2966" spans="1:30" x14ac:dyDescent="0.25">
      <c r="A2966" s="1">
        <v>44784.986851851849</v>
      </c>
      <c r="B2966" s="1">
        <v>44784.985300925924</v>
      </c>
      <c r="C2966">
        <v>151700</v>
      </c>
      <c r="D2966" t="s">
        <v>30</v>
      </c>
      <c r="E2966" t="s">
        <v>31</v>
      </c>
      <c r="F2966">
        <v>7</v>
      </c>
      <c r="G2966">
        <v>43.19211</v>
      </c>
      <c r="H2966">
        <v>-71.541460000000001</v>
      </c>
      <c r="I2966">
        <v>286</v>
      </c>
      <c r="J2966">
        <v>75</v>
      </c>
      <c r="K2966">
        <v>0</v>
      </c>
      <c r="L2966" s="1">
        <v>44784.986828703702</v>
      </c>
      <c r="M2966">
        <v>2.8</v>
      </c>
      <c r="N2966">
        <v>3.2</v>
      </c>
      <c r="O2966">
        <v>0.4</v>
      </c>
      <c r="P2966">
        <v>13</v>
      </c>
      <c r="Q2966">
        <v>0.1</v>
      </c>
      <c r="R2966">
        <v>0</v>
      </c>
      <c r="S2966">
        <v>0.05</v>
      </c>
      <c r="T2966" t="s">
        <v>33</v>
      </c>
      <c r="U2966">
        <v>3</v>
      </c>
      <c r="V2966">
        <v>55</v>
      </c>
      <c r="W2966">
        <v>0</v>
      </c>
      <c r="X2966">
        <v>55</v>
      </c>
      <c r="Y2966">
        <v>1</v>
      </c>
      <c r="Z2966">
        <v>0</v>
      </c>
      <c r="AA2966">
        <v>1</v>
      </c>
      <c r="AB2966" t="s">
        <v>36</v>
      </c>
      <c r="AC2966">
        <v>55</v>
      </c>
      <c r="AD2966">
        <v>0.14000000000000001</v>
      </c>
    </row>
    <row r="2967" spans="1:30" x14ac:dyDescent="0.25">
      <c r="A2967" s="1">
        <v>44784.986863425926</v>
      </c>
      <c r="B2967" s="1">
        <v>44784.985752314817</v>
      </c>
      <c r="C2967">
        <v>135984</v>
      </c>
      <c r="D2967" t="s">
        <v>39</v>
      </c>
      <c r="E2967" t="s">
        <v>31</v>
      </c>
      <c r="F2967">
        <v>7</v>
      </c>
      <c r="G2967">
        <v>43.565852999999997</v>
      </c>
      <c r="H2967">
        <v>-71.496129999999994</v>
      </c>
      <c r="I2967">
        <v>708</v>
      </c>
      <c r="J2967">
        <v>66</v>
      </c>
      <c r="K2967">
        <v>0</v>
      </c>
      <c r="L2967" s="1">
        <v>44784.986828703702</v>
      </c>
      <c r="M2967">
        <v>4.5999999999999996</v>
      </c>
      <c r="N2967">
        <v>4.2</v>
      </c>
      <c r="O2967">
        <v>0.4</v>
      </c>
      <c r="P2967">
        <v>9</v>
      </c>
      <c r="Q2967">
        <v>0.1</v>
      </c>
      <c r="R2967">
        <v>0.1</v>
      </c>
      <c r="S2967">
        <v>0.1</v>
      </c>
      <c r="T2967" t="s">
        <v>33</v>
      </c>
      <c r="U2967">
        <v>4.4000000000000004</v>
      </c>
      <c r="V2967">
        <v>91</v>
      </c>
      <c r="W2967">
        <v>0</v>
      </c>
      <c r="X2967">
        <v>91</v>
      </c>
      <c r="Y2967">
        <v>0</v>
      </c>
      <c r="Z2967">
        <v>0</v>
      </c>
      <c r="AA2967">
        <v>0</v>
      </c>
      <c r="AB2967" t="s">
        <v>36</v>
      </c>
      <c r="AC2967">
        <v>91</v>
      </c>
      <c r="AD2967">
        <v>-1.53</v>
      </c>
    </row>
    <row r="2968" spans="1:30" x14ac:dyDescent="0.25">
      <c r="A2968" s="1">
        <v>44784.986863425926</v>
      </c>
      <c r="B2968" s="1">
        <v>44780.394780092596</v>
      </c>
      <c r="C2968">
        <v>151712</v>
      </c>
      <c r="D2968" t="s">
        <v>40</v>
      </c>
      <c r="E2968" t="s">
        <v>31</v>
      </c>
      <c r="F2968">
        <v>7</v>
      </c>
      <c r="G2968">
        <v>43.289763999999998</v>
      </c>
      <c r="H2968">
        <v>-71.564260000000004</v>
      </c>
      <c r="I2968">
        <v>370</v>
      </c>
      <c r="J2968">
        <v>86</v>
      </c>
      <c r="K2968">
        <v>0</v>
      </c>
      <c r="L2968" s="1">
        <v>44784.986828703702</v>
      </c>
      <c r="M2968">
        <v>14</v>
      </c>
      <c r="N2968">
        <v>13.2</v>
      </c>
      <c r="O2968">
        <v>0.8</v>
      </c>
      <c r="P2968">
        <v>6</v>
      </c>
      <c r="Q2968">
        <v>0</v>
      </c>
      <c r="R2968">
        <v>0</v>
      </c>
      <c r="S2968">
        <v>0</v>
      </c>
      <c r="T2968" t="s">
        <v>32</v>
      </c>
      <c r="V2968">
        <v>59</v>
      </c>
      <c r="W2968">
        <v>0</v>
      </c>
      <c r="X2968">
        <v>59</v>
      </c>
      <c r="Y2968">
        <v>0</v>
      </c>
      <c r="Z2968">
        <v>0</v>
      </c>
      <c r="AA2968">
        <v>0</v>
      </c>
      <c r="AB2968" t="s">
        <v>36</v>
      </c>
      <c r="AC2968">
        <v>59</v>
      </c>
    </row>
    <row r="2969" spans="1:30" x14ac:dyDescent="0.25">
      <c r="A2969" s="1">
        <v>44784.986875000002</v>
      </c>
      <c r="B2969" s="1">
        <v>44784.98646990741</v>
      </c>
      <c r="C2969">
        <v>151710</v>
      </c>
      <c r="D2969" t="s">
        <v>41</v>
      </c>
      <c r="E2969" t="s">
        <v>31</v>
      </c>
      <c r="F2969">
        <v>7</v>
      </c>
      <c r="G2969">
        <v>43.132477000000002</v>
      </c>
      <c r="H2969">
        <v>-71.458374000000006</v>
      </c>
      <c r="I2969">
        <v>230</v>
      </c>
      <c r="J2969">
        <v>73</v>
      </c>
      <c r="K2969">
        <v>0</v>
      </c>
      <c r="L2969" s="1">
        <v>44784.986828703702</v>
      </c>
      <c r="M2969">
        <v>5.8</v>
      </c>
      <c r="N2969">
        <v>4.4000000000000004</v>
      </c>
      <c r="O2969">
        <v>1.4</v>
      </c>
      <c r="P2969">
        <v>27</v>
      </c>
      <c r="Q2969">
        <v>0.1</v>
      </c>
      <c r="R2969">
        <v>0.2</v>
      </c>
      <c r="S2969">
        <v>0.15</v>
      </c>
      <c r="T2969" t="s">
        <v>33</v>
      </c>
      <c r="U2969">
        <v>5.0999999999999996</v>
      </c>
      <c r="V2969">
        <v>57</v>
      </c>
      <c r="W2969">
        <v>0</v>
      </c>
      <c r="X2969">
        <v>57</v>
      </c>
      <c r="Y2969">
        <v>1</v>
      </c>
      <c r="Z2969">
        <v>0</v>
      </c>
      <c r="AA2969">
        <v>1</v>
      </c>
      <c r="AB2969" t="s">
        <v>36</v>
      </c>
      <c r="AC2969">
        <v>57</v>
      </c>
      <c r="AD2969">
        <v>1.28</v>
      </c>
    </row>
    <row r="2970" spans="1:30" x14ac:dyDescent="0.25">
      <c r="A2970" s="1">
        <v>44784.986875000002</v>
      </c>
      <c r="B2970" s="1">
        <v>44784.986076388886</v>
      </c>
      <c r="C2970">
        <v>151706</v>
      </c>
      <c r="D2970" t="s">
        <v>42</v>
      </c>
      <c r="E2970" t="s">
        <v>31</v>
      </c>
      <c r="F2970">
        <v>7</v>
      </c>
      <c r="G2970">
        <v>43.004080000000002</v>
      </c>
      <c r="H2970">
        <v>-71.177040000000005</v>
      </c>
      <c r="I2970">
        <v>194</v>
      </c>
      <c r="J2970">
        <v>74</v>
      </c>
      <c r="K2970">
        <v>0</v>
      </c>
      <c r="L2970" s="1">
        <v>44784.986828703702</v>
      </c>
      <c r="M2970">
        <v>13.5</v>
      </c>
      <c r="N2970">
        <v>0</v>
      </c>
      <c r="O2970">
        <v>13.5</v>
      </c>
      <c r="P2970">
        <v>200</v>
      </c>
      <c r="Q2970">
        <v>0.1</v>
      </c>
      <c r="R2970">
        <v>0</v>
      </c>
      <c r="S2970">
        <v>0.05</v>
      </c>
      <c r="T2970" t="s">
        <v>43</v>
      </c>
      <c r="V2970">
        <v>69</v>
      </c>
      <c r="W2970">
        <v>0</v>
      </c>
      <c r="X2970">
        <v>69</v>
      </c>
      <c r="Y2970">
        <v>0</v>
      </c>
      <c r="Z2970">
        <v>0</v>
      </c>
      <c r="AA2970">
        <v>0</v>
      </c>
      <c r="AB2970" t="s">
        <v>36</v>
      </c>
      <c r="AC2970">
        <v>69</v>
      </c>
    </row>
    <row r="2971" spans="1:30" x14ac:dyDescent="0.25">
      <c r="A2971" s="1">
        <v>44784.986875000002</v>
      </c>
      <c r="B2971" s="1">
        <v>44784.985925925925</v>
      </c>
      <c r="C2971">
        <v>12212</v>
      </c>
      <c r="D2971" t="s">
        <v>44</v>
      </c>
      <c r="E2971" t="s">
        <v>35</v>
      </c>
      <c r="F2971">
        <v>7</v>
      </c>
      <c r="G2971">
        <v>42.930529999999997</v>
      </c>
      <c r="H2971">
        <v>-72.272350000000003</v>
      </c>
      <c r="I2971">
        <v>476</v>
      </c>
      <c r="J2971">
        <v>76</v>
      </c>
      <c r="K2971">
        <v>0</v>
      </c>
      <c r="L2971" s="1">
        <v>44784.986828703702</v>
      </c>
      <c r="M2971">
        <v>5.7</v>
      </c>
      <c r="N2971">
        <v>4.9000000000000004</v>
      </c>
      <c r="O2971">
        <v>0.8</v>
      </c>
      <c r="P2971">
        <v>15</v>
      </c>
      <c r="Q2971">
        <v>0.1</v>
      </c>
      <c r="R2971">
        <v>0</v>
      </c>
      <c r="S2971">
        <v>0.05</v>
      </c>
      <c r="T2971" t="s">
        <v>33</v>
      </c>
      <c r="U2971">
        <v>5.3</v>
      </c>
      <c r="V2971">
        <v>64</v>
      </c>
      <c r="W2971">
        <v>0</v>
      </c>
      <c r="X2971">
        <v>64</v>
      </c>
      <c r="Y2971">
        <v>1</v>
      </c>
      <c r="Z2971">
        <v>0</v>
      </c>
      <c r="AA2971">
        <v>1</v>
      </c>
      <c r="AB2971" t="s">
        <v>36</v>
      </c>
      <c r="AC2971">
        <v>64</v>
      </c>
      <c r="AD2971">
        <v>0.91</v>
      </c>
    </row>
    <row r="2972" spans="1:30" x14ac:dyDescent="0.25">
      <c r="A2972" s="1">
        <v>44784.986886574072</v>
      </c>
      <c r="B2972" s="1">
        <v>44769.376736111109</v>
      </c>
      <c r="C2972">
        <v>12178</v>
      </c>
      <c r="D2972" t="s">
        <v>45</v>
      </c>
      <c r="E2972" t="s">
        <v>35</v>
      </c>
      <c r="F2972">
        <v>7</v>
      </c>
      <c r="G2972">
        <v>42.899563000000001</v>
      </c>
      <c r="H2972">
        <v>-71.464650000000006</v>
      </c>
      <c r="I2972">
        <v>301</v>
      </c>
      <c r="J2972">
        <v>85</v>
      </c>
      <c r="K2972">
        <v>0</v>
      </c>
      <c r="L2972" s="1">
        <v>44784.986828703702</v>
      </c>
      <c r="M2972">
        <v>3.8</v>
      </c>
      <c r="N2972">
        <v>3.1</v>
      </c>
      <c r="O2972">
        <v>0.7</v>
      </c>
      <c r="P2972">
        <v>20</v>
      </c>
      <c r="Q2972">
        <v>0</v>
      </c>
      <c r="R2972">
        <v>0</v>
      </c>
      <c r="S2972">
        <v>0</v>
      </c>
      <c r="T2972" t="s">
        <v>32</v>
      </c>
      <c r="V2972">
        <v>35</v>
      </c>
      <c r="W2972">
        <v>0</v>
      </c>
      <c r="X2972">
        <v>35</v>
      </c>
      <c r="Y2972">
        <v>0</v>
      </c>
      <c r="Z2972">
        <v>0</v>
      </c>
      <c r="AA2972">
        <v>0</v>
      </c>
      <c r="AB2972" t="s">
        <v>36</v>
      </c>
      <c r="AC2972">
        <v>35</v>
      </c>
    </row>
    <row r="2973" spans="1:30" x14ac:dyDescent="0.25">
      <c r="A2973" s="1">
        <v>44784.986886574072</v>
      </c>
      <c r="B2973" s="1">
        <v>44784.986550925925</v>
      </c>
      <c r="C2973">
        <v>75981</v>
      </c>
      <c r="D2973" t="s">
        <v>46</v>
      </c>
      <c r="E2973" t="s">
        <v>35</v>
      </c>
      <c r="F2973">
        <v>7</v>
      </c>
      <c r="G2973">
        <v>42.97</v>
      </c>
      <c r="H2973">
        <v>-71.06</v>
      </c>
      <c r="I2973">
        <v>136</v>
      </c>
      <c r="J2973">
        <v>77</v>
      </c>
      <c r="K2973">
        <v>0</v>
      </c>
      <c r="L2973" s="1">
        <v>44784.986828703702</v>
      </c>
      <c r="M2973">
        <v>12.8</v>
      </c>
      <c r="N2973">
        <v>11.9</v>
      </c>
      <c r="O2973">
        <v>0.9</v>
      </c>
      <c r="P2973">
        <v>7</v>
      </c>
      <c r="Q2973">
        <v>0.8</v>
      </c>
      <c r="R2973">
        <v>0.3</v>
      </c>
      <c r="S2973">
        <v>0.55000000000000004</v>
      </c>
      <c r="T2973" t="s">
        <v>33</v>
      </c>
      <c r="U2973">
        <v>12.35</v>
      </c>
      <c r="V2973">
        <v>60</v>
      </c>
      <c r="W2973">
        <v>0</v>
      </c>
      <c r="X2973">
        <v>60</v>
      </c>
      <c r="Y2973">
        <v>0</v>
      </c>
      <c r="Z2973">
        <v>0</v>
      </c>
      <c r="AA2973">
        <v>0</v>
      </c>
      <c r="AB2973" t="s">
        <v>36</v>
      </c>
      <c r="AC2973">
        <v>60</v>
      </c>
      <c r="AD2973">
        <v>5.49</v>
      </c>
    </row>
    <row r="2974" spans="1:30" x14ac:dyDescent="0.25">
      <c r="A2974" s="1">
        <v>44784.986898148149</v>
      </c>
      <c r="B2974" s="1">
        <v>44784.985706018517</v>
      </c>
      <c r="C2974">
        <v>115703</v>
      </c>
      <c r="D2974" t="s">
        <v>47</v>
      </c>
      <c r="E2974" t="s">
        <v>35</v>
      </c>
      <c r="F2974">
        <v>7</v>
      </c>
      <c r="G2974">
        <v>43.953625000000002</v>
      </c>
      <c r="H2974">
        <v>-71.508859999999999</v>
      </c>
      <c r="I2974">
        <v>1493</v>
      </c>
      <c r="J2974">
        <v>67</v>
      </c>
      <c r="K2974">
        <v>0</v>
      </c>
      <c r="L2974" s="1">
        <v>44784.986828703702</v>
      </c>
      <c r="M2974">
        <v>0.1</v>
      </c>
      <c r="N2974">
        <v>201</v>
      </c>
      <c r="O2974">
        <v>200.9</v>
      </c>
      <c r="P2974">
        <v>200</v>
      </c>
      <c r="Q2974">
        <v>0</v>
      </c>
      <c r="R2974">
        <v>0</v>
      </c>
      <c r="S2974">
        <v>0</v>
      </c>
      <c r="T2974" t="s">
        <v>60</v>
      </c>
      <c r="V2974">
        <v>67</v>
      </c>
      <c r="W2974">
        <v>0</v>
      </c>
      <c r="X2974">
        <v>67</v>
      </c>
      <c r="Y2974">
        <v>0</v>
      </c>
      <c r="Z2974">
        <v>0</v>
      </c>
      <c r="AA2974">
        <v>0</v>
      </c>
      <c r="AB2974" t="s">
        <v>36</v>
      </c>
      <c r="AC2974">
        <v>67</v>
      </c>
    </row>
    <row r="2975" spans="1:30" x14ac:dyDescent="0.25">
      <c r="A2975" s="1">
        <v>44784.986898148149</v>
      </c>
      <c r="B2975" s="1">
        <v>44784.985127314816</v>
      </c>
      <c r="C2975">
        <v>12050</v>
      </c>
      <c r="D2975" t="s">
        <v>49</v>
      </c>
      <c r="E2975" t="s">
        <v>35</v>
      </c>
      <c r="F2975">
        <v>7</v>
      </c>
      <c r="G2975">
        <v>44.220573000000002</v>
      </c>
      <c r="H2975">
        <v>-71.732315</v>
      </c>
      <c r="I2975">
        <v>999</v>
      </c>
      <c r="J2975">
        <v>73</v>
      </c>
      <c r="K2975">
        <v>0</v>
      </c>
      <c r="L2975" s="1">
        <v>44784.986828703702</v>
      </c>
      <c r="M2975">
        <v>20.7</v>
      </c>
      <c r="N2975">
        <v>19.8</v>
      </c>
      <c r="O2975">
        <v>0.9</v>
      </c>
      <c r="P2975">
        <v>4</v>
      </c>
      <c r="Q2975">
        <v>0.1</v>
      </c>
      <c r="R2975">
        <v>0</v>
      </c>
      <c r="S2975">
        <v>0.05</v>
      </c>
      <c r="T2975" t="s">
        <v>33</v>
      </c>
      <c r="U2975">
        <v>20.25</v>
      </c>
      <c r="V2975">
        <v>58</v>
      </c>
      <c r="W2975">
        <v>0</v>
      </c>
      <c r="X2975">
        <v>58</v>
      </c>
      <c r="Y2975">
        <v>0</v>
      </c>
      <c r="Z2975">
        <v>0</v>
      </c>
      <c r="AA2975">
        <v>0</v>
      </c>
      <c r="AB2975" t="s">
        <v>36</v>
      </c>
      <c r="AC2975">
        <v>58</v>
      </c>
      <c r="AD2975">
        <v>10.45</v>
      </c>
    </row>
    <row r="2976" spans="1:30" x14ac:dyDescent="0.25">
      <c r="A2976" s="1">
        <v>44784.986909722225</v>
      </c>
      <c r="B2976" s="1">
        <v>44784.986631944441</v>
      </c>
      <c r="C2976">
        <v>23443</v>
      </c>
      <c r="D2976" t="s">
        <v>50</v>
      </c>
      <c r="E2976" t="s">
        <v>35</v>
      </c>
      <c r="F2976">
        <v>7</v>
      </c>
      <c r="G2976">
        <v>43.556139999999999</v>
      </c>
      <c r="H2976">
        <v>-72.370990000000006</v>
      </c>
      <c r="I2976">
        <v>523</v>
      </c>
      <c r="J2976">
        <v>71</v>
      </c>
      <c r="K2976">
        <v>0</v>
      </c>
      <c r="L2976" s="1">
        <v>44784.986828703702</v>
      </c>
      <c r="M2976">
        <v>6.8</v>
      </c>
      <c r="N2976">
        <v>6.1</v>
      </c>
      <c r="O2976">
        <v>0.7</v>
      </c>
      <c r="P2976">
        <v>11</v>
      </c>
      <c r="Q2976">
        <v>0.1</v>
      </c>
      <c r="R2976">
        <v>0.1</v>
      </c>
      <c r="S2976">
        <v>0.1</v>
      </c>
      <c r="T2976" t="s">
        <v>33</v>
      </c>
      <c r="U2976">
        <v>6.45</v>
      </c>
      <c r="V2976">
        <v>68</v>
      </c>
      <c r="W2976">
        <v>0</v>
      </c>
      <c r="X2976">
        <v>68</v>
      </c>
      <c r="Y2976">
        <v>0</v>
      </c>
      <c r="Z2976">
        <v>0</v>
      </c>
      <c r="AA2976">
        <v>0</v>
      </c>
      <c r="AB2976" t="s">
        <v>36</v>
      </c>
      <c r="AC2976">
        <v>68</v>
      </c>
      <c r="AD2976">
        <v>1.33</v>
      </c>
    </row>
    <row r="2977" spans="1:30" x14ac:dyDescent="0.25">
      <c r="A2977" s="1">
        <v>44784.986909722225</v>
      </c>
      <c r="B2977" s="1">
        <v>44784.985381944447</v>
      </c>
      <c r="C2977">
        <v>58135</v>
      </c>
      <c r="D2977" t="s">
        <v>51</v>
      </c>
      <c r="E2977" t="s">
        <v>35</v>
      </c>
      <c r="F2977">
        <v>7</v>
      </c>
      <c r="G2977">
        <v>42.883873000000001</v>
      </c>
      <c r="H2977">
        <v>-71.972915999999998</v>
      </c>
      <c r="I2977">
        <v>808</v>
      </c>
      <c r="J2977">
        <v>73</v>
      </c>
      <c r="K2977">
        <v>0</v>
      </c>
      <c r="L2977" s="1">
        <v>44784.986828703702</v>
      </c>
      <c r="M2977">
        <v>6.1</v>
      </c>
      <c r="N2977">
        <v>4.4000000000000004</v>
      </c>
      <c r="O2977">
        <v>1.7</v>
      </c>
      <c r="P2977">
        <v>32</v>
      </c>
      <c r="Q2977">
        <v>0.1</v>
      </c>
      <c r="R2977">
        <v>0</v>
      </c>
      <c r="S2977">
        <v>0.05</v>
      </c>
      <c r="T2977" t="s">
        <v>33</v>
      </c>
      <c r="U2977">
        <v>5.25</v>
      </c>
      <c r="V2977">
        <v>63</v>
      </c>
      <c r="W2977">
        <v>0</v>
      </c>
      <c r="X2977">
        <v>63</v>
      </c>
      <c r="Y2977">
        <v>2</v>
      </c>
      <c r="Z2977">
        <v>0</v>
      </c>
      <c r="AA2977">
        <v>2</v>
      </c>
      <c r="AB2977" t="s">
        <v>36</v>
      </c>
      <c r="AC2977">
        <v>63</v>
      </c>
      <c r="AD2977">
        <v>0.95</v>
      </c>
    </row>
    <row r="2978" spans="1:30" x14ac:dyDescent="0.25">
      <c r="A2978" s="1">
        <v>44784.986921296295</v>
      </c>
      <c r="B2978" s="1">
        <v>44784.985324074078</v>
      </c>
      <c r="C2978">
        <v>148555</v>
      </c>
      <c r="D2978" t="s">
        <v>52</v>
      </c>
      <c r="E2978" t="s">
        <v>53</v>
      </c>
      <c r="F2978">
        <v>7</v>
      </c>
      <c r="G2978">
        <v>42.904949999999999</v>
      </c>
      <c r="H2978">
        <v>-71.386764999999997</v>
      </c>
      <c r="I2978">
        <v>363</v>
      </c>
      <c r="J2978">
        <v>0</v>
      </c>
      <c r="K2978">
        <v>0</v>
      </c>
      <c r="L2978" s="1">
        <v>44784.986828703702</v>
      </c>
      <c r="M2978">
        <v>2.7</v>
      </c>
      <c r="N2978">
        <v>3.5</v>
      </c>
      <c r="O2978">
        <v>0.8</v>
      </c>
      <c r="P2978">
        <v>26</v>
      </c>
      <c r="Q2978">
        <v>0.1</v>
      </c>
      <c r="R2978">
        <v>0</v>
      </c>
      <c r="S2978">
        <v>0.05</v>
      </c>
      <c r="T2978" t="s">
        <v>33</v>
      </c>
      <c r="U2978">
        <v>3.1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 t="s">
        <v>38</v>
      </c>
    </row>
    <row r="2979" spans="1:30" x14ac:dyDescent="0.25">
      <c r="A2979" s="1">
        <v>44784.986921296295</v>
      </c>
      <c r="B2979" s="1">
        <v>44784.984826388885</v>
      </c>
      <c r="C2979">
        <v>146644</v>
      </c>
      <c r="D2979" t="s">
        <v>54</v>
      </c>
      <c r="E2979" t="s">
        <v>53</v>
      </c>
      <c r="F2979">
        <v>7</v>
      </c>
      <c r="G2979">
        <v>43.06015</v>
      </c>
      <c r="H2979">
        <v>-70.758930000000007</v>
      </c>
      <c r="I2979">
        <v>35</v>
      </c>
      <c r="J2979">
        <v>71</v>
      </c>
      <c r="K2979">
        <v>72</v>
      </c>
      <c r="L2979" s="1">
        <v>44784.986828703702</v>
      </c>
      <c r="M2979">
        <v>14.7</v>
      </c>
      <c r="N2979">
        <v>13.2</v>
      </c>
      <c r="O2979">
        <v>1.5</v>
      </c>
      <c r="P2979">
        <v>11</v>
      </c>
      <c r="Q2979">
        <v>0.7</v>
      </c>
      <c r="R2979">
        <v>0.8</v>
      </c>
      <c r="S2979">
        <v>0.75</v>
      </c>
      <c r="T2979" t="s">
        <v>33</v>
      </c>
      <c r="U2979">
        <v>13.95</v>
      </c>
      <c r="V2979">
        <v>70</v>
      </c>
      <c r="W2979">
        <v>75</v>
      </c>
      <c r="X2979">
        <v>5</v>
      </c>
      <c r="Y2979">
        <v>0</v>
      </c>
      <c r="Z2979">
        <v>0</v>
      </c>
      <c r="AA2979">
        <v>0</v>
      </c>
      <c r="AB2979" t="s">
        <v>33</v>
      </c>
      <c r="AC2979">
        <v>72.5</v>
      </c>
      <c r="AD2979">
        <v>5.59</v>
      </c>
    </row>
    <row r="2980" spans="1:30" x14ac:dyDescent="0.25">
      <c r="A2980" s="1">
        <v>44784.986921296295</v>
      </c>
      <c r="B2980" s="1">
        <v>43755.283437500002</v>
      </c>
      <c r="C2980">
        <v>12188</v>
      </c>
      <c r="D2980" t="s">
        <v>55</v>
      </c>
      <c r="E2980" t="s">
        <v>35</v>
      </c>
      <c r="F2980">
        <v>4.1100000000000003</v>
      </c>
      <c r="G2980">
        <v>42.927050000000001</v>
      </c>
      <c r="H2980">
        <v>-72.279610000000005</v>
      </c>
      <c r="I2980">
        <v>475</v>
      </c>
      <c r="J2980">
        <v>95</v>
      </c>
      <c r="K2980">
        <v>0</v>
      </c>
      <c r="L2980" s="1">
        <v>44784.986828703702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 t="s">
        <v>32</v>
      </c>
      <c r="V2980">
        <v>77</v>
      </c>
      <c r="W2980">
        <v>0</v>
      </c>
      <c r="X2980">
        <v>77</v>
      </c>
      <c r="Y2980">
        <v>0</v>
      </c>
      <c r="Z2980">
        <v>0</v>
      </c>
      <c r="AA2980">
        <v>0</v>
      </c>
      <c r="AB2980" t="s">
        <v>36</v>
      </c>
      <c r="AC2980">
        <v>77</v>
      </c>
    </row>
    <row r="2981" spans="1:30" x14ac:dyDescent="0.25">
      <c r="A2981" s="1">
        <v>44784.986932870372</v>
      </c>
      <c r="B2981" s="1">
        <v>44784.986620370371</v>
      </c>
      <c r="C2981">
        <v>1224</v>
      </c>
      <c r="D2981" t="s">
        <v>56</v>
      </c>
      <c r="E2981" t="s">
        <v>35</v>
      </c>
      <c r="F2981" t="s">
        <v>57</v>
      </c>
      <c r="G2981">
        <v>42.938034000000002</v>
      </c>
      <c r="H2981">
        <v>-72.259299999999996</v>
      </c>
      <c r="I2981">
        <v>792</v>
      </c>
      <c r="J2981">
        <v>75</v>
      </c>
      <c r="K2981">
        <v>0</v>
      </c>
      <c r="L2981" s="1">
        <v>44784.986828703702</v>
      </c>
      <c r="M2981">
        <v>5.5</v>
      </c>
      <c r="N2981">
        <v>0.1</v>
      </c>
      <c r="O2981">
        <v>5.4</v>
      </c>
      <c r="P2981">
        <v>193</v>
      </c>
      <c r="Q2981">
        <v>0.2</v>
      </c>
      <c r="R2981">
        <v>0.1</v>
      </c>
      <c r="S2981">
        <v>0.15</v>
      </c>
      <c r="T2981" t="s">
        <v>33</v>
      </c>
      <c r="U2981">
        <v>2.8</v>
      </c>
      <c r="V2981">
        <v>72</v>
      </c>
      <c r="W2981">
        <v>0</v>
      </c>
      <c r="X2981">
        <v>72</v>
      </c>
      <c r="Y2981">
        <v>1</v>
      </c>
      <c r="Z2981">
        <v>0</v>
      </c>
      <c r="AA2981">
        <v>1</v>
      </c>
      <c r="AB2981" t="s">
        <v>36</v>
      </c>
      <c r="AC2981">
        <v>72</v>
      </c>
      <c r="AD2981">
        <v>-1.17</v>
      </c>
    </row>
    <row r="2982" spans="1:30" x14ac:dyDescent="0.25">
      <c r="A2982" s="1">
        <v>44784.986932870372</v>
      </c>
      <c r="B2982" s="1">
        <v>44784.986064814817</v>
      </c>
      <c r="C2982">
        <v>1202</v>
      </c>
      <c r="D2982" t="s">
        <v>58</v>
      </c>
      <c r="E2982" t="s">
        <v>35</v>
      </c>
      <c r="F2982" t="s">
        <v>57</v>
      </c>
      <c r="G2982">
        <v>42.936554000000001</v>
      </c>
      <c r="H2982">
        <v>-72.271019999999993</v>
      </c>
      <c r="I2982">
        <v>488</v>
      </c>
      <c r="J2982">
        <v>0</v>
      </c>
      <c r="K2982">
        <v>0</v>
      </c>
      <c r="L2982" s="1">
        <v>44784.986828703702</v>
      </c>
      <c r="M2982">
        <v>6.5</v>
      </c>
      <c r="N2982">
        <v>6</v>
      </c>
      <c r="O2982">
        <v>0.5</v>
      </c>
      <c r="P2982">
        <v>8</v>
      </c>
      <c r="Q2982">
        <v>0.3</v>
      </c>
      <c r="R2982">
        <v>0.3</v>
      </c>
      <c r="S2982">
        <v>0.3</v>
      </c>
      <c r="T2982" t="s">
        <v>33</v>
      </c>
      <c r="U2982">
        <v>6.25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 t="s">
        <v>38</v>
      </c>
    </row>
    <row r="2983" spans="1:30" x14ac:dyDescent="0.25">
      <c r="A2983" s="1">
        <v>44784.986944444441</v>
      </c>
      <c r="B2983" s="1">
        <v>44612.080023148148</v>
      </c>
      <c r="C2983">
        <v>25985</v>
      </c>
      <c r="D2983" t="s">
        <v>59</v>
      </c>
      <c r="E2983" t="s">
        <v>35</v>
      </c>
      <c r="F2983">
        <v>6.01</v>
      </c>
      <c r="G2983">
        <v>42.927326000000001</v>
      </c>
      <c r="H2983">
        <v>-72.279979999999995</v>
      </c>
      <c r="I2983">
        <v>477</v>
      </c>
      <c r="J2983">
        <v>78</v>
      </c>
      <c r="K2983">
        <v>0</v>
      </c>
      <c r="L2983" s="1">
        <v>44784.986828703702</v>
      </c>
      <c r="M2983">
        <v>1.1000000000000001</v>
      </c>
      <c r="N2983">
        <v>1</v>
      </c>
      <c r="O2983">
        <v>0.1</v>
      </c>
      <c r="P2983">
        <v>10</v>
      </c>
      <c r="Q2983">
        <v>0</v>
      </c>
      <c r="R2983">
        <v>0</v>
      </c>
      <c r="S2983">
        <v>0</v>
      </c>
      <c r="T2983" t="s">
        <v>32</v>
      </c>
      <c r="V2983">
        <v>22</v>
      </c>
      <c r="W2983">
        <v>0</v>
      </c>
      <c r="X2983">
        <v>22</v>
      </c>
      <c r="Y2983">
        <v>0</v>
      </c>
      <c r="Z2983">
        <v>0</v>
      </c>
      <c r="AA2983">
        <v>0</v>
      </c>
      <c r="AB2983" t="s">
        <v>36</v>
      </c>
      <c r="AC2983">
        <v>22</v>
      </c>
    </row>
    <row r="2984" spans="1:30" x14ac:dyDescent="0.25">
      <c r="A2984" s="1">
        <v>44784.993784722225</v>
      </c>
      <c r="B2984" s="1">
        <v>44775.701319444444</v>
      </c>
      <c r="C2984">
        <v>151708</v>
      </c>
      <c r="D2984" t="s">
        <v>30</v>
      </c>
      <c r="E2984" t="s">
        <v>31</v>
      </c>
      <c r="F2984">
        <v>7</v>
      </c>
      <c r="G2984">
        <v>43.192042999999998</v>
      </c>
      <c r="H2984">
        <v>-71.541579999999996</v>
      </c>
      <c r="I2984">
        <v>291</v>
      </c>
      <c r="J2984">
        <v>93</v>
      </c>
      <c r="K2984">
        <v>94</v>
      </c>
      <c r="L2984" s="1">
        <v>44784.993773148148</v>
      </c>
      <c r="M2984">
        <v>7.9</v>
      </c>
      <c r="N2984">
        <v>7.6</v>
      </c>
      <c r="O2984">
        <v>0.3</v>
      </c>
      <c r="P2984">
        <v>4</v>
      </c>
      <c r="Q2984">
        <v>0</v>
      </c>
      <c r="R2984">
        <v>0</v>
      </c>
      <c r="S2984">
        <v>0</v>
      </c>
      <c r="T2984" t="s">
        <v>32</v>
      </c>
      <c r="V2984">
        <v>42</v>
      </c>
      <c r="W2984">
        <v>41</v>
      </c>
      <c r="X2984">
        <v>1</v>
      </c>
      <c r="Y2984">
        <v>0</v>
      </c>
      <c r="Z2984">
        <v>0</v>
      </c>
      <c r="AA2984">
        <v>0</v>
      </c>
      <c r="AB2984" t="s">
        <v>33</v>
      </c>
      <c r="AC2984">
        <v>41.5</v>
      </c>
    </row>
    <row r="2985" spans="1:30" x14ac:dyDescent="0.25">
      <c r="A2985" s="1">
        <v>44784.993784722225</v>
      </c>
      <c r="B2985" s="1">
        <v>44784.992210648146</v>
      </c>
      <c r="C2985">
        <v>143456</v>
      </c>
      <c r="D2985" t="s">
        <v>34</v>
      </c>
      <c r="E2985" t="s">
        <v>35</v>
      </c>
      <c r="F2985">
        <v>7</v>
      </c>
      <c r="G2985">
        <v>43.08963</v>
      </c>
      <c r="H2985">
        <v>-71.502440000000007</v>
      </c>
      <c r="I2985">
        <v>619</v>
      </c>
      <c r="J2985">
        <v>73</v>
      </c>
      <c r="K2985">
        <v>0</v>
      </c>
      <c r="L2985" s="1">
        <v>44784.993773148148</v>
      </c>
      <c r="M2985">
        <v>3.4</v>
      </c>
      <c r="N2985">
        <v>3.9</v>
      </c>
      <c r="O2985">
        <v>0.5</v>
      </c>
      <c r="P2985">
        <v>14</v>
      </c>
      <c r="Q2985">
        <v>0.2</v>
      </c>
      <c r="R2985">
        <v>0.2</v>
      </c>
      <c r="S2985">
        <v>0.2</v>
      </c>
      <c r="T2985" t="s">
        <v>33</v>
      </c>
      <c r="U2985">
        <v>3.65</v>
      </c>
      <c r="V2985">
        <v>60</v>
      </c>
      <c r="W2985">
        <v>0</v>
      </c>
      <c r="X2985">
        <v>60</v>
      </c>
      <c r="Y2985">
        <v>1</v>
      </c>
      <c r="Z2985">
        <v>0</v>
      </c>
      <c r="AA2985">
        <v>1</v>
      </c>
      <c r="AB2985" t="s">
        <v>36</v>
      </c>
      <c r="AC2985">
        <v>60</v>
      </c>
      <c r="AD2985">
        <v>0.19</v>
      </c>
    </row>
    <row r="2986" spans="1:30" x14ac:dyDescent="0.25">
      <c r="A2986" s="1">
        <v>44784.993796296294</v>
      </c>
      <c r="B2986" s="1">
        <v>44784.992349537039</v>
      </c>
      <c r="C2986">
        <v>151702</v>
      </c>
      <c r="D2986" t="s">
        <v>37</v>
      </c>
      <c r="E2986" t="s">
        <v>31</v>
      </c>
      <c r="F2986">
        <v>7</v>
      </c>
      <c r="G2986">
        <v>43.118609999999997</v>
      </c>
      <c r="H2986">
        <v>-71.61618</v>
      </c>
      <c r="I2986">
        <v>885</v>
      </c>
      <c r="J2986">
        <v>0</v>
      </c>
      <c r="K2986">
        <v>0</v>
      </c>
      <c r="L2986" s="1">
        <v>44784.993773148148</v>
      </c>
      <c r="M2986">
        <v>4.2</v>
      </c>
      <c r="N2986">
        <v>4.3</v>
      </c>
      <c r="O2986">
        <v>0.1</v>
      </c>
      <c r="P2986">
        <v>2</v>
      </c>
      <c r="Q2986">
        <v>0.2</v>
      </c>
      <c r="R2986">
        <v>0.4</v>
      </c>
      <c r="S2986">
        <v>0.3</v>
      </c>
      <c r="T2986" t="s">
        <v>33</v>
      </c>
      <c r="U2986">
        <v>4.25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 t="s">
        <v>38</v>
      </c>
    </row>
    <row r="2987" spans="1:30" x14ac:dyDescent="0.25">
      <c r="A2987" s="1">
        <v>44784.993796296294</v>
      </c>
      <c r="B2987" s="1">
        <v>44784.992256944446</v>
      </c>
      <c r="C2987">
        <v>151700</v>
      </c>
      <c r="D2987" t="s">
        <v>30</v>
      </c>
      <c r="E2987" t="s">
        <v>31</v>
      </c>
      <c r="F2987">
        <v>7</v>
      </c>
      <c r="G2987">
        <v>43.19211</v>
      </c>
      <c r="H2987">
        <v>-71.541460000000001</v>
      </c>
      <c r="I2987">
        <v>286</v>
      </c>
      <c r="J2987">
        <v>75</v>
      </c>
      <c r="K2987">
        <v>0</v>
      </c>
      <c r="L2987" s="1">
        <v>44784.993773148148</v>
      </c>
      <c r="M2987">
        <v>2.7</v>
      </c>
      <c r="N2987">
        <v>3.3</v>
      </c>
      <c r="O2987">
        <v>0.6</v>
      </c>
      <c r="P2987">
        <v>20</v>
      </c>
      <c r="Q2987">
        <v>0.1</v>
      </c>
      <c r="R2987">
        <v>0.1</v>
      </c>
      <c r="S2987">
        <v>0.1</v>
      </c>
      <c r="T2987" t="s">
        <v>33</v>
      </c>
      <c r="U2987">
        <v>3</v>
      </c>
      <c r="V2987">
        <v>56</v>
      </c>
      <c r="W2987">
        <v>0</v>
      </c>
      <c r="X2987">
        <v>56</v>
      </c>
      <c r="Y2987">
        <v>1</v>
      </c>
      <c r="Z2987">
        <v>0</v>
      </c>
      <c r="AA2987">
        <v>1</v>
      </c>
      <c r="AB2987" t="s">
        <v>36</v>
      </c>
      <c r="AC2987">
        <v>56</v>
      </c>
      <c r="AD2987">
        <v>7.0000000000000007E-2</v>
      </c>
    </row>
    <row r="2988" spans="1:30" x14ac:dyDescent="0.25">
      <c r="A2988" s="1">
        <v>44784.993807870371</v>
      </c>
      <c r="B2988" s="1">
        <v>44784.992696759262</v>
      </c>
      <c r="C2988">
        <v>135984</v>
      </c>
      <c r="D2988" t="s">
        <v>39</v>
      </c>
      <c r="E2988" t="s">
        <v>31</v>
      </c>
      <c r="F2988">
        <v>7</v>
      </c>
      <c r="G2988">
        <v>43.565852999999997</v>
      </c>
      <c r="H2988">
        <v>-71.496129999999994</v>
      </c>
      <c r="I2988">
        <v>708</v>
      </c>
      <c r="J2988">
        <v>66</v>
      </c>
      <c r="K2988">
        <v>0</v>
      </c>
      <c r="L2988" s="1">
        <v>44784.993773148148</v>
      </c>
      <c r="M2988">
        <v>4.8</v>
      </c>
      <c r="N2988">
        <v>4.3</v>
      </c>
      <c r="O2988">
        <v>0.5</v>
      </c>
      <c r="P2988">
        <v>11</v>
      </c>
      <c r="Q2988">
        <v>0.2</v>
      </c>
      <c r="R2988">
        <v>0.1</v>
      </c>
      <c r="S2988">
        <v>0.15</v>
      </c>
      <c r="T2988" t="s">
        <v>33</v>
      </c>
      <c r="U2988">
        <v>4.55</v>
      </c>
      <c r="V2988">
        <v>92</v>
      </c>
      <c r="W2988">
        <v>0</v>
      </c>
      <c r="X2988">
        <v>92</v>
      </c>
      <c r="Y2988">
        <v>1</v>
      </c>
      <c r="Z2988">
        <v>0</v>
      </c>
      <c r="AA2988">
        <v>1</v>
      </c>
      <c r="AB2988" t="s">
        <v>36</v>
      </c>
      <c r="AC2988">
        <v>92</v>
      </c>
      <c r="AD2988">
        <v>-1.5</v>
      </c>
    </row>
    <row r="2989" spans="1:30" x14ac:dyDescent="0.25">
      <c r="A2989" s="1">
        <v>44784.993807870371</v>
      </c>
      <c r="B2989" s="1">
        <v>44780.394780092596</v>
      </c>
      <c r="C2989">
        <v>151712</v>
      </c>
      <c r="D2989" t="s">
        <v>40</v>
      </c>
      <c r="E2989" t="s">
        <v>31</v>
      </c>
      <c r="F2989">
        <v>7</v>
      </c>
      <c r="G2989">
        <v>43.289763999999998</v>
      </c>
      <c r="H2989">
        <v>-71.564260000000004</v>
      </c>
      <c r="I2989">
        <v>370</v>
      </c>
      <c r="J2989">
        <v>86</v>
      </c>
      <c r="K2989">
        <v>0</v>
      </c>
      <c r="L2989" s="1">
        <v>44784.993773148148</v>
      </c>
      <c r="M2989">
        <v>14</v>
      </c>
      <c r="N2989">
        <v>13.2</v>
      </c>
      <c r="O2989">
        <v>0.8</v>
      </c>
      <c r="P2989">
        <v>6</v>
      </c>
      <c r="Q2989">
        <v>0</v>
      </c>
      <c r="R2989">
        <v>0</v>
      </c>
      <c r="S2989">
        <v>0</v>
      </c>
      <c r="T2989" t="s">
        <v>32</v>
      </c>
      <c r="V2989">
        <v>59</v>
      </c>
      <c r="W2989">
        <v>0</v>
      </c>
      <c r="X2989">
        <v>59</v>
      </c>
      <c r="Y2989">
        <v>0</v>
      </c>
      <c r="Z2989">
        <v>0</v>
      </c>
      <c r="AA2989">
        <v>0</v>
      </c>
      <c r="AB2989" t="s">
        <v>36</v>
      </c>
      <c r="AC2989">
        <v>59</v>
      </c>
    </row>
    <row r="2990" spans="1:30" x14ac:dyDescent="0.25">
      <c r="A2990" s="1">
        <v>44784.993819444448</v>
      </c>
      <c r="B2990" s="1">
        <v>44784.992025462961</v>
      </c>
      <c r="C2990">
        <v>151710</v>
      </c>
      <c r="D2990" t="s">
        <v>41</v>
      </c>
      <c r="E2990" t="s">
        <v>31</v>
      </c>
      <c r="F2990">
        <v>7</v>
      </c>
      <c r="G2990">
        <v>43.132477000000002</v>
      </c>
      <c r="H2990">
        <v>-71.458374000000006</v>
      </c>
      <c r="I2990">
        <v>230</v>
      </c>
      <c r="J2990">
        <v>73</v>
      </c>
      <c r="K2990">
        <v>0</v>
      </c>
      <c r="L2990" s="1">
        <v>44784.993773148148</v>
      </c>
      <c r="M2990">
        <v>5.6</v>
      </c>
      <c r="N2990">
        <v>4.4000000000000004</v>
      </c>
      <c r="O2990">
        <v>1.2</v>
      </c>
      <c r="P2990">
        <v>24</v>
      </c>
      <c r="Q2990">
        <v>0.2</v>
      </c>
      <c r="R2990">
        <v>0</v>
      </c>
      <c r="S2990">
        <v>0.1</v>
      </c>
      <c r="T2990" t="s">
        <v>33</v>
      </c>
      <c r="U2990">
        <v>5</v>
      </c>
      <c r="V2990">
        <v>58</v>
      </c>
      <c r="W2990">
        <v>0</v>
      </c>
      <c r="X2990">
        <v>58</v>
      </c>
      <c r="Y2990">
        <v>1</v>
      </c>
      <c r="Z2990">
        <v>0</v>
      </c>
      <c r="AA2990">
        <v>1</v>
      </c>
      <c r="AB2990" t="s">
        <v>36</v>
      </c>
      <c r="AC2990">
        <v>58</v>
      </c>
      <c r="AD2990">
        <v>1.1499999999999999</v>
      </c>
    </row>
    <row r="2991" spans="1:30" x14ac:dyDescent="0.25">
      <c r="A2991" s="1">
        <v>44784.993819444448</v>
      </c>
      <c r="B2991" s="1">
        <v>44784.993020833332</v>
      </c>
      <c r="C2991">
        <v>151706</v>
      </c>
      <c r="D2991" t="s">
        <v>42</v>
      </c>
      <c r="E2991" t="s">
        <v>31</v>
      </c>
      <c r="F2991">
        <v>7</v>
      </c>
      <c r="G2991">
        <v>43.004080000000002</v>
      </c>
      <c r="H2991">
        <v>-71.177040000000005</v>
      </c>
      <c r="I2991">
        <v>194</v>
      </c>
      <c r="J2991">
        <v>74</v>
      </c>
      <c r="K2991">
        <v>0</v>
      </c>
      <c r="L2991" s="1">
        <v>44784.993773148148</v>
      </c>
      <c r="M2991">
        <v>12.6</v>
      </c>
      <c r="N2991">
        <v>0</v>
      </c>
      <c r="O2991">
        <v>12.6</v>
      </c>
      <c r="P2991">
        <v>200</v>
      </c>
      <c r="Q2991">
        <v>0.9</v>
      </c>
      <c r="R2991">
        <v>0</v>
      </c>
      <c r="S2991">
        <v>0.45</v>
      </c>
      <c r="T2991" t="s">
        <v>43</v>
      </c>
      <c r="V2991">
        <v>67</v>
      </c>
      <c r="W2991">
        <v>0</v>
      </c>
      <c r="X2991">
        <v>67</v>
      </c>
      <c r="Y2991">
        <v>2</v>
      </c>
      <c r="Z2991">
        <v>0</v>
      </c>
      <c r="AA2991">
        <v>2</v>
      </c>
      <c r="AB2991" t="s">
        <v>36</v>
      </c>
      <c r="AC2991">
        <v>67</v>
      </c>
    </row>
    <row r="2992" spans="1:30" x14ac:dyDescent="0.25">
      <c r="A2992" s="1">
        <v>44784.993819444448</v>
      </c>
      <c r="B2992" s="1">
        <v>44784.99287037037</v>
      </c>
      <c r="C2992">
        <v>12212</v>
      </c>
      <c r="D2992" t="s">
        <v>44</v>
      </c>
      <c r="E2992" t="s">
        <v>35</v>
      </c>
      <c r="F2992">
        <v>7</v>
      </c>
      <c r="G2992">
        <v>42.930529999999997</v>
      </c>
      <c r="H2992">
        <v>-72.272350000000003</v>
      </c>
      <c r="I2992">
        <v>476</v>
      </c>
      <c r="J2992">
        <v>75</v>
      </c>
      <c r="K2992">
        <v>0</v>
      </c>
      <c r="L2992" s="1">
        <v>44784.993773148148</v>
      </c>
      <c r="M2992">
        <v>5.9</v>
      </c>
      <c r="N2992">
        <v>5.0999999999999996</v>
      </c>
      <c r="O2992">
        <v>0.8</v>
      </c>
      <c r="P2992">
        <v>15</v>
      </c>
      <c r="Q2992">
        <v>0.2</v>
      </c>
      <c r="R2992">
        <v>0.2</v>
      </c>
      <c r="S2992">
        <v>0.2</v>
      </c>
      <c r="T2992" t="s">
        <v>33</v>
      </c>
      <c r="U2992">
        <v>5.5</v>
      </c>
      <c r="V2992">
        <v>67</v>
      </c>
      <c r="W2992">
        <v>0</v>
      </c>
      <c r="X2992">
        <v>67</v>
      </c>
      <c r="Y2992">
        <v>3</v>
      </c>
      <c r="Z2992">
        <v>0</v>
      </c>
      <c r="AA2992">
        <v>3</v>
      </c>
      <c r="AB2992" t="s">
        <v>36</v>
      </c>
      <c r="AC2992">
        <v>67</v>
      </c>
      <c r="AD2992">
        <v>0.82</v>
      </c>
    </row>
    <row r="2993" spans="1:30" x14ac:dyDescent="0.25">
      <c r="A2993" s="1">
        <v>44784.993831018517</v>
      </c>
      <c r="B2993" s="1">
        <v>44769.376736111109</v>
      </c>
      <c r="C2993">
        <v>12178</v>
      </c>
      <c r="D2993" t="s">
        <v>45</v>
      </c>
      <c r="E2993" t="s">
        <v>35</v>
      </c>
      <c r="F2993">
        <v>7</v>
      </c>
      <c r="G2993">
        <v>42.899563000000001</v>
      </c>
      <c r="H2993">
        <v>-71.464650000000006</v>
      </c>
      <c r="I2993">
        <v>301</v>
      </c>
      <c r="J2993">
        <v>85</v>
      </c>
      <c r="K2993">
        <v>0</v>
      </c>
      <c r="L2993" s="1">
        <v>44784.993773148148</v>
      </c>
      <c r="M2993">
        <v>3.8</v>
      </c>
      <c r="N2993">
        <v>3.1</v>
      </c>
      <c r="O2993">
        <v>0.7</v>
      </c>
      <c r="P2993">
        <v>20</v>
      </c>
      <c r="Q2993">
        <v>0</v>
      </c>
      <c r="R2993">
        <v>0</v>
      </c>
      <c r="S2993">
        <v>0</v>
      </c>
      <c r="T2993" t="s">
        <v>32</v>
      </c>
      <c r="V2993">
        <v>35</v>
      </c>
      <c r="W2993">
        <v>0</v>
      </c>
      <c r="X2993">
        <v>35</v>
      </c>
      <c r="Y2993">
        <v>0</v>
      </c>
      <c r="Z2993">
        <v>0</v>
      </c>
      <c r="AA2993">
        <v>0</v>
      </c>
      <c r="AB2993" t="s">
        <v>36</v>
      </c>
      <c r="AC2993">
        <v>35</v>
      </c>
    </row>
    <row r="2994" spans="1:30" x14ac:dyDescent="0.25">
      <c r="A2994" s="1">
        <v>44784.993831018517</v>
      </c>
      <c r="B2994" s="1">
        <v>44784.992106481484</v>
      </c>
      <c r="C2994">
        <v>75981</v>
      </c>
      <c r="D2994" t="s">
        <v>46</v>
      </c>
      <c r="E2994" t="s">
        <v>35</v>
      </c>
      <c r="F2994">
        <v>7</v>
      </c>
      <c r="G2994">
        <v>42.97</v>
      </c>
      <c r="H2994">
        <v>-71.06</v>
      </c>
      <c r="I2994">
        <v>136</v>
      </c>
      <c r="J2994">
        <v>77</v>
      </c>
      <c r="K2994">
        <v>0</v>
      </c>
      <c r="L2994" s="1">
        <v>44784.993773148148</v>
      </c>
      <c r="M2994">
        <v>12.7</v>
      </c>
      <c r="N2994">
        <v>12.2</v>
      </c>
      <c r="O2994">
        <v>0.5</v>
      </c>
      <c r="P2994">
        <v>4</v>
      </c>
      <c r="Q2994">
        <v>0.1</v>
      </c>
      <c r="R2994">
        <v>0.3</v>
      </c>
      <c r="S2994">
        <v>0.2</v>
      </c>
      <c r="T2994" t="s">
        <v>33</v>
      </c>
      <c r="U2994">
        <v>12.45</v>
      </c>
      <c r="V2994">
        <v>61</v>
      </c>
      <c r="W2994">
        <v>0</v>
      </c>
      <c r="X2994">
        <v>61</v>
      </c>
      <c r="Y2994">
        <v>1</v>
      </c>
      <c r="Z2994">
        <v>0</v>
      </c>
      <c r="AA2994">
        <v>1</v>
      </c>
      <c r="AB2994" t="s">
        <v>36</v>
      </c>
      <c r="AC2994">
        <v>61</v>
      </c>
      <c r="AD2994">
        <v>5.48</v>
      </c>
    </row>
    <row r="2995" spans="1:30" x14ac:dyDescent="0.25">
      <c r="A2995" s="1">
        <v>44784.993842592594</v>
      </c>
      <c r="B2995" s="1">
        <v>44784.992650462962</v>
      </c>
      <c r="C2995">
        <v>115703</v>
      </c>
      <c r="D2995" t="s">
        <v>47</v>
      </c>
      <c r="E2995" t="s">
        <v>35</v>
      </c>
      <c r="F2995">
        <v>7</v>
      </c>
      <c r="G2995">
        <v>43.953625000000002</v>
      </c>
      <c r="H2995">
        <v>-71.508859999999999</v>
      </c>
      <c r="I2995">
        <v>1493</v>
      </c>
      <c r="J2995">
        <v>67</v>
      </c>
      <c r="K2995">
        <v>0</v>
      </c>
      <c r="L2995" s="1">
        <v>44784.993773148148</v>
      </c>
      <c r="M2995">
        <v>0.1</v>
      </c>
      <c r="N2995">
        <v>201</v>
      </c>
      <c r="O2995">
        <v>200.9</v>
      </c>
      <c r="P2995">
        <v>200</v>
      </c>
      <c r="Q2995">
        <v>0</v>
      </c>
      <c r="R2995">
        <v>0</v>
      </c>
      <c r="S2995">
        <v>0</v>
      </c>
      <c r="T2995" t="s">
        <v>60</v>
      </c>
      <c r="V2995">
        <v>67</v>
      </c>
      <c r="W2995">
        <v>0</v>
      </c>
      <c r="X2995">
        <v>67</v>
      </c>
      <c r="Y2995">
        <v>0</v>
      </c>
      <c r="Z2995">
        <v>0</v>
      </c>
      <c r="AA2995">
        <v>0</v>
      </c>
      <c r="AB2995" t="s">
        <v>36</v>
      </c>
      <c r="AC2995">
        <v>67</v>
      </c>
    </row>
    <row r="2996" spans="1:30" x14ac:dyDescent="0.25">
      <c r="A2996" s="1">
        <v>44784.993842592594</v>
      </c>
      <c r="B2996" s="1">
        <v>44784.992071759261</v>
      </c>
      <c r="C2996">
        <v>12050</v>
      </c>
      <c r="D2996" t="s">
        <v>49</v>
      </c>
      <c r="E2996" t="s">
        <v>35</v>
      </c>
      <c r="F2996">
        <v>7</v>
      </c>
      <c r="G2996">
        <v>44.220573000000002</v>
      </c>
      <c r="H2996">
        <v>-71.732315</v>
      </c>
      <c r="I2996">
        <v>999</v>
      </c>
      <c r="J2996">
        <v>73</v>
      </c>
      <c r="K2996">
        <v>0</v>
      </c>
      <c r="L2996" s="1">
        <v>44784.993773148148</v>
      </c>
      <c r="M2996">
        <v>19.3</v>
      </c>
      <c r="N2996">
        <v>18.600000000000001</v>
      </c>
      <c r="O2996">
        <v>0.7</v>
      </c>
      <c r="P2996">
        <v>4</v>
      </c>
      <c r="Q2996">
        <v>1.4</v>
      </c>
      <c r="R2996">
        <v>1.2</v>
      </c>
      <c r="S2996">
        <v>1.2999999999999901</v>
      </c>
      <c r="T2996" t="s">
        <v>33</v>
      </c>
      <c r="U2996">
        <v>18.95</v>
      </c>
      <c r="V2996">
        <v>58</v>
      </c>
      <c r="W2996">
        <v>0</v>
      </c>
      <c r="X2996">
        <v>58</v>
      </c>
      <c r="Y2996">
        <v>0</v>
      </c>
      <c r="Z2996">
        <v>0</v>
      </c>
      <c r="AA2996">
        <v>0</v>
      </c>
      <c r="AB2996" t="s">
        <v>36</v>
      </c>
      <c r="AC2996">
        <v>58</v>
      </c>
      <c r="AD2996">
        <v>9.66</v>
      </c>
    </row>
    <row r="2997" spans="1:30" x14ac:dyDescent="0.25">
      <c r="A2997" s="1">
        <v>44784.993854166663</v>
      </c>
      <c r="B2997" s="1">
        <v>44784.993576388886</v>
      </c>
      <c r="C2997">
        <v>23443</v>
      </c>
      <c r="D2997" t="s">
        <v>50</v>
      </c>
      <c r="E2997" t="s">
        <v>35</v>
      </c>
      <c r="F2997">
        <v>7</v>
      </c>
      <c r="G2997">
        <v>43.556139999999999</v>
      </c>
      <c r="H2997">
        <v>-72.370990000000006</v>
      </c>
      <c r="I2997">
        <v>523</v>
      </c>
      <c r="J2997">
        <v>71</v>
      </c>
      <c r="K2997">
        <v>0</v>
      </c>
      <c r="L2997" s="1">
        <v>44784.993773148148</v>
      </c>
      <c r="M2997">
        <v>7.1</v>
      </c>
      <c r="N2997">
        <v>6.3</v>
      </c>
      <c r="O2997">
        <v>0.8</v>
      </c>
      <c r="P2997">
        <v>12</v>
      </c>
      <c r="Q2997">
        <v>0.3</v>
      </c>
      <c r="R2997">
        <v>0.2</v>
      </c>
      <c r="S2997">
        <v>0.25</v>
      </c>
      <c r="T2997" t="s">
        <v>33</v>
      </c>
      <c r="U2997">
        <v>6.7</v>
      </c>
      <c r="V2997">
        <v>68</v>
      </c>
      <c r="W2997">
        <v>0</v>
      </c>
      <c r="X2997">
        <v>68</v>
      </c>
      <c r="Y2997">
        <v>0</v>
      </c>
      <c r="Z2997">
        <v>0</v>
      </c>
      <c r="AA2997">
        <v>0</v>
      </c>
      <c r="AB2997" t="s">
        <v>36</v>
      </c>
      <c r="AC2997">
        <v>68</v>
      </c>
      <c r="AD2997">
        <v>1.49</v>
      </c>
    </row>
    <row r="2998" spans="1:30" x14ac:dyDescent="0.25">
      <c r="A2998" s="1">
        <v>44784.993854166663</v>
      </c>
      <c r="B2998" s="1">
        <v>44784.993715277778</v>
      </c>
      <c r="C2998">
        <v>58135</v>
      </c>
      <c r="D2998" t="s">
        <v>51</v>
      </c>
      <c r="E2998" t="s">
        <v>35</v>
      </c>
      <c r="F2998">
        <v>7</v>
      </c>
      <c r="G2998">
        <v>42.883873000000001</v>
      </c>
      <c r="H2998">
        <v>-71.972915999999998</v>
      </c>
      <c r="I2998">
        <v>808</v>
      </c>
      <c r="J2998">
        <v>73</v>
      </c>
      <c r="K2998">
        <v>0</v>
      </c>
      <c r="L2998" s="1">
        <v>44784.993773148148</v>
      </c>
      <c r="M2998">
        <v>6.2</v>
      </c>
      <c r="N2998">
        <v>4.3</v>
      </c>
      <c r="O2998">
        <v>1.9</v>
      </c>
      <c r="P2998">
        <v>36</v>
      </c>
      <c r="Q2998">
        <v>0.1</v>
      </c>
      <c r="R2998">
        <v>0.1</v>
      </c>
      <c r="S2998">
        <v>0.1</v>
      </c>
      <c r="T2998" t="s">
        <v>33</v>
      </c>
      <c r="U2998">
        <v>5.25</v>
      </c>
      <c r="V2998">
        <v>62</v>
      </c>
      <c r="W2998">
        <v>0</v>
      </c>
      <c r="X2998">
        <v>62</v>
      </c>
      <c r="Y2998">
        <v>1</v>
      </c>
      <c r="Z2998">
        <v>0</v>
      </c>
      <c r="AA2998">
        <v>1</v>
      </c>
      <c r="AB2998" t="s">
        <v>36</v>
      </c>
      <c r="AC2998">
        <v>62</v>
      </c>
      <c r="AD2998">
        <v>1.02</v>
      </c>
    </row>
    <row r="2999" spans="1:30" x14ac:dyDescent="0.25">
      <c r="A2999" s="1">
        <v>44784.99386574074</v>
      </c>
      <c r="B2999" s="1">
        <v>44784.993657407409</v>
      </c>
      <c r="C2999">
        <v>148555</v>
      </c>
      <c r="D2999" t="s">
        <v>52</v>
      </c>
      <c r="E2999" t="s">
        <v>53</v>
      </c>
      <c r="F2999">
        <v>7</v>
      </c>
      <c r="G2999">
        <v>42.904949999999999</v>
      </c>
      <c r="H2999">
        <v>-71.386764999999997</v>
      </c>
      <c r="I2999">
        <v>363</v>
      </c>
      <c r="J2999">
        <v>0</v>
      </c>
      <c r="K2999">
        <v>0</v>
      </c>
      <c r="L2999" s="1">
        <v>44784.993773148148</v>
      </c>
      <c r="M2999">
        <v>2.6</v>
      </c>
      <c r="N2999">
        <v>3.4</v>
      </c>
      <c r="O2999">
        <v>0.8</v>
      </c>
      <c r="P2999">
        <v>27</v>
      </c>
      <c r="Q2999">
        <v>0.1</v>
      </c>
      <c r="R2999">
        <v>0.1</v>
      </c>
      <c r="S2999">
        <v>0.1</v>
      </c>
      <c r="T2999" t="s">
        <v>33</v>
      </c>
      <c r="U2999">
        <v>3</v>
      </c>
      <c r="V2999">
        <v>0</v>
      </c>
      <c r="W2999">
        <v>0</v>
      </c>
      <c r="X2999">
        <v>0</v>
      </c>
      <c r="Y2999">
        <v>0</v>
      </c>
      <c r="Z2999">
        <v>0</v>
      </c>
      <c r="AA2999">
        <v>0</v>
      </c>
      <c r="AB2999" t="s">
        <v>38</v>
      </c>
    </row>
    <row r="3000" spans="1:30" x14ac:dyDescent="0.25">
      <c r="A3000" s="1">
        <v>44784.99391203704</v>
      </c>
      <c r="B3000" s="1">
        <v>44784.993159722224</v>
      </c>
      <c r="C3000">
        <v>146644</v>
      </c>
      <c r="D3000" t="s">
        <v>54</v>
      </c>
      <c r="E3000" t="s">
        <v>53</v>
      </c>
      <c r="F3000">
        <v>7</v>
      </c>
      <c r="G3000">
        <v>43.06015</v>
      </c>
      <c r="H3000">
        <v>-70.758930000000007</v>
      </c>
      <c r="I3000">
        <v>35</v>
      </c>
      <c r="J3000">
        <v>70</v>
      </c>
      <c r="K3000">
        <v>72</v>
      </c>
      <c r="L3000" s="1">
        <v>44784.993773148148</v>
      </c>
      <c r="M3000">
        <v>15.1</v>
      </c>
      <c r="N3000">
        <v>13.7</v>
      </c>
      <c r="O3000">
        <v>1.4</v>
      </c>
      <c r="P3000">
        <v>10</v>
      </c>
      <c r="Q3000">
        <v>0.4</v>
      </c>
      <c r="R3000">
        <v>0.5</v>
      </c>
      <c r="S3000">
        <v>0.45</v>
      </c>
      <c r="T3000" t="s">
        <v>33</v>
      </c>
      <c r="U3000">
        <v>14.4</v>
      </c>
      <c r="V3000">
        <v>71</v>
      </c>
      <c r="W3000">
        <v>75</v>
      </c>
      <c r="X3000">
        <v>4</v>
      </c>
      <c r="Y3000">
        <v>1</v>
      </c>
      <c r="Z3000">
        <v>0</v>
      </c>
      <c r="AA3000">
        <v>1</v>
      </c>
      <c r="AB3000" t="s">
        <v>33</v>
      </c>
      <c r="AC3000">
        <v>73</v>
      </c>
      <c r="AD3000">
        <v>5.83</v>
      </c>
    </row>
    <row r="3001" spans="1:30" x14ac:dyDescent="0.25">
      <c r="A3001" s="1">
        <v>44784.993923611109</v>
      </c>
      <c r="B3001" s="1">
        <v>43755.283437500002</v>
      </c>
      <c r="C3001">
        <v>12188</v>
      </c>
      <c r="D3001" t="s">
        <v>55</v>
      </c>
      <c r="E3001" t="s">
        <v>35</v>
      </c>
      <c r="F3001">
        <v>4.1100000000000003</v>
      </c>
      <c r="G3001">
        <v>42.927050000000001</v>
      </c>
      <c r="H3001">
        <v>-72.279610000000005</v>
      </c>
      <c r="I3001">
        <v>475</v>
      </c>
      <c r="J3001">
        <v>95</v>
      </c>
      <c r="K3001">
        <v>0</v>
      </c>
      <c r="L3001" s="1">
        <v>44784.993773148148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 t="s">
        <v>32</v>
      </c>
      <c r="V3001">
        <v>77</v>
      </c>
      <c r="W3001">
        <v>0</v>
      </c>
      <c r="X3001">
        <v>77</v>
      </c>
      <c r="Y3001">
        <v>0</v>
      </c>
      <c r="Z3001">
        <v>0</v>
      </c>
      <c r="AA3001">
        <v>0</v>
      </c>
      <c r="AB3001" t="s">
        <v>36</v>
      </c>
      <c r="AC3001">
        <v>77</v>
      </c>
    </row>
    <row r="3002" spans="1:30" x14ac:dyDescent="0.25">
      <c r="A3002" s="1">
        <v>44784.993923611109</v>
      </c>
      <c r="B3002" s="1">
        <v>44784.993564814817</v>
      </c>
      <c r="C3002">
        <v>1224</v>
      </c>
      <c r="D3002" t="s">
        <v>56</v>
      </c>
      <c r="E3002" t="s">
        <v>35</v>
      </c>
      <c r="F3002" t="s">
        <v>57</v>
      </c>
      <c r="G3002">
        <v>42.938034000000002</v>
      </c>
      <c r="H3002">
        <v>-72.259299999999996</v>
      </c>
      <c r="I3002">
        <v>792</v>
      </c>
      <c r="J3002">
        <v>75</v>
      </c>
      <c r="K3002">
        <v>0</v>
      </c>
      <c r="L3002" s="1">
        <v>44784.993773148148</v>
      </c>
      <c r="M3002">
        <v>5.5</v>
      </c>
      <c r="N3002">
        <v>0</v>
      </c>
      <c r="O3002">
        <v>5.5</v>
      </c>
      <c r="P3002">
        <v>200</v>
      </c>
      <c r="Q3002">
        <v>0</v>
      </c>
      <c r="R3002">
        <v>0.1</v>
      </c>
      <c r="S3002">
        <v>0.05</v>
      </c>
      <c r="T3002" t="s">
        <v>43</v>
      </c>
      <c r="V3002">
        <v>72</v>
      </c>
      <c r="W3002">
        <v>0</v>
      </c>
      <c r="X3002">
        <v>72</v>
      </c>
      <c r="Y3002">
        <v>0</v>
      </c>
      <c r="Z3002">
        <v>0</v>
      </c>
      <c r="AA3002">
        <v>0</v>
      </c>
      <c r="AB3002" t="s">
        <v>36</v>
      </c>
      <c r="AC3002">
        <v>72</v>
      </c>
    </row>
    <row r="3003" spans="1:30" x14ac:dyDescent="0.25">
      <c r="A3003" s="1">
        <v>44784.993923611109</v>
      </c>
      <c r="B3003" s="1">
        <v>44784.993009259262</v>
      </c>
      <c r="C3003">
        <v>1202</v>
      </c>
      <c r="D3003" t="s">
        <v>58</v>
      </c>
      <c r="E3003" t="s">
        <v>35</v>
      </c>
      <c r="F3003" t="s">
        <v>57</v>
      </c>
      <c r="G3003">
        <v>42.936554000000001</v>
      </c>
      <c r="H3003">
        <v>-72.271019999999993</v>
      </c>
      <c r="I3003">
        <v>488</v>
      </c>
      <c r="J3003">
        <v>0</v>
      </c>
      <c r="K3003">
        <v>0</v>
      </c>
      <c r="L3003" s="1">
        <v>44784.993773148148</v>
      </c>
      <c r="M3003">
        <v>6.8</v>
      </c>
      <c r="N3003">
        <v>6.4</v>
      </c>
      <c r="O3003">
        <v>0.4</v>
      </c>
      <c r="P3003">
        <v>6</v>
      </c>
      <c r="Q3003">
        <v>0.3</v>
      </c>
      <c r="R3003">
        <v>0.4</v>
      </c>
      <c r="S3003">
        <v>0.35</v>
      </c>
      <c r="T3003" t="s">
        <v>33</v>
      </c>
      <c r="U3003">
        <v>6.6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 t="s">
        <v>38</v>
      </c>
    </row>
    <row r="3004" spans="1:30" x14ac:dyDescent="0.25">
      <c r="A3004" s="1">
        <v>44784.993935185186</v>
      </c>
      <c r="B3004" s="1">
        <v>44612.080023148148</v>
      </c>
      <c r="C3004">
        <v>25985</v>
      </c>
      <c r="D3004" t="s">
        <v>59</v>
      </c>
      <c r="E3004" t="s">
        <v>35</v>
      </c>
      <c r="F3004">
        <v>6.01</v>
      </c>
      <c r="G3004">
        <v>42.927326000000001</v>
      </c>
      <c r="H3004">
        <v>-72.279979999999995</v>
      </c>
      <c r="I3004">
        <v>477</v>
      </c>
      <c r="J3004">
        <v>78</v>
      </c>
      <c r="K3004">
        <v>0</v>
      </c>
      <c r="L3004" s="1">
        <v>44784.993773148148</v>
      </c>
      <c r="M3004">
        <v>1.1000000000000001</v>
      </c>
      <c r="N3004">
        <v>1</v>
      </c>
      <c r="O3004">
        <v>0.1</v>
      </c>
      <c r="P3004">
        <v>10</v>
      </c>
      <c r="Q3004">
        <v>0</v>
      </c>
      <c r="R3004">
        <v>0</v>
      </c>
      <c r="S3004">
        <v>0</v>
      </c>
      <c r="T3004" t="s">
        <v>32</v>
      </c>
      <c r="V3004">
        <v>22</v>
      </c>
      <c r="W3004">
        <v>0</v>
      </c>
      <c r="X3004">
        <v>22</v>
      </c>
      <c r="Y3004">
        <v>0</v>
      </c>
      <c r="Z3004">
        <v>0</v>
      </c>
      <c r="AA3004">
        <v>0</v>
      </c>
      <c r="AB3004" t="s">
        <v>36</v>
      </c>
      <c r="AC3004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42D-C188-4C95-9B40-A427D38E51D0}">
  <sheetPr codeName="Sheet22"/>
  <dimension ref="A1:M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3" max="13" width="6.7109375" bestFit="1" customWidth="1"/>
  </cols>
  <sheetData>
    <row r="1" spans="1:13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M1" t="s">
        <v>3</v>
      </c>
    </row>
    <row r="2" spans="1:13" x14ac:dyDescent="0.25">
      <c r="A2" s="1">
        <v>44784.000787037039</v>
      </c>
      <c r="B2" s="1">
        <v>44784.000717592593</v>
      </c>
      <c r="C2">
        <v>1.1000000000000001</v>
      </c>
      <c r="D2">
        <v>1</v>
      </c>
      <c r="E2">
        <v>22</v>
      </c>
      <c r="F2">
        <v>0</v>
      </c>
      <c r="G2" t="s">
        <v>32</v>
      </c>
      <c r="H2" t="s">
        <v>36</v>
      </c>
      <c r="K2" t="str">
        <f>IF(COUNT(, NA, NA, NA, NA, NA, NA, NA, NA, NA, NA, NA, NA, NA, NA, NA, NA, NA, NA, NA, NA, NA, NA, NA)&gt;17.5,ROUND(AVERAGE(, 0, 0, 0, 0, 0, 0, 0, 0, 0, 0, 0, 0, 0, 0, 0, 0, 0, 0, 0, 0, 0, 0, 0),2),"NO AVG")</f>
        <v>NO AVG</v>
      </c>
      <c r="M2" t="s">
        <v>59</v>
      </c>
    </row>
    <row r="3" spans="1:13" x14ac:dyDescent="0.25">
      <c r="A3" s="1">
        <v>44784.007743055554</v>
      </c>
      <c r="B3" s="1">
        <v>44784.007662037038</v>
      </c>
      <c r="C3">
        <v>1.1000000000000001</v>
      </c>
      <c r="D3">
        <v>1</v>
      </c>
      <c r="E3">
        <v>22</v>
      </c>
      <c r="F3">
        <v>0</v>
      </c>
      <c r="G3" t="s">
        <v>32</v>
      </c>
      <c r="H3" t="s">
        <v>36</v>
      </c>
      <c r="J3" s="2"/>
      <c r="K3" s="2"/>
    </row>
    <row r="4" spans="1:13" x14ac:dyDescent="0.25">
      <c r="A4" s="1">
        <v>44784.014664351853</v>
      </c>
      <c r="B4" s="1">
        <v>44784.014606481483</v>
      </c>
      <c r="C4">
        <v>1.1000000000000001</v>
      </c>
      <c r="D4">
        <v>1</v>
      </c>
      <c r="E4">
        <v>22</v>
      </c>
      <c r="F4">
        <v>0</v>
      </c>
      <c r="G4" t="s">
        <v>32</v>
      </c>
      <c r="H4" t="s">
        <v>36</v>
      </c>
      <c r="J4" s="2"/>
      <c r="K4" s="2"/>
    </row>
    <row r="5" spans="1:13" x14ac:dyDescent="0.25">
      <c r="A5" s="1">
        <v>44784.021608796298</v>
      </c>
      <c r="B5" s="1">
        <v>44784.021550925929</v>
      </c>
      <c r="C5">
        <v>1.1000000000000001</v>
      </c>
      <c r="D5">
        <v>1</v>
      </c>
      <c r="E5">
        <v>22</v>
      </c>
      <c r="F5">
        <v>0</v>
      </c>
      <c r="G5" t="s">
        <v>32</v>
      </c>
      <c r="H5" t="s">
        <v>36</v>
      </c>
      <c r="J5" s="2"/>
      <c r="K5" s="2"/>
    </row>
    <row r="6" spans="1:13" x14ac:dyDescent="0.25">
      <c r="A6" s="1">
        <v>44784.028564814813</v>
      </c>
      <c r="B6" s="1">
        <v>44784.028495370374</v>
      </c>
      <c r="C6">
        <v>1.1000000000000001</v>
      </c>
      <c r="D6">
        <v>1</v>
      </c>
      <c r="E6">
        <v>22</v>
      </c>
      <c r="F6">
        <v>0</v>
      </c>
      <c r="G6" t="s">
        <v>32</v>
      </c>
      <c r="H6" t="s">
        <v>36</v>
      </c>
      <c r="J6" s="2"/>
      <c r="K6" s="2"/>
    </row>
    <row r="7" spans="1:13" x14ac:dyDescent="0.25">
      <c r="A7" s="1">
        <v>44784.035509259258</v>
      </c>
      <c r="B7" s="1">
        <v>44784.035439814812</v>
      </c>
      <c r="C7">
        <v>1.1000000000000001</v>
      </c>
      <c r="D7">
        <v>1</v>
      </c>
      <c r="E7">
        <v>22</v>
      </c>
      <c r="F7">
        <v>0</v>
      </c>
      <c r="G7" t="s">
        <v>32</v>
      </c>
      <c r="H7" t="s">
        <v>36</v>
      </c>
      <c r="J7" s="2"/>
      <c r="K7" s="2"/>
    </row>
    <row r="8" spans="1:13" x14ac:dyDescent="0.25">
      <c r="A8" s="1">
        <v>44784.042453703703</v>
      </c>
      <c r="B8" s="1">
        <v>44784.042384259257</v>
      </c>
      <c r="C8">
        <v>1.1000000000000001</v>
      </c>
      <c r="D8">
        <v>1</v>
      </c>
      <c r="E8">
        <v>22</v>
      </c>
      <c r="F8">
        <v>0</v>
      </c>
      <c r="G8" t="s">
        <v>32</v>
      </c>
      <c r="H8" t="s">
        <v>36</v>
      </c>
      <c r="J8" t="str">
        <f>IF(COUNT(I3:I8)&gt;3.5,ROUND(AVERAGE(I3:I8),2),"")</f>
        <v/>
      </c>
      <c r="K8" t="str">
        <f>IF(COUNT(, , NA, NA, NA, NA, NA, NA, NA, NA, NA, NA, NA, NA, NA, NA, NA, NA, NA, NA, NA, NA, NA, NA)&gt;17.5,ROUND(AVERAGE(, , 0, 0, 0, 0, 0, 0, 0, 0, 0, 0, 0, 0, 0, 0, 0, 0, 0, 0, 0, 0, 0, 0),2),"NO AVG")</f>
        <v>NO AVG</v>
      </c>
    </row>
    <row r="9" spans="1:13" x14ac:dyDescent="0.25">
      <c r="A9" s="1">
        <v>44784.049398148149</v>
      </c>
      <c r="B9" s="1">
        <v>44784.049328703702</v>
      </c>
      <c r="C9">
        <v>1.1000000000000001</v>
      </c>
      <c r="D9">
        <v>1</v>
      </c>
      <c r="E9">
        <v>22</v>
      </c>
      <c r="F9">
        <v>0</v>
      </c>
      <c r="G9" t="s">
        <v>32</v>
      </c>
      <c r="H9" t="s">
        <v>36</v>
      </c>
      <c r="J9" s="2"/>
      <c r="K9" s="2"/>
    </row>
    <row r="10" spans="1:13" x14ac:dyDescent="0.25">
      <c r="A10" s="1">
        <v>44784.056400462963</v>
      </c>
      <c r="B10" s="1">
        <v>44784.056273148148</v>
      </c>
      <c r="C10">
        <v>1.1000000000000001</v>
      </c>
      <c r="D10">
        <v>1</v>
      </c>
      <c r="E10">
        <v>22</v>
      </c>
      <c r="F10">
        <v>0</v>
      </c>
      <c r="G10" t="s">
        <v>32</v>
      </c>
      <c r="H10" t="s">
        <v>36</v>
      </c>
      <c r="J10" s="2"/>
      <c r="K10" s="2"/>
    </row>
    <row r="11" spans="1:13" x14ac:dyDescent="0.25">
      <c r="A11" s="1">
        <v>44784.063287037039</v>
      </c>
      <c r="B11" s="1">
        <v>44784.063217592593</v>
      </c>
      <c r="C11">
        <v>1.1000000000000001</v>
      </c>
      <c r="D11">
        <v>1</v>
      </c>
      <c r="E11">
        <v>22</v>
      </c>
      <c r="F11">
        <v>0</v>
      </c>
      <c r="G11" t="s">
        <v>32</v>
      </c>
      <c r="H11" t="s">
        <v>36</v>
      </c>
      <c r="J11" s="2"/>
      <c r="K11" s="2"/>
    </row>
    <row r="12" spans="1:13" x14ac:dyDescent="0.25">
      <c r="A12" s="1">
        <v>44784.070231481484</v>
      </c>
      <c r="B12" s="1">
        <v>44784.070162037038</v>
      </c>
      <c r="C12">
        <v>1.1000000000000001</v>
      </c>
      <c r="D12">
        <v>1</v>
      </c>
      <c r="E12">
        <v>22</v>
      </c>
      <c r="F12">
        <v>0</v>
      </c>
      <c r="G12" t="s">
        <v>32</v>
      </c>
      <c r="H12" t="s">
        <v>36</v>
      </c>
      <c r="J12" s="2"/>
      <c r="K12" s="2"/>
    </row>
    <row r="13" spans="1:13" x14ac:dyDescent="0.25">
      <c r="A13" s="1">
        <v>44784.077175925922</v>
      </c>
      <c r="B13" s="1">
        <v>44784.077106481483</v>
      </c>
      <c r="C13">
        <v>1.1000000000000001</v>
      </c>
      <c r="D13">
        <v>1</v>
      </c>
      <c r="E13">
        <v>22</v>
      </c>
      <c r="F13">
        <v>0</v>
      </c>
      <c r="G13" t="s">
        <v>32</v>
      </c>
      <c r="H13" t="s">
        <v>36</v>
      </c>
      <c r="J13" s="2"/>
      <c r="K13" s="2"/>
    </row>
    <row r="14" spans="1:13" x14ac:dyDescent="0.25">
      <c r="A14" s="1">
        <v>44784.084120370368</v>
      </c>
      <c r="B14" s="1">
        <v>44784.084050925929</v>
      </c>
      <c r="C14">
        <v>1.1000000000000001</v>
      </c>
      <c r="D14">
        <v>1</v>
      </c>
      <c r="E14">
        <v>22</v>
      </c>
      <c r="F14">
        <v>0</v>
      </c>
      <c r="G14" t="s">
        <v>32</v>
      </c>
      <c r="H14" t="s">
        <v>36</v>
      </c>
      <c r="J14" t="str">
        <f>IF(COUNT(I9:I14)&gt;3.5,ROUND(AVERAGE(I9:I14),2),"")</f>
        <v/>
      </c>
      <c r="K14" t="str">
        <f>IF(COUNT(, , , NA, NA, NA, NA, NA, NA, NA, NA, NA, NA, NA, NA, NA, NA, NA, NA, NA, NA, NA, NA, NA)&gt;17.5,ROUND(AVERAGE(, , , 0, 0, 0, 0, 0, 0, 0, 0, 0, 0, 0, 0, 0, 0, 0, 0, 0, 0, 0, 0, 0),2),"NO AVG")</f>
        <v>NO AVG</v>
      </c>
    </row>
    <row r="15" spans="1:13" x14ac:dyDescent="0.25">
      <c r="A15" s="1">
        <v>44784.091064814813</v>
      </c>
      <c r="B15" s="1">
        <v>44784.090995370374</v>
      </c>
      <c r="C15">
        <v>1.1000000000000001</v>
      </c>
      <c r="D15">
        <v>1</v>
      </c>
      <c r="E15">
        <v>22</v>
      </c>
      <c r="F15">
        <v>0</v>
      </c>
      <c r="G15" t="s">
        <v>32</v>
      </c>
      <c r="H15" t="s">
        <v>36</v>
      </c>
      <c r="J15" s="2"/>
      <c r="K15" s="2"/>
    </row>
    <row r="16" spans="1:13" x14ac:dyDescent="0.25">
      <c r="A16" s="1">
        <v>44784.098020833335</v>
      </c>
      <c r="B16" s="1">
        <v>44784.097939814812</v>
      </c>
      <c r="C16">
        <v>1.1000000000000001</v>
      </c>
      <c r="D16">
        <v>1</v>
      </c>
      <c r="E16">
        <v>22</v>
      </c>
      <c r="F16">
        <v>0</v>
      </c>
      <c r="G16" t="s">
        <v>32</v>
      </c>
      <c r="H16" t="s">
        <v>36</v>
      </c>
      <c r="J16" s="2"/>
      <c r="K16" s="2"/>
    </row>
    <row r="17" spans="1:11" x14ac:dyDescent="0.25">
      <c r="A17" s="1">
        <v>44784.104953703703</v>
      </c>
      <c r="B17" s="1">
        <v>44784.104884259257</v>
      </c>
      <c r="C17">
        <v>1.1000000000000001</v>
      </c>
      <c r="D17">
        <v>1</v>
      </c>
      <c r="E17">
        <v>22</v>
      </c>
      <c r="F17">
        <v>0</v>
      </c>
      <c r="G17" t="s">
        <v>32</v>
      </c>
      <c r="H17" t="s">
        <v>36</v>
      </c>
      <c r="J17" s="2"/>
      <c r="K17" s="2"/>
    </row>
    <row r="18" spans="1:11" x14ac:dyDescent="0.25">
      <c r="A18" s="1">
        <v>44784.111898148149</v>
      </c>
      <c r="B18" s="1">
        <v>44784.111828703702</v>
      </c>
      <c r="C18">
        <v>1.1000000000000001</v>
      </c>
      <c r="D18">
        <v>1</v>
      </c>
      <c r="E18">
        <v>22</v>
      </c>
      <c r="F18">
        <v>0</v>
      </c>
      <c r="G18" t="s">
        <v>32</v>
      </c>
      <c r="H18" t="s">
        <v>36</v>
      </c>
      <c r="J18" s="2"/>
      <c r="K18" s="2"/>
    </row>
    <row r="19" spans="1:11" x14ac:dyDescent="0.25">
      <c r="A19" s="1">
        <v>44784.118842592594</v>
      </c>
      <c r="B19" s="1">
        <v>44784.118773148148</v>
      </c>
      <c r="C19">
        <v>1.1000000000000001</v>
      </c>
      <c r="D19">
        <v>1</v>
      </c>
      <c r="E19">
        <v>22</v>
      </c>
      <c r="F19">
        <v>0</v>
      </c>
      <c r="G19" t="s">
        <v>32</v>
      </c>
      <c r="H19" t="s">
        <v>36</v>
      </c>
      <c r="J19" s="2"/>
      <c r="K19" s="2"/>
    </row>
    <row r="20" spans="1:11" x14ac:dyDescent="0.25">
      <c r="A20" s="1">
        <v>44784.125787037039</v>
      </c>
      <c r="B20" s="1">
        <v>44784.125717592593</v>
      </c>
      <c r="C20">
        <v>1.1000000000000001</v>
      </c>
      <c r="D20">
        <v>1</v>
      </c>
      <c r="E20">
        <v>22</v>
      </c>
      <c r="F20">
        <v>0</v>
      </c>
      <c r="G20" t="s">
        <v>32</v>
      </c>
      <c r="H20" t="s">
        <v>36</v>
      </c>
      <c r="J20" t="str">
        <f>IF(COUNT(I15:I20)&gt;3.5,ROUND(AVERAGE(I15:I20),2),"")</f>
        <v/>
      </c>
      <c r="K20" t="str">
        <f>IF(COUNT(, , , , NA, NA, NA, NA, NA, NA, NA, NA, NA, NA, NA, NA, NA, NA, NA, NA, NA, NA, NA, NA)&gt;17.5,ROUND(AVERAGE(, , , , 0, 0, 0, 0, 0, 0, 0, 0, 0, 0, 0, 0, 0, 0, 0, 0, 0, 0, 0, 0),2),"NO AVG")</f>
        <v>NO AVG</v>
      </c>
    </row>
    <row r="21" spans="1:11" x14ac:dyDescent="0.25">
      <c r="A21" s="1">
        <v>44784.132731481484</v>
      </c>
      <c r="B21" s="1">
        <v>44784.132662037038</v>
      </c>
      <c r="C21">
        <v>1.1000000000000001</v>
      </c>
      <c r="D21">
        <v>1</v>
      </c>
      <c r="E21">
        <v>22</v>
      </c>
      <c r="F21">
        <v>0</v>
      </c>
      <c r="G21" t="s">
        <v>32</v>
      </c>
      <c r="H21" t="s">
        <v>36</v>
      </c>
      <c r="J21" s="2"/>
      <c r="K21" s="2"/>
    </row>
    <row r="22" spans="1:11" x14ac:dyDescent="0.25">
      <c r="A22" s="1">
        <v>44784.139733796299</v>
      </c>
      <c r="B22" s="1">
        <v>44784.139606481483</v>
      </c>
      <c r="C22">
        <v>1.1000000000000001</v>
      </c>
      <c r="D22">
        <v>1</v>
      </c>
      <c r="E22">
        <v>22</v>
      </c>
      <c r="F22">
        <v>0</v>
      </c>
      <c r="G22" t="s">
        <v>32</v>
      </c>
      <c r="H22" t="s">
        <v>36</v>
      </c>
      <c r="J22" s="2"/>
      <c r="K22" s="2"/>
    </row>
    <row r="23" spans="1:11" x14ac:dyDescent="0.25">
      <c r="A23" s="1">
        <v>44784.146689814814</v>
      </c>
      <c r="B23" s="1">
        <v>44784.146550925929</v>
      </c>
      <c r="C23">
        <v>1.1000000000000001</v>
      </c>
      <c r="D23">
        <v>1</v>
      </c>
      <c r="E23">
        <v>22</v>
      </c>
      <c r="F23">
        <v>0</v>
      </c>
      <c r="G23" t="s">
        <v>32</v>
      </c>
      <c r="H23" t="s">
        <v>36</v>
      </c>
      <c r="J23" s="2"/>
      <c r="K23" s="2"/>
    </row>
    <row r="24" spans="1:11" x14ac:dyDescent="0.25">
      <c r="A24" s="1">
        <v>44784.15357638889</v>
      </c>
      <c r="B24" s="1">
        <v>44784.153495370374</v>
      </c>
      <c r="C24">
        <v>1.1000000000000001</v>
      </c>
      <c r="D24">
        <v>1</v>
      </c>
      <c r="E24">
        <v>22</v>
      </c>
      <c r="F24">
        <v>0</v>
      </c>
      <c r="G24" t="s">
        <v>32</v>
      </c>
      <c r="H24" t="s">
        <v>36</v>
      </c>
      <c r="J24" s="2"/>
      <c r="K24" s="2"/>
    </row>
    <row r="25" spans="1:11" x14ac:dyDescent="0.25">
      <c r="A25" s="1">
        <v>44784.160520833335</v>
      </c>
      <c r="B25" s="1">
        <v>44784.160439814812</v>
      </c>
      <c r="C25">
        <v>1.1000000000000001</v>
      </c>
      <c r="D25">
        <v>1</v>
      </c>
      <c r="E25">
        <v>22</v>
      </c>
      <c r="F25">
        <v>0</v>
      </c>
      <c r="G25" t="s">
        <v>32</v>
      </c>
      <c r="H25" t="s">
        <v>36</v>
      </c>
      <c r="J25" s="2"/>
      <c r="K25" s="2"/>
    </row>
    <row r="26" spans="1:11" x14ac:dyDescent="0.25">
      <c r="A26" s="1">
        <v>44784.167453703703</v>
      </c>
      <c r="B26" s="1">
        <v>44784.167384259257</v>
      </c>
      <c r="C26">
        <v>1.1000000000000001</v>
      </c>
      <c r="D26">
        <v>1</v>
      </c>
      <c r="E26">
        <v>22</v>
      </c>
      <c r="F26">
        <v>0</v>
      </c>
      <c r="G26" t="s">
        <v>32</v>
      </c>
      <c r="H26" t="s">
        <v>36</v>
      </c>
      <c r="J26" t="str">
        <f>IF(COUNT(I21:I26)&gt;3.5,ROUND(AVERAGE(I21:I26),2),"")</f>
        <v/>
      </c>
      <c r="K26" t="str">
        <f>IF(COUNT(, , , , , NA, NA, NA, NA, NA, NA, NA, NA, NA, NA, NA, NA, NA, NA, NA, NA, NA, NA, NA)&gt;17.5,ROUND(AVERAGE(, , , , , 0, 0, 0, 0, 0, 0, 0, 0, 0, 0, 0, 0, 0, 0, 0, 0, 0, 0, 0),2),"NO AVG")</f>
        <v>NO AVG</v>
      </c>
    </row>
    <row r="27" spans="1:11" x14ac:dyDescent="0.25">
      <c r="A27" s="1">
        <v>44784.174421296295</v>
      </c>
      <c r="B27" s="1">
        <v>44784.174328703702</v>
      </c>
      <c r="C27">
        <v>1.1000000000000001</v>
      </c>
      <c r="D27">
        <v>1</v>
      </c>
      <c r="E27">
        <v>22</v>
      </c>
      <c r="F27">
        <v>0</v>
      </c>
      <c r="G27" t="s">
        <v>32</v>
      </c>
      <c r="H27" t="s">
        <v>36</v>
      </c>
      <c r="J27" s="2"/>
      <c r="K27" s="2"/>
    </row>
    <row r="28" spans="1:11" x14ac:dyDescent="0.25">
      <c r="A28" s="1"/>
      <c r="B28" s="1">
        <v>44784.180555555555</v>
      </c>
      <c r="J28" s="2"/>
      <c r="K28" s="2"/>
    </row>
    <row r="29" spans="1:11" x14ac:dyDescent="0.25">
      <c r="A29" s="1">
        <v>44784.188287037039</v>
      </c>
      <c r="B29" s="1">
        <v>44784.188217592593</v>
      </c>
      <c r="C29">
        <v>1.1000000000000001</v>
      </c>
      <c r="D29">
        <v>1</v>
      </c>
      <c r="E29">
        <v>22</v>
      </c>
      <c r="F29">
        <v>0</v>
      </c>
      <c r="G29" t="s">
        <v>32</v>
      </c>
      <c r="H29" t="s">
        <v>36</v>
      </c>
      <c r="J29" s="2"/>
      <c r="K29" s="2"/>
    </row>
    <row r="30" spans="1:11" x14ac:dyDescent="0.25">
      <c r="A30" s="1">
        <v>44784.195243055554</v>
      </c>
      <c r="B30" s="1">
        <v>44784.195162037038</v>
      </c>
      <c r="C30">
        <v>1.1000000000000001</v>
      </c>
      <c r="D30">
        <v>1</v>
      </c>
      <c r="E30">
        <v>22</v>
      </c>
      <c r="F30">
        <v>0</v>
      </c>
      <c r="G30" t="s">
        <v>32</v>
      </c>
      <c r="H30" t="s">
        <v>36</v>
      </c>
      <c r="J30" s="2"/>
      <c r="K30" s="2"/>
    </row>
    <row r="31" spans="1:11" x14ac:dyDescent="0.25">
      <c r="A31" s="1">
        <v>44784.202199074076</v>
      </c>
      <c r="B31" s="1">
        <v>44784.20212962963</v>
      </c>
      <c r="C31">
        <v>1.1000000000000001</v>
      </c>
      <c r="D31">
        <v>1</v>
      </c>
      <c r="E31">
        <v>22</v>
      </c>
      <c r="F31">
        <v>0</v>
      </c>
      <c r="G31" t="s">
        <v>32</v>
      </c>
      <c r="H31" t="s">
        <v>36</v>
      </c>
      <c r="J31" s="2"/>
      <c r="K31" s="2"/>
    </row>
    <row r="32" spans="1:11" x14ac:dyDescent="0.25">
      <c r="A32" s="1">
        <v>44784.209120370368</v>
      </c>
      <c r="B32" s="1">
        <v>44784.209050925929</v>
      </c>
      <c r="C32">
        <v>1.1000000000000001</v>
      </c>
      <c r="D32">
        <v>1</v>
      </c>
      <c r="E32">
        <v>22</v>
      </c>
      <c r="F32">
        <v>0</v>
      </c>
      <c r="G32" t="s">
        <v>32</v>
      </c>
      <c r="H32" t="s">
        <v>36</v>
      </c>
      <c r="J32" t="str">
        <f>IF(COUNT(I27:I32)&gt;3.5,ROUND(AVERAGE(I27:I32),2),"")</f>
        <v/>
      </c>
      <c r="K32" t="str">
        <f>IF(COUNT(, , , , , , NA, NA, NA, NA, NA, NA, NA, NA, NA, NA, NA, NA, NA, NA, NA, NA, NA, NA)&gt;17.5,ROUND(AVERAGE(, , , , , , 0, 0, 0, 0, 0, 0, 0, 0, 0, 0, 0, 0, 0, 0, 0, 0, 0, 0),2),"NO AVG")</f>
        <v>NO AVG</v>
      </c>
    </row>
    <row r="33" spans="1:11" x14ac:dyDescent="0.25">
      <c r="A33" s="1">
        <v>44784.216168981482</v>
      </c>
      <c r="B33" s="1">
        <v>44784.215995370374</v>
      </c>
      <c r="C33">
        <v>1.1000000000000001</v>
      </c>
      <c r="D33">
        <v>1</v>
      </c>
      <c r="E33">
        <v>22</v>
      </c>
      <c r="F33">
        <v>0</v>
      </c>
      <c r="G33" t="s">
        <v>32</v>
      </c>
      <c r="H33" t="s">
        <v>36</v>
      </c>
      <c r="J33" s="2"/>
      <c r="K33" s="2"/>
    </row>
    <row r="34" spans="1:11" x14ac:dyDescent="0.25">
      <c r="A34" s="1">
        <v>44784.223020833335</v>
      </c>
      <c r="B34" s="1">
        <v>44784.222939814812</v>
      </c>
      <c r="C34">
        <v>1.1000000000000001</v>
      </c>
      <c r="D34">
        <v>1</v>
      </c>
      <c r="E34">
        <v>22</v>
      </c>
      <c r="F34">
        <v>0</v>
      </c>
      <c r="G34" t="s">
        <v>32</v>
      </c>
      <c r="H34" t="s">
        <v>36</v>
      </c>
      <c r="J34" s="2"/>
      <c r="K34" s="2"/>
    </row>
    <row r="35" spans="1:11" x14ac:dyDescent="0.25">
      <c r="A35" s="1">
        <v>44784.22996527778</v>
      </c>
      <c r="B35" s="1">
        <v>44784.229884259257</v>
      </c>
      <c r="C35">
        <v>1.1000000000000001</v>
      </c>
      <c r="D35">
        <v>1</v>
      </c>
      <c r="E35">
        <v>22</v>
      </c>
      <c r="F35">
        <v>0</v>
      </c>
      <c r="G35" t="s">
        <v>32</v>
      </c>
      <c r="H35" t="s">
        <v>36</v>
      </c>
      <c r="J35" s="2"/>
      <c r="K35" s="2"/>
    </row>
    <row r="36" spans="1:11" x14ac:dyDescent="0.25">
      <c r="A36" s="1">
        <v>44784.236909722225</v>
      </c>
      <c r="B36" s="1">
        <v>44784.236840277779</v>
      </c>
      <c r="C36">
        <v>1.1000000000000001</v>
      </c>
      <c r="D36">
        <v>1</v>
      </c>
      <c r="E36">
        <v>22</v>
      </c>
      <c r="F36">
        <v>0</v>
      </c>
      <c r="G36" t="s">
        <v>32</v>
      </c>
      <c r="H36" t="s">
        <v>36</v>
      </c>
      <c r="J36" s="2"/>
      <c r="K36" s="2"/>
    </row>
    <row r="37" spans="1:11" x14ac:dyDescent="0.25">
      <c r="A37" s="1">
        <v>44784.243854166663</v>
      </c>
      <c r="B37" s="1">
        <v>44784.243773148148</v>
      </c>
      <c r="C37">
        <v>1.1000000000000001</v>
      </c>
      <c r="D37">
        <v>1</v>
      </c>
      <c r="E37">
        <v>22</v>
      </c>
      <c r="F37">
        <v>0</v>
      </c>
      <c r="G37" t="s">
        <v>32</v>
      </c>
      <c r="H37" t="s">
        <v>36</v>
      </c>
      <c r="J37" s="2"/>
      <c r="K37" s="2"/>
    </row>
    <row r="38" spans="1:11" x14ac:dyDescent="0.25">
      <c r="A38" s="1">
        <v>44784.250810185185</v>
      </c>
      <c r="B38" s="1">
        <v>44784.25072916667</v>
      </c>
      <c r="C38">
        <v>1.1000000000000001</v>
      </c>
      <c r="D38">
        <v>1</v>
      </c>
      <c r="E38">
        <v>22</v>
      </c>
      <c r="F38">
        <v>0</v>
      </c>
      <c r="G38" t="s">
        <v>32</v>
      </c>
      <c r="H38" t="s">
        <v>36</v>
      </c>
      <c r="J38" t="str">
        <f>IF(COUNT(I33:I38)&gt;3.5,ROUND(AVERAGE(I33:I38),2),"")</f>
        <v/>
      </c>
      <c r="K38" t="str">
        <f>IF(COUNT(, , , , , , , NA, NA, NA, NA, NA, NA, NA, NA, NA, NA, NA, NA, NA, NA, NA, NA, NA)&gt;17.5,ROUND(AVERAGE(, , , , , , , 0, 0, 0, 0, 0, 0, 0, 0, 0, 0, 0, 0, 0, 0, 0, 0, 0),2),"NO AVG")</f>
        <v>NO AVG</v>
      </c>
    </row>
    <row r="39" spans="1:11" x14ac:dyDescent="0.25">
      <c r="A39" s="1">
        <v>44784.257754629631</v>
      </c>
      <c r="B39" s="1">
        <v>44784.257662037038</v>
      </c>
      <c r="C39">
        <v>1.1000000000000001</v>
      </c>
      <c r="D39">
        <v>1</v>
      </c>
      <c r="E39">
        <v>22</v>
      </c>
      <c r="F39">
        <v>0</v>
      </c>
      <c r="G39" t="s">
        <v>32</v>
      </c>
      <c r="H39" t="s">
        <v>36</v>
      </c>
      <c r="J39" s="2"/>
      <c r="K39" s="2"/>
    </row>
    <row r="40" spans="1:11" x14ac:dyDescent="0.25">
      <c r="A40" s="1">
        <v>44784.264699074076</v>
      </c>
      <c r="B40" s="1">
        <v>44784.264606481483</v>
      </c>
      <c r="C40">
        <v>1.1000000000000001</v>
      </c>
      <c r="D40">
        <v>1</v>
      </c>
      <c r="E40">
        <v>22</v>
      </c>
      <c r="F40">
        <v>0</v>
      </c>
      <c r="G40" t="s">
        <v>32</v>
      </c>
      <c r="H40" t="s">
        <v>36</v>
      </c>
      <c r="J40" s="2"/>
      <c r="K40" s="2"/>
    </row>
    <row r="41" spans="1:11" x14ac:dyDescent="0.25">
      <c r="A41" s="1">
        <v>44784.271643518521</v>
      </c>
      <c r="B41" s="1">
        <v>44784.271550925929</v>
      </c>
      <c r="C41">
        <v>1.1000000000000001</v>
      </c>
      <c r="D41">
        <v>1</v>
      </c>
      <c r="E41">
        <v>22</v>
      </c>
      <c r="F41">
        <v>0</v>
      </c>
      <c r="G41" t="s">
        <v>32</v>
      </c>
      <c r="H41" t="s">
        <v>36</v>
      </c>
      <c r="J41" s="2"/>
      <c r="K41" s="2"/>
    </row>
    <row r="42" spans="1:11" x14ac:dyDescent="0.25">
      <c r="A42" s="1">
        <v>44784.278634259259</v>
      </c>
      <c r="B42" s="1">
        <v>44784.278495370374</v>
      </c>
      <c r="C42">
        <v>1.1000000000000001</v>
      </c>
      <c r="D42">
        <v>1</v>
      </c>
      <c r="E42">
        <v>22</v>
      </c>
      <c r="F42">
        <v>0</v>
      </c>
      <c r="G42" t="s">
        <v>32</v>
      </c>
      <c r="H42" t="s">
        <v>36</v>
      </c>
      <c r="J42" s="2"/>
      <c r="K42" s="2"/>
    </row>
    <row r="43" spans="1:11" x14ac:dyDescent="0.25">
      <c r="A43" s="1">
        <v>44784.285520833335</v>
      </c>
      <c r="B43" s="1">
        <v>44784.285439814812</v>
      </c>
      <c r="C43">
        <v>1.1000000000000001</v>
      </c>
      <c r="D43">
        <v>1</v>
      </c>
      <c r="E43">
        <v>22</v>
      </c>
      <c r="F43">
        <v>0</v>
      </c>
      <c r="G43" t="s">
        <v>32</v>
      </c>
      <c r="H43" t="s">
        <v>36</v>
      </c>
      <c r="J43" s="2"/>
      <c r="K43" s="2"/>
    </row>
    <row r="44" spans="1:11" x14ac:dyDescent="0.25">
      <c r="A44" s="1">
        <v>44784.29246527778</v>
      </c>
      <c r="B44" s="1">
        <v>44784.292384259257</v>
      </c>
      <c r="C44">
        <v>1.1000000000000001</v>
      </c>
      <c r="D44">
        <v>1</v>
      </c>
      <c r="E44">
        <v>22</v>
      </c>
      <c r="F44">
        <v>0</v>
      </c>
      <c r="G44" t="s">
        <v>32</v>
      </c>
      <c r="H44" t="s">
        <v>36</v>
      </c>
      <c r="J44" t="str">
        <f>IF(COUNT(I39:I44)&gt;3.5,ROUND(AVERAGE(I39:I44),2),"")</f>
        <v/>
      </c>
      <c r="K44" t="str">
        <f>IF(COUNT(, , , , , , , , NA, NA, NA, NA, NA, NA, NA, NA, NA, NA, NA, NA, NA, NA, NA, NA)&gt;17.5,ROUND(AVERAGE(, , , , , , , , 0, 0, 0, 0, 0, 0, 0, 0, 0, 0, 0, 0, 0, 0, 0, 0),2),"NO AVG")</f>
        <v>NO AVG</v>
      </c>
    </row>
    <row r="45" spans="1:11" x14ac:dyDescent="0.25">
      <c r="A45" s="1">
        <v>44784.299421296295</v>
      </c>
      <c r="B45" s="1">
        <v>44784.299340277779</v>
      </c>
      <c r="C45">
        <v>1.1000000000000001</v>
      </c>
      <c r="D45">
        <v>1</v>
      </c>
      <c r="E45">
        <v>22</v>
      </c>
      <c r="F45">
        <v>0</v>
      </c>
      <c r="G45" t="s">
        <v>32</v>
      </c>
      <c r="H45" t="s">
        <v>36</v>
      </c>
      <c r="J45" s="2"/>
      <c r="K45" s="2"/>
    </row>
    <row r="46" spans="1:11" x14ac:dyDescent="0.25">
      <c r="A46" s="1">
        <v>44784.30636574074</v>
      </c>
      <c r="B46" s="1">
        <v>44784.306273148148</v>
      </c>
      <c r="C46">
        <v>1.1000000000000001</v>
      </c>
      <c r="D46">
        <v>1</v>
      </c>
      <c r="E46">
        <v>22</v>
      </c>
      <c r="F46">
        <v>0</v>
      </c>
      <c r="G46" t="s">
        <v>32</v>
      </c>
      <c r="H46" t="s">
        <v>36</v>
      </c>
      <c r="J46" s="2"/>
      <c r="K46" s="2"/>
    </row>
    <row r="47" spans="1:11" x14ac:dyDescent="0.25">
      <c r="A47" s="1">
        <v>44784.313298611109</v>
      </c>
      <c r="B47" s="1">
        <v>44784.313217592593</v>
      </c>
      <c r="C47">
        <v>1.1000000000000001</v>
      </c>
      <c r="D47">
        <v>1</v>
      </c>
      <c r="E47">
        <v>22</v>
      </c>
      <c r="F47">
        <v>0</v>
      </c>
      <c r="G47" t="s">
        <v>32</v>
      </c>
      <c r="H47" t="s">
        <v>36</v>
      </c>
      <c r="J47" s="2"/>
      <c r="K47" s="2"/>
    </row>
    <row r="48" spans="1:11" x14ac:dyDescent="0.25">
      <c r="A48" s="1">
        <v>44784.320300925923</v>
      </c>
      <c r="B48" s="1">
        <v>44784.320162037038</v>
      </c>
      <c r="C48">
        <v>1.1000000000000001</v>
      </c>
      <c r="D48">
        <v>1</v>
      </c>
      <c r="E48">
        <v>22</v>
      </c>
      <c r="F48">
        <v>0</v>
      </c>
      <c r="G48" t="s">
        <v>32</v>
      </c>
      <c r="H48" t="s">
        <v>36</v>
      </c>
      <c r="J48" s="2"/>
      <c r="K48" s="2"/>
    </row>
    <row r="49" spans="1:11" x14ac:dyDescent="0.25">
      <c r="A49" s="1">
        <v>44784.327187499999</v>
      </c>
      <c r="B49" s="1">
        <v>44784.327106481483</v>
      </c>
      <c r="C49">
        <v>1.1000000000000001</v>
      </c>
      <c r="D49">
        <v>1</v>
      </c>
      <c r="E49">
        <v>22</v>
      </c>
      <c r="F49">
        <v>0</v>
      </c>
      <c r="G49" t="s">
        <v>32</v>
      </c>
      <c r="H49" t="s">
        <v>36</v>
      </c>
      <c r="J49" s="2"/>
      <c r="K49" s="2"/>
    </row>
    <row r="50" spans="1:11" x14ac:dyDescent="0.25">
      <c r="A50" s="1">
        <v>44784.334143518521</v>
      </c>
      <c r="B50" s="1">
        <v>44784.334050925929</v>
      </c>
      <c r="C50">
        <v>1.1000000000000001</v>
      </c>
      <c r="D50">
        <v>1</v>
      </c>
      <c r="E50">
        <v>22</v>
      </c>
      <c r="F50">
        <v>0</v>
      </c>
      <c r="G50" t="s">
        <v>32</v>
      </c>
      <c r="H50" t="s">
        <v>36</v>
      </c>
      <c r="J50" t="str">
        <f>IF(COUNT(I45:I50)&gt;3.5,ROUND(AVERAGE(I45:I50),2),"")</f>
        <v/>
      </c>
      <c r="K50" t="str">
        <f>IF(COUNT(, , , , , , , , , NA, NA, NA, NA, NA, NA, NA, NA, NA, NA, NA, NA, NA, NA, NA)&gt;17.5,ROUND(AVERAGE(, , , , , , , , , 0, 0, 0, 0, 0, 0, 0, 0, 0, 0, 0, 0, 0, 0, 0),2),"NO AVG")</f>
        <v>NO AVG</v>
      </c>
    </row>
    <row r="51" spans="1:11" x14ac:dyDescent="0.25">
      <c r="A51" s="1">
        <v>44784.341157407405</v>
      </c>
      <c r="B51" s="1">
        <v>44784.340995370374</v>
      </c>
      <c r="C51">
        <v>1.1000000000000001</v>
      </c>
      <c r="D51">
        <v>1</v>
      </c>
      <c r="E51">
        <v>22</v>
      </c>
      <c r="F51">
        <v>0</v>
      </c>
      <c r="G51" t="s">
        <v>32</v>
      </c>
      <c r="H51" t="s">
        <v>36</v>
      </c>
      <c r="J51" s="2"/>
      <c r="K51" s="2"/>
    </row>
    <row r="52" spans="1:11" x14ac:dyDescent="0.25">
      <c r="A52" s="1">
        <v>44784.348032407404</v>
      </c>
      <c r="B52" s="1">
        <v>44784.347951388889</v>
      </c>
      <c r="C52">
        <v>1.1000000000000001</v>
      </c>
      <c r="D52">
        <v>1</v>
      </c>
      <c r="E52">
        <v>22</v>
      </c>
      <c r="F52">
        <v>0</v>
      </c>
      <c r="G52" t="s">
        <v>32</v>
      </c>
      <c r="H52" t="s">
        <v>36</v>
      </c>
      <c r="J52" s="2"/>
      <c r="K52" s="2"/>
    </row>
    <row r="53" spans="1:11" x14ac:dyDescent="0.25">
      <c r="A53" s="1">
        <v>44784.35497685185</v>
      </c>
      <c r="B53" s="1">
        <v>44784.354884259257</v>
      </c>
      <c r="C53">
        <v>1.1000000000000001</v>
      </c>
      <c r="D53">
        <v>1</v>
      </c>
      <c r="E53">
        <v>22</v>
      </c>
      <c r="F53">
        <v>0</v>
      </c>
      <c r="G53" t="s">
        <v>32</v>
      </c>
      <c r="H53" t="s">
        <v>36</v>
      </c>
      <c r="J53" s="2"/>
      <c r="K53" s="2"/>
    </row>
    <row r="54" spans="1:11" x14ac:dyDescent="0.25">
      <c r="A54" s="1">
        <v>44784.361921296295</v>
      </c>
      <c r="B54" s="1">
        <v>44784.361828703702</v>
      </c>
      <c r="C54">
        <v>1.1000000000000001</v>
      </c>
      <c r="D54">
        <v>1</v>
      </c>
      <c r="E54">
        <v>22</v>
      </c>
      <c r="F54">
        <v>0</v>
      </c>
      <c r="G54" t="s">
        <v>32</v>
      </c>
      <c r="H54" t="s">
        <v>36</v>
      </c>
      <c r="J54" s="2"/>
      <c r="K54" s="2"/>
    </row>
    <row r="55" spans="1:11" x14ac:dyDescent="0.25">
      <c r="A55" s="1">
        <v>44784.36886574074</v>
      </c>
      <c r="B55" s="1">
        <v>44784.368784722225</v>
      </c>
      <c r="C55">
        <v>1.1000000000000001</v>
      </c>
      <c r="D55">
        <v>1</v>
      </c>
      <c r="E55">
        <v>22</v>
      </c>
      <c r="F55">
        <v>0</v>
      </c>
      <c r="G55" t="s">
        <v>32</v>
      </c>
      <c r="H55" t="s">
        <v>36</v>
      </c>
      <c r="J55" s="2"/>
      <c r="K55" s="2"/>
    </row>
    <row r="56" spans="1:11" x14ac:dyDescent="0.25">
      <c r="A56" s="1">
        <v>44784.375810185185</v>
      </c>
      <c r="B56" s="1">
        <v>44784.375717592593</v>
      </c>
      <c r="C56">
        <v>1.1000000000000001</v>
      </c>
      <c r="D56">
        <v>1</v>
      </c>
      <c r="E56">
        <v>22</v>
      </c>
      <c r="F56">
        <v>0</v>
      </c>
      <c r="G56" t="s">
        <v>32</v>
      </c>
      <c r="H56" t="s">
        <v>36</v>
      </c>
      <c r="J56" t="str">
        <f>IF(COUNT(I51:I56)&gt;3.5,ROUND(AVERAGE(I51:I56),2),"")</f>
        <v/>
      </c>
      <c r="K56" t="str">
        <f>IF(COUNT(, , , , , , , , , , NA, NA, NA, NA, NA, NA, NA, NA, NA, NA, NA, NA, NA, NA)&gt;17.5,ROUND(AVERAGE(, , , , , , , , , , 0, 0, 0, 0, 0, 0, 0, 0, 0, 0, 0, 0, 0, 0),2),"NO AVG")</f>
        <v>NO AVG</v>
      </c>
    </row>
    <row r="57" spans="1:11" x14ac:dyDescent="0.25">
      <c r="A57" s="1">
        <v>44784.382754629631</v>
      </c>
      <c r="B57" s="1">
        <v>44784.382662037038</v>
      </c>
      <c r="C57">
        <v>1.1000000000000001</v>
      </c>
      <c r="D57">
        <v>1</v>
      </c>
      <c r="E57">
        <v>22</v>
      </c>
      <c r="F57">
        <v>0</v>
      </c>
      <c r="G57" t="s">
        <v>32</v>
      </c>
      <c r="H57" t="s">
        <v>36</v>
      </c>
      <c r="J57" s="2"/>
      <c r="K57" s="2"/>
    </row>
    <row r="58" spans="1:11" x14ac:dyDescent="0.25">
      <c r="A58" s="1">
        <v>44784.389699074076</v>
      </c>
      <c r="B58" s="1">
        <v>44784.389618055553</v>
      </c>
      <c r="C58">
        <v>1.1000000000000001</v>
      </c>
      <c r="D58">
        <v>1</v>
      </c>
      <c r="E58">
        <v>22</v>
      </c>
      <c r="F58">
        <v>0</v>
      </c>
      <c r="G58" t="s">
        <v>32</v>
      </c>
      <c r="H58" t="s">
        <v>36</v>
      </c>
      <c r="J58" s="2"/>
      <c r="K58" s="2"/>
    </row>
    <row r="59" spans="1:11" x14ac:dyDescent="0.25">
      <c r="A59" s="1">
        <v>44784.396655092591</v>
      </c>
      <c r="B59" s="1">
        <v>44784.396562499998</v>
      </c>
      <c r="C59">
        <v>1.1000000000000001</v>
      </c>
      <c r="D59">
        <v>1</v>
      </c>
      <c r="E59">
        <v>22</v>
      </c>
      <c r="F59">
        <v>0</v>
      </c>
      <c r="G59" t="s">
        <v>32</v>
      </c>
      <c r="H59" t="s">
        <v>36</v>
      </c>
      <c r="J59" s="2"/>
      <c r="K59" s="2"/>
    </row>
    <row r="60" spans="1:11" x14ac:dyDescent="0.25">
      <c r="A60" s="1">
        <v>44784.403587962966</v>
      </c>
      <c r="B60" s="1">
        <v>44784.403506944444</v>
      </c>
      <c r="C60">
        <v>1.1000000000000001</v>
      </c>
      <c r="D60">
        <v>1</v>
      </c>
      <c r="E60">
        <v>22</v>
      </c>
      <c r="F60">
        <v>0</v>
      </c>
      <c r="G60" t="s">
        <v>32</v>
      </c>
      <c r="H60" t="s">
        <v>36</v>
      </c>
      <c r="J60" s="2"/>
      <c r="K60" s="2"/>
    </row>
    <row r="61" spans="1:11" x14ac:dyDescent="0.25">
      <c r="A61" s="1">
        <v>44784.410590277781</v>
      </c>
      <c r="B61" s="1">
        <v>44784.410451388889</v>
      </c>
      <c r="C61">
        <v>1.1000000000000001</v>
      </c>
      <c r="D61">
        <v>1</v>
      </c>
      <c r="E61">
        <v>22</v>
      </c>
      <c r="F61">
        <v>0</v>
      </c>
      <c r="G61" t="s">
        <v>32</v>
      </c>
      <c r="H61" t="s">
        <v>36</v>
      </c>
      <c r="J61" s="2"/>
      <c r="K61" s="2"/>
    </row>
    <row r="62" spans="1:11" x14ac:dyDescent="0.25">
      <c r="A62" s="1">
        <v>44784.41747685185</v>
      </c>
      <c r="B62" s="1">
        <v>44784.417395833334</v>
      </c>
      <c r="C62">
        <v>1.1000000000000001</v>
      </c>
      <c r="D62">
        <v>1</v>
      </c>
      <c r="E62">
        <v>22</v>
      </c>
      <c r="F62">
        <v>0</v>
      </c>
      <c r="G62" t="s">
        <v>32</v>
      </c>
      <c r="H62" t="s">
        <v>36</v>
      </c>
      <c r="J62" t="str">
        <f>IF(COUNT(I57:I62)&gt;3.5,ROUND(AVERAGE(I57:I62),2),"")</f>
        <v/>
      </c>
      <c r="K62" t="str">
        <f>IF(COUNT(, , , , , , , , , , , NA, NA, NA, NA, NA, NA, NA, NA, NA, NA, NA, NA, NA)&gt;17.5,ROUND(AVERAGE(, , , , , , , , , , , 0, 0, 0, 0, 0, 0, 0, 0, 0, 0, 0, 0, 0),2),"NO AVG")</f>
        <v>NO AVG</v>
      </c>
    </row>
    <row r="63" spans="1:11" x14ac:dyDescent="0.25">
      <c r="A63" s="1">
        <v>44784.424502314818</v>
      </c>
      <c r="B63" s="1">
        <v>44784.424340277779</v>
      </c>
      <c r="C63">
        <v>1.1000000000000001</v>
      </c>
      <c r="D63">
        <v>1</v>
      </c>
      <c r="E63">
        <v>22</v>
      </c>
      <c r="F63">
        <v>0</v>
      </c>
      <c r="G63" t="s">
        <v>32</v>
      </c>
      <c r="H63" t="s">
        <v>36</v>
      </c>
      <c r="J63" s="2"/>
      <c r="K63" s="2"/>
    </row>
    <row r="64" spans="1:11" x14ac:dyDescent="0.25">
      <c r="A64" s="1">
        <v>44784.43136574074</v>
      </c>
      <c r="B64" s="1">
        <v>44784.431284722225</v>
      </c>
      <c r="C64">
        <v>1.1000000000000001</v>
      </c>
      <c r="D64">
        <v>1</v>
      </c>
      <c r="E64">
        <v>22</v>
      </c>
      <c r="F64">
        <v>0</v>
      </c>
      <c r="G64" t="s">
        <v>32</v>
      </c>
      <c r="H64" t="s">
        <v>36</v>
      </c>
      <c r="J64" s="2"/>
      <c r="K64" s="2"/>
    </row>
    <row r="65" spans="1:11" x14ac:dyDescent="0.25">
      <c r="A65" s="1">
        <v>44784.438321759262</v>
      </c>
      <c r="B65" s="1">
        <v>44784.43822916667</v>
      </c>
      <c r="C65">
        <v>1.1000000000000001</v>
      </c>
      <c r="D65">
        <v>1</v>
      </c>
      <c r="E65">
        <v>22</v>
      </c>
      <c r="F65">
        <v>0</v>
      </c>
      <c r="G65" t="s">
        <v>32</v>
      </c>
      <c r="H65" t="s">
        <v>36</v>
      </c>
      <c r="J65" s="2"/>
      <c r="K65" s="2"/>
    </row>
    <row r="66" spans="1:11" x14ac:dyDescent="0.25">
      <c r="A66" s="1">
        <v>44784.445254629631</v>
      </c>
      <c r="B66" s="1">
        <v>44784.445173611108</v>
      </c>
      <c r="C66">
        <v>1.1000000000000001</v>
      </c>
      <c r="D66">
        <v>1</v>
      </c>
      <c r="E66">
        <v>22</v>
      </c>
      <c r="F66">
        <v>0</v>
      </c>
      <c r="G66" t="s">
        <v>32</v>
      </c>
      <c r="H66" t="s">
        <v>36</v>
      </c>
      <c r="J66" s="2"/>
      <c r="K66" s="2"/>
    </row>
    <row r="67" spans="1:11" x14ac:dyDescent="0.25">
      <c r="A67" s="1">
        <v>44784.452199074076</v>
      </c>
      <c r="B67" s="1">
        <v>44784.452118055553</v>
      </c>
      <c r="C67">
        <v>1.1000000000000001</v>
      </c>
      <c r="D67">
        <v>1</v>
      </c>
      <c r="E67">
        <v>22</v>
      </c>
      <c r="F67">
        <v>0</v>
      </c>
      <c r="G67" t="s">
        <v>32</v>
      </c>
      <c r="H67" t="s">
        <v>36</v>
      </c>
      <c r="J67" s="2"/>
      <c r="K67" s="2"/>
    </row>
    <row r="68" spans="1:11" x14ac:dyDescent="0.25">
      <c r="A68" s="1">
        <v>44784.459155092591</v>
      </c>
      <c r="B68" s="1">
        <v>44784.459062499998</v>
      </c>
      <c r="C68">
        <v>1.1000000000000001</v>
      </c>
      <c r="D68">
        <v>1</v>
      </c>
      <c r="E68">
        <v>22</v>
      </c>
      <c r="F68">
        <v>0</v>
      </c>
      <c r="G68" t="s">
        <v>32</v>
      </c>
      <c r="H68" t="s">
        <v>36</v>
      </c>
      <c r="J68" t="str">
        <f>IF(COUNT(I63:I68)&gt;3.5,ROUND(AVERAGE(I63:I68),2),"")</f>
        <v/>
      </c>
      <c r="K68" t="str">
        <f>IF(COUNT(, , , , , , , , , , , , NA, NA, NA, NA, NA, NA, NA, NA, NA, NA, NA, NA)&gt;17.5,ROUND(AVERAGE(, , , , , , , , , , , , 0, 0, 0, 0, 0, 0, 0, 0, 0, 0, 0, 0),2),"NO AVG")</f>
        <v>NO AVG</v>
      </c>
    </row>
    <row r="69" spans="1:11" x14ac:dyDescent="0.25">
      <c r="A69" s="1">
        <v>44784.466099537036</v>
      </c>
      <c r="B69" s="1">
        <v>44784.466006944444</v>
      </c>
      <c r="C69">
        <v>1.1000000000000001</v>
      </c>
      <c r="D69">
        <v>1</v>
      </c>
      <c r="E69">
        <v>22</v>
      </c>
      <c r="F69">
        <v>0</v>
      </c>
      <c r="G69" t="s">
        <v>32</v>
      </c>
      <c r="H69" t="s">
        <v>36</v>
      </c>
      <c r="J69" s="2"/>
      <c r="K69" s="2"/>
    </row>
    <row r="70" spans="1:11" x14ac:dyDescent="0.25">
      <c r="A70" s="1">
        <v>44784.473032407404</v>
      </c>
      <c r="B70" s="1">
        <v>44784.472951388889</v>
      </c>
      <c r="C70">
        <v>1.1000000000000001</v>
      </c>
      <c r="D70">
        <v>1</v>
      </c>
      <c r="E70">
        <v>22</v>
      </c>
      <c r="F70">
        <v>0</v>
      </c>
      <c r="G70" t="s">
        <v>32</v>
      </c>
      <c r="H70" t="s">
        <v>36</v>
      </c>
      <c r="J70" s="2"/>
      <c r="K70" s="2"/>
    </row>
    <row r="71" spans="1:11" x14ac:dyDescent="0.25">
      <c r="A71" s="1">
        <v>44784.47997685185</v>
      </c>
      <c r="B71" s="1">
        <v>44784.479895833334</v>
      </c>
      <c r="C71">
        <v>1.1000000000000001</v>
      </c>
      <c r="D71">
        <v>1</v>
      </c>
      <c r="E71">
        <v>22</v>
      </c>
      <c r="F71">
        <v>0</v>
      </c>
      <c r="G71" t="s">
        <v>32</v>
      </c>
      <c r="H71" t="s">
        <v>36</v>
      </c>
      <c r="J71" s="2"/>
      <c r="K71" s="2"/>
    </row>
    <row r="72" spans="1:11" x14ac:dyDescent="0.25">
      <c r="A72" s="1">
        <v>44784.486967592595</v>
      </c>
      <c r="B72" s="1">
        <v>44784.486840277779</v>
      </c>
      <c r="C72">
        <v>1.1000000000000001</v>
      </c>
      <c r="D72">
        <v>1</v>
      </c>
      <c r="E72">
        <v>22</v>
      </c>
      <c r="F72">
        <v>0</v>
      </c>
      <c r="G72" t="s">
        <v>32</v>
      </c>
      <c r="H72" t="s">
        <v>36</v>
      </c>
      <c r="J72" s="2"/>
      <c r="K72" s="2"/>
    </row>
    <row r="73" spans="1:11" x14ac:dyDescent="0.25">
      <c r="A73" s="1">
        <v>44784.493923611109</v>
      </c>
      <c r="B73" s="1">
        <v>44784.493784722225</v>
      </c>
      <c r="C73">
        <v>1.1000000000000001</v>
      </c>
      <c r="D73">
        <v>1</v>
      </c>
      <c r="E73">
        <v>22</v>
      </c>
      <c r="F73">
        <v>0</v>
      </c>
      <c r="G73" t="s">
        <v>32</v>
      </c>
      <c r="H73" t="s">
        <v>36</v>
      </c>
      <c r="J73" s="2"/>
      <c r="K73" s="2"/>
    </row>
    <row r="74" spans="1:11" x14ac:dyDescent="0.25">
      <c r="A74" s="1">
        <v>44784.500821759262</v>
      </c>
      <c r="B74" s="1">
        <v>44784.50072916667</v>
      </c>
      <c r="C74">
        <v>1.1000000000000001</v>
      </c>
      <c r="D74">
        <v>1</v>
      </c>
      <c r="E74">
        <v>22</v>
      </c>
      <c r="F74">
        <v>0</v>
      </c>
      <c r="G74" t="s">
        <v>32</v>
      </c>
      <c r="H74" t="s">
        <v>36</v>
      </c>
      <c r="J74" t="str">
        <f>IF(COUNT(I69:I74)&gt;3.5,ROUND(AVERAGE(I69:I74),2),"")</f>
        <v/>
      </c>
      <c r="K74" t="str">
        <f>IF(COUNT(, , , , , , , , , , , , , NA, NA, NA, NA, NA, NA, NA, NA, NA, NA, NA)&gt;17.5,ROUND(AVERAGE(, , , , , , , , , , , , , 0, 0, 0, 0, 0, 0, 0, 0, 0, 0, 0),2),"NO AVG")</f>
        <v>NO AVG</v>
      </c>
    </row>
    <row r="75" spans="1:11" x14ac:dyDescent="0.25">
      <c r="A75" s="1">
        <v>44784.5077662037</v>
      </c>
      <c r="B75" s="1">
        <v>44784.507673611108</v>
      </c>
      <c r="C75">
        <v>1.1000000000000001</v>
      </c>
      <c r="D75">
        <v>1</v>
      </c>
      <c r="E75">
        <v>22</v>
      </c>
      <c r="F75">
        <v>0</v>
      </c>
      <c r="G75" t="s">
        <v>32</v>
      </c>
      <c r="H75" t="s">
        <v>36</v>
      </c>
      <c r="J75" s="2"/>
      <c r="K75" s="2"/>
    </row>
    <row r="76" spans="1:11" x14ac:dyDescent="0.25">
      <c r="A76" s="1">
        <v>44784.514756944445</v>
      </c>
      <c r="B76" s="1">
        <v>44784.514618055553</v>
      </c>
      <c r="C76">
        <v>1.1000000000000001</v>
      </c>
      <c r="D76">
        <v>1</v>
      </c>
      <c r="E76">
        <v>22</v>
      </c>
      <c r="F76">
        <v>0</v>
      </c>
      <c r="G76" t="s">
        <v>32</v>
      </c>
      <c r="H76" t="s">
        <v>36</v>
      </c>
      <c r="J76" s="2"/>
      <c r="K76" s="2"/>
    </row>
    <row r="77" spans="1:11" x14ac:dyDescent="0.25">
      <c r="A77" s="1">
        <v>44784.521666666667</v>
      </c>
      <c r="B77" s="1">
        <v>44784.521562499998</v>
      </c>
      <c r="C77">
        <v>1.1000000000000001</v>
      </c>
      <c r="D77">
        <v>1</v>
      </c>
      <c r="E77">
        <v>22</v>
      </c>
      <c r="F77">
        <v>0</v>
      </c>
      <c r="G77" t="s">
        <v>32</v>
      </c>
      <c r="H77" t="s">
        <v>36</v>
      </c>
      <c r="J77" s="2"/>
      <c r="K77" s="2"/>
    </row>
    <row r="78" spans="1:11" x14ac:dyDescent="0.25">
      <c r="A78" s="1">
        <v>44784.528645833336</v>
      </c>
      <c r="B78" s="1">
        <v>44784.528506944444</v>
      </c>
      <c r="C78">
        <v>1.1000000000000001</v>
      </c>
      <c r="D78">
        <v>1</v>
      </c>
      <c r="E78">
        <v>22</v>
      </c>
      <c r="F78">
        <v>0</v>
      </c>
      <c r="G78" t="s">
        <v>32</v>
      </c>
      <c r="H78" t="s">
        <v>36</v>
      </c>
      <c r="J78" s="2"/>
      <c r="K78" s="2"/>
    </row>
    <row r="79" spans="1:11" x14ac:dyDescent="0.25">
      <c r="A79" s="1">
        <v>44784.535543981481</v>
      </c>
      <c r="B79" s="1">
        <v>44784.535451388889</v>
      </c>
      <c r="C79">
        <v>1.1000000000000001</v>
      </c>
      <c r="D79">
        <v>1</v>
      </c>
      <c r="E79">
        <v>22</v>
      </c>
      <c r="F79">
        <v>0</v>
      </c>
      <c r="G79" t="s">
        <v>32</v>
      </c>
      <c r="H79" t="s">
        <v>36</v>
      </c>
      <c r="J79" s="2"/>
      <c r="K79" s="2"/>
    </row>
    <row r="80" spans="1:11" x14ac:dyDescent="0.25">
      <c r="A80" s="1">
        <v>44784.542488425926</v>
      </c>
      <c r="B80" s="1">
        <v>44784.542395833334</v>
      </c>
      <c r="C80">
        <v>1.1000000000000001</v>
      </c>
      <c r="D80">
        <v>1</v>
      </c>
      <c r="E80">
        <v>22</v>
      </c>
      <c r="F80">
        <v>0</v>
      </c>
      <c r="G80" t="s">
        <v>32</v>
      </c>
      <c r="H80" t="s">
        <v>36</v>
      </c>
      <c r="J80" t="str">
        <f>IF(COUNT(I75:I80)&gt;3.5,ROUND(AVERAGE(I75:I80),2),"")</f>
        <v/>
      </c>
      <c r="K80" t="str">
        <f>IF(COUNT(, , , , , , , , , , , , , , NA, NA, NA, NA, NA, NA, NA, NA, NA, NA)&gt;17.5,ROUND(AVERAGE(, , , , , , , , , , , , , , 0, 0, 0, 0, 0, 0, 0, 0, 0, 0),2),"NO AVG")</f>
        <v>NO AVG</v>
      </c>
    </row>
    <row r="81" spans="1:11" x14ac:dyDescent="0.25">
      <c r="A81" s="1">
        <v>44784.549432870372</v>
      </c>
      <c r="B81" s="1">
        <v>44784.549340277779</v>
      </c>
      <c r="C81">
        <v>1.1000000000000001</v>
      </c>
      <c r="D81">
        <v>1</v>
      </c>
      <c r="E81">
        <v>22</v>
      </c>
      <c r="F81">
        <v>0</v>
      </c>
      <c r="G81" t="s">
        <v>32</v>
      </c>
      <c r="H81" t="s">
        <v>36</v>
      </c>
      <c r="J81" s="2"/>
      <c r="K81" s="2"/>
    </row>
    <row r="82" spans="1:11" x14ac:dyDescent="0.25">
      <c r="A82" s="1">
        <v>44784.556875000002</v>
      </c>
      <c r="B82" s="1">
        <v>44784.556284722225</v>
      </c>
      <c r="C82">
        <v>1.1000000000000001</v>
      </c>
      <c r="D82">
        <v>1</v>
      </c>
      <c r="E82">
        <v>22</v>
      </c>
      <c r="F82">
        <v>0</v>
      </c>
      <c r="G82" t="s">
        <v>32</v>
      </c>
      <c r="H82" t="s">
        <v>36</v>
      </c>
      <c r="J82" s="2"/>
      <c r="K82" s="2"/>
    </row>
    <row r="83" spans="1:11" x14ac:dyDescent="0.25">
      <c r="A83" s="1">
        <v>44784.563333333332</v>
      </c>
      <c r="B83" s="1">
        <v>44784.56322916667</v>
      </c>
      <c r="C83">
        <v>1.1000000000000001</v>
      </c>
      <c r="D83">
        <v>1</v>
      </c>
      <c r="E83">
        <v>22</v>
      </c>
      <c r="F83">
        <v>0</v>
      </c>
      <c r="G83" t="s">
        <v>32</v>
      </c>
      <c r="H83" t="s">
        <v>36</v>
      </c>
      <c r="J83" s="2"/>
      <c r="K83" s="2"/>
    </row>
    <row r="84" spans="1:11" x14ac:dyDescent="0.25">
      <c r="A84" s="1">
        <v>44784.570324074077</v>
      </c>
      <c r="B84" s="1">
        <v>44784.570173611108</v>
      </c>
      <c r="C84">
        <v>1.1000000000000001</v>
      </c>
      <c r="D84">
        <v>1</v>
      </c>
      <c r="E84">
        <v>22</v>
      </c>
      <c r="F84">
        <v>0</v>
      </c>
      <c r="G84" t="s">
        <v>32</v>
      </c>
      <c r="H84" t="s">
        <v>36</v>
      </c>
      <c r="J84" s="2"/>
      <c r="K84" s="2"/>
    </row>
    <row r="85" spans="1:11" x14ac:dyDescent="0.25">
      <c r="A85" s="1">
        <v>44784.577222222222</v>
      </c>
      <c r="B85" s="1">
        <v>44784.577118055553</v>
      </c>
      <c r="C85">
        <v>1.1000000000000001</v>
      </c>
      <c r="D85">
        <v>1</v>
      </c>
      <c r="E85">
        <v>22</v>
      </c>
      <c r="F85">
        <v>0</v>
      </c>
      <c r="G85" t="s">
        <v>32</v>
      </c>
      <c r="H85" t="s">
        <v>36</v>
      </c>
      <c r="J85" s="2"/>
      <c r="K85" s="2"/>
    </row>
    <row r="86" spans="1:11" x14ac:dyDescent="0.25">
      <c r="A86" s="1">
        <v>44784.584178240744</v>
      </c>
      <c r="B86" s="1">
        <v>44784.584062499998</v>
      </c>
      <c r="C86">
        <v>1.1000000000000001</v>
      </c>
      <c r="D86">
        <v>1</v>
      </c>
      <c r="E86">
        <v>22</v>
      </c>
      <c r="F86">
        <v>0</v>
      </c>
      <c r="G86" t="s">
        <v>32</v>
      </c>
      <c r="H86" t="s">
        <v>36</v>
      </c>
      <c r="J86" t="str">
        <f>IF(COUNT(I81:I86)&gt;3.5,ROUND(AVERAGE(I81:I86),2),"")</f>
        <v/>
      </c>
      <c r="K86" t="str">
        <f>IF(COUNT(, , , , , , , , , , , , , , , NA, NA, NA, NA, NA, NA, NA, NA, NA)&gt;17.5,ROUND(AVERAGE(, , , , , , , , , , , , , , , 0, 0, 0, 0, 0, 0, 0, 0, 0),2),"NO AVG")</f>
        <v>NO AVG</v>
      </c>
    </row>
    <row r="87" spans="1:11" x14ac:dyDescent="0.25">
      <c r="A87" s="1">
        <v>44784.591168981482</v>
      </c>
      <c r="B87" s="1">
        <v>44784.591006944444</v>
      </c>
      <c r="C87">
        <v>1.1000000000000001</v>
      </c>
      <c r="D87">
        <v>1</v>
      </c>
      <c r="E87">
        <v>22</v>
      </c>
      <c r="F87">
        <v>0</v>
      </c>
      <c r="G87" t="s">
        <v>32</v>
      </c>
      <c r="H87" t="s">
        <v>36</v>
      </c>
      <c r="J87" s="2"/>
      <c r="K87" s="2"/>
    </row>
    <row r="88" spans="1:11" x14ac:dyDescent="0.25">
      <c r="A88" s="1">
        <v>44784.598090277781</v>
      </c>
      <c r="B88" s="1">
        <v>44784.597951388889</v>
      </c>
      <c r="C88">
        <v>1.1000000000000001</v>
      </c>
      <c r="D88">
        <v>1</v>
      </c>
      <c r="E88">
        <v>22</v>
      </c>
      <c r="F88">
        <v>0</v>
      </c>
      <c r="G88" t="s">
        <v>32</v>
      </c>
      <c r="H88" t="s">
        <v>36</v>
      </c>
      <c r="J88" s="2"/>
      <c r="K88" s="2"/>
    </row>
    <row r="89" spans="1:11" x14ac:dyDescent="0.25">
      <c r="A89" s="1">
        <v>44784.605000000003</v>
      </c>
      <c r="B89" s="1">
        <v>44784.604895833334</v>
      </c>
      <c r="C89">
        <v>1.1000000000000001</v>
      </c>
      <c r="D89">
        <v>1</v>
      </c>
      <c r="E89">
        <v>22</v>
      </c>
      <c r="F89">
        <v>0</v>
      </c>
      <c r="G89" t="s">
        <v>32</v>
      </c>
      <c r="H89" t="s">
        <v>36</v>
      </c>
      <c r="J89" s="2"/>
      <c r="K89" s="2"/>
    </row>
    <row r="90" spans="1:11" x14ac:dyDescent="0.25">
      <c r="A90" s="1">
        <v>44784.612002314818</v>
      </c>
      <c r="B90" s="1">
        <v>44784.611840277779</v>
      </c>
      <c r="C90">
        <v>1.1000000000000001</v>
      </c>
      <c r="D90">
        <v>1</v>
      </c>
      <c r="E90">
        <v>22</v>
      </c>
      <c r="F90">
        <v>0</v>
      </c>
      <c r="G90" t="s">
        <v>32</v>
      </c>
      <c r="H90" t="s">
        <v>36</v>
      </c>
      <c r="J90" s="2"/>
      <c r="K90" s="2"/>
    </row>
    <row r="91" spans="1:11" x14ac:dyDescent="0.25">
      <c r="A91" s="1">
        <v>44784.618888888886</v>
      </c>
      <c r="B91" s="1">
        <v>44784.618784722225</v>
      </c>
      <c r="C91">
        <v>1.1000000000000001</v>
      </c>
      <c r="D91">
        <v>1</v>
      </c>
      <c r="E91">
        <v>22</v>
      </c>
      <c r="F91">
        <v>0</v>
      </c>
      <c r="G91" t="s">
        <v>32</v>
      </c>
      <c r="H91" t="s">
        <v>36</v>
      </c>
      <c r="J91" s="2"/>
      <c r="K91" s="2"/>
    </row>
    <row r="92" spans="1:11" x14ac:dyDescent="0.25">
      <c r="A92" s="1">
        <v>44784.625879629632</v>
      </c>
      <c r="B92" s="1">
        <v>44784.62572916667</v>
      </c>
      <c r="C92">
        <v>1.1000000000000001</v>
      </c>
      <c r="D92">
        <v>1</v>
      </c>
      <c r="E92">
        <v>22</v>
      </c>
      <c r="F92">
        <v>0</v>
      </c>
      <c r="G92" t="s">
        <v>32</v>
      </c>
      <c r="H92" t="s">
        <v>36</v>
      </c>
      <c r="J92" t="str">
        <f>IF(COUNT(I87:I92)&gt;3.5,ROUND(AVERAGE(I87:I92),2),"")</f>
        <v/>
      </c>
      <c r="K92" t="str">
        <f>IF(COUNT(, , , , , , , , , , , , , , , , NA, NA, NA, NA, NA, NA, NA, NA)&gt;17.5,ROUND(AVERAGE(, , , , , , , , , , , , , , , , 0, 0, 0, 0, 0, 0, 0, 0),2),"NO AVG")</f>
        <v>NO AVG</v>
      </c>
    </row>
    <row r="93" spans="1:11" x14ac:dyDescent="0.25">
      <c r="A93" s="1">
        <v>44784.6327662037</v>
      </c>
      <c r="B93" s="1">
        <v>44784.632673611108</v>
      </c>
      <c r="C93">
        <v>1.1000000000000001</v>
      </c>
      <c r="D93">
        <v>1</v>
      </c>
      <c r="E93">
        <v>22</v>
      </c>
      <c r="F93">
        <v>0</v>
      </c>
      <c r="G93" t="s">
        <v>32</v>
      </c>
      <c r="H93" t="s">
        <v>36</v>
      </c>
      <c r="J93" s="2"/>
      <c r="K93" s="2"/>
    </row>
    <row r="94" spans="1:11" x14ac:dyDescent="0.25">
      <c r="A94" s="1">
        <v>44784.639699074076</v>
      </c>
      <c r="B94" s="1">
        <v>44784.639618055553</v>
      </c>
      <c r="C94">
        <v>1.1000000000000001</v>
      </c>
      <c r="D94">
        <v>1</v>
      </c>
      <c r="E94">
        <v>22</v>
      </c>
      <c r="F94">
        <v>0</v>
      </c>
      <c r="G94" t="s">
        <v>32</v>
      </c>
      <c r="H94" t="s">
        <v>36</v>
      </c>
      <c r="J94" s="2"/>
      <c r="K94" s="2"/>
    </row>
    <row r="95" spans="1:11" x14ac:dyDescent="0.25">
      <c r="A95" s="1">
        <v>44784.646655092591</v>
      </c>
      <c r="B95" s="1">
        <v>44784.646562499998</v>
      </c>
      <c r="C95">
        <v>1.1000000000000001</v>
      </c>
      <c r="D95">
        <v>1</v>
      </c>
      <c r="E95">
        <v>22</v>
      </c>
      <c r="F95">
        <v>0</v>
      </c>
      <c r="G95" t="s">
        <v>32</v>
      </c>
      <c r="H95" t="s">
        <v>36</v>
      </c>
      <c r="J95" s="2"/>
      <c r="K95" s="2"/>
    </row>
    <row r="96" spans="1:11" x14ac:dyDescent="0.25">
      <c r="A96" s="1">
        <v>44784.653587962966</v>
      </c>
      <c r="B96" s="1">
        <v>44784.653506944444</v>
      </c>
      <c r="C96">
        <v>1.1000000000000001</v>
      </c>
      <c r="D96">
        <v>1</v>
      </c>
      <c r="E96">
        <v>22</v>
      </c>
      <c r="F96">
        <v>0</v>
      </c>
      <c r="G96" t="s">
        <v>32</v>
      </c>
      <c r="H96" t="s">
        <v>36</v>
      </c>
      <c r="J96" s="2"/>
      <c r="K96" s="2"/>
    </row>
    <row r="97" spans="1:11" x14ac:dyDescent="0.25">
      <c r="A97" s="1">
        <v>44784.660543981481</v>
      </c>
      <c r="B97" s="1">
        <v>44784.660451388889</v>
      </c>
      <c r="C97">
        <v>1.1000000000000001</v>
      </c>
      <c r="D97">
        <v>1</v>
      </c>
      <c r="E97">
        <v>22</v>
      </c>
      <c r="F97">
        <v>0</v>
      </c>
      <c r="G97" t="s">
        <v>32</v>
      </c>
      <c r="H97" t="s">
        <v>36</v>
      </c>
      <c r="J97" s="2"/>
      <c r="K97" s="2"/>
    </row>
    <row r="98" spans="1:11" x14ac:dyDescent="0.25">
      <c r="A98" s="1">
        <v>44784.667488425926</v>
      </c>
      <c r="B98" s="1">
        <v>44784.667395833334</v>
      </c>
      <c r="C98">
        <v>1.1000000000000001</v>
      </c>
      <c r="D98">
        <v>1</v>
      </c>
      <c r="E98">
        <v>22</v>
      </c>
      <c r="F98">
        <v>0</v>
      </c>
      <c r="G98" t="s">
        <v>32</v>
      </c>
      <c r="H98" t="s">
        <v>36</v>
      </c>
      <c r="J98" t="str">
        <f>IF(COUNT(I93:I98)&gt;3.5,ROUND(AVERAGE(I93:I98),2),"")</f>
        <v/>
      </c>
      <c r="K98" t="str">
        <f>IF(COUNT(, , , , , , , , , , , , , , , , , NA, NA, NA, NA, NA, NA, NA)&gt;17.5,ROUND(AVERAGE(, , , , , , , , , , , , , , , , , 0, 0, 0, 0, 0, 0, 0),2),"NO AVG")</f>
        <v>NO AVG</v>
      </c>
    </row>
    <row r="99" spans="1:11" x14ac:dyDescent="0.25">
      <c r="A99" s="1">
        <v>44784.674432870372</v>
      </c>
      <c r="B99" s="1">
        <v>44784.674328703702</v>
      </c>
      <c r="C99">
        <v>1.1000000000000001</v>
      </c>
      <c r="D99">
        <v>1</v>
      </c>
      <c r="E99">
        <v>22</v>
      </c>
      <c r="F99">
        <v>0</v>
      </c>
      <c r="G99" t="s">
        <v>32</v>
      </c>
      <c r="H99" t="s">
        <v>36</v>
      </c>
      <c r="J99" s="2"/>
      <c r="K99" s="2"/>
    </row>
    <row r="100" spans="1:11" x14ac:dyDescent="0.25">
      <c r="A100" s="1">
        <v>44784.68136574074</v>
      </c>
      <c r="B100" s="1">
        <v>44784.681273148148</v>
      </c>
      <c r="C100">
        <v>1.1000000000000001</v>
      </c>
      <c r="D100">
        <v>1</v>
      </c>
      <c r="E100">
        <v>22</v>
      </c>
      <c r="F100">
        <v>0</v>
      </c>
      <c r="G100" t="s">
        <v>32</v>
      </c>
      <c r="H100" t="s">
        <v>36</v>
      </c>
      <c r="J100" s="2"/>
      <c r="K100" s="2"/>
    </row>
    <row r="101" spans="1:11" x14ac:dyDescent="0.25">
      <c r="A101" s="1">
        <v>44784.688356481478</v>
      </c>
      <c r="B101" s="1">
        <v>44784.688217592593</v>
      </c>
      <c r="C101">
        <v>1.1000000000000001</v>
      </c>
      <c r="D101">
        <v>1</v>
      </c>
      <c r="E101">
        <v>22</v>
      </c>
      <c r="F101">
        <v>0</v>
      </c>
      <c r="G101" t="s">
        <v>32</v>
      </c>
      <c r="H101" t="s">
        <v>36</v>
      </c>
      <c r="J101" s="2"/>
      <c r="K101" s="2"/>
    </row>
    <row r="102" spans="1:11" x14ac:dyDescent="0.25">
      <c r="A102" s="1">
        <v>44784.695254629631</v>
      </c>
      <c r="B102" s="1">
        <v>44784.695162037038</v>
      </c>
      <c r="C102">
        <v>1.1000000000000001</v>
      </c>
      <c r="D102">
        <v>1</v>
      </c>
      <c r="E102">
        <v>22</v>
      </c>
      <c r="F102">
        <v>0</v>
      </c>
      <c r="G102" t="s">
        <v>32</v>
      </c>
      <c r="H102" t="s">
        <v>36</v>
      </c>
      <c r="J102" s="2"/>
      <c r="K102" s="2"/>
    </row>
    <row r="103" spans="1:11" x14ac:dyDescent="0.25">
      <c r="A103" s="1">
        <v>44784.702199074076</v>
      </c>
      <c r="B103" s="1">
        <v>44784.702106481483</v>
      </c>
      <c r="C103">
        <v>1.1000000000000001</v>
      </c>
      <c r="D103">
        <v>1</v>
      </c>
      <c r="E103">
        <v>22</v>
      </c>
      <c r="F103">
        <v>0</v>
      </c>
      <c r="G103" t="s">
        <v>32</v>
      </c>
      <c r="H103" t="s">
        <v>36</v>
      </c>
      <c r="J103" s="2"/>
      <c r="K103" s="2"/>
    </row>
    <row r="104" spans="1:11" x14ac:dyDescent="0.25">
      <c r="A104" s="1">
        <v>44784.709155092591</v>
      </c>
      <c r="B104" s="1">
        <v>44784.709050925929</v>
      </c>
      <c r="C104">
        <v>1.1000000000000001</v>
      </c>
      <c r="D104">
        <v>1</v>
      </c>
      <c r="E104">
        <v>22</v>
      </c>
      <c r="F104">
        <v>0</v>
      </c>
      <c r="G104" t="s">
        <v>32</v>
      </c>
      <c r="H104" t="s">
        <v>36</v>
      </c>
      <c r="J104" t="str">
        <f>IF(COUNT(I99:I104)&gt;3.5,ROUND(AVERAGE(I99:I104),2),"")</f>
        <v/>
      </c>
      <c r="K104">
        <f>IF(COUNT(, , , , , , , , , , , , , , , , , , NA, NA, NA, NA, NA, NA)&gt;17.5,ROUND(AVERAGE(, , , , , , , , , , , , , , , , , , 0, 0, 0, 0, 0, 0),2),"NO AVG")</f>
        <v>0</v>
      </c>
    </row>
    <row r="105" spans="1:11" x14ac:dyDescent="0.25">
      <c r="A105" s="1">
        <v>44784.716087962966</v>
      </c>
      <c r="B105" s="1">
        <v>44784.715995370374</v>
      </c>
      <c r="C105">
        <v>1.1000000000000001</v>
      </c>
      <c r="D105">
        <v>1</v>
      </c>
      <c r="E105">
        <v>22</v>
      </c>
      <c r="F105">
        <v>0</v>
      </c>
      <c r="G105" t="s">
        <v>32</v>
      </c>
      <c r="H105" t="s">
        <v>36</v>
      </c>
      <c r="J105" s="2"/>
      <c r="K105" s="2"/>
    </row>
    <row r="106" spans="1:11" x14ac:dyDescent="0.25">
      <c r="A106" s="1">
        <v>44784.723032407404</v>
      </c>
      <c r="B106" s="1">
        <v>44784.722939814812</v>
      </c>
      <c r="C106">
        <v>1.1000000000000001</v>
      </c>
      <c r="D106">
        <v>1</v>
      </c>
      <c r="E106">
        <v>22</v>
      </c>
      <c r="F106">
        <v>0</v>
      </c>
      <c r="G106" t="s">
        <v>32</v>
      </c>
      <c r="H106" t="s">
        <v>36</v>
      </c>
      <c r="J106" s="2"/>
      <c r="K106" s="2"/>
    </row>
    <row r="107" spans="1:11" x14ac:dyDescent="0.25">
      <c r="A107" s="1">
        <v>44784.72997685185</v>
      </c>
      <c r="B107" s="1">
        <v>44784.729884259257</v>
      </c>
      <c r="C107">
        <v>1.1000000000000001</v>
      </c>
      <c r="D107">
        <v>1</v>
      </c>
      <c r="E107">
        <v>22</v>
      </c>
      <c r="F107">
        <v>0</v>
      </c>
      <c r="G107" t="s">
        <v>32</v>
      </c>
      <c r="H107" t="s">
        <v>36</v>
      </c>
      <c r="J107" s="2"/>
      <c r="K107" s="2"/>
    </row>
    <row r="108" spans="1:11" x14ac:dyDescent="0.25">
      <c r="A108" s="1">
        <v>44784.736932870372</v>
      </c>
      <c r="B108" s="1">
        <v>44784.736828703702</v>
      </c>
      <c r="C108">
        <v>1.1000000000000001</v>
      </c>
      <c r="D108">
        <v>1</v>
      </c>
      <c r="E108">
        <v>22</v>
      </c>
      <c r="F108">
        <v>0</v>
      </c>
      <c r="G108" t="s">
        <v>32</v>
      </c>
      <c r="H108" t="s">
        <v>36</v>
      </c>
      <c r="J108" s="2"/>
      <c r="K108" s="2"/>
    </row>
    <row r="109" spans="1:11" x14ac:dyDescent="0.25">
      <c r="A109" s="1">
        <v>44784.74386574074</v>
      </c>
      <c r="B109" s="1">
        <v>44784.743773148148</v>
      </c>
      <c r="C109">
        <v>1.1000000000000001</v>
      </c>
      <c r="D109">
        <v>1</v>
      </c>
      <c r="E109">
        <v>22</v>
      </c>
      <c r="F109">
        <v>0</v>
      </c>
      <c r="G109" t="s">
        <v>32</v>
      </c>
      <c r="H109" t="s">
        <v>36</v>
      </c>
      <c r="J109" s="2"/>
      <c r="K109" s="2"/>
    </row>
    <row r="110" spans="1:11" x14ac:dyDescent="0.25">
      <c r="A110" s="1">
        <v>44784.750879629632</v>
      </c>
      <c r="B110" s="1">
        <v>44784.750717592593</v>
      </c>
      <c r="C110">
        <v>1.1000000000000001</v>
      </c>
      <c r="D110">
        <v>1</v>
      </c>
      <c r="E110">
        <v>22</v>
      </c>
      <c r="F110">
        <v>0</v>
      </c>
      <c r="G110" t="s">
        <v>32</v>
      </c>
      <c r="H110" t="s">
        <v>36</v>
      </c>
      <c r="J110" t="str">
        <f>IF(COUNT(I105:I110)&gt;3.5,ROUND(AVERAGE(I105:I110),2),"")</f>
        <v/>
      </c>
      <c r="K110">
        <f>IF(COUNT(, , , , , , , , , , , , , , , , , , , NA, NA, NA, NA, NA)&gt;17.5,ROUND(AVERAGE(, , , , , , , , , , , , , , , , , , , 0, 0, 0, 0, 0),2),"NO AVG")</f>
        <v>0</v>
      </c>
    </row>
    <row r="111" spans="1:11" x14ac:dyDescent="0.25">
      <c r="A111" s="1">
        <v>44784.7577662037</v>
      </c>
      <c r="B111" s="1">
        <v>44784.757662037038</v>
      </c>
      <c r="C111">
        <v>1.1000000000000001</v>
      </c>
      <c r="D111">
        <v>1</v>
      </c>
      <c r="E111">
        <v>22</v>
      </c>
      <c r="F111">
        <v>0</v>
      </c>
      <c r="G111" t="s">
        <v>32</v>
      </c>
      <c r="H111" t="s">
        <v>36</v>
      </c>
      <c r="J111" s="2"/>
      <c r="K111" s="2"/>
    </row>
    <row r="112" spans="1:11" x14ac:dyDescent="0.25">
      <c r="A112" s="1">
        <v>44784.764699074076</v>
      </c>
      <c r="B112" s="1">
        <v>44784.764606481483</v>
      </c>
      <c r="C112">
        <v>1.1000000000000001</v>
      </c>
      <c r="D112">
        <v>1</v>
      </c>
      <c r="E112">
        <v>22</v>
      </c>
      <c r="F112">
        <v>0</v>
      </c>
      <c r="G112" t="s">
        <v>32</v>
      </c>
      <c r="H112" t="s">
        <v>36</v>
      </c>
      <c r="J112" s="2"/>
      <c r="K112" s="2"/>
    </row>
    <row r="113" spans="1:11" x14ac:dyDescent="0.25">
      <c r="A113" s="1">
        <v>44784.771643518521</v>
      </c>
      <c r="B113" s="1">
        <v>44784.771550925929</v>
      </c>
      <c r="C113">
        <v>1.1000000000000001</v>
      </c>
      <c r="D113">
        <v>1</v>
      </c>
      <c r="E113">
        <v>22</v>
      </c>
      <c r="F113">
        <v>0</v>
      </c>
      <c r="G113" t="s">
        <v>32</v>
      </c>
      <c r="H113" t="s">
        <v>36</v>
      </c>
      <c r="J113" s="2"/>
      <c r="K113" s="2"/>
    </row>
    <row r="114" spans="1:11" x14ac:dyDescent="0.25">
      <c r="A114" s="1">
        <v>44784.778599537036</v>
      </c>
      <c r="B114" s="1">
        <v>44784.778495370374</v>
      </c>
      <c r="C114">
        <v>1.1000000000000001</v>
      </c>
      <c r="D114">
        <v>1</v>
      </c>
      <c r="E114">
        <v>22</v>
      </c>
      <c r="F114">
        <v>0</v>
      </c>
      <c r="G114" t="s">
        <v>32</v>
      </c>
      <c r="H114" t="s">
        <v>36</v>
      </c>
      <c r="J114" s="2"/>
      <c r="K114" s="2"/>
    </row>
    <row r="115" spans="1:11" x14ac:dyDescent="0.25">
      <c r="A115" s="1">
        <v>44784.785555555558</v>
      </c>
      <c r="B115" s="1">
        <v>44784.785439814812</v>
      </c>
      <c r="C115">
        <v>1.1000000000000001</v>
      </c>
      <c r="D115">
        <v>1</v>
      </c>
      <c r="E115">
        <v>22</v>
      </c>
      <c r="F115">
        <v>0</v>
      </c>
      <c r="G115" t="s">
        <v>32</v>
      </c>
      <c r="H115" t="s">
        <v>36</v>
      </c>
      <c r="J115" s="2"/>
      <c r="K115" s="2"/>
    </row>
    <row r="116" spans="1:11" x14ac:dyDescent="0.25">
      <c r="A116" s="1">
        <v>44784.792523148149</v>
      </c>
      <c r="B116" s="1">
        <v>44784.792384259257</v>
      </c>
      <c r="C116">
        <v>1.1000000000000001</v>
      </c>
      <c r="D116">
        <v>1</v>
      </c>
      <c r="E116">
        <v>22</v>
      </c>
      <c r="F116">
        <v>0</v>
      </c>
      <c r="G116" t="s">
        <v>32</v>
      </c>
      <c r="H116" t="s">
        <v>36</v>
      </c>
      <c r="J116" t="str">
        <f>IF(COUNT(I111:I116)&gt;3.5,ROUND(AVERAGE(I111:I116),2),"")</f>
        <v/>
      </c>
      <c r="K116">
        <f>IF(COUNT(, , , , , , , , , , , , , , , , , , , , NA, NA, NA, NA)&gt;17.5,ROUND(AVERAGE(, , , , , , , , , , , , , , , , , , , , 0, 0, 0, 0),2),"NO AVG")</f>
        <v>0</v>
      </c>
    </row>
    <row r="117" spans="1:11" x14ac:dyDescent="0.25">
      <c r="A117" s="1">
        <v>44784.799432870372</v>
      </c>
      <c r="B117" s="1">
        <v>44784.799328703702</v>
      </c>
      <c r="C117">
        <v>1.1000000000000001</v>
      </c>
      <c r="D117">
        <v>1</v>
      </c>
      <c r="E117">
        <v>22</v>
      </c>
      <c r="F117">
        <v>0</v>
      </c>
      <c r="G117" t="s">
        <v>32</v>
      </c>
      <c r="H117" t="s">
        <v>36</v>
      </c>
      <c r="J117" s="2"/>
      <c r="K117" s="2"/>
    </row>
    <row r="118" spans="1:11" x14ac:dyDescent="0.25">
      <c r="A118" s="1">
        <v>44784.806423611109</v>
      </c>
      <c r="B118" s="1">
        <v>44784.806273148148</v>
      </c>
      <c r="C118">
        <v>1.1000000000000001</v>
      </c>
      <c r="D118">
        <v>1</v>
      </c>
      <c r="E118">
        <v>22</v>
      </c>
      <c r="F118">
        <v>0</v>
      </c>
      <c r="G118" t="s">
        <v>32</v>
      </c>
      <c r="H118" t="s">
        <v>36</v>
      </c>
      <c r="J118" s="2"/>
      <c r="K118" s="2"/>
    </row>
    <row r="119" spans="1:11" x14ac:dyDescent="0.25">
      <c r="A119" s="1">
        <v>44784.813333333332</v>
      </c>
      <c r="B119" s="1">
        <v>44784.813217592593</v>
      </c>
      <c r="C119">
        <v>1.1000000000000001</v>
      </c>
      <c r="D119">
        <v>1</v>
      </c>
      <c r="E119">
        <v>22</v>
      </c>
      <c r="F119">
        <v>0</v>
      </c>
      <c r="G119" t="s">
        <v>32</v>
      </c>
      <c r="H119" t="s">
        <v>36</v>
      </c>
      <c r="J119" s="2"/>
      <c r="K119" s="2"/>
    </row>
    <row r="120" spans="1:11" x14ac:dyDescent="0.25">
      <c r="A120" s="1">
        <v>44784.820277777777</v>
      </c>
      <c r="B120" s="1">
        <v>44784.820162037038</v>
      </c>
      <c r="C120">
        <v>1.1000000000000001</v>
      </c>
      <c r="D120">
        <v>1</v>
      </c>
      <c r="E120">
        <v>22</v>
      </c>
      <c r="F120">
        <v>0</v>
      </c>
      <c r="G120" t="s">
        <v>32</v>
      </c>
      <c r="H120" t="s">
        <v>36</v>
      </c>
      <c r="J120" s="2"/>
      <c r="K120" s="2"/>
    </row>
    <row r="121" spans="1:11" x14ac:dyDescent="0.25">
      <c r="A121" s="1">
        <v>44784.827210648145</v>
      </c>
      <c r="B121" s="1">
        <v>44784.827106481483</v>
      </c>
      <c r="C121">
        <v>1.1000000000000001</v>
      </c>
      <c r="D121">
        <v>1</v>
      </c>
      <c r="E121">
        <v>22</v>
      </c>
      <c r="F121">
        <v>0</v>
      </c>
      <c r="G121" t="s">
        <v>32</v>
      </c>
      <c r="H121" t="s">
        <v>36</v>
      </c>
      <c r="J121" s="2"/>
      <c r="K121" s="2"/>
    </row>
    <row r="122" spans="1:11" x14ac:dyDescent="0.25">
      <c r="A122" s="1">
        <v>44784.834155092591</v>
      </c>
      <c r="B122" s="1">
        <v>44784.834050925929</v>
      </c>
      <c r="C122">
        <v>1.1000000000000001</v>
      </c>
      <c r="D122">
        <v>1</v>
      </c>
      <c r="E122">
        <v>22</v>
      </c>
      <c r="F122">
        <v>0</v>
      </c>
      <c r="G122" t="s">
        <v>32</v>
      </c>
      <c r="H122" t="s">
        <v>36</v>
      </c>
      <c r="J122" t="str">
        <f>IF(COUNT(I117:I122)&gt;3.5,ROUND(AVERAGE(I117:I122),2),"")</f>
        <v/>
      </c>
      <c r="K122">
        <f>IF(COUNT(, , , , , , , , , , , , , , , , , , , , , NA, NA, NA)&gt;17.5,ROUND(AVERAGE(, , , , , , , , , , , , , , , , , , , , , 0, 0, 0),2),"NO AVG")</f>
        <v>0</v>
      </c>
    </row>
    <row r="123" spans="1:11" x14ac:dyDescent="0.25">
      <c r="A123" s="1">
        <v>44784.841111111113</v>
      </c>
      <c r="B123" s="1">
        <v>44784.840995370374</v>
      </c>
      <c r="C123">
        <v>1.1000000000000001</v>
      </c>
      <c r="D123">
        <v>1</v>
      </c>
      <c r="E123">
        <v>22</v>
      </c>
      <c r="F123">
        <v>0</v>
      </c>
      <c r="G123" t="s">
        <v>32</v>
      </c>
      <c r="H123" t="s">
        <v>36</v>
      </c>
      <c r="J123" s="2"/>
      <c r="K123" s="2"/>
    </row>
    <row r="124" spans="1:11" x14ac:dyDescent="0.25">
      <c r="A124" s="1">
        <v>44784.848043981481</v>
      </c>
      <c r="B124" s="1">
        <v>44784.847939814812</v>
      </c>
      <c r="C124">
        <v>1.1000000000000001</v>
      </c>
      <c r="D124">
        <v>1</v>
      </c>
      <c r="E124">
        <v>22</v>
      </c>
      <c r="F124">
        <v>0</v>
      </c>
      <c r="G124" t="s">
        <v>32</v>
      </c>
      <c r="H124" t="s">
        <v>36</v>
      </c>
      <c r="J124" s="2"/>
      <c r="K124" s="2"/>
    </row>
    <row r="125" spans="1:11" x14ac:dyDescent="0.25">
      <c r="A125" s="1">
        <v>44784.854988425926</v>
      </c>
      <c r="B125" s="1">
        <v>44784.854884259257</v>
      </c>
      <c r="C125">
        <v>1.1000000000000001</v>
      </c>
      <c r="D125">
        <v>1</v>
      </c>
      <c r="E125">
        <v>22</v>
      </c>
      <c r="F125">
        <v>0</v>
      </c>
      <c r="G125" t="s">
        <v>32</v>
      </c>
      <c r="H125" t="s">
        <v>36</v>
      </c>
      <c r="J125" s="2"/>
      <c r="K125" s="2"/>
    </row>
    <row r="126" spans="1:11" x14ac:dyDescent="0.25">
      <c r="A126" s="1">
        <v>44784.861944444441</v>
      </c>
      <c r="B126" s="1">
        <v>44784.861828703702</v>
      </c>
      <c r="C126">
        <v>1.1000000000000001</v>
      </c>
      <c r="D126">
        <v>1</v>
      </c>
      <c r="E126">
        <v>22</v>
      </c>
      <c r="F126">
        <v>0</v>
      </c>
      <c r="G126" t="s">
        <v>32</v>
      </c>
      <c r="H126" t="s">
        <v>36</v>
      </c>
      <c r="J126" s="2"/>
      <c r="K126" s="2"/>
    </row>
    <row r="127" spans="1:11" x14ac:dyDescent="0.25">
      <c r="A127" s="1">
        <v>44784.868877314817</v>
      </c>
      <c r="B127" s="1">
        <v>44784.868773148148</v>
      </c>
      <c r="C127">
        <v>1.1000000000000001</v>
      </c>
      <c r="D127">
        <v>1</v>
      </c>
      <c r="E127">
        <v>22</v>
      </c>
      <c r="F127">
        <v>0</v>
      </c>
      <c r="G127" t="s">
        <v>32</v>
      </c>
      <c r="H127" t="s">
        <v>36</v>
      </c>
      <c r="J127" s="2"/>
      <c r="K127" s="2"/>
    </row>
    <row r="128" spans="1:11" x14ac:dyDescent="0.25">
      <c r="A128" s="1">
        <v>44784.875821759262</v>
      </c>
      <c r="B128" s="1">
        <v>44784.875717592593</v>
      </c>
      <c r="C128">
        <v>1.1000000000000001</v>
      </c>
      <c r="D128">
        <v>1</v>
      </c>
      <c r="E128">
        <v>22</v>
      </c>
      <c r="F128">
        <v>0</v>
      </c>
      <c r="G128" t="s">
        <v>32</v>
      </c>
      <c r="H128" t="s">
        <v>36</v>
      </c>
      <c r="J128" t="str">
        <f>IF(COUNT(I123:I128)&gt;3.5,ROUND(AVERAGE(I123:I128),2),"")</f>
        <v/>
      </c>
      <c r="K128">
        <f>IF(COUNT(, , , , , , , , , , , , , , , , , , , , , , NA, NA)&gt;17.5,ROUND(AVERAGE(, , , , , , , , , , , , , , , , , , , , , , 0, 0),2),"NO AVG")</f>
        <v>0</v>
      </c>
    </row>
    <row r="129" spans="1:11" x14ac:dyDescent="0.25">
      <c r="A129" s="1">
        <v>44784.882777777777</v>
      </c>
      <c r="B129" s="1">
        <v>44784.882662037038</v>
      </c>
      <c r="C129">
        <v>1.1000000000000001</v>
      </c>
      <c r="D129">
        <v>1</v>
      </c>
      <c r="E129">
        <v>22</v>
      </c>
      <c r="F129">
        <v>0</v>
      </c>
      <c r="G129" t="s">
        <v>32</v>
      </c>
      <c r="H129" t="s">
        <v>36</v>
      </c>
      <c r="J129" s="2"/>
      <c r="K129" s="2"/>
    </row>
    <row r="130" spans="1:11" x14ac:dyDescent="0.25">
      <c r="A130" s="1">
        <v>44784.889768518522</v>
      </c>
      <c r="B130" s="1">
        <v>44784.889606481483</v>
      </c>
      <c r="C130">
        <v>1.1000000000000001</v>
      </c>
      <c r="D130">
        <v>1</v>
      </c>
      <c r="E130">
        <v>22</v>
      </c>
      <c r="F130">
        <v>0</v>
      </c>
      <c r="G130" t="s">
        <v>32</v>
      </c>
      <c r="H130" t="s">
        <v>36</v>
      </c>
      <c r="J130" s="2"/>
      <c r="K130" s="2"/>
    </row>
    <row r="131" spans="1:11" x14ac:dyDescent="0.25">
      <c r="A131" s="1">
        <v>44784.896666666667</v>
      </c>
      <c r="B131" s="1">
        <v>44784.896550925929</v>
      </c>
      <c r="C131">
        <v>1.1000000000000001</v>
      </c>
      <c r="D131">
        <v>1</v>
      </c>
      <c r="E131">
        <v>22</v>
      </c>
      <c r="F131">
        <v>0</v>
      </c>
      <c r="G131" t="s">
        <v>32</v>
      </c>
      <c r="H131" t="s">
        <v>36</v>
      </c>
      <c r="J131" s="2"/>
      <c r="K131" s="2"/>
    </row>
    <row r="132" spans="1:11" x14ac:dyDescent="0.25">
      <c r="A132" s="1">
        <v>44784.903645833336</v>
      </c>
      <c r="B132" s="1">
        <v>44784.903495370374</v>
      </c>
      <c r="C132">
        <v>1.1000000000000001</v>
      </c>
      <c r="D132">
        <v>1</v>
      </c>
      <c r="E132">
        <v>22</v>
      </c>
      <c r="F132">
        <v>0</v>
      </c>
      <c r="G132" t="s">
        <v>32</v>
      </c>
      <c r="H132" t="s">
        <v>36</v>
      </c>
      <c r="J132" s="2"/>
      <c r="K132" s="2"/>
    </row>
    <row r="133" spans="1:11" x14ac:dyDescent="0.25">
      <c r="A133" s="1">
        <v>44784.910555555558</v>
      </c>
      <c r="B133" s="1">
        <v>44784.910439814812</v>
      </c>
      <c r="C133">
        <v>1.1000000000000001</v>
      </c>
      <c r="D133">
        <v>1</v>
      </c>
      <c r="E133">
        <v>22</v>
      </c>
      <c r="F133">
        <v>0</v>
      </c>
      <c r="G133" t="s">
        <v>32</v>
      </c>
      <c r="H133" t="s">
        <v>36</v>
      </c>
      <c r="J133" s="2"/>
      <c r="K133" s="2"/>
    </row>
    <row r="134" spans="1:11" x14ac:dyDescent="0.25">
      <c r="A134" s="1">
        <v>44784.917500000003</v>
      </c>
      <c r="B134" s="1">
        <v>44784.917384259257</v>
      </c>
      <c r="C134">
        <v>1.1000000000000001</v>
      </c>
      <c r="D134">
        <v>1</v>
      </c>
      <c r="E134">
        <v>22</v>
      </c>
      <c r="F134">
        <v>0</v>
      </c>
      <c r="G134" t="s">
        <v>32</v>
      </c>
      <c r="H134" t="s">
        <v>36</v>
      </c>
      <c r="J134" t="str">
        <f>IF(COUNT(I129:I134)&gt;3.5,ROUND(AVERAGE(I129:I134),2),"")</f>
        <v/>
      </c>
      <c r="K134">
        <f>IF(COUNT(, , , , , , , , , , , , , , , , , , , , , , , NA)&gt;17.5,ROUND(AVERAGE(, , , , , , , , , , , , , , , , , , , , , , , 0),2),"NO AVG")</f>
        <v>0</v>
      </c>
    </row>
    <row r="135" spans="1:11" x14ac:dyDescent="0.25">
      <c r="A135" s="1">
        <v>44784.924537037034</v>
      </c>
      <c r="B135" s="1">
        <v>44784.924328703702</v>
      </c>
      <c r="C135">
        <v>1.1000000000000001</v>
      </c>
      <c r="D135">
        <v>1</v>
      </c>
      <c r="E135">
        <v>22</v>
      </c>
      <c r="F135">
        <v>0</v>
      </c>
      <c r="G135" t="s">
        <v>32</v>
      </c>
      <c r="H135" t="s">
        <v>36</v>
      </c>
      <c r="J135" s="2"/>
      <c r="K135" s="2"/>
    </row>
    <row r="136" spans="1:11" x14ac:dyDescent="0.25">
      <c r="A136" s="1">
        <v>44784.931377314817</v>
      </c>
      <c r="B136" s="1">
        <v>44784.931273148148</v>
      </c>
      <c r="C136">
        <v>1.1000000000000001</v>
      </c>
      <c r="D136">
        <v>1</v>
      </c>
      <c r="E136">
        <v>22</v>
      </c>
      <c r="F136">
        <v>0</v>
      </c>
      <c r="G136" t="s">
        <v>32</v>
      </c>
      <c r="H136" t="s">
        <v>36</v>
      </c>
      <c r="J136" s="2"/>
      <c r="K136" s="2"/>
    </row>
    <row r="137" spans="1:11" x14ac:dyDescent="0.25">
      <c r="A137" s="1">
        <v>44784.938333333332</v>
      </c>
      <c r="B137" s="1">
        <v>44784.938217592593</v>
      </c>
      <c r="C137">
        <v>1.1000000000000001</v>
      </c>
      <c r="D137">
        <v>1</v>
      </c>
      <c r="E137">
        <v>22</v>
      </c>
      <c r="F137">
        <v>0</v>
      </c>
      <c r="G137" t="s">
        <v>32</v>
      </c>
      <c r="H137" t="s">
        <v>36</v>
      </c>
      <c r="J137" s="2"/>
      <c r="K137" s="2"/>
    </row>
    <row r="138" spans="1:11" x14ac:dyDescent="0.25">
      <c r="A138" s="1">
        <v>44784.945277777777</v>
      </c>
      <c r="B138" s="1">
        <v>44784.945162037038</v>
      </c>
      <c r="C138">
        <v>1.1000000000000001</v>
      </c>
      <c r="D138">
        <v>1</v>
      </c>
      <c r="E138">
        <v>22</v>
      </c>
      <c r="F138">
        <v>0</v>
      </c>
      <c r="G138" t="s">
        <v>32</v>
      </c>
      <c r="H138" t="s">
        <v>36</v>
      </c>
      <c r="J138" s="2"/>
      <c r="K138" s="2"/>
    </row>
    <row r="139" spans="1:11" x14ac:dyDescent="0.25">
      <c r="A139" s="1">
        <v>44784.952268518522</v>
      </c>
      <c r="B139" s="1">
        <v>44784.952106481483</v>
      </c>
      <c r="C139">
        <v>1.1000000000000001</v>
      </c>
      <c r="D139">
        <v>1</v>
      </c>
      <c r="E139">
        <v>22</v>
      </c>
      <c r="F139">
        <v>0</v>
      </c>
      <c r="G139" t="s">
        <v>32</v>
      </c>
      <c r="H139" t="s">
        <v>36</v>
      </c>
      <c r="J139" s="2"/>
      <c r="K139" s="2"/>
    </row>
    <row r="140" spans="1:11" x14ac:dyDescent="0.25">
      <c r="A140" s="1">
        <v>44784.959166666667</v>
      </c>
      <c r="B140" s="1">
        <v>44784.959050925929</v>
      </c>
      <c r="C140">
        <v>1.1000000000000001</v>
      </c>
      <c r="D140">
        <v>1</v>
      </c>
      <c r="E140">
        <v>22</v>
      </c>
      <c r="F140">
        <v>0</v>
      </c>
      <c r="G140" t="s">
        <v>32</v>
      </c>
      <c r="H140" t="s">
        <v>36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</row>
    <row r="141" spans="1:11" x14ac:dyDescent="0.25">
      <c r="A141" s="1">
        <v>44784.966192129628</v>
      </c>
      <c r="B141" s="1">
        <v>44784.965995370374</v>
      </c>
      <c r="C141">
        <v>1.1000000000000001</v>
      </c>
      <c r="D141">
        <v>1</v>
      </c>
      <c r="E141">
        <v>22</v>
      </c>
      <c r="F141">
        <v>0</v>
      </c>
      <c r="G141" t="s">
        <v>32</v>
      </c>
      <c r="H141" t="s">
        <v>36</v>
      </c>
      <c r="J141" s="2"/>
      <c r="K141" s="2"/>
    </row>
    <row r="142" spans="1:11" x14ac:dyDescent="0.25">
      <c r="A142" s="1">
        <v>44784.973055555558</v>
      </c>
      <c r="B142" s="1">
        <v>44784.972939814812</v>
      </c>
      <c r="C142">
        <v>1.1000000000000001</v>
      </c>
      <c r="D142">
        <v>1</v>
      </c>
      <c r="E142">
        <v>22</v>
      </c>
      <c r="F142">
        <v>0</v>
      </c>
      <c r="G142" t="s">
        <v>32</v>
      </c>
      <c r="H142" t="s">
        <v>36</v>
      </c>
      <c r="J142" s="2"/>
      <c r="K142" s="2"/>
    </row>
    <row r="143" spans="1:11" x14ac:dyDescent="0.25">
      <c r="A143" s="1">
        <v>44784.98</v>
      </c>
      <c r="B143" s="1">
        <v>44784.979884259257</v>
      </c>
      <c r="C143">
        <v>1.1000000000000001</v>
      </c>
      <c r="D143">
        <v>1</v>
      </c>
      <c r="E143">
        <v>22</v>
      </c>
      <c r="F143">
        <v>0</v>
      </c>
      <c r="G143" t="s">
        <v>32</v>
      </c>
      <c r="H143" t="s">
        <v>36</v>
      </c>
      <c r="J143" s="2"/>
      <c r="K143" s="2"/>
    </row>
    <row r="144" spans="1:11" x14ac:dyDescent="0.25">
      <c r="A144" s="1">
        <v>44784.986944444441</v>
      </c>
      <c r="B144" s="1">
        <v>44784.986828703702</v>
      </c>
      <c r="C144">
        <v>1.1000000000000001</v>
      </c>
      <c r="D144">
        <v>1</v>
      </c>
      <c r="E144">
        <v>22</v>
      </c>
      <c r="F144">
        <v>0</v>
      </c>
      <c r="G144" t="s">
        <v>32</v>
      </c>
      <c r="H144" t="s">
        <v>36</v>
      </c>
      <c r="J144" s="2"/>
      <c r="K144" s="2"/>
    </row>
    <row r="145" spans="1:12" x14ac:dyDescent="0.25">
      <c r="A145" s="1">
        <v>44784.993935185186</v>
      </c>
      <c r="B145" s="1">
        <v>44784.993773148148</v>
      </c>
      <c r="C145">
        <v>1.1000000000000001</v>
      </c>
      <c r="D145">
        <v>1</v>
      </c>
      <c r="E145">
        <v>22</v>
      </c>
      <c r="F145">
        <v>0</v>
      </c>
      <c r="G145" t="s">
        <v>32</v>
      </c>
      <c r="H145" t="s">
        <v>36</v>
      </c>
      <c r="J145" s="2"/>
      <c r="K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950C6-8FDC-4C68-84C9-91BCF93638D4}">
  <sheetPr codeName="Sheet21"/>
  <dimension ref="A1:M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3" max="13" width="6.7109375" bestFit="1" customWidth="1"/>
  </cols>
  <sheetData>
    <row r="1" spans="1:13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M1" t="s">
        <v>3</v>
      </c>
    </row>
    <row r="2" spans="1:13" x14ac:dyDescent="0.25">
      <c r="A2" s="1">
        <v>44784.000787037039</v>
      </c>
      <c r="B2" s="1">
        <v>44784.000717592593</v>
      </c>
      <c r="C2">
        <v>2.4</v>
      </c>
      <c r="D2">
        <v>2.2999999999999998</v>
      </c>
      <c r="E2">
        <v>0</v>
      </c>
      <c r="F2">
        <v>0</v>
      </c>
      <c r="G2" t="s">
        <v>33</v>
      </c>
      <c r="H2" t="s">
        <v>38</v>
      </c>
      <c r="K2" t="str">
        <f>IF(COUNT(, NA, NA, NA, NA, NA, NA, NA, NA, NA, NA, NA, NA, NA, NA, NA, NA, NA, NA, NA, NA, NA, NA, NA)&gt;17.5,ROUND(AVERAGE(, 0, 0, 0, 0, 0, 0, 0, 0, 0, 0, 0, 0, 0, 0, 0, 0, 0, 0, 0, 0, 0, 0, 0),2),"NO AVG")</f>
        <v>NO AVG</v>
      </c>
      <c r="M2" t="s">
        <v>58</v>
      </c>
    </row>
    <row r="3" spans="1:13" x14ac:dyDescent="0.25">
      <c r="A3" s="1">
        <v>44784.007743055554</v>
      </c>
      <c r="B3" s="1">
        <v>44784.007662037038</v>
      </c>
      <c r="C3">
        <v>2.4</v>
      </c>
      <c r="D3">
        <v>2.2999999999999998</v>
      </c>
      <c r="E3">
        <v>0</v>
      </c>
      <c r="F3">
        <v>0</v>
      </c>
      <c r="G3" t="s">
        <v>33</v>
      </c>
      <c r="H3" t="s">
        <v>38</v>
      </c>
      <c r="J3" s="2"/>
      <c r="K3" s="2"/>
    </row>
    <row r="4" spans="1:13" x14ac:dyDescent="0.25">
      <c r="A4" s="1">
        <v>44784.014664351853</v>
      </c>
      <c r="B4" s="1">
        <v>44784.014606481483</v>
      </c>
      <c r="C4">
        <v>2.2999999999999998</v>
      </c>
      <c r="D4">
        <v>2.2999999999999998</v>
      </c>
      <c r="E4">
        <v>0</v>
      </c>
      <c r="F4">
        <v>0</v>
      </c>
      <c r="G4" t="s">
        <v>33</v>
      </c>
      <c r="H4" t="s">
        <v>38</v>
      </c>
      <c r="J4" s="2"/>
      <c r="K4" s="2"/>
    </row>
    <row r="5" spans="1:13" x14ac:dyDescent="0.25">
      <c r="A5" s="1">
        <v>44784.021608796298</v>
      </c>
      <c r="B5" s="1">
        <v>44784.021550925929</v>
      </c>
      <c r="C5">
        <v>2.2000000000000002</v>
      </c>
      <c r="D5">
        <v>2.2000000000000002</v>
      </c>
      <c r="E5">
        <v>0</v>
      </c>
      <c r="F5">
        <v>0</v>
      </c>
      <c r="G5" t="s">
        <v>33</v>
      </c>
      <c r="H5" t="s">
        <v>38</v>
      </c>
      <c r="J5" s="2"/>
      <c r="K5" s="2"/>
    </row>
    <row r="6" spans="1:13" x14ac:dyDescent="0.25">
      <c r="A6" s="1">
        <v>44784.028564814813</v>
      </c>
      <c r="B6" s="1">
        <v>44784.028495370374</v>
      </c>
      <c r="C6">
        <v>2.4</v>
      </c>
      <c r="D6">
        <v>2.2000000000000002</v>
      </c>
      <c r="E6">
        <v>0</v>
      </c>
      <c r="F6">
        <v>0</v>
      </c>
      <c r="G6" t="s">
        <v>33</v>
      </c>
      <c r="H6" t="s">
        <v>38</v>
      </c>
      <c r="J6" s="2"/>
      <c r="K6" s="2"/>
    </row>
    <row r="7" spans="1:13" x14ac:dyDescent="0.25">
      <c r="A7" s="1">
        <v>44784.035497685189</v>
      </c>
      <c r="B7" s="1">
        <v>44784.035439814812</v>
      </c>
      <c r="C7">
        <v>2.4</v>
      </c>
      <c r="D7">
        <v>2.2000000000000002</v>
      </c>
      <c r="E7">
        <v>0</v>
      </c>
      <c r="F7">
        <v>0</v>
      </c>
      <c r="G7" t="s">
        <v>33</v>
      </c>
      <c r="H7" t="s">
        <v>38</v>
      </c>
      <c r="J7" s="2"/>
      <c r="K7" s="2"/>
    </row>
    <row r="8" spans="1:13" x14ac:dyDescent="0.25">
      <c r="A8" s="1">
        <v>44784.042453703703</v>
      </c>
      <c r="B8" s="1">
        <v>44784.042384259257</v>
      </c>
      <c r="C8">
        <v>2.4</v>
      </c>
      <c r="D8">
        <v>2.2000000000000002</v>
      </c>
      <c r="E8">
        <v>0</v>
      </c>
      <c r="F8">
        <v>0</v>
      </c>
      <c r="G8" t="s">
        <v>33</v>
      </c>
      <c r="H8" t="s">
        <v>38</v>
      </c>
      <c r="J8" t="str">
        <f>IF(COUNT(I3:I8)&gt;3.5,ROUND(AVERAGE(I3:I8),2),"")</f>
        <v/>
      </c>
      <c r="K8" t="str">
        <f>IF(COUNT(, , NA, NA, NA, NA, NA, NA, NA, NA, NA, NA, NA, NA, NA, NA, NA, NA, NA, NA, NA, NA, NA, NA)&gt;17.5,ROUND(AVERAGE(, , 0, 0, 0, 0, 0, 0, 0, 0, 0, 0, 0, 0, 0, 0, 0, 0, 0, 0, 0, 0, 0, 0),2),"NO AVG")</f>
        <v>NO AVG</v>
      </c>
    </row>
    <row r="9" spans="1:13" x14ac:dyDescent="0.25">
      <c r="A9" s="1">
        <v>44784.049398148149</v>
      </c>
      <c r="B9" s="1">
        <v>44784.049328703702</v>
      </c>
      <c r="C9">
        <v>2.2999999999999998</v>
      </c>
      <c r="D9">
        <v>2.1</v>
      </c>
      <c r="E9">
        <v>0</v>
      </c>
      <c r="F9">
        <v>0</v>
      </c>
      <c r="G9" t="s">
        <v>33</v>
      </c>
      <c r="H9" t="s">
        <v>38</v>
      </c>
      <c r="J9" s="2"/>
      <c r="K9" s="2"/>
    </row>
    <row r="10" spans="1:13" x14ac:dyDescent="0.25">
      <c r="A10" s="1">
        <v>44784.056400462963</v>
      </c>
      <c r="B10" s="1">
        <v>44784.056273148148</v>
      </c>
      <c r="C10">
        <v>2.2999999999999998</v>
      </c>
      <c r="D10">
        <v>2.2000000000000002</v>
      </c>
      <c r="E10">
        <v>0</v>
      </c>
      <c r="F10">
        <v>0</v>
      </c>
      <c r="G10" t="s">
        <v>33</v>
      </c>
      <c r="H10" t="s">
        <v>38</v>
      </c>
      <c r="J10" s="2"/>
      <c r="K10" s="2"/>
    </row>
    <row r="11" spans="1:13" x14ac:dyDescent="0.25">
      <c r="A11" s="1">
        <v>44784.063275462962</v>
      </c>
      <c r="B11" s="1">
        <v>44784.063217592593</v>
      </c>
      <c r="C11">
        <v>2.4</v>
      </c>
      <c r="D11">
        <v>2.2999999999999998</v>
      </c>
      <c r="E11">
        <v>0</v>
      </c>
      <c r="F11">
        <v>0</v>
      </c>
      <c r="G11" t="s">
        <v>33</v>
      </c>
      <c r="H11" t="s">
        <v>38</v>
      </c>
      <c r="J11" s="2"/>
      <c r="K11" s="2"/>
    </row>
    <row r="12" spans="1:13" x14ac:dyDescent="0.25">
      <c r="A12" s="1">
        <v>44784.070219907408</v>
      </c>
      <c r="B12" s="1">
        <v>44784.070162037038</v>
      </c>
      <c r="C12">
        <v>2.2999999999999998</v>
      </c>
      <c r="D12">
        <v>2.2999999999999998</v>
      </c>
      <c r="E12">
        <v>0</v>
      </c>
      <c r="F12">
        <v>0</v>
      </c>
      <c r="G12" t="s">
        <v>33</v>
      </c>
      <c r="H12" t="s">
        <v>38</v>
      </c>
      <c r="J12" s="2"/>
      <c r="K12" s="2"/>
    </row>
    <row r="13" spans="1:13" x14ac:dyDescent="0.25">
      <c r="A13" s="1">
        <v>44784.077175925922</v>
      </c>
      <c r="B13" s="1">
        <v>44784.077106481483</v>
      </c>
      <c r="C13">
        <v>2.2999999999999998</v>
      </c>
      <c r="D13">
        <v>2.2000000000000002</v>
      </c>
      <c r="E13">
        <v>0</v>
      </c>
      <c r="F13">
        <v>0</v>
      </c>
      <c r="G13" t="s">
        <v>33</v>
      </c>
      <c r="H13" t="s">
        <v>38</v>
      </c>
      <c r="J13" s="2"/>
      <c r="K13" s="2"/>
    </row>
    <row r="14" spans="1:13" x14ac:dyDescent="0.25">
      <c r="A14" s="1">
        <v>44784.084108796298</v>
      </c>
      <c r="B14" s="1">
        <v>44784.084050925929</v>
      </c>
      <c r="C14">
        <v>2.2000000000000002</v>
      </c>
      <c r="D14">
        <v>2.2000000000000002</v>
      </c>
      <c r="E14">
        <v>0</v>
      </c>
      <c r="F14">
        <v>0</v>
      </c>
      <c r="G14" t="s">
        <v>33</v>
      </c>
      <c r="H14" t="s">
        <v>38</v>
      </c>
      <c r="J14" t="str">
        <f>IF(COUNT(I9:I14)&gt;3.5,ROUND(AVERAGE(I9:I14),2),"")</f>
        <v/>
      </c>
      <c r="K14" t="str">
        <f>IF(COUNT(, , , NA, NA, NA, NA, NA, NA, NA, NA, NA, NA, NA, NA, NA, NA, NA, NA, NA, NA, NA, NA, NA)&gt;17.5,ROUND(AVERAGE(, , , 0, 0, 0, 0, 0, 0, 0, 0, 0, 0, 0, 0, 0, 0, 0, 0, 0, 0, 0, 0, 0),2),"NO AVG")</f>
        <v>NO AVG</v>
      </c>
    </row>
    <row r="15" spans="1:13" x14ac:dyDescent="0.25">
      <c r="A15" s="1">
        <v>44784.091064814813</v>
      </c>
      <c r="B15" s="1">
        <v>44784.090995370374</v>
      </c>
      <c r="C15">
        <v>2.2999999999999998</v>
      </c>
      <c r="D15">
        <v>2.2999999999999998</v>
      </c>
      <c r="E15">
        <v>0</v>
      </c>
      <c r="F15">
        <v>0</v>
      </c>
      <c r="G15" t="s">
        <v>33</v>
      </c>
      <c r="H15" t="s">
        <v>38</v>
      </c>
      <c r="J15" s="2"/>
      <c r="K15" s="2"/>
    </row>
    <row r="16" spans="1:13" x14ac:dyDescent="0.25">
      <c r="A16" s="1">
        <v>44784.098020833335</v>
      </c>
      <c r="B16" s="1">
        <v>44784.097939814812</v>
      </c>
      <c r="C16">
        <v>2.2000000000000002</v>
      </c>
      <c r="D16">
        <v>2.1</v>
      </c>
      <c r="E16">
        <v>0</v>
      </c>
      <c r="F16">
        <v>0</v>
      </c>
      <c r="G16" t="s">
        <v>33</v>
      </c>
      <c r="H16" t="s">
        <v>38</v>
      </c>
      <c r="J16" s="2"/>
      <c r="K16" s="2"/>
    </row>
    <row r="17" spans="1:11" x14ac:dyDescent="0.25">
      <c r="A17" s="1">
        <v>44784.104953703703</v>
      </c>
      <c r="B17" s="1">
        <v>44784.104884259257</v>
      </c>
      <c r="C17">
        <v>2.6</v>
      </c>
      <c r="D17">
        <v>2.6</v>
      </c>
      <c r="E17">
        <v>0</v>
      </c>
      <c r="F17">
        <v>0</v>
      </c>
      <c r="G17" t="s">
        <v>33</v>
      </c>
      <c r="H17" t="s">
        <v>38</v>
      </c>
      <c r="J17" s="2"/>
      <c r="K17" s="2"/>
    </row>
    <row r="18" spans="1:11" x14ac:dyDescent="0.25">
      <c r="A18" s="1">
        <v>44784.111898148149</v>
      </c>
      <c r="B18" s="1">
        <v>44784.111828703702</v>
      </c>
      <c r="C18">
        <v>2.8</v>
      </c>
      <c r="D18">
        <v>2.9</v>
      </c>
      <c r="E18">
        <v>0</v>
      </c>
      <c r="F18">
        <v>0</v>
      </c>
      <c r="G18" t="s">
        <v>33</v>
      </c>
      <c r="H18" t="s">
        <v>38</v>
      </c>
      <c r="J18" s="2"/>
      <c r="K18" s="2"/>
    </row>
    <row r="19" spans="1:11" x14ac:dyDescent="0.25">
      <c r="A19" s="1">
        <v>44784.118842592594</v>
      </c>
      <c r="B19" s="1">
        <v>44784.118773148148</v>
      </c>
      <c r="C19">
        <v>3.2</v>
      </c>
      <c r="D19">
        <v>3.1</v>
      </c>
      <c r="E19">
        <v>0</v>
      </c>
      <c r="F19">
        <v>0</v>
      </c>
      <c r="G19" t="s">
        <v>33</v>
      </c>
      <c r="H19" t="s">
        <v>38</v>
      </c>
      <c r="J19" s="2"/>
      <c r="K19" s="2"/>
    </row>
    <row r="20" spans="1:11" x14ac:dyDescent="0.25">
      <c r="A20" s="1">
        <v>44784.125787037039</v>
      </c>
      <c r="B20" s="1">
        <v>44784.125717592593</v>
      </c>
      <c r="C20">
        <v>3.4</v>
      </c>
      <c r="D20">
        <v>3.2</v>
      </c>
      <c r="E20">
        <v>0</v>
      </c>
      <c r="F20">
        <v>0</v>
      </c>
      <c r="G20" t="s">
        <v>33</v>
      </c>
      <c r="H20" t="s">
        <v>38</v>
      </c>
      <c r="J20" t="str">
        <f>IF(COUNT(I15:I20)&gt;3.5,ROUND(AVERAGE(I15:I20),2),"")</f>
        <v/>
      </c>
      <c r="K20" t="str">
        <f>IF(COUNT(, , , , NA, NA, NA, NA, NA, NA, NA, NA, NA, NA, NA, NA, NA, NA, NA, NA, NA, NA, NA, NA)&gt;17.5,ROUND(AVERAGE(, , , , 0, 0, 0, 0, 0, 0, 0, 0, 0, 0, 0, 0, 0, 0, 0, 0, 0, 0, 0, 0),2),"NO AVG")</f>
        <v>NO AVG</v>
      </c>
    </row>
    <row r="21" spans="1:11" x14ac:dyDescent="0.25">
      <c r="A21" s="1">
        <v>44784.132731481484</v>
      </c>
      <c r="B21" s="1">
        <v>44784.132662037038</v>
      </c>
      <c r="C21">
        <v>3.4</v>
      </c>
      <c r="D21">
        <v>3.3</v>
      </c>
      <c r="E21">
        <v>0</v>
      </c>
      <c r="F21">
        <v>0</v>
      </c>
      <c r="G21" t="s">
        <v>33</v>
      </c>
      <c r="H21" t="s">
        <v>38</v>
      </c>
      <c r="J21" s="2"/>
      <c r="K21" s="2"/>
    </row>
    <row r="22" spans="1:11" x14ac:dyDescent="0.25">
      <c r="A22" s="1">
        <v>44784.139733796299</v>
      </c>
      <c r="B22" s="1">
        <v>44784.139606481483</v>
      </c>
      <c r="C22">
        <v>3.2</v>
      </c>
      <c r="D22">
        <v>3.2</v>
      </c>
      <c r="E22">
        <v>0</v>
      </c>
      <c r="F22">
        <v>0</v>
      </c>
      <c r="G22" t="s">
        <v>33</v>
      </c>
      <c r="H22" t="s">
        <v>38</v>
      </c>
      <c r="J22" s="2"/>
      <c r="K22" s="2"/>
    </row>
    <row r="23" spans="1:11" x14ac:dyDescent="0.25">
      <c r="A23" s="1">
        <v>44784.146620370368</v>
      </c>
      <c r="B23" s="1">
        <v>44784.146550925929</v>
      </c>
      <c r="C23">
        <v>3.3</v>
      </c>
      <c r="D23">
        <v>3.2</v>
      </c>
      <c r="E23">
        <v>0</v>
      </c>
      <c r="F23">
        <v>0</v>
      </c>
      <c r="G23" t="s">
        <v>33</v>
      </c>
      <c r="H23" t="s">
        <v>38</v>
      </c>
      <c r="J23" s="2"/>
      <c r="K23" s="2"/>
    </row>
    <row r="24" spans="1:11" x14ac:dyDescent="0.25">
      <c r="A24" s="1">
        <v>44784.15357638889</v>
      </c>
      <c r="B24" s="1">
        <v>44784.153495370374</v>
      </c>
      <c r="C24">
        <v>3.6</v>
      </c>
      <c r="D24">
        <v>3.4</v>
      </c>
      <c r="E24">
        <v>0</v>
      </c>
      <c r="F24">
        <v>0</v>
      </c>
      <c r="G24" t="s">
        <v>33</v>
      </c>
      <c r="H24" t="s">
        <v>38</v>
      </c>
      <c r="J24" s="2"/>
      <c r="K24" s="2"/>
    </row>
    <row r="25" spans="1:11" x14ac:dyDescent="0.25">
      <c r="A25" s="1">
        <v>44784.160520833335</v>
      </c>
      <c r="B25" s="1">
        <v>44784.160439814812</v>
      </c>
      <c r="C25">
        <v>4</v>
      </c>
      <c r="D25">
        <v>3.7</v>
      </c>
      <c r="E25">
        <v>0</v>
      </c>
      <c r="F25">
        <v>0</v>
      </c>
      <c r="G25" t="s">
        <v>33</v>
      </c>
      <c r="H25" t="s">
        <v>38</v>
      </c>
      <c r="J25" s="2"/>
      <c r="K25" s="2"/>
    </row>
    <row r="26" spans="1:11" x14ac:dyDescent="0.25">
      <c r="A26" s="1">
        <v>44784.167453703703</v>
      </c>
      <c r="B26" s="1">
        <v>44784.167384259257</v>
      </c>
      <c r="C26">
        <v>4.5999999999999996</v>
      </c>
      <c r="D26">
        <v>4.4000000000000004</v>
      </c>
      <c r="E26">
        <v>0</v>
      </c>
      <c r="F26">
        <v>0</v>
      </c>
      <c r="G26" t="s">
        <v>33</v>
      </c>
      <c r="H26" t="s">
        <v>38</v>
      </c>
      <c r="J26" t="str">
        <f>IF(COUNT(I21:I26)&gt;3.5,ROUND(AVERAGE(I21:I26),2),"")</f>
        <v/>
      </c>
      <c r="K26" t="str">
        <f>IF(COUNT(, , , , , NA, NA, NA, NA, NA, NA, NA, NA, NA, NA, NA, NA, NA, NA, NA, NA, NA, NA, NA)&gt;17.5,ROUND(AVERAGE(, , , , , 0, 0, 0, 0, 0, 0, 0, 0, 0, 0, 0, 0, 0, 0, 0, 0, 0, 0, 0),2),"NO AVG")</f>
        <v>NO AVG</v>
      </c>
    </row>
    <row r="27" spans="1:11" x14ac:dyDescent="0.25">
      <c r="A27" s="1">
        <v>44784.174409722225</v>
      </c>
      <c r="B27" s="1">
        <v>44784.174328703702</v>
      </c>
      <c r="C27">
        <v>4.9000000000000004</v>
      </c>
      <c r="D27">
        <v>4.8</v>
      </c>
      <c r="E27">
        <v>0</v>
      </c>
      <c r="F27">
        <v>0</v>
      </c>
      <c r="G27" t="s">
        <v>33</v>
      </c>
      <c r="H27" t="s">
        <v>38</v>
      </c>
      <c r="J27" s="2"/>
      <c r="K27" s="2"/>
    </row>
    <row r="28" spans="1:11" x14ac:dyDescent="0.25">
      <c r="A28" s="1"/>
      <c r="B28" s="1">
        <v>44784.180555555555</v>
      </c>
      <c r="J28" s="2"/>
      <c r="K28" s="2"/>
    </row>
    <row r="29" spans="1:11" x14ac:dyDescent="0.25">
      <c r="A29" s="1">
        <v>44784.188287037039</v>
      </c>
      <c r="B29" s="1">
        <v>44784.188217592593</v>
      </c>
      <c r="C29">
        <v>3.9</v>
      </c>
      <c r="D29">
        <v>3.9</v>
      </c>
      <c r="E29">
        <v>0</v>
      </c>
      <c r="F29">
        <v>0</v>
      </c>
      <c r="G29" t="s">
        <v>33</v>
      </c>
      <c r="H29" t="s">
        <v>38</v>
      </c>
      <c r="J29" s="2"/>
      <c r="K29" s="2"/>
    </row>
    <row r="30" spans="1:11" x14ac:dyDescent="0.25">
      <c r="A30" s="1">
        <v>44784.195243055554</v>
      </c>
      <c r="B30" s="1">
        <v>44784.195162037038</v>
      </c>
      <c r="C30">
        <v>3.7</v>
      </c>
      <c r="D30">
        <v>3.5</v>
      </c>
      <c r="E30">
        <v>0</v>
      </c>
      <c r="F30">
        <v>0</v>
      </c>
      <c r="G30" t="s">
        <v>33</v>
      </c>
      <c r="H30" t="s">
        <v>38</v>
      </c>
      <c r="J30" s="2"/>
      <c r="K30" s="2"/>
    </row>
    <row r="31" spans="1:11" x14ac:dyDescent="0.25">
      <c r="A31" s="1">
        <v>44784.202199074076</v>
      </c>
      <c r="B31" s="1">
        <v>44784.20212962963</v>
      </c>
      <c r="C31">
        <v>3.6</v>
      </c>
      <c r="D31">
        <v>3.4</v>
      </c>
      <c r="E31">
        <v>0</v>
      </c>
      <c r="F31">
        <v>0</v>
      </c>
      <c r="G31" t="s">
        <v>33</v>
      </c>
      <c r="H31" t="s">
        <v>38</v>
      </c>
      <c r="J31" s="2"/>
      <c r="K31" s="2"/>
    </row>
    <row r="32" spans="1:11" x14ac:dyDescent="0.25">
      <c r="A32" s="1">
        <v>44784.209120370368</v>
      </c>
      <c r="B32" s="1">
        <v>44784.209050925929</v>
      </c>
      <c r="C32">
        <v>3.5</v>
      </c>
      <c r="D32">
        <v>3.3</v>
      </c>
      <c r="E32">
        <v>0</v>
      </c>
      <c r="F32">
        <v>0</v>
      </c>
      <c r="G32" t="s">
        <v>33</v>
      </c>
      <c r="H32" t="s">
        <v>38</v>
      </c>
      <c r="J32" t="str">
        <f>IF(COUNT(I27:I32)&gt;3.5,ROUND(AVERAGE(I27:I32),2),"")</f>
        <v/>
      </c>
      <c r="K32" t="str">
        <f>IF(COUNT(, , , , , , NA, NA, NA, NA, NA, NA, NA, NA, NA, NA, NA, NA, NA, NA, NA, NA, NA, NA)&gt;17.5,ROUND(AVERAGE(, , , , , , 0, 0, 0, 0, 0, 0, 0, 0, 0, 0, 0, 0, 0, 0, 0, 0, 0, 0),2),"NO AVG")</f>
        <v>NO AVG</v>
      </c>
    </row>
    <row r="33" spans="1:11" x14ac:dyDescent="0.25">
      <c r="A33" s="1">
        <v>44784.216157407405</v>
      </c>
      <c r="B33" s="1">
        <v>44784.215995370374</v>
      </c>
      <c r="C33">
        <v>3.6</v>
      </c>
      <c r="D33">
        <v>3.2</v>
      </c>
      <c r="E33">
        <v>0</v>
      </c>
      <c r="F33">
        <v>0</v>
      </c>
      <c r="G33" t="s">
        <v>33</v>
      </c>
      <c r="H33" t="s">
        <v>38</v>
      </c>
      <c r="J33" s="2"/>
      <c r="K33" s="2"/>
    </row>
    <row r="34" spans="1:11" x14ac:dyDescent="0.25">
      <c r="A34" s="1">
        <v>44784.223020833335</v>
      </c>
      <c r="B34" s="1">
        <v>44784.222939814812</v>
      </c>
      <c r="C34">
        <v>3.6</v>
      </c>
      <c r="D34">
        <v>3.2</v>
      </c>
      <c r="E34">
        <v>0</v>
      </c>
      <c r="F34">
        <v>0</v>
      </c>
      <c r="G34" t="s">
        <v>33</v>
      </c>
      <c r="H34" t="s">
        <v>38</v>
      </c>
      <c r="J34" s="2"/>
      <c r="K34" s="2"/>
    </row>
    <row r="35" spans="1:11" x14ac:dyDescent="0.25">
      <c r="A35" s="1">
        <v>44784.22996527778</v>
      </c>
      <c r="B35" s="1">
        <v>44784.229884259257</v>
      </c>
      <c r="C35">
        <v>3.6</v>
      </c>
      <c r="D35">
        <v>3.3</v>
      </c>
      <c r="E35">
        <v>0</v>
      </c>
      <c r="F35">
        <v>0</v>
      </c>
      <c r="G35" t="s">
        <v>33</v>
      </c>
      <c r="H35" t="s">
        <v>38</v>
      </c>
      <c r="J35" s="2"/>
      <c r="K35" s="2"/>
    </row>
    <row r="36" spans="1:11" x14ac:dyDescent="0.25">
      <c r="A36" s="1">
        <v>44784.236909722225</v>
      </c>
      <c r="B36" s="1">
        <v>44784.236840277779</v>
      </c>
      <c r="C36">
        <v>4.5</v>
      </c>
      <c r="D36">
        <v>4.2</v>
      </c>
      <c r="E36">
        <v>0</v>
      </c>
      <c r="F36">
        <v>0</v>
      </c>
      <c r="G36" t="s">
        <v>33</v>
      </c>
      <c r="H36" t="s">
        <v>38</v>
      </c>
      <c r="J36" s="2"/>
      <c r="K36" s="2"/>
    </row>
    <row r="37" spans="1:11" x14ac:dyDescent="0.25">
      <c r="A37" s="1">
        <v>44784.243854166663</v>
      </c>
      <c r="B37" s="1">
        <v>44784.243773148148</v>
      </c>
      <c r="C37">
        <v>4.3</v>
      </c>
      <c r="D37">
        <v>4.0999999999999996</v>
      </c>
      <c r="E37">
        <v>0</v>
      </c>
      <c r="F37">
        <v>0</v>
      </c>
      <c r="G37" t="s">
        <v>33</v>
      </c>
      <c r="H37" t="s">
        <v>38</v>
      </c>
      <c r="J37" s="2"/>
      <c r="K37" s="2"/>
    </row>
    <row r="38" spans="1:11" x14ac:dyDescent="0.25">
      <c r="A38" s="1">
        <v>44784.250810185185</v>
      </c>
      <c r="B38" s="1">
        <v>44784.25072916667</v>
      </c>
      <c r="C38">
        <v>4.2</v>
      </c>
      <c r="D38">
        <v>3.9</v>
      </c>
      <c r="E38">
        <v>0</v>
      </c>
      <c r="F38">
        <v>0</v>
      </c>
      <c r="G38" t="s">
        <v>33</v>
      </c>
      <c r="H38" t="s">
        <v>38</v>
      </c>
      <c r="J38" t="str">
        <f>IF(COUNT(I33:I38)&gt;3.5,ROUND(AVERAGE(I33:I38),2),"")</f>
        <v/>
      </c>
      <c r="K38" t="str">
        <f>IF(COUNT(, , , , , , , NA, NA, NA, NA, NA, NA, NA, NA, NA, NA, NA, NA, NA, NA, NA, NA, NA)&gt;17.5,ROUND(AVERAGE(, , , , , , , 0, 0, 0, 0, 0, 0, 0, 0, 0, 0, 0, 0, 0, 0, 0, 0, 0),2),"NO AVG")</f>
        <v>NO AVG</v>
      </c>
    </row>
    <row r="39" spans="1:11" x14ac:dyDescent="0.25">
      <c r="A39" s="1">
        <v>44784.257743055554</v>
      </c>
      <c r="B39" s="1">
        <v>44784.257662037038</v>
      </c>
      <c r="C39">
        <v>4.2</v>
      </c>
      <c r="D39">
        <v>4</v>
      </c>
      <c r="E39">
        <v>0</v>
      </c>
      <c r="F39">
        <v>0</v>
      </c>
      <c r="G39" t="s">
        <v>33</v>
      </c>
      <c r="H39" t="s">
        <v>38</v>
      </c>
      <c r="J39" s="2"/>
      <c r="K39" s="2"/>
    </row>
    <row r="40" spans="1:11" x14ac:dyDescent="0.25">
      <c r="A40" s="1">
        <v>44784.264687499999</v>
      </c>
      <c r="B40" s="1">
        <v>44784.264606481483</v>
      </c>
      <c r="C40">
        <v>4.4000000000000004</v>
      </c>
      <c r="D40">
        <v>4</v>
      </c>
      <c r="E40">
        <v>0</v>
      </c>
      <c r="F40">
        <v>0</v>
      </c>
      <c r="G40" t="s">
        <v>33</v>
      </c>
      <c r="H40" t="s">
        <v>38</v>
      </c>
      <c r="J40" s="2"/>
      <c r="K40" s="2"/>
    </row>
    <row r="41" spans="1:11" x14ac:dyDescent="0.25">
      <c r="A41" s="1">
        <v>44784.271631944444</v>
      </c>
      <c r="B41" s="1">
        <v>44784.271550925929</v>
      </c>
      <c r="C41">
        <v>4.5</v>
      </c>
      <c r="D41">
        <v>4.2</v>
      </c>
      <c r="E41">
        <v>0</v>
      </c>
      <c r="F41">
        <v>0</v>
      </c>
      <c r="G41" t="s">
        <v>33</v>
      </c>
      <c r="H41" t="s">
        <v>38</v>
      </c>
      <c r="J41" s="2"/>
      <c r="K41" s="2"/>
    </row>
    <row r="42" spans="1:11" x14ac:dyDescent="0.25">
      <c r="A42" s="1">
        <v>44784.278622685182</v>
      </c>
      <c r="B42" s="1">
        <v>44784.278495370374</v>
      </c>
      <c r="C42">
        <v>4.5999999999999996</v>
      </c>
      <c r="D42">
        <v>4.2</v>
      </c>
      <c r="E42">
        <v>0</v>
      </c>
      <c r="F42">
        <v>0</v>
      </c>
      <c r="G42" t="s">
        <v>33</v>
      </c>
      <c r="H42" t="s">
        <v>38</v>
      </c>
      <c r="J42" s="2"/>
      <c r="K42" s="2"/>
    </row>
    <row r="43" spans="1:11" x14ac:dyDescent="0.25">
      <c r="A43" s="1">
        <v>44784.285520833335</v>
      </c>
      <c r="B43" s="1">
        <v>44784.285439814812</v>
      </c>
      <c r="C43">
        <v>5</v>
      </c>
      <c r="D43">
        <v>4.5999999999999996</v>
      </c>
      <c r="E43">
        <v>0</v>
      </c>
      <c r="F43">
        <v>0</v>
      </c>
      <c r="G43" t="s">
        <v>33</v>
      </c>
      <c r="H43" t="s">
        <v>38</v>
      </c>
      <c r="J43" s="2"/>
      <c r="K43" s="2"/>
    </row>
    <row r="44" spans="1:11" x14ac:dyDescent="0.25">
      <c r="A44" s="1">
        <v>44784.29246527778</v>
      </c>
      <c r="B44" s="1">
        <v>44784.292384259257</v>
      </c>
      <c r="C44">
        <v>5.6</v>
      </c>
      <c r="D44">
        <v>5.3</v>
      </c>
      <c r="E44">
        <v>0</v>
      </c>
      <c r="F44">
        <v>0</v>
      </c>
      <c r="G44" t="s">
        <v>33</v>
      </c>
      <c r="H44" t="s">
        <v>38</v>
      </c>
      <c r="J44" t="str">
        <f>IF(COUNT(I39:I44)&gt;3.5,ROUND(AVERAGE(I39:I44),2),"")</f>
        <v/>
      </c>
      <c r="K44" t="str">
        <f>IF(COUNT(, , , , , , , , NA, NA, NA, NA, NA, NA, NA, NA, NA, NA, NA, NA, NA, NA, NA, NA)&gt;17.5,ROUND(AVERAGE(, , , , , , , , 0, 0, 0, 0, 0, 0, 0, 0, 0, 0, 0, 0, 0, 0, 0, 0),2),"NO AVG")</f>
        <v>NO AVG</v>
      </c>
    </row>
    <row r="45" spans="1:11" x14ac:dyDescent="0.25">
      <c r="A45" s="1">
        <v>44784.299409722225</v>
      </c>
      <c r="B45" s="1">
        <v>44784.299340277779</v>
      </c>
      <c r="C45">
        <v>5.9</v>
      </c>
      <c r="D45">
        <v>5.5</v>
      </c>
      <c r="E45">
        <v>0</v>
      </c>
      <c r="F45">
        <v>0</v>
      </c>
      <c r="G45" t="s">
        <v>33</v>
      </c>
      <c r="H45" t="s">
        <v>38</v>
      </c>
      <c r="J45" s="2"/>
      <c r="K45" s="2"/>
    </row>
    <row r="46" spans="1:11" x14ac:dyDescent="0.25">
      <c r="A46" s="1">
        <v>44784.306354166663</v>
      </c>
      <c r="B46" s="1">
        <v>44784.306273148148</v>
      </c>
      <c r="C46">
        <v>5.9</v>
      </c>
      <c r="D46">
        <v>5.5</v>
      </c>
      <c r="E46">
        <v>0</v>
      </c>
      <c r="F46">
        <v>0</v>
      </c>
      <c r="G46" t="s">
        <v>33</v>
      </c>
      <c r="H46" t="s">
        <v>38</v>
      </c>
      <c r="J46" s="2"/>
      <c r="K46" s="2"/>
    </row>
    <row r="47" spans="1:11" x14ac:dyDescent="0.25">
      <c r="A47" s="1">
        <v>44784.313298611109</v>
      </c>
      <c r="B47" s="1">
        <v>44784.313217592593</v>
      </c>
      <c r="C47">
        <v>5.9</v>
      </c>
      <c r="D47">
        <v>5.7</v>
      </c>
      <c r="E47">
        <v>0</v>
      </c>
      <c r="F47">
        <v>0</v>
      </c>
      <c r="G47" t="s">
        <v>33</v>
      </c>
      <c r="H47" t="s">
        <v>38</v>
      </c>
      <c r="J47" s="2"/>
      <c r="K47" s="2"/>
    </row>
    <row r="48" spans="1:11" x14ac:dyDescent="0.25">
      <c r="A48" s="1">
        <v>44784.320289351854</v>
      </c>
      <c r="B48" s="1">
        <v>44784.320162037038</v>
      </c>
      <c r="C48">
        <v>6</v>
      </c>
      <c r="D48">
        <v>5.8</v>
      </c>
      <c r="E48">
        <v>0</v>
      </c>
      <c r="F48">
        <v>0</v>
      </c>
      <c r="G48" t="s">
        <v>33</v>
      </c>
      <c r="H48" t="s">
        <v>38</v>
      </c>
      <c r="J48" s="2"/>
      <c r="K48" s="2"/>
    </row>
    <row r="49" spans="1:11" x14ac:dyDescent="0.25">
      <c r="A49" s="1">
        <v>44784.327187499999</v>
      </c>
      <c r="B49" s="1">
        <v>44784.327106481483</v>
      </c>
      <c r="C49">
        <v>6.1</v>
      </c>
      <c r="D49">
        <v>6</v>
      </c>
      <c r="E49">
        <v>0</v>
      </c>
      <c r="F49">
        <v>0</v>
      </c>
      <c r="G49" t="s">
        <v>33</v>
      </c>
      <c r="H49" t="s">
        <v>38</v>
      </c>
      <c r="J49" s="2"/>
      <c r="K49" s="2"/>
    </row>
    <row r="50" spans="1:11" x14ac:dyDescent="0.25">
      <c r="A50" s="1">
        <v>44784.334143518521</v>
      </c>
      <c r="B50" s="1">
        <v>44784.334050925929</v>
      </c>
      <c r="C50">
        <v>6.7</v>
      </c>
      <c r="D50">
        <v>6.3</v>
      </c>
      <c r="E50">
        <v>0</v>
      </c>
      <c r="F50">
        <v>0</v>
      </c>
      <c r="G50" t="s">
        <v>33</v>
      </c>
      <c r="H50" t="s">
        <v>38</v>
      </c>
      <c r="J50" t="str">
        <f>IF(COUNT(I45:I50)&gt;3.5,ROUND(AVERAGE(I45:I50),2),"")</f>
        <v/>
      </c>
      <c r="K50" t="str">
        <f>IF(COUNT(, , , , , , , , , NA, NA, NA, NA, NA, NA, NA, NA, NA, NA, NA, NA, NA, NA, NA)&gt;17.5,ROUND(AVERAGE(, , , , , , , , , 0, 0, 0, 0, 0, 0, 0, 0, 0, 0, 0, 0, 0, 0, 0),2),"NO AVG")</f>
        <v>NO AVG</v>
      </c>
    </row>
    <row r="51" spans="1:11" x14ac:dyDescent="0.25">
      <c r="A51" s="1">
        <v>44784.341157407405</v>
      </c>
      <c r="B51" s="1">
        <v>44784.340995370374</v>
      </c>
      <c r="C51">
        <v>7.1</v>
      </c>
      <c r="D51">
        <v>6.6</v>
      </c>
      <c r="E51">
        <v>0</v>
      </c>
      <c r="F51">
        <v>0</v>
      </c>
      <c r="G51" t="s">
        <v>33</v>
      </c>
      <c r="H51" t="s">
        <v>38</v>
      </c>
      <c r="J51" s="2"/>
      <c r="K51" s="2"/>
    </row>
    <row r="52" spans="1:11" x14ac:dyDescent="0.25">
      <c r="A52" s="1">
        <v>44784.348032407404</v>
      </c>
      <c r="B52" s="1">
        <v>44784.347951388889</v>
      </c>
      <c r="C52">
        <v>7.2</v>
      </c>
      <c r="D52">
        <v>6.8</v>
      </c>
      <c r="E52">
        <v>0</v>
      </c>
      <c r="F52">
        <v>0</v>
      </c>
      <c r="G52" t="s">
        <v>33</v>
      </c>
      <c r="H52" t="s">
        <v>38</v>
      </c>
      <c r="J52" s="2"/>
      <c r="K52" s="2"/>
    </row>
    <row r="53" spans="1:11" x14ac:dyDescent="0.25">
      <c r="A53" s="1">
        <v>44784.35496527778</v>
      </c>
      <c r="B53" s="1">
        <v>44784.354884259257</v>
      </c>
      <c r="C53">
        <v>7.8</v>
      </c>
      <c r="D53">
        <v>7.3</v>
      </c>
      <c r="E53">
        <v>0</v>
      </c>
      <c r="F53">
        <v>0</v>
      </c>
      <c r="G53" t="s">
        <v>33</v>
      </c>
      <c r="H53" t="s">
        <v>38</v>
      </c>
      <c r="J53" s="2"/>
      <c r="K53" s="2"/>
    </row>
    <row r="54" spans="1:11" x14ac:dyDescent="0.25">
      <c r="A54" s="1">
        <v>44784.361921296295</v>
      </c>
      <c r="B54" s="1">
        <v>44784.361828703702</v>
      </c>
      <c r="C54">
        <v>8</v>
      </c>
      <c r="D54">
        <v>7.6</v>
      </c>
      <c r="E54">
        <v>0</v>
      </c>
      <c r="F54">
        <v>0</v>
      </c>
      <c r="G54" t="s">
        <v>33</v>
      </c>
      <c r="H54" t="s">
        <v>38</v>
      </c>
      <c r="J54" s="2"/>
      <c r="K54" s="2"/>
    </row>
    <row r="55" spans="1:11" x14ac:dyDescent="0.25">
      <c r="A55" s="1">
        <v>44784.368854166663</v>
      </c>
      <c r="B55" s="1">
        <v>44784.368784722225</v>
      </c>
      <c r="C55">
        <v>7.1</v>
      </c>
      <c r="D55">
        <v>6.7</v>
      </c>
      <c r="E55">
        <v>0</v>
      </c>
      <c r="F55">
        <v>0</v>
      </c>
      <c r="G55" t="s">
        <v>33</v>
      </c>
      <c r="H55" t="s">
        <v>38</v>
      </c>
      <c r="J55" s="2"/>
      <c r="K55" s="2"/>
    </row>
    <row r="56" spans="1:11" x14ac:dyDescent="0.25">
      <c r="A56" s="1">
        <v>44784.375810185185</v>
      </c>
      <c r="B56" s="1">
        <v>44784.375717592593</v>
      </c>
      <c r="C56">
        <v>6.4</v>
      </c>
      <c r="D56">
        <v>6.1</v>
      </c>
      <c r="E56">
        <v>0</v>
      </c>
      <c r="F56">
        <v>0</v>
      </c>
      <c r="G56" t="s">
        <v>33</v>
      </c>
      <c r="H56" t="s">
        <v>38</v>
      </c>
      <c r="J56" t="str">
        <f>IF(COUNT(I51:I56)&gt;3.5,ROUND(AVERAGE(I51:I56),2),"")</f>
        <v/>
      </c>
      <c r="K56" t="str">
        <f>IF(COUNT(, , , , , , , , , , NA, NA, NA, NA, NA, NA, NA, NA, NA, NA, NA, NA, NA, NA)&gt;17.5,ROUND(AVERAGE(, , , , , , , , , , 0, 0, 0, 0, 0, 0, 0, 0, 0, 0, 0, 0, 0, 0),2),"NO AVG")</f>
        <v>NO AVG</v>
      </c>
    </row>
    <row r="57" spans="1:11" x14ac:dyDescent="0.25">
      <c r="A57" s="1">
        <v>44784.382754629631</v>
      </c>
      <c r="B57" s="1">
        <v>44784.382662037038</v>
      </c>
      <c r="C57">
        <v>5.9</v>
      </c>
      <c r="D57">
        <v>5.6</v>
      </c>
      <c r="E57">
        <v>0</v>
      </c>
      <c r="F57">
        <v>0</v>
      </c>
      <c r="G57" t="s">
        <v>33</v>
      </c>
      <c r="H57" t="s">
        <v>38</v>
      </c>
      <c r="J57" s="2"/>
      <c r="K57" s="2"/>
    </row>
    <row r="58" spans="1:11" x14ac:dyDescent="0.25">
      <c r="A58" s="1">
        <v>44784.389687499999</v>
      </c>
      <c r="B58" s="1">
        <v>44784.389618055553</v>
      </c>
      <c r="C58">
        <v>5.6</v>
      </c>
      <c r="D58">
        <v>5.3</v>
      </c>
      <c r="E58">
        <v>0</v>
      </c>
      <c r="F58">
        <v>0</v>
      </c>
      <c r="G58" t="s">
        <v>33</v>
      </c>
      <c r="H58" t="s">
        <v>38</v>
      </c>
      <c r="J58" s="2"/>
      <c r="K58" s="2"/>
    </row>
    <row r="59" spans="1:11" x14ac:dyDescent="0.25">
      <c r="A59" s="1">
        <v>44784.396643518521</v>
      </c>
      <c r="B59" s="1">
        <v>44784.396562499998</v>
      </c>
      <c r="C59">
        <v>5.7</v>
      </c>
      <c r="D59">
        <v>5.3</v>
      </c>
      <c r="E59">
        <v>0</v>
      </c>
      <c r="F59">
        <v>0</v>
      </c>
      <c r="G59" t="s">
        <v>33</v>
      </c>
      <c r="H59" t="s">
        <v>38</v>
      </c>
      <c r="J59" s="2"/>
      <c r="K59" s="2"/>
    </row>
    <row r="60" spans="1:11" x14ac:dyDescent="0.25">
      <c r="A60" s="1">
        <v>44784.403587962966</v>
      </c>
      <c r="B60" s="1">
        <v>44784.403506944444</v>
      </c>
      <c r="C60">
        <v>5.5</v>
      </c>
      <c r="D60">
        <v>5.2</v>
      </c>
      <c r="E60">
        <v>0</v>
      </c>
      <c r="F60">
        <v>0</v>
      </c>
      <c r="G60" t="s">
        <v>33</v>
      </c>
      <c r="H60" t="s">
        <v>38</v>
      </c>
      <c r="J60" s="2"/>
      <c r="K60" s="2"/>
    </row>
    <row r="61" spans="1:11" x14ac:dyDescent="0.25">
      <c r="A61" s="1">
        <v>44784.410590277781</v>
      </c>
      <c r="B61" s="1">
        <v>44784.410451388889</v>
      </c>
      <c r="C61">
        <v>5.4</v>
      </c>
      <c r="D61">
        <v>4.8</v>
      </c>
      <c r="E61">
        <v>0</v>
      </c>
      <c r="F61">
        <v>0</v>
      </c>
      <c r="G61" t="s">
        <v>33</v>
      </c>
      <c r="H61" t="s">
        <v>38</v>
      </c>
      <c r="J61" s="2"/>
      <c r="K61" s="2"/>
    </row>
    <row r="62" spans="1:11" x14ac:dyDescent="0.25">
      <c r="A62" s="1">
        <v>44784.41747685185</v>
      </c>
      <c r="B62" s="1">
        <v>44784.417395833334</v>
      </c>
      <c r="C62">
        <v>5.6</v>
      </c>
      <c r="D62">
        <v>4.9000000000000004</v>
      </c>
      <c r="E62">
        <v>0</v>
      </c>
      <c r="F62">
        <v>0</v>
      </c>
      <c r="G62" t="s">
        <v>33</v>
      </c>
      <c r="H62" t="s">
        <v>38</v>
      </c>
      <c r="J62" t="str">
        <f>IF(COUNT(I57:I62)&gt;3.5,ROUND(AVERAGE(I57:I62),2),"")</f>
        <v/>
      </c>
      <c r="K62" t="str">
        <f>IF(COUNT(, , , , , , , , , , , NA, NA, NA, NA, NA, NA, NA, NA, NA, NA, NA, NA, NA)&gt;17.5,ROUND(AVERAGE(, , , , , , , , , , , 0, 0, 0, 0, 0, 0, 0, 0, 0, 0, 0, 0, 0),2),"NO AVG")</f>
        <v>NO AVG</v>
      </c>
    </row>
    <row r="63" spans="1:11" x14ac:dyDescent="0.25">
      <c r="A63" s="1">
        <v>44784.424502314818</v>
      </c>
      <c r="B63" s="1">
        <v>44784.424340277779</v>
      </c>
      <c r="C63">
        <v>5.7</v>
      </c>
      <c r="D63">
        <v>5.0999999999999996</v>
      </c>
      <c r="E63">
        <v>0</v>
      </c>
      <c r="F63">
        <v>0</v>
      </c>
      <c r="G63" t="s">
        <v>33</v>
      </c>
      <c r="H63" t="s">
        <v>38</v>
      </c>
      <c r="J63" s="2"/>
      <c r="K63" s="2"/>
    </row>
    <row r="64" spans="1:11" x14ac:dyDescent="0.25">
      <c r="A64" s="1">
        <v>44784.43136574074</v>
      </c>
      <c r="B64" s="1">
        <v>44784.431284722225</v>
      </c>
      <c r="C64">
        <v>5.8</v>
      </c>
      <c r="D64">
        <v>5</v>
      </c>
      <c r="E64">
        <v>0</v>
      </c>
      <c r="F64">
        <v>0</v>
      </c>
      <c r="G64" t="s">
        <v>33</v>
      </c>
      <c r="H64" t="s">
        <v>38</v>
      </c>
      <c r="J64" s="2"/>
      <c r="K64" s="2"/>
    </row>
    <row r="65" spans="1:11" x14ac:dyDescent="0.25">
      <c r="A65" s="1">
        <v>44784.438321759262</v>
      </c>
      <c r="B65" s="1">
        <v>44784.43822916667</v>
      </c>
      <c r="C65">
        <v>5.5</v>
      </c>
      <c r="D65">
        <v>4.8</v>
      </c>
      <c r="E65">
        <v>0</v>
      </c>
      <c r="F65">
        <v>0</v>
      </c>
      <c r="G65" t="s">
        <v>33</v>
      </c>
      <c r="H65" t="s">
        <v>38</v>
      </c>
      <c r="J65" s="2"/>
      <c r="K65" s="2"/>
    </row>
    <row r="66" spans="1:11" x14ac:dyDescent="0.25">
      <c r="A66" s="1">
        <v>44784.445254629631</v>
      </c>
      <c r="B66" s="1">
        <v>44784.445173611108</v>
      </c>
      <c r="C66">
        <v>5.2</v>
      </c>
      <c r="D66">
        <v>4.7</v>
      </c>
      <c r="E66">
        <v>0</v>
      </c>
      <c r="F66">
        <v>0</v>
      </c>
      <c r="G66" t="s">
        <v>33</v>
      </c>
      <c r="H66" t="s">
        <v>38</v>
      </c>
      <c r="J66" s="2"/>
      <c r="K66" s="2"/>
    </row>
    <row r="67" spans="1:11" x14ac:dyDescent="0.25">
      <c r="A67" s="1">
        <v>44784.452199074076</v>
      </c>
      <c r="B67" s="1">
        <v>44784.452118055553</v>
      </c>
      <c r="C67">
        <v>5.2</v>
      </c>
      <c r="D67">
        <v>4.5999999999999996</v>
      </c>
      <c r="E67">
        <v>0</v>
      </c>
      <c r="F67">
        <v>0</v>
      </c>
      <c r="G67" t="s">
        <v>33</v>
      </c>
      <c r="H67" t="s">
        <v>38</v>
      </c>
      <c r="J67" s="2"/>
      <c r="K67" s="2"/>
    </row>
    <row r="68" spans="1:11" x14ac:dyDescent="0.25">
      <c r="A68" s="1">
        <v>44784.459155092591</v>
      </c>
      <c r="B68" s="1">
        <v>44784.459062499998</v>
      </c>
      <c r="C68">
        <v>5</v>
      </c>
      <c r="D68">
        <v>4.5999999999999996</v>
      </c>
      <c r="E68">
        <v>0</v>
      </c>
      <c r="F68">
        <v>0</v>
      </c>
      <c r="G68" t="s">
        <v>33</v>
      </c>
      <c r="H68" t="s">
        <v>38</v>
      </c>
      <c r="J68" t="str">
        <f>IF(COUNT(I63:I68)&gt;3.5,ROUND(AVERAGE(I63:I68),2),"")</f>
        <v/>
      </c>
      <c r="K68" t="str">
        <f>IF(COUNT(, , , , , , , , , , , , NA, NA, NA, NA, NA, NA, NA, NA, NA, NA, NA, NA)&gt;17.5,ROUND(AVERAGE(, , , , , , , , , , , , 0, 0, 0, 0, 0, 0, 0, 0, 0, 0, 0, 0),2),"NO AVG")</f>
        <v>NO AVG</v>
      </c>
    </row>
    <row r="69" spans="1:11" x14ac:dyDescent="0.25">
      <c r="A69" s="1">
        <v>44784.466099537036</v>
      </c>
      <c r="B69" s="1">
        <v>44784.466006944444</v>
      </c>
      <c r="C69">
        <v>4.7</v>
      </c>
      <c r="D69">
        <v>4.3</v>
      </c>
      <c r="E69">
        <v>0</v>
      </c>
      <c r="F69">
        <v>0</v>
      </c>
      <c r="G69" t="s">
        <v>33</v>
      </c>
      <c r="H69" t="s">
        <v>38</v>
      </c>
      <c r="J69" s="2"/>
      <c r="K69" s="2"/>
    </row>
    <row r="70" spans="1:11" x14ac:dyDescent="0.25">
      <c r="A70" s="1">
        <v>44784.473032407404</v>
      </c>
      <c r="B70" s="1">
        <v>44784.472951388889</v>
      </c>
      <c r="C70">
        <v>4.4000000000000004</v>
      </c>
      <c r="D70">
        <v>3.8</v>
      </c>
      <c r="E70">
        <v>0</v>
      </c>
      <c r="F70">
        <v>0</v>
      </c>
      <c r="G70" t="s">
        <v>33</v>
      </c>
      <c r="H70" t="s">
        <v>38</v>
      </c>
      <c r="J70" s="2"/>
      <c r="K70" s="2"/>
    </row>
    <row r="71" spans="1:11" x14ac:dyDescent="0.25">
      <c r="A71" s="1">
        <v>44784.47997685185</v>
      </c>
      <c r="B71" s="1">
        <v>44784.479895833334</v>
      </c>
      <c r="C71">
        <v>4.0999999999999996</v>
      </c>
      <c r="D71">
        <v>3.6</v>
      </c>
      <c r="E71">
        <v>0</v>
      </c>
      <c r="F71">
        <v>0</v>
      </c>
      <c r="G71" t="s">
        <v>33</v>
      </c>
      <c r="H71" t="s">
        <v>38</v>
      </c>
      <c r="J71" s="2"/>
      <c r="K71" s="2"/>
    </row>
    <row r="72" spans="1:11" x14ac:dyDescent="0.25">
      <c r="A72" s="1">
        <v>44784.486956018518</v>
      </c>
      <c r="B72" s="1">
        <v>44784.486840277779</v>
      </c>
      <c r="C72">
        <v>4.0999999999999996</v>
      </c>
      <c r="D72">
        <v>3.6</v>
      </c>
      <c r="E72">
        <v>0</v>
      </c>
      <c r="F72">
        <v>0</v>
      </c>
      <c r="G72" t="s">
        <v>33</v>
      </c>
      <c r="H72" t="s">
        <v>38</v>
      </c>
      <c r="J72" s="2"/>
      <c r="K72" s="2"/>
    </row>
    <row r="73" spans="1:11" x14ac:dyDescent="0.25">
      <c r="A73" s="1">
        <v>44784.493923611109</v>
      </c>
      <c r="B73" s="1">
        <v>44784.493784722225</v>
      </c>
      <c r="C73">
        <v>4.4000000000000004</v>
      </c>
      <c r="D73">
        <v>3.6</v>
      </c>
      <c r="E73">
        <v>0</v>
      </c>
      <c r="F73">
        <v>0</v>
      </c>
      <c r="G73" t="s">
        <v>33</v>
      </c>
      <c r="H73" t="s">
        <v>38</v>
      </c>
      <c r="J73" s="2"/>
      <c r="K73" s="2"/>
    </row>
    <row r="74" spans="1:11" x14ac:dyDescent="0.25">
      <c r="A74" s="1">
        <v>44784.500821759262</v>
      </c>
      <c r="B74" s="1">
        <v>44784.50072916667</v>
      </c>
      <c r="C74">
        <v>4.5999999999999996</v>
      </c>
      <c r="D74">
        <v>3.7</v>
      </c>
      <c r="E74">
        <v>0</v>
      </c>
      <c r="F74">
        <v>0</v>
      </c>
      <c r="G74" t="s">
        <v>33</v>
      </c>
      <c r="H74" t="s">
        <v>38</v>
      </c>
      <c r="J74" t="str">
        <f>IF(COUNT(I69:I74)&gt;3.5,ROUND(AVERAGE(I69:I74),2),"")</f>
        <v/>
      </c>
      <c r="K74" t="str">
        <f>IF(COUNT(, , , , , , , , , , , , , NA, NA, NA, NA, NA, NA, NA, NA, NA, NA, NA)&gt;17.5,ROUND(AVERAGE(, , , , , , , , , , , , , 0, 0, 0, 0, 0, 0, 0, 0, 0, 0, 0),2),"NO AVG")</f>
        <v>NO AVG</v>
      </c>
    </row>
    <row r="75" spans="1:11" x14ac:dyDescent="0.25">
      <c r="A75" s="1">
        <v>44784.5077662037</v>
      </c>
      <c r="B75" s="1">
        <v>44784.507673611108</v>
      </c>
      <c r="C75">
        <v>4.7</v>
      </c>
      <c r="D75">
        <v>3.9</v>
      </c>
      <c r="E75">
        <v>0</v>
      </c>
      <c r="F75">
        <v>0</v>
      </c>
      <c r="G75" t="s">
        <v>33</v>
      </c>
      <c r="H75" t="s">
        <v>38</v>
      </c>
      <c r="J75" s="2"/>
      <c r="K75" s="2"/>
    </row>
    <row r="76" spans="1:11" x14ac:dyDescent="0.25">
      <c r="A76" s="1">
        <v>44784.514745370368</v>
      </c>
      <c r="B76" s="1">
        <v>44784.514618055553</v>
      </c>
      <c r="C76">
        <v>4.8</v>
      </c>
      <c r="D76">
        <v>4.0999999999999996</v>
      </c>
      <c r="E76">
        <v>0</v>
      </c>
      <c r="F76">
        <v>0</v>
      </c>
      <c r="G76" t="s">
        <v>33</v>
      </c>
      <c r="H76" t="s">
        <v>38</v>
      </c>
      <c r="J76" s="2"/>
      <c r="K76" s="2"/>
    </row>
    <row r="77" spans="1:11" x14ac:dyDescent="0.25">
      <c r="A77" s="1">
        <v>44784.521655092591</v>
      </c>
      <c r="B77" s="1">
        <v>44784.521562499998</v>
      </c>
      <c r="C77">
        <v>5</v>
      </c>
      <c r="D77">
        <v>4.3</v>
      </c>
      <c r="E77">
        <v>0</v>
      </c>
      <c r="F77">
        <v>0</v>
      </c>
      <c r="G77" t="s">
        <v>33</v>
      </c>
      <c r="H77" t="s">
        <v>38</v>
      </c>
      <c r="J77" s="2"/>
      <c r="K77" s="2"/>
    </row>
    <row r="78" spans="1:11" x14ac:dyDescent="0.25">
      <c r="A78" s="1">
        <v>44784.528634259259</v>
      </c>
      <c r="B78" s="1">
        <v>44784.528506944444</v>
      </c>
      <c r="C78">
        <v>4.9000000000000004</v>
      </c>
      <c r="D78">
        <v>4.3</v>
      </c>
      <c r="E78">
        <v>0</v>
      </c>
      <c r="F78">
        <v>0</v>
      </c>
      <c r="G78" t="s">
        <v>33</v>
      </c>
      <c r="H78" t="s">
        <v>38</v>
      </c>
      <c r="J78" s="2"/>
      <c r="K78" s="2"/>
    </row>
    <row r="79" spans="1:11" x14ac:dyDescent="0.25">
      <c r="A79" s="1">
        <v>44784.535543981481</v>
      </c>
      <c r="B79" s="1">
        <v>44784.535451388889</v>
      </c>
      <c r="C79">
        <v>4.8</v>
      </c>
      <c r="D79">
        <v>4.2</v>
      </c>
      <c r="E79">
        <v>0</v>
      </c>
      <c r="F79">
        <v>0</v>
      </c>
      <c r="G79" t="s">
        <v>33</v>
      </c>
      <c r="H79" t="s">
        <v>38</v>
      </c>
      <c r="J79" s="2"/>
      <c r="K79" s="2"/>
    </row>
    <row r="80" spans="1:11" x14ac:dyDescent="0.25">
      <c r="A80" s="1">
        <v>44784.54247685185</v>
      </c>
      <c r="B80" s="1">
        <v>44784.542395833334</v>
      </c>
      <c r="C80">
        <v>4.5999999999999996</v>
      </c>
      <c r="D80">
        <v>4</v>
      </c>
      <c r="E80">
        <v>0</v>
      </c>
      <c r="F80">
        <v>0</v>
      </c>
      <c r="G80" t="s">
        <v>33</v>
      </c>
      <c r="H80" t="s">
        <v>38</v>
      </c>
      <c r="J80" t="str">
        <f>IF(COUNT(I75:I80)&gt;3.5,ROUND(AVERAGE(I75:I80),2),"")</f>
        <v/>
      </c>
      <c r="K80" t="str">
        <f>IF(COUNT(, , , , , , , , , , , , , , NA, NA, NA, NA, NA, NA, NA, NA, NA, NA)&gt;17.5,ROUND(AVERAGE(, , , , , , , , , , , , , , 0, 0, 0, 0, 0, 0, 0, 0, 0, 0),2),"NO AVG")</f>
        <v>NO AVG</v>
      </c>
    </row>
    <row r="81" spans="1:11" x14ac:dyDescent="0.25">
      <c r="A81" s="1">
        <v>44784.549432870372</v>
      </c>
      <c r="B81" s="1">
        <v>44784.549340277779</v>
      </c>
      <c r="C81">
        <v>4.5</v>
      </c>
      <c r="D81">
        <v>4</v>
      </c>
      <c r="E81">
        <v>0</v>
      </c>
      <c r="F81">
        <v>0</v>
      </c>
      <c r="G81" t="s">
        <v>33</v>
      </c>
      <c r="H81" t="s">
        <v>38</v>
      </c>
      <c r="J81" s="2"/>
      <c r="K81" s="2"/>
    </row>
    <row r="82" spans="1:11" x14ac:dyDescent="0.25">
      <c r="A82" s="1">
        <v>44784.556875000002</v>
      </c>
      <c r="B82" s="1">
        <v>44784.556284722225</v>
      </c>
      <c r="C82">
        <v>4.5</v>
      </c>
      <c r="D82">
        <v>3.9</v>
      </c>
      <c r="E82">
        <v>0</v>
      </c>
      <c r="F82">
        <v>0</v>
      </c>
      <c r="G82" t="s">
        <v>33</v>
      </c>
      <c r="H82" t="s">
        <v>38</v>
      </c>
      <c r="J82" s="2"/>
      <c r="K82" s="2"/>
    </row>
    <row r="83" spans="1:11" x14ac:dyDescent="0.25">
      <c r="A83" s="1">
        <v>44784.563321759262</v>
      </c>
      <c r="B83" s="1">
        <v>44784.56322916667</v>
      </c>
      <c r="C83">
        <v>4.2</v>
      </c>
      <c r="D83">
        <v>3.7</v>
      </c>
      <c r="E83">
        <v>0</v>
      </c>
      <c r="F83">
        <v>0</v>
      </c>
      <c r="G83" t="s">
        <v>33</v>
      </c>
      <c r="H83" t="s">
        <v>38</v>
      </c>
      <c r="J83" s="2"/>
      <c r="K83" s="2"/>
    </row>
    <row r="84" spans="1:11" x14ac:dyDescent="0.25">
      <c r="A84" s="1">
        <v>44784.570324074077</v>
      </c>
      <c r="B84" s="1">
        <v>44784.570173611108</v>
      </c>
      <c r="C84">
        <v>4</v>
      </c>
      <c r="D84">
        <v>3.9</v>
      </c>
      <c r="E84">
        <v>0</v>
      </c>
      <c r="F84">
        <v>0</v>
      </c>
      <c r="G84" t="s">
        <v>33</v>
      </c>
      <c r="H84" t="s">
        <v>38</v>
      </c>
      <c r="J84" s="2"/>
      <c r="K84" s="2"/>
    </row>
    <row r="85" spans="1:11" x14ac:dyDescent="0.25">
      <c r="A85" s="1">
        <v>44784.577210648145</v>
      </c>
      <c r="B85" s="1">
        <v>44784.577118055553</v>
      </c>
      <c r="C85">
        <v>4.4000000000000004</v>
      </c>
      <c r="D85">
        <v>4</v>
      </c>
      <c r="E85">
        <v>0</v>
      </c>
      <c r="F85">
        <v>0</v>
      </c>
      <c r="G85" t="s">
        <v>33</v>
      </c>
      <c r="H85" t="s">
        <v>38</v>
      </c>
      <c r="J85" s="2"/>
      <c r="K85" s="2"/>
    </row>
    <row r="86" spans="1:11" x14ac:dyDescent="0.25">
      <c r="A86" s="1">
        <v>44784.584166666667</v>
      </c>
      <c r="B86" s="1">
        <v>44784.584062499998</v>
      </c>
      <c r="C86">
        <v>4.5</v>
      </c>
      <c r="D86">
        <v>4.0999999999999996</v>
      </c>
      <c r="E86">
        <v>0</v>
      </c>
      <c r="F86">
        <v>0</v>
      </c>
      <c r="G86" t="s">
        <v>33</v>
      </c>
      <c r="H86" t="s">
        <v>38</v>
      </c>
      <c r="J86" t="str">
        <f>IF(COUNT(I81:I86)&gt;3.5,ROUND(AVERAGE(I81:I86),2),"")</f>
        <v/>
      </c>
      <c r="K86" t="str">
        <f>IF(COUNT(, , , , , , , , , , , , , , , NA, NA, NA, NA, NA, NA, NA, NA, NA)&gt;17.5,ROUND(AVERAGE(, , , , , , , , , , , , , , , 0, 0, 0, 0, 0, 0, 0, 0, 0),2),"NO AVG")</f>
        <v>NO AVG</v>
      </c>
    </row>
    <row r="87" spans="1:11" x14ac:dyDescent="0.25">
      <c r="A87" s="1">
        <v>44784.591168981482</v>
      </c>
      <c r="B87" s="1">
        <v>44784.591006944444</v>
      </c>
      <c r="C87">
        <v>4.7</v>
      </c>
      <c r="D87">
        <v>4.2</v>
      </c>
      <c r="E87">
        <v>0</v>
      </c>
      <c r="F87">
        <v>0</v>
      </c>
      <c r="G87" t="s">
        <v>33</v>
      </c>
      <c r="H87" t="s">
        <v>38</v>
      </c>
      <c r="J87" s="2"/>
      <c r="K87" s="2"/>
    </row>
    <row r="88" spans="1:11" x14ac:dyDescent="0.25">
      <c r="A88" s="1">
        <v>44784.598078703704</v>
      </c>
      <c r="B88" s="1">
        <v>44784.597951388889</v>
      </c>
      <c r="C88">
        <v>4.9000000000000004</v>
      </c>
      <c r="D88">
        <v>4.3</v>
      </c>
      <c r="E88">
        <v>0</v>
      </c>
      <c r="F88">
        <v>0</v>
      </c>
      <c r="G88" t="s">
        <v>33</v>
      </c>
      <c r="H88" t="s">
        <v>38</v>
      </c>
      <c r="J88" s="2"/>
      <c r="K88" s="2"/>
    </row>
    <row r="89" spans="1:11" x14ac:dyDescent="0.25">
      <c r="A89" s="1">
        <v>44784.605000000003</v>
      </c>
      <c r="B89" s="1">
        <v>44784.604895833334</v>
      </c>
      <c r="C89">
        <v>5</v>
      </c>
      <c r="D89">
        <v>4.5</v>
      </c>
      <c r="E89">
        <v>0</v>
      </c>
      <c r="F89">
        <v>0</v>
      </c>
      <c r="G89" t="s">
        <v>33</v>
      </c>
      <c r="H89" t="s">
        <v>38</v>
      </c>
      <c r="J89" s="2"/>
      <c r="K89" s="2"/>
    </row>
    <row r="90" spans="1:11" x14ac:dyDescent="0.25">
      <c r="A90" s="1">
        <v>44784.611990740741</v>
      </c>
      <c r="B90" s="1">
        <v>44784.611840277779</v>
      </c>
      <c r="C90">
        <v>5.2</v>
      </c>
      <c r="D90">
        <v>4.5999999999999996</v>
      </c>
      <c r="E90">
        <v>0</v>
      </c>
      <c r="F90">
        <v>0</v>
      </c>
      <c r="G90" t="s">
        <v>33</v>
      </c>
      <c r="H90" t="s">
        <v>38</v>
      </c>
      <c r="J90" s="2"/>
      <c r="K90" s="2"/>
    </row>
    <row r="91" spans="1:11" x14ac:dyDescent="0.25">
      <c r="A91" s="1">
        <v>44784.618888888886</v>
      </c>
      <c r="B91" s="1">
        <v>44784.618784722225</v>
      </c>
      <c r="C91">
        <v>5.2</v>
      </c>
      <c r="D91">
        <v>4.7</v>
      </c>
      <c r="E91">
        <v>0</v>
      </c>
      <c r="F91">
        <v>0</v>
      </c>
      <c r="G91" t="s">
        <v>33</v>
      </c>
      <c r="H91" t="s">
        <v>38</v>
      </c>
      <c r="J91" s="2"/>
      <c r="K91" s="2"/>
    </row>
    <row r="92" spans="1:11" x14ac:dyDescent="0.25">
      <c r="A92" s="1">
        <v>44784.625879629632</v>
      </c>
      <c r="B92" s="1">
        <v>44784.62572916667</v>
      </c>
      <c r="C92">
        <v>5.2</v>
      </c>
      <c r="D92">
        <v>4.5</v>
      </c>
      <c r="E92">
        <v>0</v>
      </c>
      <c r="F92">
        <v>0</v>
      </c>
      <c r="G92" t="s">
        <v>33</v>
      </c>
      <c r="H92" t="s">
        <v>38</v>
      </c>
      <c r="J92" t="str">
        <f>IF(COUNT(I87:I92)&gt;3.5,ROUND(AVERAGE(I87:I92),2),"")</f>
        <v/>
      </c>
      <c r="K92" t="str">
        <f>IF(COUNT(, , , , , , , , , , , , , , , , NA, NA, NA, NA, NA, NA, NA, NA)&gt;17.5,ROUND(AVERAGE(, , , , , , , , , , , , , , , , 0, 0, 0, 0, 0, 0, 0, 0),2),"NO AVG")</f>
        <v>NO AVG</v>
      </c>
    </row>
    <row r="93" spans="1:11" x14ac:dyDescent="0.25">
      <c r="A93" s="1">
        <v>44784.6327662037</v>
      </c>
      <c r="B93" s="1">
        <v>44784.632673611108</v>
      </c>
      <c r="C93">
        <v>5.2</v>
      </c>
      <c r="D93">
        <v>4.5999999999999996</v>
      </c>
      <c r="E93">
        <v>0</v>
      </c>
      <c r="F93">
        <v>0</v>
      </c>
      <c r="G93" t="s">
        <v>33</v>
      </c>
      <c r="H93" t="s">
        <v>38</v>
      </c>
      <c r="J93" s="2"/>
      <c r="K93" s="2"/>
    </row>
    <row r="94" spans="1:11" x14ac:dyDescent="0.25">
      <c r="A94" s="1">
        <v>44784.639699074076</v>
      </c>
      <c r="B94" s="1">
        <v>44784.639618055553</v>
      </c>
      <c r="C94">
        <v>5.3</v>
      </c>
      <c r="D94">
        <v>4.7</v>
      </c>
      <c r="E94">
        <v>0</v>
      </c>
      <c r="F94">
        <v>0</v>
      </c>
      <c r="G94" t="s">
        <v>33</v>
      </c>
      <c r="H94" t="s">
        <v>38</v>
      </c>
      <c r="J94" s="2"/>
      <c r="K94" s="2"/>
    </row>
    <row r="95" spans="1:11" x14ac:dyDescent="0.25">
      <c r="A95" s="1">
        <v>44784.646655092591</v>
      </c>
      <c r="B95" s="1">
        <v>44784.646562499998</v>
      </c>
      <c r="C95">
        <v>5.5</v>
      </c>
      <c r="D95">
        <v>4.8</v>
      </c>
      <c r="E95">
        <v>0</v>
      </c>
      <c r="F95">
        <v>0</v>
      </c>
      <c r="G95" t="s">
        <v>33</v>
      </c>
      <c r="H95" t="s">
        <v>38</v>
      </c>
      <c r="J95" s="2"/>
      <c r="K95" s="2"/>
    </row>
    <row r="96" spans="1:11" x14ac:dyDescent="0.25">
      <c r="A96" s="1">
        <v>44784.653587962966</v>
      </c>
      <c r="B96" s="1">
        <v>44784.653506944444</v>
      </c>
      <c r="C96">
        <v>5.5</v>
      </c>
      <c r="D96">
        <v>4.9000000000000004</v>
      </c>
      <c r="E96">
        <v>0</v>
      </c>
      <c r="F96">
        <v>0</v>
      </c>
      <c r="G96" t="s">
        <v>33</v>
      </c>
      <c r="H96" t="s">
        <v>38</v>
      </c>
      <c r="J96" s="2"/>
      <c r="K96" s="2"/>
    </row>
    <row r="97" spans="1:11" x14ac:dyDescent="0.25">
      <c r="A97" s="1">
        <v>44784.660532407404</v>
      </c>
      <c r="B97" s="1">
        <v>44784.660451388889</v>
      </c>
      <c r="C97">
        <v>5.5</v>
      </c>
      <c r="D97">
        <v>4.9000000000000004</v>
      </c>
      <c r="E97">
        <v>0</v>
      </c>
      <c r="F97">
        <v>0</v>
      </c>
      <c r="G97" t="s">
        <v>33</v>
      </c>
      <c r="H97" t="s">
        <v>38</v>
      </c>
      <c r="J97" s="2"/>
      <c r="K97" s="2"/>
    </row>
    <row r="98" spans="1:11" x14ac:dyDescent="0.25">
      <c r="A98" s="1">
        <v>44784.66747685185</v>
      </c>
      <c r="B98" s="1">
        <v>44784.667395833334</v>
      </c>
      <c r="C98">
        <v>5.6</v>
      </c>
      <c r="D98">
        <v>5</v>
      </c>
      <c r="E98">
        <v>0</v>
      </c>
      <c r="F98">
        <v>0</v>
      </c>
      <c r="G98" t="s">
        <v>33</v>
      </c>
      <c r="H98" t="s">
        <v>38</v>
      </c>
      <c r="J98" t="str">
        <f>IF(COUNT(I93:I98)&gt;3.5,ROUND(AVERAGE(I93:I98),2),"")</f>
        <v/>
      </c>
      <c r="K98" t="str">
        <f>IF(COUNT(, , , , , , , , , , , , , , , , , NA, NA, NA, NA, NA, NA, NA)&gt;17.5,ROUND(AVERAGE(, , , , , , , , , , , , , , , , , 0, 0, 0, 0, 0, 0, 0),2),"NO AVG")</f>
        <v>NO AVG</v>
      </c>
    </row>
    <row r="99" spans="1:11" x14ac:dyDescent="0.25">
      <c r="A99" s="1">
        <v>44784.674421296295</v>
      </c>
      <c r="B99" s="1">
        <v>44784.674328703702</v>
      </c>
      <c r="C99">
        <v>5.7</v>
      </c>
      <c r="D99">
        <v>5</v>
      </c>
      <c r="E99">
        <v>0</v>
      </c>
      <c r="F99">
        <v>0</v>
      </c>
      <c r="G99" t="s">
        <v>33</v>
      </c>
      <c r="H99" t="s">
        <v>38</v>
      </c>
      <c r="J99" s="2"/>
      <c r="K99" s="2"/>
    </row>
    <row r="100" spans="1:11" x14ac:dyDescent="0.25">
      <c r="A100" s="1">
        <v>44784.681354166663</v>
      </c>
      <c r="B100" s="1">
        <v>44784.681273148148</v>
      </c>
      <c r="C100">
        <v>5.7</v>
      </c>
      <c r="D100">
        <v>5</v>
      </c>
      <c r="E100">
        <v>0</v>
      </c>
      <c r="F100">
        <v>0</v>
      </c>
      <c r="G100" t="s">
        <v>33</v>
      </c>
      <c r="H100" t="s">
        <v>38</v>
      </c>
      <c r="J100" s="2"/>
      <c r="K100" s="2"/>
    </row>
    <row r="101" spans="1:11" x14ac:dyDescent="0.25">
      <c r="A101" s="1">
        <v>44784.688344907408</v>
      </c>
      <c r="B101" s="1">
        <v>44784.688217592593</v>
      </c>
      <c r="C101">
        <v>5.8</v>
      </c>
      <c r="D101">
        <v>5.0999999999999996</v>
      </c>
      <c r="E101">
        <v>0</v>
      </c>
      <c r="F101">
        <v>0</v>
      </c>
      <c r="G101" t="s">
        <v>33</v>
      </c>
      <c r="H101" t="s">
        <v>38</v>
      </c>
      <c r="J101" s="2"/>
      <c r="K101" s="2"/>
    </row>
    <row r="102" spans="1:11" x14ac:dyDescent="0.25">
      <c r="A102" s="1">
        <v>44784.695243055554</v>
      </c>
      <c r="B102" s="1">
        <v>44784.695162037038</v>
      </c>
      <c r="C102">
        <v>5.6</v>
      </c>
      <c r="D102">
        <v>5</v>
      </c>
      <c r="E102">
        <v>0</v>
      </c>
      <c r="F102">
        <v>0</v>
      </c>
      <c r="G102" t="s">
        <v>33</v>
      </c>
      <c r="H102" t="s">
        <v>38</v>
      </c>
      <c r="J102" s="2"/>
      <c r="K102" s="2"/>
    </row>
    <row r="103" spans="1:11" x14ac:dyDescent="0.25">
      <c r="A103" s="1">
        <v>44784.702187499999</v>
      </c>
      <c r="B103" s="1">
        <v>44784.702106481483</v>
      </c>
      <c r="C103">
        <v>5.6</v>
      </c>
      <c r="D103">
        <v>5</v>
      </c>
      <c r="E103">
        <v>0</v>
      </c>
      <c r="F103">
        <v>0</v>
      </c>
      <c r="G103" t="s">
        <v>33</v>
      </c>
      <c r="H103" t="s">
        <v>38</v>
      </c>
      <c r="J103" s="2"/>
      <c r="K103" s="2"/>
    </row>
    <row r="104" spans="1:11" x14ac:dyDescent="0.25">
      <c r="A104" s="1">
        <v>44784.709143518521</v>
      </c>
      <c r="B104" s="1">
        <v>44784.709050925929</v>
      </c>
      <c r="C104">
        <v>5.6</v>
      </c>
      <c r="D104">
        <v>4.9000000000000004</v>
      </c>
      <c r="E104">
        <v>0</v>
      </c>
      <c r="F104">
        <v>0</v>
      </c>
      <c r="G104" t="s">
        <v>33</v>
      </c>
      <c r="H104" t="s">
        <v>38</v>
      </c>
      <c r="J104" t="str">
        <f>IF(COUNT(I99:I104)&gt;3.5,ROUND(AVERAGE(I99:I104),2),"")</f>
        <v/>
      </c>
      <c r="K104">
        <f>IF(COUNT(, , , , , , , , , , , , , , , , , , NA, NA, NA, NA, NA, NA)&gt;17.5,ROUND(AVERAGE(, , , , , , , , , , , , , , , , , , 0, 0, 0, 0, 0, 0),2),"NO AVG")</f>
        <v>0</v>
      </c>
    </row>
    <row r="105" spans="1:11" x14ac:dyDescent="0.25">
      <c r="A105" s="1">
        <v>44784.716087962966</v>
      </c>
      <c r="B105" s="1">
        <v>44784.715995370374</v>
      </c>
      <c r="C105">
        <v>5.5</v>
      </c>
      <c r="D105">
        <v>4.9000000000000004</v>
      </c>
      <c r="E105">
        <v>0</v>
      </c>
      <c r="F105">
        <v>0</v>
      </c>
      <c r="G105" t="s">
        <v>33</v>
      </c>
      <c r="H105" t="s">
        <v>38</v>
      </c>
      <c r="J105" s="2"/>
      <c r="K105" s="2"/>
    </row>
    <row r="106" spans="1:11" x14ac:dyDescent="0.25">
      <c r="A106" s="1">
        <v>44784.723032407404</v>
      </c>
      <c r="B106" s="1">
        <v>44784.722939814812</v>
      </c>
      <c r="C106">
        <v>5.6</v>
      </c>
      <c r="D106">
        <v>4.9000000000000004</v>
      </c>
      <c r="E106">
        <v>0</v>
      </c>
      <c r="F106">
        <v>0</v>
      </c>
      <c r="G106" t="s">
        <v>33</v>
      </c>
      <c r="H106" t="s">
        <v>38</v>
      </c>
      <c r="J106" s="2"/>
      <c r="K106" s="2"/>
    </row>
    <row r="107" spans="1:11" x14ac:dyDescent="0.25">
      <c r="A107" s="1">
        <v>44784.72996527778</v>
      </c>
      <c r="B107" s="1">
        <v>44784.729884259257</v>
      </c>
      <c r="C107">
        <v>5.7</v>
      </c>
      <c r="D107">
        <v>5.0999999999999996</v>
      </c>
      <c r="E107">
        <v>0</v>
      </c>
      <c r="F107">
        <v>0</v>
      </c>
      <c r="G107" t="s">
        <v>33</v>
      </c>
      <c r="H107" t="s">
        <v>38</v>
      </c>
      <c r="J107" s="2"/>
      <c r="K107" s="2"/>
    </row>
    <row r="108" spans="1:11" x14ac:dyDescent="0.25">
      <c r="A108" s="1">
        <v>44784.736921296295</v>
      </c>
      <c r="B108" s="1">
        <v>44784.736828703702</v>
      </c>
      <c r="C108">
        <v>5.9</v>
      </c>
      <c r="D108">
        <v>5.3</v>
      </c>
      <c r="E108">
        <v>0</v>
      </c>
      <c r="F108">
        <v>0</v>
      </c>
      <c r="G108" t="s">
        <v>33</v>
      </c>
      <c r="H108" t="s">
        <v>38</v>
      </c>
      <c r="J108" s="2"/>
      <c r="K108" s="2"/>
    </row>
    <row r="109" spans="1:11" x14ac:dyDescent="0.25">
      <c r="A109" s="1">
        <v>44784.74386574074</v>
      </c>
      <c r="B109" s="1">
        <v>44784.743773148148</v>
      </c>
      <c r="C109">
        <v>6.1</v>
      </c>
      <c r="D109">
        <v>5.5</v>
      </c>
      <c r="E109">
        <v>0</v>
      </c>
      <c r="F109">
        <v>0</v>
      </c>
      <c r="G109" t="s">
        <v>33</v>
      </c>
      <c r="H109" t="s">
        <v>38</v>
      </c>
      <c r="J109" s="2"/>
      <c r="K109" s="2"/>
    </row>
    <row r="110" spans="1:11" x14ac:dyDescent="0.25">
      <c r="A110" s="1">
        <v>44784.750868055555</v>
      </c>
      <c r="B110" s="1">
        <v>44784.750717592593</v>
      </c>
      <c r="C110">
        <v>6.3</v>
      </c>
      <c r="D110">
        <v>5.6</v>
      </c>
      <c r="E110">
        <v>0</v>
      </c>
      <c r="F110">
        <v>0</v>
      </c>
      <c r="G110" t="s">
        <v>33</v>
      </c>
      <c r="H110" t="s">
        <v>38</v>
      </c>
      <c r="J110" t="str">
        <f>IF(COUNT(I105:I110)&gt;3.5,ROUND(AVERAGE(I105:I110),2),"")</f>
        <v/>
      </c>
      <c r="K110">
        <f>IF(COUNT(, , , , , , , , , , , , , , , , , , , NA, NA, NA, NA, NA)&gt;17.5,ROUND(AVERAGE(, , , , , , , , , , , , , , , , , , , 0, 0, 0, 0, 0),2),"NO AVG")</f>
        <v>0</v>
      </c>
    </row>
    <row r="111" spans="1:11" x14ac:dyDescent="0.25">
      <c r="A111" s="1">
        <v>44784.7577662037</v>
      </c>
      <c r="B111" s="1">
        <v>44784.757662037038</v>
      </c>
      <c r="C111">
        <v>8.1999999999999993</v>
      </c>
      <c r="D111">
        <v>7.3</v>
      </c>
      <c r="E111">
        <v>0</v>
      </c>
      <c r="F111">
        <v>0</v>
      </c>
      <c r="G111" t="s">
        <v>33</v>
      </c>
      <c r="H111" t="s">
        <v>38</v>
      </c>
      <c r="J111" s="2"/>
      <c r="K111" s="2"/>
    </row>
    <row r="112" spans="1:11" x14ac:dyDescent="0.25">
      <c r="A112" s="1">
        <v>44784.764699074076</v>
      </c>
      <c r="B112" s="1">
        <v>44784.764606481483</v>
      </c>
      <c r="C112">
        <v>9</v>
      </c>
      <c r="D112">
        <v>7.9</v>
      </c>
      <c r="E112">
        <v>0</v>
      </c>
      <c r="F112">
        <v>0</v>
      </c>
      <c r="G112" t="s">
        <v>33</v>
      </c>
      <c r="H112" t="s">
        <v>38</v>
      </c>
      <c r="J112" s="2"/>
      <c r="K112" s="2"/>
    </row>
    <row r="113" spans="1:11" x14ac:dyDescent="0.25">
      <c r="A113" s="1">
        <v>44784.771643518521</v>
      </c>
      <c r="B113" s="1">
        <v>44784.771550925929</v>
      </c>
      <c r="C113">
        <v>8.4</v>
      </c>
      <c r="D113">
        <v>7.4</v>
      </c>
      <c r="E113">
        <v>0</v>
      </c>
      <c r="F113">
        <v>0</v>
      </c>
      <c r="G113" t="s">
        <v>33</v>
      </c>
      <c r="H113" t="s">
        <v>38</v>
      </c>
      <c r="J113" s="2"/>
      <c r="K113" s="2"/>
    </row>
    <row r="114" spans="1:11" x14ac:dyDescent="0.25">
      <c r="A114" s="1">
        <v>44784.778599537036</v>
      </c>
      <c r="B114" s="1">
        <v>44784.778495370374</v>
      </c>
      <c r="C114">
        <v>8.1</v>
      </c>
      <c r="D114">
        <v>7.2</v>
      </c>
      <c r="E114">
        <v>0</v>
      </c>
      <c r="F114">
        <v>0</v>
      </c>
      <c r="G114" t="s">
        <v>33</v>
      </c>
      <c r="H114" t="s">
        <v>38</v>
      </c>
      <c r="J114" s="2"/>
      <c r="K114" s="2"/>
    </row>
    <row r="115" spans="1:11" x14ac:dyDescent="0.25">
      <c r="A115" s="1">
        <v>44784.785543981481</v>
      </c>
      <c r="B115" s="1">
        <v>44784.785439814812</v>
      </c>
      <c r="C115">
        <v>8</v>
      </c>
      <c r="D115">
        <v>7.1</v>
      </c>
      <c r="E115">
        <v>0</v>
      </c>
      <c r="F115">
        <v>0</v>
      </c>
      <c r="G115" t="s">
        <v>33</v>
      </c>
      <c r="H115" t="s">
        <v>38</v>
      </c>
      <c r="J115" s="2"/>
      <c r="K115" s="2"/>
    </row>
    <row r="116" spans="1:11" x14ac:dyDescent="0.25">
      <c r="A116" s="1">
        <v>44784.792511574073</v>
      </c>
      <c r="B116" s="1">
        <v>44784.792384259257</v>
      </c>
      <c r="C116">
        <v>7.9</v>
      </c>
      <c r="D116">
        <v>7.1</v>
      </c>
      <c r="E116">
        <v>0</v>
      </c>
      <c r="F116">
        <v>0</v>
      </c>
      <c r="G116" t="s">
        <v>33</v>
      </c>
      <c r="H116" t="s">
        <v>38</v>
      </c>
      <c r="J116" t="str">
        <f>IF(COUNT(I111:I116)&gt;3.5,ROUND(AVERAGE(I111:I116),2),"")</f>
        <v/>
      </c>
      <c r="K116">
        <f>IF(COUNT(, , , , , , , , , , , , , , , , , , , , NA, NA, NA, NA)&gt;17.5,ROUND(AVERAGE(, , , , , , , , , , , , , , , , , , , , 0, 0, 0, 0),2),"NO AVG")</f>
        <v>0</v>
      </c>
    </row>
    <row r="117" spans="1:11" x14ac:dyDescent="0.25">
      <c r="A117" s="1">
        <v>44784.799432870372</v>
      </c>
      <c r="B117" s="1">
        <v>44784.799328703702</v>
      </c>
      <c r="C117">
        <v>8.1</v>
      </c>
      <c r="D117">
        <v>7.1</v>
      </c>
      <c r="E117">
        <v>0</v>
      </c>
      <c r="F117">
        <v>0</v>
      </c>
      <c r="G117" t="s">
        <v>33</v>
      </c>
      <c r="H117" t="s">
        <v>38</v>
      </c>
      <c r="J117" s="2"/>
      <c r="K117" s="2"/>
    </row>
    <row r="118" spans="1:11" x14ac:dyDescent="0.25">
      <c r="A118" s="1">
        <v>44784.806423611109</v>
      </c>
      <c r="B118" s="1">
        <v>44784.806273148148</v>
      </c>
      <c r="C118">
        <v>8</v>
      </c>
      <c r="D118">
        <v>7.2</v>
      </c>
      <c r="E118">
        <v>0</v>
      </c>
      <c r="F118">
        <v>0</v>
      </c>
      <c r="G118" t="s">
        <v>33</v>
      </c>
      <c r="H118" t="s">
        <v>38</v>
      </c>
      <c r="J118" s="2"/>
      <c r="K118" s="2"/>
    </row>
    <row r="119" spans="1:11" x14ac:dyDescent="0.25">
      <c r="A119" s="1">
        <v>44784.813321759262</v>
      </c>
      <c r="B119" s="1">
        <v>44784.813217592593</v>
      </c>
      <c r="C119">
        <v>8</v>
      </c>
      <c r="D119">
        <v>7.3</v>
      </c>
      <c r="E119">
        <v>0</v>
      </c>
      <c r="F119">
        <v>0</v>
      </c>
      <c r="G119" t="s">
        <v>33</v>
      </c>
      <c r="H119" t="s">
        <v>38</v>
      </c>
      <c r="J119" s="2"/>
      <c r="K119" s="2"/>
    </row>
    <row r="120" spans="1:11" x14ac:dyDescent="0.25">
      <c r="A120" s="1">
        <v>44784.8202662037</v>
      </c>
      <c r="B120" s="1">
        <v>44784.820162037038</v>
      </c>
      <c r="C120">
        <v>8</v>
      </c>
      <c r="D120">
        <v>7.3</v>
      </c>
      <c r="E120">
        <v>0</v>
      </c>
      <c r="F120">
        <v>0</v>
      </c>
      <c r="G120" t="s">
        <v>33</v>
      </c>
      <c r="H120" t="s">
        <v>38</v>
      </c>
      <c r="J120" s="2"/>
      <c r="K120" s="2"/>
    </row>
    <row r="121" spans="1:11" x14ac:dyDescent="0.25">
      <c r="A121" s="1">
        <v>44784.827210648145</v>
      </c>
      <c r="B121" s="1">
        <v>44784.827106481483</v>
      </c>
      <c r="C121">
        <v>8.1</v>
      </c>
      <c r="D121">
        <v>7.5</v>
      </c>
      <c r="E121">
        <v>0</v>
      </c>
      <c r="F121">
        <v>0</v>
      </c>
      <c r="G121" t="s">
        <v>33</v>
      </c>
      <c r="H121" t="s">
        <v>38</v>
      </c>
      <c r="J121" s="2"/>
      <c r="K121" s="2"/>
    </row>
    <row r="122" spans="1:11" x14ac:dyDescent="0.25">
      <c r="A122" s="1">
        <v>44784.834143518521</v>
      </c>
      <c r="B122" s="1">
        <v>44784.834050925929</v>
      </c>
      <c r="C122">
        <v>7.7</v>
      </c>
      <c r="D122">
        <v>7</v>
      </c>
      <c r="E122">
        <v>0</v>
      </c>
      <c r="F122">
        <v>0</v>
      </c>
      <c r="G122" t="s">
        <v>33</v>
      </c>
      <c r="H122" t="s">
        <v>38</v>
      </c>
      <c r="J122" t="str">
        <f>IF(COUNT(I117:I122)&gt;3.5,ROUND(AVERAGE(I117:I122),2),"")</f>
        <v/>
      </c>
      <c r="K122">
        <f>IF(COUNT(, , , , , , , , , , , , , , , , , , , , , NA, NA, NA)&gt;17.5,ROUND(AVERAGE(, , , , , , , , , , , , , , , , , , , , , 0, 0, 0),2),"NO AVG")</f>
        <v>0</v>
      </c>
    </row>
    <row r="123" spans="1:11" x14ac:dyDescent="0.25">
      <c r="A123" s="1">
        <v>44784.841099537036</v>
      </c>
      <c r="B123" s="1">
        <v>44784.840995370374</v>
      </c>
      <c r="C123">
        <v>6.9</v>
      </c>
      <c r="D123">
        <v>6.4</v>
      </c>
      <c r="E123">
        <v>0</v>
      </c>
      <c r="F123">
        <v>0</v>
      </c>
      <c r="G123" t="s">
        <v>33</v>
      </c>
      <c r="H123" t="s">
        <v>38</v>
      </c>
      <c r="J123" s="2"/>
      <c r="K123" s="2"/>
    </row>
    <row r="124" spans="1:11" x14ac:dyDescent="0.25">
      <c r="A124" s="1">
        <v>44784.848043981481</v>
      </c>
      <c r="B124" s="1">
        <v>44784.847939814812</v>
      </c>
      <c r="C124">
        <v>6.5</v>
      </c>
      <c r="D124">
        <v>5.9</v>
      </c>
      <c r="E124">
        <v>0</v>
      </c>
      <c r="F124">
        <v>0</v>
      </c>
      <c r="G124" t="s">
        <v>33</v>
      </c>
      <c r="H124" t="s">
        <v>38</v>
      </c>
      <c r="J124" s="2"/>
      <c r="K124" s="2"/>
    </row>
    <row r="125" spans="1:11" x14ac:dyDescent="0.25">
      <c r="A125" s="1">
        <v>44784.85497685185</v>
      </c>
      <c r="B125" s="1">
        <v>44784.854884259257</v>
      </c>
      <c r="C125">
        <v>6</v>
      </c>
      <c r="D125">
        <v>5.5</v>
      </c>
      <c r="E125">
        <v>0</v>
      </c>
      <c r="F125">
        <v>0</v>
      </c>
      <c r="G125" t="s">
        <v>33</v>
      </c>
      <c r="H125" t="s">
        <v>38</v>
      </c>
      <c r="J125" s="2"/>
      <c r="K125" s="2"/>
    </row>
    <row r="126" spans="1:11" x14ac:dyDescent="0.25">
      <c r="A126" s="1">
        <v>44784.861932870372</v>
      </c>
      <c r="B126" s="1">
        <v>44784.861828703702</v>
      </c>
      <c r="C126">
        <v>7.7</v>
      </c>
      <c r="D126">
        <v>7.2</v>
      </c>
      <c r="E126">
        <v>0</v>
      </c>
      <c r="F126">
        <v>0</v>
      </c>
      <c r="G126" t="s">
        <v>33</v>
      </c>
      <c r="H126" t="s">
        <v>38</v>
      </c>
      <c r="J126" s="2"/>
      <c r="K126" s="2"/>
    </row>
    <row r="127" spans="1:11" x14ac:dyDescent="0.25">
      <c r="A127" s="1">
        <v>44784.868877314817</v>
      </c>
      <c r="B127" s="1">
        <v>44784.868773148148</v>
      </c>
      <c r="C127">
        <v>7.3</v>
      </c>
      <c r="D127">
        <v>6.8</v>
      </c>
      <c r="E127">
        <v>0</v>
      </c>
      <c r="F127">
        <v>0</v>
      </c>
      <c r="G127" t="s">
        <v>33</v>
      </c>
      <c r="H127" t="s">
        <v>38</v>
      </c>
      <c r="J127" s="2"/>
      <c r="K127" s="2"/>
    </row>
    <row r="128" spans="1:11" x14ac:dyDescent="0.25">
      <c r="A128" s="1">
        <v>44784.875821759262</v>
      </c>
      <c r="B128" s="1">
        <v>44784.875717592593</v>
      </c>
      <c r="C128">
        <v>6.4</v>
      </c>
      <c r="D128">
        <v>5.9</v>
      </c>
      <c r="E128">
        <v>0</v>
      </c>
      <c r="F128">
        <v>0</v>
      </c>
      <c r="G128" t="s">
        <v>33</v>
      </c>
      <c r="H128" t="s">
        <v>38</v>
      </c>
      <c r="J128" t="str">
        <f>IF(COUNT(I123:I128)&gt;3.5,ROUND(AVERAGE(I123:I128),2),"")</f>
        <v/>
      </c>
      <c r="K128">
        <f>IF(COUNT(, , , , , , , , , , , , , , , , , , , , , , NA, NA)&gt;17.5,ROUND(AVERAGE(, , , , , , , , , , , , , , , , , , , , , , 0, 0),2),"NO AVG")</f>
        <v>0</v>
      </c>
    </row>
    <row r="129" spans="1:11" x14ac:dyDescent="0.25">
      <c r="A129" s="1">
        <v>44784.882777777777</v>
      </c>
      <c r="B129" s="1">
        <v>44784.882662037038</v>
      </c>
      <c r="C129">
        <v>5.7</v>
      </c>
      <c r="D129">
        <v>5.4</v>
      </c>
      <c r="E129">
        <v>0</v>
      </c>
      <c r="F129">
        <v>0</v>
      </c>
      <c r="G129" t="s">
        <v>33</v>
      </c>
      <c r="H129" t="s">
        <v>38</v>
      </c>
      <c r="J129" s="2"/>
      <c r="K129" s="2"/>
    </row>
    <row r="130" spans="1:11" x14ac:dyDescent="0.25">
      <c r="A130" s="1">
        <v>44784.889756944445</v>
      </c>
      <c r="B130" s="1">
        <v>44784.889606481483</v>
      </c>
      <c r="C130">
        <v>5.4</v>
      </c>
      <c r="D130">
        <v>5.0999999999999996</v>
      </c>
      <c r="E130">
        <v>0</v>
      </c>
      <c r="F130">
        <v>0</v>
      </c>
      <c r="G130" t="s">
        <v>33</v>
      </c>
      <c r="H130" t="s">
        <v>38</v>
      </c>
      <c r="J130" s="2"/>
      <c r="K130" s="2"/>
    </row>
    <row r="131" spans="1:11" x14ac:dyDescent="0.25">
      <c r="A131" s="1">
        <v>44784.896666666667</v>
      </c>
      <c r="B131" s="1">
        <v>44784.896550925929</v>
      </c>
      <c r="C131">
        <v>10.4</v>
      </c>
      <c r="D131">
        <v>9.5</v>
      </c>
      <c r="E131">
        <v>0</v>
      </c>
      <c r="F131">
        <v>0</v>
      </c>
      <c r="G131" t="s">
        <v>33</v>
      </c>
      <c r="H131" t="s">
        <v>38</v>
      </c>
      <c r="J131" s="2"/>
      <c r="K131" s="2"/>
    </row>
    <row r="132" spans="1:11" x14ac:dyDescent="0.25">
      <c r="A132" s="1">
        <v>44784.903645833336</v>
      </c>
      <c r="B132" s="1">
        <v>44784.903495370374</v>
      </c>
      <c r="C132">
        <v>10.199999999999999</v>
      </c>
      <c r="D132">
        <v>9.6</v>
      </c>
      <c r="E132">
        <v>0</v>
      </c>
      <c r="F132">
        <v>0</v>
      </c>
      <c r="G132" t="s">
        <v>33</v>
      </c>
      <c r="H132" t="s">
        <v>38</v>
      </c>
      <c r="J132" s="2"/>
      <c r="K132" s="2"/>
    </row>
    <row r="133" spans="1:11" x14ac:dyDescent="0.25">
      <c r="A133" s="1">
        <v>44784.910555555558</v>
      </c>
      <c r="B133" s="1">
        <v>44784.910439814812</v>
      </c>
      <c r="C133">
        <v>8.1</v>
      </c>
      <c r="D133">
        <v>7.6</v>
      </c>
      <c r="E133">
        <v>0</v>
      </c>
      <c r="F133">
        <v>0</v>
      </c>
      <c r="G133" t="s">
        <v>33</v>
      </c>
      <c r="H133" t="s">
        <v>38</v>
      </c>
      <c r="J133" s="2"/>
      <c r="K133" s="2"/>
    </row>
    <row r="134" spans="1:11" x14ac:dyDescent="0.25">
      <c r="A134" s="1">
        <v>44784.917500000003</v>
      </c>
      <c r="B134" s="1">
        <v>44784.917384259257</v>
      </c>
      <c r="C134">
        <v>7</v>
      </c>
      <c r="D134">
        <v>6.4</v>
      </c>
      <c r="E134">
        <v>0</v>
      </c>
      <c r="F134">
        <v>0</v>
      </c>
      <c r="G134" t="s">
        <v>33</v>
      </c>
      <c r="H134" t="s">
        <v>38</v>
      </c>
      <c r="J134" t="str">
        <f>IF(COUNT(I129:I134)&gt;3.5,ROUND(AVERAGE(I129:I134),2),"")</f>
        <v/>
      </c>
      <c r="K134">
        <f>IF(COUNT(, , , , , , , , , , , , , , , , , , , , , , , NA)&gt;17.5,ROUND(AVERAGE(, , , , , , , , , , , , , , , , , , , , , , , 0),2),"NO AVG")</f>
        <v>0</v>
      </c>
    </row>
    <row r="135" spans="1:11" x14ac:dyDescent="0.25">
      <c r="A135" s="1">
        <v>44784.924537037034</v>
      </c>
      <c r="B135" s="1">
        <v>44784.924328703702</v>
      </c>
      <c r="C135">
        <v>6.9</v>
      </c>
      <c r="D135">
        <v>6.5</v>
      </c>
      <c r="E135">
        <v>0</v>
      </c>
      <c r="F135">
        <v>0</v>
      </c>
      <c r="G135" t="s">
        <v>33</v>
      </c>
      <c r="H135" t="s">
        <v>38</v>
      </c>
      <c r="J135" s="2"/>
      <c r="K135" s="2"/>
    </row>
    <row r="136" spans="1:11" x14ac:dyDescent="0.25">
      <c r="A136" s="1">
        <v>44784.931377314817</v>
      </c>
      <c r="B136" s="1">
        <v>44784.931273148148</v>
      </c>
      <c r="C136">
        <v>6.4</v>
      </c>
      <c r="D136">
        <v>6</v>
      </c>
      <c r="E136">
        <v>0</v>
      </c>
      <c r="F136">
        <v>0</v>
      </c>
      <c r="G136" t="s">
        <v>33</v>
      </c>
      <c r="H136" t="s">
        <v>38</v>
      </c>
      <c r="J136" s="2"/>
      <c r="K136" s="2"/>
    </row>
    <row r="137" spans="1:11" x14ac:dyDescent="0.25">
      <c r="A137" s="1">
        <v>44784.938333333332</v>
      </c>
      <c r="B137" s="1">
        <v>44784.938217592593</v>
      </c>
      <c r="C137">
        <v>6.1</v>
      </c>
      <c r="D137">
        <v>5.9</v>
      </c>
      <c r="E137">
        <v>0</v>
      </c>
      <c r="F137">
        <v>0</v>
      </c>
      <c r="G137" t="s">
        <v>33</v>
      </c>
      <c r="H137" t="s">
        <v>38</v>
      </c>
      <c r="J137" s="2"/>
      <c r="K137" s="2"/>
    </row>
    <row r="138" spans="1:11" x14ac:dyDescent="0.25">
      <c r="A138" s="1">
        <v>44784.945277777777</v>
      </c>
      <c r="B138" s="1">
        <v>44784.945162037038</v>
      </c>
      <c r="C138">
        <v>6.4</v>
      </c>
      <c r="D138">
        <v>5.8</v>
      </c>
      <c r="E138">
        <v>0</v>
      </c>
      <c r="F138">
        <v>0</v>
      </c>
      <c r="G138" t="s">
        <v>33</v>
      </c>
      <c r="H138" t="s">
        <v>38</v>
      </c>
      <c r="J138" s="2"/>
      <c r="K138" s="2"/>
    </row>
    <row r="139" spans="1:11" x14ac:dyDescent="0.25">
      <c r="A139" s="1">
        <v>44784.952268518522</v>
      </c>
      <c r="B139" s="1">
        <v>44784.952106481483</v>
      </c>
      <c r="C139">
        <v>6.5</v>
      </c>
      <c r="D139">
        <v>5.9</v>
      </c>
      <c r="E139">
        <v>0</v>
      </c>
      <c r="F139">
        <v>0</v>
      </c>
      <c r="G139" t="s">
        <v>33</v>
      </c>
      <c r="H139" t="s">
        <v>38</v>
      </c>
      <c r="J139" s="2"/>
      <c r="K139" s="2"/>
    </row>
    <row r="140" spans="1:11" x14ac:dyDescent="0.25">
      <c r="A140" s="1">
        <v>44784.959166666667</v>
      </c>
      <c r="B140" s="1">
        <v>44784.959050925929</v>
      </c>
      <c r="C140">
        <v>6.3</v>
      </c>
      <c r="D140">
        <v>5.7</v>
      </c>
      <c r="E140">
        <v>0</v>
      </c>
      <c r="F140">
        <v>0</v>
      </c>
      <c r="G140" t="s">
        <v>33</v>
      </c>
      <c r="H140" t="s">
        <v>38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</row>
    <row r="141" spans="1:11" x14ac:dyDescent="0.25">
      <c r="A141" s="1">
        <v>44784.966180555559</v>
      </c>
      <c r="B141" s="1">
        <v>44784.965995370374</v>
      </c>
      <c r="C141">
        <v>6.3</v>
      </c>
      <c r="D141">
        <v>5.5</v>
      </c>
      <c r="E141">
        <v>0</v>
      </c>
      <c r="F141">
        <v>0</v>
      </c>
      <c r="G141" t="s">
        <v>33</v>
      </c>
      <c r="H141" t="s">
        <v>38</v>
      </c>
      <c r="J141" s="2"/>
      <c r="K141" s="2"/>
    </row>
    <row r="142" spans="1:11" x14ac:dyDescent="0.25">
      <c r="A142" s="1">
        <v>44784.973055555558</v>
      </c>
      <c r="B142" s="1">
        <v>44784.972939814812</v>
      </c>
      <c r="C142">
        <v>6.2</v>
      </c>
      <c r="D142">
        <v>5.6</v>
      </c>
      <c r="E142">
        <v>0</v>
      </c>
      <c r="F142">
        <v>0</v>
      </c>
      <c r="G142" t="s">
        <v>33</v>
      </c>
      <c r="H142" t="s">
        <v>38</v>
      </c>
      <c r="J142" s="2"/>
      <c r="K142" s="2"/>
    </row>
    <row r="143" spans="1:11" x14ac:dyDescent="0.25">
      <c r="A143" s="1">
        <v>44784.98</v>
      </c>
      <c r="B143" s="1">
        <v>44784.979884259257</v>
      </c>
      <c r="C143">
        <v>6.2</v>
      </c>
      <c r="D143">
        <v>5.7</v>
      </c>
      <c r="E143">
        <v>0</v>
      </c>
      <c r="F143">
        <v>0</v>
      </c>
      <c r="G143" t="s">
        <v>33</v>
      </c>
      <c r="H143" t="s">
        <v>38</v>
      </c>
      <c r="J143" s="2"/>
      <c r="K143" s="2"/>
    </row>
    <row r="144" spans="1:11" x14ac:dyDescent="0.25">
      <c r="A144" s="1">
        <v>44784.986932870372</v>
      </c>
      <c r="B144" s="1">
        <v>44784.986828703702</v>
      </c>
      <c r="C144">
        <v>6.5</v>
      </c>
      <c r="D144">
        <v>6</v>
      </c>
      <c r="E144">
        <v>0</v>
      </c>
      <c r="F144">
        <v>0</v>
      </c>
      <c r="G144" t="s">
        <v>33</v>
      </c>
      <c r="H144" t="s">
        <v>38</v>
      </c>
      <c r="J144" s="2"/>
      <c r="K144" s="2"/>
    </row>
    <row r="145" spans="1:12" x14ac:dyDescent="0.25">
      <c r="A145" s="1">
        <v>44784.993923611109</v>
      </c>
      <c r="B145" s="1">
        <v>44784.993773148148</v>
      </c>
      <c r="C145">
        <v>6.8</v>
      </c>
      <c r="D145">
        <v>6.4</v>
      </c>
      <c r="E145">
        <v>0</v>
      </c>
      <c r="F145">
        <v>0</v>
      </c>
      <c r="G145" t="s">
        <v>33</v>
      </c>
      <c r="H145" t="s">
        <v>38</v>
      </c>
      <c r="J145" s="2"/>
      <c r="K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C71C0-0D4F-4B25-93AF-D664EBA4BBD1}">
  <sheetPr codeName="Sheet20"/>
  <dimension ref="A1:M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3" max="13" width="6.7109375" bestFit="1" customWidth="1"/>
  </cols>
  <sheetData>
    <row r="1" spans="1:13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M1" t="s">
        <v>3</v>
      </c>
    </row>
    <row r="2" spans="1:13" x14ac:dyDescent="0.25">
      <c r="A2" s="1">
        <v>44784.000787037039</v>
      </c>
      <c r="B2" s="1">
        <v>44784.000717592593</v>
      </c>
      <c r="C2">
        <v>2.2999999999999998</v>
      </c>
      <c r="D2">
        <v>0.1</v>
      </c>
      <c r="E2">
        <v>79</v>
      </c>
      <c r="F2">
        <v>0</v>
      </c>
      <c r="G2" t="s">
        <v>33</v>
      </c>
      <c r="H2" t="s">
        <v>36</v>
      </c>
      <c r="I2">
        <v>-2.64</v>
      </c>
      <c r="K2" t="str">
        <f>IF(COUNT(, NA, NA, NA, -2.37, NA, NA, -2.5, -1.85, -1.79, -0.24, NA, 1.56, NA, NA, NA, NA, NA, NA, NA, NA, NA, NA, NA)&gt;17.5,ROUND(AVERAGE(, 0, 0, 0, -2.37, 0, 0, -2.5, -1.85, -1.79, -0.24, 0, 1.56, 0, 0, 0, 0, 0, 0, 0, 0, 0, 0, 0),2),"NO AVG")</f>
        <v>NO AVG</v>
      </c>
      <c r="M2" t="s">
        <v>56</v>
      </c>
    </row>
    <row r="3" spans="1:13" x14ac:dyDescent="0.25">
      <c r="A3" s="1">
        <v>44784.007743055554</v>
      </c>
      <c r="B3" s="1">
        <v>44784.007662037038</v>
      </c>
      <c r="C3">
        <v>2.2999999999999998</v>
      </c>
      <c r="D3">
        <v>0.1</v>
      </c>
      <c r="E3">
        <v>80</v>
      </c>
      <c r="F3">
        <v>0</v>
      </c>
      <c r="G3" t="s">
        <v>33</v>
      </c>
      <c r="H3" t="s">
        <v>36</v>
      </c>
      <c r="I3">
        <v>-2.71</v>
      </c>
      <c r="J3" s="2"/>
      <c r="K3" s="2"/>
    </row>
    <row r="4" spans="1:13" x14ac:dyDescent="0.25">
      <c r="A4" s="1">
        <v>44784.014664351853</v>
      </c>
      <c r="B4" s="1">
        <v>44784.014606481483</v>
      </c>
      <c r="C4">
        <v>2.2999999999999998</v>
      </c>
      <c r="D4">
        <v>0.1</v>
      </c>
      <c r="E4">
        <v>81</v>
      </c>
      <c r="F4">
        <v>0</v>
      </c>
      <c r="G4" t="s">
        <v>33</v>
      </c>
      <c r="H4" t="s">
        <v>36</v>
      </c>
      <c r="I4">
        <v>-2.78</v>
      </c>
      <c r="J4" s="2"/>
      <c r="K4" s="2"/>
    </row>
    <row r="5" spans="1:13" x14ac:dyDescent="0.25">
      <c r="A5" s="1">
        <v>44784.021608796298</v>
      </c>
      <c r="B5" s="1">
        <v>44784.021550925929</v>
      </c>
      <c r="C5">
        <v>2.4</v>
      </c>
      <c r="D5">
        <v>0</v>
      </c>
      <c r="E5">
        <v>81</v>
      </c>
      <c r="F5">
        <v>0</v>
      </c>
      <c r="G5" t="s">
        <v>43</v>
      </c>
      <c r="H5" t="s">
        <v>36</v>
      </c>
      <c r="J5" s="2"/>
      <c r="K5" s="2"/>
    </row>
    <row r="6" spans="1:13" x14ac:dyDescent="0.25">
      <c r="A6" s="1">
        <v>44784.028553240743</v>
      </c>
      <c r="B6" s="1">
        <v>44784.028495370374</v>
      </c>
      <c r="C6">
        <v>2.4</v>
      </c>
      <c r="D6">
        <v>0</v>
      </c>
      <c r="E6">
        <v>80</v>
      </c>
      <c r="F6">
        <v>0</v>
      </c>
      <c r="G6" t="s">
        <v>43</v>
      </c>
      <c r="H6" t="s">
        <v>36</v>
      </c>
      <c r="J6" s="2"/>
      <c r="K6" s="2"/>
    </row>
    <row r="7" spans="1:13" x14ac:dyDescent="0.25">
      <c r="A7" s="1">
        <v>44784.035497685189</v>
      </c>
      <c r="B7" s="1">
        <v>44784.035439814812</v>
      </c>
      <c r="C7">
        <v>2.4</v>
      </c>
      <c r="D7">
        <v>0</v>
      </c>
      <c r="E7">
        <v>80</v>
      </c>
      <c r="F7">
        <v>0</v>
      </c>
      <c r="G7" t="s">
        <v>43</v>
      </c>
      <c r="H7" t="s">
        <v>36</v>
      </c>
      <c r="J7" s="2"/>
      <c r="K7" s="2"/>
    </row>
    <row r="8" spans="1:13" x14ac:dyDescent="0.25">
      <c r="A8" s="1">
        <v>44784.042442129627</v>
      </c>
      <c r="B8" s="1">
        <v>44784.042384259257</v>
      </c>
      <c r="C8">
        <v>2.2999999999999998</v>
      </c>
      <c r="D8">
        <v>0</v>
      </c>
      <c r="E8">
        <v>81</v>
      </c>
      <c r="F8">
        <v>0</v>
      </c>
      <c r="G8" t="s">
        <v>43</v>
      </c>
      <c r="H8" t="s">
        <v>36</v>
      </c>
      <c r="J8" t="str">
        <f>IF(COUNT(I3:I8)&gt;3.5,ROUND(AVERAGE(I3:I8),2),"")</f>
        <v/>
      </c>
      <c r="K8" t="str">
        <f>IF(COUNT(, , NA, NA, -2.37, NA, NA, -2.5, -1.85, -1.79, -0.24, NA, 1.56, NA, NA, NA, NA, NA, NA, NA, NA, NA, NA, NA)&gt;17.5,ROUND(AVERAGE(, , 0, 0, -2.37, 0, 0, -2.5, -1.85, -1.79, -0.24, 0, 1.56, 0, 0, 0, 0, 0, 0, 0, 0, 0, 0, 0),2),"NO AVG")</f>
        <v>NO AVG</v>
      </c>
    </row>
    <row r="9" spans="1:13" x14ac:dyDescent="0.25">
      <c r="A9" s="1">
        <v>44784.049386574072</v>
      </c>
      <c r="B9" s="1">
        <v>44784.049328703702</v>
      </c>
      <c r="C9">
        <v>2.2999999999999998</v>
      </c>
      <c r="D9">
        <v>0</v>
      </c>
      <c r="E9">
        <v>81</v>
      </c>
      <c r="F9">
        <v>0</v>
      </c>
      <c r="G9" t="s">
        <v>43</v>
      </c>
      <c r="H9" t="s">
        <v>36</v>
      </c>
      <c r="J9" s="2"/>
      <c r="K9" s="2"/>
    </row>
    <row r="10" spans="1:13" x14ac:dyDescent="0.25">
      <c r="A10" s="1">
        <v>44784.056342592594</v>
      </c>
      <c r="B10" s="1">
        <v>44784.056273148148</v>
      </c>
      <c r="C10">
        <v>2.2999999999999998</v>
      </c>
      <c r="D10">
        <v>0</v>
      </c>
      <c r="E10">
        <v>81</v>
      </c>
      <c r="F10">
        <v>0</v>
      </c>
      <c r="G10" t="s">
        <v>43</v>
      </c>
      <c r="H10" t="s">
        <v>36</v>
      </c>
      <c r="J10" s="2"/>
      <c r="K10" s="2"/>
    </row>
    <row r="11" spans="1:13" x14ac:dyDescent="0.25">
      <c r="A11" s="1">
        <v>44784.063275462962</v>
      </c>
      <c r="B11" s="1">
        <v>44784.063217592593</v>
      </c>
      <c r="C11">
        <v>2.2000000000000002</v>
      </c>
      <c r="D11">
        <v>0</v>
      </c>
      <c r="E11">
        <v>81</v>
      </c>
      <c r="F11">
        <v>0</v>
      </c>
      <c r="G11" t="s">
        <v>43</v>
      </c>
      <c r="H11" t="s">
        <v>36</v>
      </c>
      <c r="J11" s="2"/>
      <c r="K11" s="2"/>
    </row>
    <row r="12" spans="1:13" x14ac:dyDescent="0.25">
      <c r="A12" s="1">
        <v>44784.070219907408</v>
      </c>
      <c r="B12" s="1">
        <v>44784.070162037038</v>
      </c>
      <c r="C12">
        <v>2.2000000000000002</v>
      </c>
      <c r="D12">
        <v>0</v>
      </c>
      <c r="E12">
        <v>81</v>
      </c>
      <c r="F12">
        <v>0</v>
      </c>
      <c r="G12" t="s">
        <v>43</v>
      </c>
      <c r="H12" t="s">
        <v>36</v>
      </c>
      <c r="J12" s="2"/>
      <c r="K12" s="2"/>
    </row>
    <row r="13" spans="1:13" x14ac:dyDescent="0.25">
      <c r="A13" s="1">
        <v>44784.077175925922</v>
      </c>
      <c r="B13" s="1">
        <v>44784.077106481483</v>
      </c>
      <c r="C13">
        <v>2.2999999999999998</v>
      </c>
      <c r="D13">
        <v>0</v>
      </c>
      <c r="E13">
        <v>81</v>
      </c>
      <c r="F13">
        <v>0</v>
      </c>
      <c r="G13" t="s">
        <v>43</v>
      </c>
      <c r="H13" t="s">
        <v>36</v>
      </c>
      <c r="J13" s="2"/>
      <c r="K13" s="2"/>
    </row>
    <row r="14" spans="1:13" x14ac:dyDescent="0.25">
      <c r="A14" s="1">
        <v>44784.084108796298</v>
      </c>
      <c r="B14" s="1">
        <v>44784.084050925929</v>
      </c>
      <c r="C14">
        <v>2.2999999999999998</v>
      </c>
      <c r="D14">
        <v>0</v>
      </c>
      <c r="E14">
        <v>81</v>
      </c>
      <c r="F14">
        <v>0</v>
      </c>
      <c r="G14" t="s">
        <v>43</v>
      </c>
      <c r="H14" t="s">
        <v>36</v>
      </c>
      <c r="J14" t="str">
        <f>IF(COUNT(I9:I14)&gt;3.5,ROUND(AVERAGE(I9:I14),2),"")</f>
        <v/>
      </c>
      <c r="K14" t="str">
        <f>IF(COUNT(, , , NA, -2.37, NA, NA, -2.5, -1.85, -1.79, -0.24, NA, 1.56, NA, NA, NA, NA, NA, NA, NA, NA, NA, NA, NA)&gt;17.5,ROUND(AVERAGE(, , , 0, -2.37, 0, 0, -2.5, -1.85, -1.79, -0.24, 0, 1.56, 0, 0, 0, 0, 0, 0, 0, 0, 0, 0, 0),2),"NO AVG")</f>
        <v>NO AVG</v>
      </c>
    </row>
    <row r="15" spans="1:13" x14ac:dyDescent="0.25">
      <c r="A15" s="1">
        <v>44784.091064814813</v>
      </c>
      <c r="B15" s="1">
        <v>44784.090995370374</v>
      </c>
      <c r="C15">
        <v>2.2999999999999998</v>
      </c>
      <c r="D15">
        <v>0</v>
      </c>
      <c r="E15">
        <v>82</v>
      </c>
      <c r="F15">
        <v>0</v>
      </c>
      <c r="G15" t="s">
        <v>43</v>
      </c>
      <c r="H15" t="s">
        <v>36</v>
      </c>
      <c r="J15" s="2"/>
      <c r="K15" s="2"/>
    </row>
    <row r="16" spans="1:13" x14ac:dyDescent="0.25">
      <c r="A16" s="1">
        <v>44784.098009259258</v>
      </c>
      <c r="B16" s="1">
        <v>44784.097939814812</v>
      </c>
      <c r="C16">
        <v>2.4</v>
      </c>
      <c r="D16">
        <v>0</v>
      </c>
      <c r="E16">
        <v>82</v>
      </c>
      <c r="F16">
        <v>0</v>
      </c>
      <c r="G16" t="s">
        <v>43</v>
      </c>
      <c r="H16" t="s">
        <v>36</v>
      </c>
      <c r="J16" s="2"/>
      <c r="K16" s="2"/>
    </row>
    <row r="17" spans="1:11" x14ac:dyDescent="0.25">
      <c r="A17" s="1">
        <v>44784.104953703703</v>
      </c>
      <c r="B17" s="1">
        <v>44784.104884259257</v>
      </c>
      <c r="C17">
        <v>2.2999999999999998</v>
      </c>
      <c r="D17">
        <v>0</v>
      </c>
      <c r="E17">
        <v>83</v>
      </c>
      <c r="F17">
        <v>0</v>
      </c>
      <c r="G17" t="s">
        <v>43</v>
      </c>
      <c r="H17" t="s">
        <v>36</v>
      </c>
      <c r="J17" s="2"/>
      <c r="K17" s="2"/>
    </row>
    <row r="18" spans="1:11" x14ac:dyDescent="0.25">
      <c r="A18" s="1">
        <v>44784.111886574072</v>
      </c>
      <c r="B18" s="1">
        <v>44784.111828703702</v>
      </c>
      <c r="C18">
        <v>2.4</v>
      </c>
      <c r="D18">
        <v>0</v>
      </c>
      <c r="E18">
        <v>84</v>
      </c>
      <c r="F18">
        <v>0</v>
      </c>
      <c r="G18" t="s">
        <v>43</v>
      </c>
      <c r="H18" t="s">
        <v>36</v>
      </c>
      <c r="J18" s="2"/>
      <c r="K18" s="2"/>
    </row>
    <row r="19" spans="1:11" x14ac:dyDescent="0.25">
      <c r="A19" s="1">
        <v>44784.118842592594</v>
      </c>
      <c r="B19" s="1">
        <v>44784.118773148148</v>
      </c>
      <c r="C19">
        <v>2.5</v>
      </c>
      <c r="D19">
        <v>0</v>
      </c>
      <c r="E19">
        <v>83</v>
      </c>
      <c r="F19">
        <v>0</v>
      </c>
      <c r="G19" t="s">
        <v>43</v>
      </c>
      <c r="H19" t="s">
        <v>36</v>
      </c>
      <c r="J19" s="2"/>
      <c r="K19" s="2"/>
    </row>
    <row r="20" spans="1:11" x14ac:dyDescent="0.25">
      <c r="A20" s="1">
        <v>44784.125787037039</v>
      </c>
      <c r="B20" s="1">
        <v>44784.125717592593</v>
      </c>
      <c r="C20">
        <v>2.5</v>
      </c>
      <c r="D20">
        <v>0.1</v>
      </c>
      <c r="E20">
        <v>84</v>
      </c>
      <c r="F20">
        <v>0</v>
      </c>
      <c r="G20" t="s">
        <v>33</v>
      </c>
      <c r="H20" t="s">
        <v>36</v>
      </c>
      <c r="I20">
        <v>-2.93</v>
      </c>
      <c r="J20" t="str">
        <f>IF(COUNT(I15:I20)&gt;3.5,ROUND(AVERAGE(I15:I20),2),"")</f>
        <v/>
      </c>
      <c r="K20" t="str">
        <f>IF(COUNT(, , , , -2.37, NA, NA, -2.5, -1.85, -1.79, -0.24, NA, 1.56, NA, NA, NA, NA, NA, NA, NA, NA, NA, NA, NA)&gt;17.5,ROUND(AVERAGE(, , , , -2.37, 0, 0, -2.5, -1.85, -1.79, -0.24, 0, 1.56, 0, 0, 0, 0, 0, 0, 0, 0, 0, 0, 0),2),"NO AVG")</f>
        <v>NO AVG</v>
      </c>
    </row>
    <row r="21" spans="1:11" x14ac:dyDescent="0.25">
      <c r="A21" s="1">
        <v>44784.132731481484</v>
      </c>
      <c r="B21" s="1">
        <v>44784.132662037038</v>
      </c>
      <c r="C21">
        <v>2.7</v>
      </c>
      <c r="D21">
        <v>0.1</v>
      </c>
      <c r="E21">
        <v>85</v>
      </c>
      <c r="F21">
        <v>0</v>
      </c>
      <c r="G21" t="s">
        <v>33</v>
      </c>
      <c r="H21" t="s">
        <v>36</v>
      </c>
      <c r="I21">
        <v>-2.94</v>
      </c>
      <c r="J21" s="2"/>
      <c r="K21" s="2"/>
    </row>
    <row r="22" spans="1:11" x14ac:dyDescent="0.25">
      <c r="A22" s="1">
        <v>44784.139733796299</v>
      </c>
      <c r="B22" s="1">
        <v>44784.139606481483</v>
      </c>
      <c r="C22">
        <v>2.9</v>
      </c>
      <c r="D22">
        <v>0</v>
      </c>
      <c r="E22">
        <v>84</v>
      </c>
      <c r="F22">
        <v>0</v>
      </c>
      <c r="G22" t="s">
        <v>43</v>
      </c>
      <c r="H22" t="s">
        <v>36</v>
      </c>
      <c r="J22" s="2"/>
      <c r="K22" s="2"/>
    </row>
    <row r="23" spans="1:11" x14ac:dyDescent="0.25">
      <c r="A23" s="1">
        <v>44784.146620370368</v>
      </c>
      <c r="B23" s="1">
        <v>44784.146550925929</v>
      </c>
      <c r="C23">
        <v>2.9</v>
      </c>
      <c r="D23">
        <v>0</v>
      </c>
      <c r="E23">
        <v>84</v>
      </c>
      <c r="F23">
        <v>0</v>
      </c>
      <c r="G23" t="s">
        <v>43</v>
      </c>
      <c r="H23" t="s">
        <v>36</v>
      </c>
      <c r="J23" s="2"/>
      <c r="K23" s="2"/>
    </row>
    <row r="24" spans="1:11" x14ac:dyDescent="0.25">
      <c r="A24" s="1">
        <v>44784.153564814813</v>
      </c>
      <c r="B24" s="1">
        <v>44784.153495370374</v>
      </c>
      <c r="C24">
        <v>2.7</v>
      </c>
      <c r="D24">
        <v>0</v>
      </c>
      <c r="E24">
        <v>85</v>
      </c>
      <c r="F24">
        <v>0</v>
      </c>
      <c r="G24" t="s">
        <v>43</v>
      </c>
      <c r="H24" t="s">
        <v>36</v>
      </c>
      <c r="J24" s="2"/>
      <c r="K24" s="2"/>
    </row>
    <row r="25" spans="1:11" x14ac:dyDescent="0.25">
      <c r="A25" s="1">
        <v>44784.160509259258</v>
      </c>
      <c r="B25" s="1">
        <v>44784.160439814812</v>
      </c>
      <c r="C25">
        <v>2.7</v>
      </c>
      <c r="D25">
        <v>0</v>
      </c>
      <c r="E25">
        <v>85</v>
      </c>
      <c r="F25">
        <v>0</v>
      </c>
      <c r="G25" t="s">
        <v>43</v>
      </c>
      <c r="H25" t="s">
        <v>36</v>
      </c>
      <c r="J25" s="2"/>
      <c r="K25" s="2"/>
    </row>
    <row r="26" spans="1:11" x14ac:dyDescent="0.25">
      <c r="A26" s="1">
        <v>44784.167453703703</v>
      </c>
      <c r="B26" s="1">
        <v>44784.167384259257</v>
      </c>
      <c r="C26">
        <v>2.8</v>
      </c>
      <c r="D26">
        <v>0</v>
      </c>
      <c r="E26">
        <v>86</v>
      </c>
      <c r="F26">
        <v>0</v>
      </c>
      <c r="G26" t="s">
        <v>43</v>
      </c>
      <c r="H26" t="s">
        <v>36</v>
      </c>
      <c r="J26" t="str">
        <f>IF(COUNT(I21:I26)&gt;3.5,ROUND(AVERAGE(I21:I26),2),"")</f>
        <v/>
      </c>
      <c r="K26" t="str">
        <f>IF(COUNT(, , , , , NA, NA, -2.5, -1.85, -1.79, -0.24, NA, 1.56, NA, NA, NA, NA, NA, NA, NA, NA, NA, NA, NA)&gt;17.5,ROUND(AVERAGE(, , , , , 0, 0, -2.5, -1.85, -1.79, -0.24, 0, 1.56, 0, 0, 0, 0, 0, 0, 0, 0, 0, 0, 0),2),"NO AVG")</f>
        <v>NO AVG</v>
      </c>
    </row>
    <row r="27" spans="1:11" x14ac:dyDescent="0.25">
      <c r="A27" s="1">
        <v>44784.174409722225</v>
      </c>
      <c r="B27" s="1">
        <v>44784.174328703702</v>
      </c>
      <c r="C27">
        <v>3</v>
      </c>
      <c r="D27">
        <v>0</v>
      </c>
      <c r="E27">
        <v>86</v>
      </c>
      <c r="F27">
        <v>0</v>
      </c>
      <c r="G27" t="s">
        <v>43</v>
      </c>
      <c r="H27" t="s">
        <v>36</v>
      </c>
      <c r="J27" s="2"/>
      <c r="K27" s="2"/>
    </row>
    <row r="28" spans="1:11" x14ac:dyDescent="0.25">
      <c r="A28" s="1"/>
      <c r="B28" s="1">
        <v>44784.180555555555</v>
      </c>
      <c r="J28" s="2"/>
      <c r="K28" s="2"/>
    </row>
    <row r="29" spans="1:11" x14ac:dyDescent="0.25">
      <c r="A29" s="1">
        <v>44784.188287037039</v>
      </c>
      <c r="B29" s="1">
        <v>44784.188217592593</v>
      </c>
      <c r="C29">
        <v>4.0999999999999996</v>
      </c>
      <c r="D29">
        <v>0</v>
      </c>
      <c r="E29">
        <v>87</v>
      </c>
      <c r="F29">
        <v>0</v>
      </c>
      <c r="G29" t="s">
        <v>43</v>
      </c>
      <c r="H29" t="s">
        <v>36</v>
      </c>
      <c r="J29" s="2"/>
      <c r="K29" s="2"/>
    </row>
    <row r="30" spans="1:11" x14ac:dyDescent="0.25">
      <c r="A30" s="1">
        <v>44784.195231481484</v>
      </c>
      <c r="B30" s="1">
        <v>44784.195162037038</v>
      </c>
      <c r="C30">
        <v>4.5999999999999996</v>
      </c>
      <c r="D30">
        <v>0</v>
      </c>
      <c r="E30">
        <v>87</v>
      </c>
      <c r="F30">
        <v>0</v>
      </c>
      <c r="G30" t="s">
        <v>43</v>
      </c>
      <c r="H30" t="s">
        <v>36</v>
      </c>
      <c r="J30" s="2"/>
      <c r="K30" s="2"/>
    </row>
    <row r="31" spans="1:11" x14ac:dyDescent="0.25">
      <c r="A31" s="1">
        <v>44784.202187499999</v>
      </c>
      <c r="B31" s="1">
        <v>44784.20212962963</v>
      </c>
      <c r="C31">
        <v>4.9000000000000004</v>
      </c>
      <c r="D31">
        <v>0</v>
      </c>
      <c r="E31">
        <v>86</v>
      </c>
      <c r="F31">
        <v>0</v>
      </c>
      <c r="G31" t="s">
        <v>43</v>
      </c>
      <c r="H31" t="s">
        <v>36</v>
      </c>
      <c r="J31" s="2"/>
      <c r="K31" s="2"/>
    </row>
    <row r="32" spans="1:11" x14ac:dyDescent="0.25">
      <c r="A32" s="1">
        <v>44784.209120370368</v>
      </c>
      <c r="B32" s="1">
        <v>44784.209050925929</v>
      </c>
      <c r="C32">
        <v>4.8</v>
      </c>
      <c r="D32">
        <v>0</v>
      </c>
      <c r="E32">
        <v>87</v>
      </c>
      <c r="F32">
        <v>0</v>
      </c>
      <c r="G32" t="s">
        <v>43</v>
      </c>
      <c r="H32" t="s">
        <v>36</v>
      </c>
      <c r="J32" t="str">
        <f>IF(COUNT(I27:I32)&gt;3.5,ROUND(AVERAGE(I27:I32),2),"")</f>
        <v/>
      </c>
      <c r="K32" t="str">
        <f>IF(COUNT(, , , , , , NA, -2.5, -1.85, -1.79, -0.24, NA, 1.56, NA, NA, NA, NA, NA, NA, NA, NA, NA, NA, NA)&gt;17.5,ROUND(AVERAGE(, , , , , , 0, -2.5, -1.85, -1.79, -0.24, 0, 1.56, 0, 0, 0, 0, 0, 0, 0, 0, 0, 0, 0),2),"NO AVG")</f>
        <v>NO AVG</v>
      </c>
    </row>
    <row r="33" spans="1:11" x14ac:dyDescent="0.25">
      <c r="A33" s="1">
        <v>44784.216157407405</v>
      </c>
      <c r="B33" s="1">
        <v>44784.215995370374</v>
      </c>
      <c r="C33">
        <v>4.5999999999999996</v>
      </c>
      <c r="D33">
        <v>0</v>
      </c>
      <c r="E33">
        <v>88</v>
      </c>
      <c r="F33">
        <v>0</v>
      </c>
      <c r="G33" t="s">
        <v>43</v>
      </c>
      <c r="H33" t="s">
        <v>36</v>
      </c>
      <c r="J33" s="2"/>
      <c r="K33" s="2"/>
    </row>
    <row r="34" spans="1:11" x14ac:dyDescent="0.25">
      <c r="A34" s="1">
        <v>44784.223020833335</v>
      </c>
      <c r="B34" s="1">
        <v>44784.222939814812</v>
      </c>
      <c r="C34">
        <v>4.5</v>
      </c>
      <c r="D34">
        <v>0</v>
      </c>
      <c r="E34">
        <v>87</v>
      </c>
      <c r="F34">
        <v>0</v>
      </c>
      <c r="G34" t="s">
        <v>43</v>
      </c>
      <c r="H34" t="s">
        <v>36</v>
      </c>
      <c r="J34" s="2"/>
      <c r="K34" s="2"/>
    </row>
    <row r="35" spans="1:11" x14ac:dyDescent="0.25">
      <c r="A35" s="1">
        <v>44784.229953703703</v>
      </c>
      <c r="B35" s="1">
        <v>44784.229884259257</v>
      </c>
      <c r="C35">
        <v>4.4000000000000004</v>
      </c>
      <c r="D35">
        <v>0</v>
      </c>
      <c r="E35">
        <v>88</v>
      </c>
      <c r="F35">
        <v>0</v>
      </c>
      <c r="G35" t="s">
        <v>43</v>
      </c>
      <c r="H35" t="s">
        <v>36</v>
      </c>
      <c r="J35" s="2"/>
      <c r="K35" s="2"/>
    </row>
    <row r="36" spans="1:11" x14ac:dyDescent="0.25">
      <c r="A36" s="1">
        <v>44784.236909722225</v>
      </c>
      <c r="B36" s="1">
        <v>44784.236840277779</v>
      </c>
      <c r="C36">
        <v>4.2</v>
      </c>
      <c r="D36">
        <v>0</v>
      </c>
      <c r="E36">
        <v>87</v>
      </c>
      <c r="F36">
        <v>0</v>
      </c>
      <c r="G36" t="s">
        <v>43</v>
      </c>
      <c r="H36" t="s">
        <v>36</v>
      </c>
      <c r="J36" s="2"/>
      <c r="K36" s="2"/>
    </row>
    <row r="37" spans="1:11" x14ac:dyDescent="0.25">
      <c r="A37" s="1">
        <v>44784.243842592594</v>
      </c>
      <c r="B37" s="1">
        <v>44784.243773148148</v>
      </c>
      <c r="C37">
        <v>4.0999999999999996</v>
      </c>
      <c r="D37">
        <v>0</v>
      </c>
      <c r="E37">
        <v>87</v>
      </c>
      <c r="F37">
        <v>0</v>
      </c>
      <c r="G37" t="s">
        <v>43</v>
      </c>
      <c r="H37" t="s">
        <v>36</v>
      </c>
      <c r="J37" s="2"/>
      <c r="K37" s="2"/>
    </row>
    <row r="38" spans="1:11" x14ac:dyDescent="0.25">
      <c r="A38" s="1">
        <v>44784.250810185185</v>
      </c>
      <c r="B38" s="1">
        <v>44784.25072916667</v>
      </c>
      <c r="C38">
        <v>4</v>
      </c>
      <c r="D38">
        <v>0</v>
      </c>
      <c r="E38">
        <v>87</v>
      </c>
      <c r="F38">
        <v>0</v>
      </c>
      <c r="G38" t="s">
        <v>43</v>
      </c>
      <c r="H38" t="s">
        <v>36</v>
      </c>
      <c r="J38" t="str">
        <f>IF(COUNT(I33:I38)&gt;3.5,ROUND(AVERAGE(I33:I38),2),"")</f>
        <v/>
      </c>
      <c r="K38" t="str">
        <f>IF(COUNT(, , , , , , , -2.5, -1.85, -1.79, -0.24, NA, 1.56, NA, NA, NA, NA, NA, NA, NA, NA, NA, NA, NA)&gt;17.5,ROUND(AVERAGE(, , , , , , , -2.5, -1.85, -1.79, -0.24, 0, 1.56, 0, 0, 0, 0, 0, 0, 0, 0, 0, 0, 0),2),"NO AVG")</f>
        <v>NO AVG</v>
      </c>
    </row>
    <row r="39" spans="1:11" x14ac:dyDescent="0.25">
      <c r="A39" s="1">
        <v>44784.257743055554</v>
      </c>
      <c r="B39" s="1">
        <v>44784.257662037038</v>
      </c>
      <c r="C39">
        <v>4</v>
      </c>
      <c r="D39">
        <v>0</v>
      </c>
      <c r="E39">
        <v>87</v>
      </c>
      <c r="F39">
        <v>0</v>
      </c>
      <c r="G39" t="s">
        <v>43</v>
      </c>
      <c r="H39" t="s">
        <v>36</v>
      </c>
      <c r="J39" s="2"/>
      <c r="K39" s="2"/>
    </row>
    <row r="40" spans="1:11" x14ac:dyDescent="0.25">
      <c r="A40" s="1">
        <v>44784.264687499999</v>
      </c>
      <c r="B40" s="1">
        <v>44784.264606481483</v>
      </c>
      <c r="C40">
        <v>4</v>
      </c>
      <c r="D40">
        <v>0</v>
      </c>
      <c r="E40">
        <v>87</v>
      </c>
      <c r="F40">
        <v>0</v>
      </c>
      <c r="G40" t="s">
        <v>43</v>
      </c>
      <c r="H40" t="s">
        <v>36</v>
      </c>
      <c r="J40" s="2"/>
      <c r="K40" s="2"/>
    </row>
    <row r="41" spans="1:11" x14ac:dyDescent="0.25">
      <c r="A41" s="1">
        <v>44784.271631944444</v>
      </c>
      <c r="B41" s="1">
        <v>44784.271550925929</v>
      </c>
      <c r="C41">
        <v>4</v>
      </c>
      <c r="D41">
        <v>0</v>
      </c>
      <c r="E41">
        <v>88</v>
      </c>
      <c r="F41">
        <v>0</v>
      </c>
      <c r="G41" t="s">
        <v>43</v>
      </c>
      <c r="H41" t="s">
        <v>36</v>
      </c>
      <c r="J41" s="2"/>
      <c r="K41" s="2"/>
    </row>
    <row r="42" spans="1:11" x14ac:dyDescent="0.25">
      <c r="A42" s="1">
        <v>44784.278622685182</v>
      </c>
      <c r="B42" s="1">
        <v>44784.278495370374</v>
      </c>
      <c r="C42">
        <v>3.9</v>
      </c>
      <c r="D42">
        <v>0</v>
      </c>
      <c r="E42">
        <v>87</v>
      </c>
      <c r="F42">
        <v>0</v>
      </c>
      <c r="G42" t="s">
        <v>43</v>
      </c>
      <c r="H42" t="s">
        <v>36</v>
      </c>
      <c r="J42" s="2"/>
      <c r="K42" s="2"/>
    </row>
    <row r="43" spans="1:11" x14ac:dyDescent="0.25">
      <c r="A43" s="1">
        <v>44784.285520833335</v>
      </c>
      <c r="B43" s="1">
        <v>44784.285439814812</v>
      </c>
      <c r="C43">
        <v>3.9</v>
      </c>
      <c r="D43">
        <v>0</v>
      </c>
      <c r="E43">
        <v>87</v>
      </c>
      <c r="F43">
        <v>0</v>
      </c>
      <c r="G43" t="s">
        <v>43</v>
      </c>
      <c r="H43" t="s">
        <v>36</v>
      </c>
      <c r="J43" s="2"/>
      <c r="K43" s="2"/>
    </row>
    <row r="44" spans="1:11" x14ac:dyDescent="0.25">
      <c r="A44" s="1">
        <v>44784.29246527778</v>
      </c>
      <c r="B44" s="1">
        <v>44784.292384259257</v>
      </c>
      <c r="C44">
        <v>4.0999999999999996</v>
      </c>
      <c r="D44">
        <v>0</v>
      </c>
      <c r="E44">
        <v>86</v>
      </c>
      <c r="F44">
        <v>0</v>
      </c>
      <c r="G44" t="s">
        <v>43</v>
      </c>
      <c r="H44" t="s">
        <v>36</v>
      </c>
      <c r="J44" t="str">
        <f>IF(COUNT(I39:I44)&gt;3.5,ROUND(AVERAGE(I39:I44),2),"")</f>
        <v/>
      </c>
      <c r="K44" t="str">
        <f>IF(COUNT(, , , , , , , , -1.85, -1.79, -0.24, NA, 1.56, NA, NA, NA, NA, NA, NA, NA, NA, NA, NA, NA)&gt;17.5,ROUND(AVERAGE(, , , , , , , , -1.85, -1.79, -0.24, 0, 1.56, 0, 0, 0, 0, 0, 0, 0, 0, 0, 0, 0),2),"NO AVG")</f>
        <v>NO AVG</v>
      </c>
    </row>
    <row r="45" spans="1:11" x14ac:dyDescent="0.25">
      <c r="A45" s="1">
        <v>44784.299409722225</v>
      </c>
      <c r="B45" s="1">
        <v>44784.299340277779</v>
      </c>
      <c r="C45">
        <v>4</v>
      </c>
      <c r="D45">
        <v>0</v>
      </c>
      <c r="E45">
        <v>86</v>
      </c>
      <c r="F45">
        <v>0</v>
      </c>
      <c r="G45" t="s">
        <v>43</v>
      </c>
      <c r="H45" t="s">
        <v>36</v>
      </c>
      <c r="J45" s="2"/>
      <c r="K45" s="2"/>
    </row>
    <row r="46" spans="1:11" x14ac:dyDescent="0.25">
      <c r="A46" s="1">
        <v>44784.306354166663</v>
      </c>
      <c r="B46" s="1">
        <v>44784.306273148148</v>
      </c>
      <c r="C46">
        <v>4.2</v>
      </c>
      <c r="D46">
        <v>0</v>
      </c>
      <c r="E46">
        <v>87</v>
      </c>
      <c r="F46">
        <v>0</v>
      </c>
      <c r="G46" t="s">
        <v>43</v>
      </c>
      <c r="H46" t="s">
        <v>36</v>
      </c>
      <c r="J46" s="2"/>
      <c r="K46" s="2"/>
    </row>
    <row r="47" spans="1:11" x14ac:dyDescent="0.25">
      <c r="A47" s="1">
        <v>44784.313287037039</v>
      </c>
      <c r="B47" s="1">
        <v>44784.313217592593</v>
      </c>
      <c r="C47">
        <v>4.5999999999999996</v>
      </c>
      <c r="D47">
        <v>0.2</v>
      </c>
      <c r="E47">
        <v>87</v>
      </c>
      <c r="F47">
        <v>0</v>
      </c>
      <c r="G47" t="s">
        <v>33</v>
      </c>
      <c r="H47" t="s">
        <v>36</v>
      </c>
      <c r="I47">
        <v>-2.4700000000000002</v>
      </c>
      <c r="J47" s="2"/>
      <c r="K47" s="2"/>
    </row>
    <row r="48" spans="1:11" x14ac:dyDescent="0.25">
      <c r="A48" s="1">
        <v>44784.320289351854</v>
      </c>
      <c r="B48" s="1">
        <v>44784.320162037038</v>
      </c>
      <c r="C48">
        <v>5.5</v>
      </c>
      <c r="D48">
        <v>0.1</v>
      </c>
      <c r="E48">
        <v>88</v>
      </c>
      <c r="F48">
        <v>0</v>
      </c>
      <c r="G48" t="s">
        <v>33</v>
      </c>
      <c r="H48" t="s">
        <v>36</v>
      </c>
      <c r="I48">
        <v>-2.29</v>
      </c>
      <c r="J48" s="2"/>
      <c r="K48" s="2"/>
    </row>
    <row r="49" spans="1:11" x14ac:dyDescent="0.25">
      <c r="A49" s="1">
        <v>44784.327187499999</v>
      </c>
      <c r="B49" s="1">
        <v>44784.327106481483</v>
      </c>
      <c r="C49">
        <v>6.4</v>
      </c>
      <c r="D49">
        <v>0.1</v>
      </c>
      <c r="E49">
        <v>88</v>
      </c>
      <c r="F49">
        <v>0</v>
      </c>
      <c r="G49" t="s">
        <v>33</v>
      </c>
      <c r="H49" t="s">
        <v>36</v>
      </c>
      <c r="I49">
        <v>-2.02</v>
      </c>
      <c r="J49" s="2"/>
      <c r="K49" s="2"/>
    </row>
    <row r="50" spans="1:11" x14ac:dyDescent="0.25">
      <c r="A50" s="1">
        <v>44784.334131944444</v>
      </c>
      <c r="B50" s="1">
        <v>44784.334050925929</v>
      </c>
      <c r="C50">
        <v>6.9</v>
      </c>
      <c r="D50">
        <v>0</v>
      </c>
      <c r="E50">
        <v>87</v>
      </c>
      <c r="F50">
        <v>0</v>
      </c>
      <c r="G50" t="s">
        <v>43</v>
      </c>
      <c r="H50" t="s">
        <v>36</v>
      </c>
      <c r="J50" t="str">
        <f>IF(COUNT(I45:I50)&gt;3.5,ROUND(AVERAGE(I45:I50),2),"")</f>
        <v/>
      </c>
      <c r="K50" t="str">
        <f>IF(COUNT(, , , , , , , , , -1.79, -0.24, NA, 1.56, NA, NA, NA, NA, NA, NA, NA, NA, NA, NA, NA)&gt;17.5,ROUND(AVERAGE(, , , , , , , , , -1.79, -0.24, 0, 1.56, 0, 0, 0, 0, 0, 0, 0, 0, 0, 0, 0),2),"NO AVG")</f>
        <v>NO AVG</v>
      </c>
    </row>
    <row r="51" spans="1:11" x14ac:dyDescent="0.25">
      <c r="A51" s="1">
        <v>44784.341145833336</v>
      </c>
      <c r="B51" s="1">
        <v>44784.340995370374</v>
      </c>
      <c r="C51">
        <v>7.3</v>
      </c>
      <c r="D51">
        <v>0</v>
      </c>
      <c r="E51">
        <v>86</v>
      </c>
      <c r="F51">
        <v>0</v>
      </c>
      <c r="G51" t="s">
        <v>43</v>
      </c>
      <c r="H51" t="s">
        <v>36</v>
      </c>
      <c r="J51" s="2"/>
      <c r="K51" s="2"/>
    </row>
    <row r="52" spans="1:11" x14ac:dyDescent="0.25">
      <c r="A52" s="1">
        <v>44784.348020833335</v>
      </c>
      <c r="B52" s="1">
        <v>44784.347951388889</v>
      </c>
      <c r="C52">
        <v>7.4</v>
      </c>
      <c r="D52">
        <v>0.1</v>
      </c>
      <c r="E52">
        <v>83</v>
      </c>
      <c r="F52">
        <v>0</v>
      </c>
      <c r="G52" t="s">
        <v>33</v>
      </c>
      <c r="H52" t="s">
        <v>36</v>
      </c>
      <c r="I52">
        <v>-1.36</v>
      </c>
      <c r="J52" s="2"/>
      <c r="K52" s="2"/>
    </row>
    <row r="53" spans="1:11" x14ac:dyDescent="0.25">
      <c r="A53" s="1">
        <v>44784.35496527778</v>
      </c>
      <c r="B53" s="1">
        <v>44784.354884259257</v>
      </c>
      <c r="C53">
        <v>7.5</v>
      </c>
      <c r="D53">
        <v>0.2</v>
      </c>
      <c r="E53">
        <v>81</v>
      </c>
      <c r="F53">
        <v>0</v>
      </c>
      <c r="G53" t="s">
        <v>33</v>
      </c>
      <c r="H53" t="s">
        <v>36</v>
      </c>
      <c r="I53">
        <v>-1.1599999999999999</v>
      </c>
      <c r="J53" s="2"/>
      <c r="K53" s="2"/>
    </row>
    <row r="54" spans="1:11" x14ac:dyDescent="0.25">
      <c r="A54" s="1">
        <v>44784.361909722225</v>
      </c>
      <c r="B54" s="1">
        <v>44784.361828703702</v>
      </c>
      <c r="C54">
        <v>7.1</v>
      </c>
      <c r="D54">
        <v>0.1</v>
      </c>
      <c r="E54">
        <v>79</v>
      </c>
      <c r="F54">
        <v>0</v>
      </c>
      <c r="G54" t="s">
        <v>33</v>
      </c>
      <c r="H54" t="s">
        <v>36</v>
      </c>
      <c r="I54">
        <v>-1.17</v>
      </c>
      <c r="J54" s="2"/>
      <c r="K54" s="2"/>
    </row>
    <row r="55" spans="1:11" x14ac:dyDescent="0.25">
      <c r="A55" s="1">
        <v>44784.368854166663</v>
      </c>
      <c r="B55" s="1">
        <v>44784.368784722225</v>
      </c>
      <c r="C55">
        <v>6.4</v>
      </c>
      <c r="D55">
        <v>0.1</v>
      </c>
      <c r="E55">
        <v>78</v>
      </c>
      <c r="F55">
        <v>0</v>
      </c>
      <c r="G55" t="s">
        <v>33</v>
      </c>
      <c r="H55" t="s">
        <v>36</v>
      </c>
      <c r="I55">
        <v>-1.32</v>
      </c>
      <c r="J55" s="2"/>
      <c r="K55" s="2"/>
    </row>
    <row r="56" spans="1:11" x14ac:dyDescent="0.25">
      <c r="A56" s="1">
        <v>44784.375810185185</v>
      </c>
      <c r="B56" s="1">
        <v>44784.375717592593</v>
      </c>
      <c r="C56">
        <v>6</v>
      </c>
      <c r="D56">
        <v>0.1</v>
      </c>
      <c r="E56">
        <v>75</v>
      </c>
      <c r="F56">
        <v>0</v>
      </c>
      <c r="G56" t="s">
        <v>33</v>
      </c>
      <c r="H56" t="s">
        <v>36</v>
      </c>
      <c r="I56">
        <v>-1.23</v>
      </c>
      <c r="J56">
        <f>IF(COUNT(I51:I56)&gt;3.5,ROUND(AVERAGE(I51:I56),2),"")</f>
        <v>-1.25</v>
      </c>
      <c r="K56" t="str">
        <f>IF(COUNT(, , , , , , , , , -1.25, -0.24, NA, 1.56, NA, NA, NA, NA, NA, NA, NA, NA, NA, NA, NA)&gt;17.5,ROUND(AVERAGE(, , , , , , , , , -1.25, -0.24, 0, 1.56, 0, 0, 0, 0, 0, 0, 0, 0, 0, 0, 0),2),"NO AVG")</f>
        <v>NO AVG</v>
      </c>
    </row>
    <row r="57" spans="1:11" x14ac:dyDescent="0.25">
      <c r="A57" s="1">
        <v>44784.382754629631</v>
      </c>
      <c r="B57" s="1">
        <v>44784.382662037038</v>
      </c>
      <c r="C57">
        <v>5.6</v>
      </c>
      <c r="D57">
        <v>0.1</v>
      </c>
      <c r="E57">
        <v>71</v>
      </c>
      <c r="F57">
        <v>0</v>
      </c>
      <c r="G57" t="s">
        <v>33</v>
      </c>
      <c r="H57" t="s">
        <v>36</v>
      </c>
      <c r="I57">
        <v>-1.07</v>
      </c>
      <c r="J57" s="2"/>
      <c r="K57" s="2"/>
    </row>
    <row r="58" spans="1:11" x14ac:dyDescent="0.25">
      <c r="A58" s="1">
        <v>44784.389687499999</v>
      </c>
      <c r="B58" s="1">
        <v>44784.389618055553</v>
      </c>
      <c r="C58">
        <v>5.2</v>
      </c>
      <c r="D58">
        <v>0</v>
      </c>
      <c r="E58">
        <v>67</v>
      </c>
      <c r="F58">
        <v>0</v>
      </c>
      <c r="G58" t="s">
        <v>43</v>
      </c>
      <c r="H58" t="s">
        <v>36</v>
      </c>
      <c r="J58" s="2"/>
      <c r="K58" s="2"/>
    </row>
    <row r="59" spans="1:11" x14ac:dyDescent="0.25">
      <c r="A59" s="1">
        <v>44784.396643518521</v>
      </c>
      <c r="B59" s="1">
        <v>44784.396562499998</v>
      </c>
      <c r="C59">
        <v>5.2</v>
      </c>
      <c r="D59">
        <v>0.1</v>
      </c>
      <c r="E59">
        <v>63</v>
      </c>
      <c r="F59">
        <v>0</v>
      </c>
      <c r="G59" t="s">
        <v>33</v>
      </c>
      <c r="H59" t="s">
        <v>36</v>
      </c>
      <c r="I59">
        <v>-0.63</v>
      </c>
      <c r="J59" s="2"/>
      <c r="K59" s="2"/>
    </row>
    <row r="60" spans="1:11" x14ac:dyDescent="0.25">
      <c r="A60" s="1">
        <v>44784.403587962966</v>
      </c>
      <c r="B60" s="1">
        <v>44784.403506944444</v>
      </c>
      <c r="C60">
        <v>5.0999999999999996</v>
      </c>
      <c r="D60">
        <v>0.1</v>
      </c>
      <c r="E60">
        <v>61</v>
      </c>
      <c r="F60">
        <v>0</v>
      </c>
      <c r="G60" t="s">
        <v>33</v>
      </c>
      <c r="H60" t="s">
        <v>36</v>
      </c>
      <c r="I60">
        <v>-0.52</v>
      </c>
      <c r="J60" s="2"/>
      <c r="K60" s="2"/>
    </row>
    <row r="61" spans="1:11" x14ac:dyDescent="0.25">
      <c r="A61" s="1">
        <v>44784.410590277781</v>
      </c>
      <c r="B61" s="1">
        <v>44784.410451388889</v>
      </c>
      <c r="C61">
        <v>5.0999999999999996</v>
      </c>
      <c r="D61">
        <v>0.1</v>
      </c>
      <c r="E61">
        <v>61</v>
      </c>
      <c r="F61">
        <v>0</v>
      </c>
      <c r="G61" t="s">
        <v>33</v>
      </c>
      <c r="H61" t="s">
        <v>36</v>
      </c>
      <c r="I61">
        <v>-0.52</v>
      </c>
      <c r="J61" s="2"/>
      <c r="K61" s="2"/>
    </row>
    <row r="62" spans="1:11" x14ac:dyDescent="0.25">
      <c r="A62" s="1">
        <v>44784.41746527778</v>
      </c>
      <c r="B62" s="1">
        <v>44784.417395833334</v>
      </c>
      <c r="C62">
        <v>5</v>
      </c>
      <c r="D62">
        <v>0</v>
      </c>
      <c r="E62">
        <v>59</v>
      </c>
      <c r="F62">
        <v>0</v>
      </c>
      <c r="G62" t="s">
        <v>43</v>
      </c>
      <c r="H62" t="s">
        <v>36</v>
      </c>
      <c r="J62">
        <f>IF(COUNT(I57:I62)&gt;3.5,ROUND(AVERAGE(I57:I62),2),"")</f>
        <v>-0.69</v>
      </c>
      <c r="K62" t="str">
        <f>IF(COUNT(, , , , , , , , , -1.25, -0.69, NA, 1.56, NA, NA, NA, NA, NA, NA, NA, NA, NA, NA, NA)&gt;17.5,ROUND(AVERAGE(, , , , , , , , , -1.25, -0.69, 0, 1.56, 0, 0, 0, 0, 0, 0, 0, 0, 0, 0, 0),2),"NO AVG")</f>
        <v>NO AVG</v>
      </c>
    </row>
    <row r="63" spans="1:11" x14ac:dyDescent="0.25">
      <c r="A63" s="1">
        <v>44784.424502314818</v>
      </c>
      <c r="B63" s="1">
        <v>44784.424340277779</v>
      </c>
      <c r="C63">
        <v>5.0999999999999996</v>
      </c>
      <c r="D63">
        <v>0.1</v>
      </c>
      <c r="E63">
        <v>58</v>
      </c>
      <c r="F63">
        <v>0</v>
      </c>
      <c r="G63" t="s">
        <v>33</v>
      </c>
      <c r="H63" t="s">
        <v>36</v>
      </c>
      <c r="I63">
        <v>-0.31</v>
      </c>
      <c r="J63" s="2"/>
      <c r="K63" s="2"/>
    </row>
    <row r="64" spans="1:11" x14ac:dyDescent="0.25">
      <c r="A64" s="1">
        <v>44784.431354166663</v>
      </c>
      <c r="B64" s="1">
        <v>44784.431284722225</v>
      </c>
      <c r="C64">
        <v>5.0999999999999996</v>
      </c>
      <c r="D64">
        <v>0.2</v>
      </c>
      <c r="E64">
        <v>56</v>
      </c>
      <c r="F64">
        <v>0</v>
      </c>
      <c r="G64" t="s">
        <v>33</v>
      </c>
      <c r="H64" t="s">
        <v>36</v>
      </c>
      <c r="I64">
        <v>-0.14000000000000001</v>
      </c>
      <c r="J64" s="2"/>
      <c r="K64" s="2"/>
    </row>
    <row r="65" spans="1:11" x14ac:dyDescent="0.25">
      <c r="A65" s="1">
        <v>44784.438321759262</v>
      </c>
      <c r="B65" s="1">
        <v>44784.43822916667</v>
      </c>
      <c r="C65">
        <v>5</v>
      </c>
      <c r="D65">
        <v>0.1</v>
      </c>
      <c r="E65">
        <v>55</v>
      </c>
      <c r="F65">
        <v>0</v>
      </c>
      <c r="G65" t="s">
        <v>33</v>
      </c>
      <c r="H65" t="s">
        <v>36</v>
      </c>
      <c r="I65">
        <v>-0.13</v>
      </c>
      <c r="J65" s="2"/>
      <c r="K65" s="2"/>
    </row>
    <row r="66" spans="1:11" x14ac:dyDescent="0.25">
      <c r="A66" s="1">
        <v>44784.445254629631</v>
      </c>
      <c r="B66" s="1">
        <v>44784.445173611108</v>
      </c>
      <c r="C66">
        <v>4.9000000000000004</v>
      </c>
      <c r="D66">
        <v>0.1</v>
      </c>
      <c r="E66">
        <v>51</v>
      </c>
      <c r="F66">
        <v>0</v>
      </c>
      <c r="G66" t="s">
        <v>33</v>
      </c>
      <c r="H66" t="s">
        <v>36</v>
      </c>
      <c r="I66">
        <v>0.11</v>
      </c>
      <c r="J66" s="2"/>
      <c r="K66" s="2"/>
    </row>
    <row r="67" spans="1:11" x14ac:dyDescent="0.25">
      <c r="A67" s="1">
        <v>44784.452199074076</v>
      </c>
      <c r="B67" s="1">
        <v>44784.452118055553</v>
      </c>
      <c r="C67">
        <v>4.8</v>
      </c>
      <c r="D67">
        <v>0</v>
      </c>
      <c r="E67">
        <v>50</v>
      </c>
      <c r="F67">
        <v>0</v>
      </c>
      <c r="G67" t="s">
        <v>43</v>
      </c>
      <c r="H67" t="s">
        <v>36</v>
      </c>
      <c r="J67" s="2"/>
      <c r="K67" s="2"/>
    </row>
    <row r="68" spans="1:11" x14ac:dyDescent="0.25">
      <c r="A68" s="1">
        <v>44784.459143518521</v>
      </c>
      <c r="B68" s="1">
        <v>44784.459062499998</v>
      </c>
      <c r="C68">
        <v>4.7</v>
      </c>
      <c r="D68">
        <v>0</v>
      </c>
      <c r="E68">
        <v>49</v>
      </c>
      <c r="F68">
        <v>0</v>
      </c>
      <c r="G68" t="s">
        <v>43</v>
      </c>
      <c r="H68" t="s">
        <v>36</v>
      </c>
      <c r="J68">
        <f>IF(COUNT(I63:I68)&gt;3.5,ROUND(AVERAGE(I63:I68),2),"")</f>
        <v>-0.12</v>
      </c>
      <c r="K68" t="str">
        <f>IF(COUNT(, , , , , , , , , -1.25, -0.69, -0.12, 1.56, NA, NA, NA, NA, NA, NA, NA, NA, NA, NA, NA)&gt;17.5,ROUND(AVERAGE(, , , , , , , , , -1.25, -0.69, -0.12, 1.56, 0, 0, 0, 0, 0, 0, 0, 0, 0, 0, 0),2),"NO AVG")</f>
        <v>NO AVG</v>
      </c>
    </row>
    <row r="69" spans="1:11" x14ac:dyDescent="0.25">
      <c r="A69" s="1">
        <v>44784.466099537036</v>
      </c>
      <c r="B69" s="1">
        <v>44784.466006944444</v>
      </c>
      <c r="C69">
        <v>4.5999999999999996</v>
      </c>
      <c r="D69">
        <v>0</v>
      </c>
      <c r="E69">
        <v>50</v>
      </c>
      <c r="F69">
        <v>0</v>
      </c>
      <c r="G69" t="s">
        <v>43</v>
      </c>
      <c r="H69" t="s">
        <v>36</v>
      </c>
      <c r="J69" s="2"/>
      <c r="K69" s="2"/>
    </row>
    <row r="70" spans="1:11" x14ac:dyDescent="0.25">
      <c r="A70" s="1">
        <v>44784.473032407404</v>
      </c>
      <c r="B70" s="1">
        <v>44784.472951388889</v>
      </c>
      <c r="C70">
        <v>4.3</v>
      </c>
      <c r="D70">
        <v>0</v>
      </c>
      <c r="E70">
        <v>46</v>
      </c>
      <c r="F70">
        <v>0</v>
      </c>
      <c r="G70" t="s">
        <v>43</v>
      </c>
      <c r="H70" t="s">
        <v>36</v>
      </c>
      <c r="J70" s="2"/>
      <c r="K70" s="2"/>
    </row>
    <row r="71" spans="1:11" x14ac:dyDescent="0.25">
      <c r="A71" s="1">
        <v>44784.47997685185</v>
      </c>
      <c r="B71" s="1">
        <v>44784.479895833334</v>
      </c>
      <c r="C71">
        <v>4</v>
      </c>
      <c r="D71">
        <v>0</v>
      </c>
      <c r="E71">
        <v>45</v>
      </c>
      <c r="F71">
        <v>0</v>
      </c>
      <c r="G71" t="s">
        <v>43</v>
      </c>
      <c r="H71" t="s">
        <v>36</v>
      </c>
      <c r="J71" s="2"/>
      <c r="K71" s="2"/>
    </row>
    <row r="72" spans="1:11" x14ac:dyDescent="0.25">
      <c r="A72" s="1">
        <v>44784.486956018518</v>
      </c>
      <c r="B72" s="1">
        <v>44784.486840277779</v>
      </c>
      <c r="C72">
        <v>3.7</v>
      </c>
      <c r="D72">
        <v>0.1</v>
      </c>
      <c r="E72">
        <v>43</v>
      </c>
      <c r="F72">
        <v>0</v>
      </c>
      <c r="G72" t="s">
        <v>33</v>
      </c>
      <c r="H72" t="s">
        <v>36</v>
      </c>
      <c r="I72">
        <v>0.31</v>
      </c>
      <c r="J72" s="2"/>
      <c r="K72" s="2"/>
    </row>
    <row r="73" spans="1:11" x14ac:dyDescent="0.25">
      <c r="A73" s="1">
        <v>44784.493923611109</v>
      </c>
      <c r="B73" s="1">
        <v>44784.493784722225</v>
      </c>
      <c r="C73">
        <v>3.8</v>
      </c>
      <c r="D73">
        <v>0</v>
      </c>
      <c r="E73">
        <v>43</v>
      </c>
      <c r="F73">
        <v>0</v>
      </c>
      <c r="G73" t="s">
        <v>43</v>
      </c>
      <c r="H73" t="s">
        <v>36</v>
      </c>
      <c r="J73" s="2"/>
      <c r="K73" s="2"/>
    </row>
    <row r="74" spans="1:11" x14ac:dyDescent="0.25">
      <c r="A74" s="1">
        <v>44784.500810185185</v>
      </c>
      <c r="B74" s="1">
        <v>44784.50072916667</v>
      </c>
      <c r="C74">
        <v>3.9</v>
      </c>
      <c r="D74">
        <v>0</v>
      </c>
      <c r="E74">
        <v>42</v>
      </c>
      <c r="F74">
        <v>0</v>
      </c>
      <c r="G74" t="s">
        <v>43</v>
      </c>
      <c r="H74" t="s">
        <v>36</v>
      </c>
      <c r="J74" t="str">
        <f>IF(COUNT(I69:I74)&gt;3.5,ROUND(AVERAGE(I69:I74),2),"")</f>
        <v/>
      </c>
      <c r="K74" t="str">
        <f>IF(COUNT(, , , , , , , , , -1.25, -0.69, -0.12, , NA, NA, NA, NA, NA, NA, NA, NA, NA, NA, NA)&gt;17.5,ROUND(AVERAGE(, , , , , , , , , -1.25, -0.69, -0.12, , 0, 0, 0, 0, 0, 0, 0, 0, 0, 0, 0),2),"NO AVG")</f>
        <v>NO AVG</v>
      </c>
    </row>
    <row r="75" spans="1:11" x14ac:dyDescent="0.25">
      <c r="A75" s="1">
        <v>44784.507754629631</v>
      </c>
      <c r="B75" s="1">
        <v>44784.507673611108</v>
      </c>
      <c r="C75">
        <v>4.0999999999999996</v>
      </c>
      <c r="D75">
        <v>0.1</v>
      </c>
      <c r="E75">
        <v>42</v>
      </c>
      <c r="F75">
        <v>0</v>
      </c>
      <c r="G75" t="s">
        <v>33</v>
      </c>
      <c r="H75" t="s">
        <v>36</v>
      </c>
      <c r="I75">
        <v>0.5</v>
      </c>
      <c r="J75" s="2"/>
      <c r="K75" s="2"/>
    </row>
    <row r="76" spans="1:11" x14ac:dyDescent="0.25">
      <c r="A76" s="1">
        <v>44784.514699074076</v>
      </c>
      <c r="B76" s="1">
        <v>44784.514618055553</v>
      </c>
      <c r="C76">
        <v>4.3</v>
      </c>
      <c r="D76">
        <v>0.1</v>
      </c>
      <c r="E76">
        <v>41</v>
      </c>
      <c r="F76">
        <v>0</v>
      </c>
      <c r="G76" t="s">
        <v>33</v>
      </c>
      <c r="H76" t="s">
        <v>36</v>
      </c>
      <c r="I76">
        <v>0.63</v>
      </c>
      <c r="J76" s="2"/>
      <c r="K76" s="2"/>
    </row>
    <row r="77" spans="1:11" x14ac:dyDescent="0.25">
      <c r="A77" s="1">
        <v>44784.521655092591</v>
      </c>
      <c r="B77" s="1">
        <v>44784.521562499998</v>
      </c>
      <c r="C77">
        <v>4.5</v>
      </c>
      <c r="D77">
        <v>0</v>
      </c>
      <c r="E77">
        <v>44</v>
      </c>
      <c r="F77">
        <v>0</v>
      </c>
      <c r="G77" t="s">
        <v>43</v>
      </c>
      <c r="H77" t="s">
        <v>36</v>
      </c>
      <c r="J77" s="2"/>
      <c r="K77" s="2"/>
    </row>
    <row r="78" spans="1:11" x14ac:dyDescent="0.25">
      <c r="A78" s="1">
        <v>44784.528634259259</v>
      </c>
      <c r="B78" s="1">
        <v>44784.528506944444</v>
      </c>
      <c r="C78">
        <v>4.5999999999999996</v>
      </c>
      <c r="D78">
        <v>0</v>
      </c>
      <c r="E78">
        <v>42</v>
      </c>
      <c r="F78">
        <v>0</v>
      </c>
      <c r="G78" t="s">
        <v>43</v>
      </c>
      <c r="H78" t="s">
        <v>36</v>
      </c>
      <c r="J78" s="2"/>
      <c r="K78" s="2"/>
    </row>
    <row r="79" spans="1:11" x14ac:dyDescent="0.25">
      <c r="A79" s="1">
        <v>44784.535532407404</v>
      </c>
      <c r="B79" s="1">
        <v>44784.535451388889</v>
      </c>
      <c r="C79">
        <v>4.5</v>
      </c>
      <c r="D79">
        <v>0</v>
      </c>
      <c r="E79">
        <v>40</v>
      </c>
      <c r="F79">
        <v>0</v>
      </c>
      <c r="G79" t="s">
        <v>43</v>
      </c>
      <c r="H79" t="s">
        <v>36</v>
      </c>
      <c r="J79" s="2"/>
      <c r="K79" s="2"/>
    </row>
    <row r="80" spans="1:11" x14ac:dyDescent="0.25">
      <c r="A80" s="1">
        <v>44784.54247685185</v>
      </c>
      <c r="B80" s="1">
        <v>44784.542395833334</v>
      </c>
      <c r="C80">
        <v>4.4000000000000004</v>
      </c>
      <c r="D80">
        <v>0</v>
      </c>
      <c r="E80">
        <v>38</v>
      </c>
      <c r="F80">
        <v>0</v>
      </c>
      <c r="G80" t="s">
        <v>32</v>
      </c>
      <c r="H80" t="s">
        <v>36</v>
      </c>
      <c r="J80" t="str">
        <f>IF(COUNT(I75:I80)&gt;3.5,ROUND(AVERAGE(I75:I80),2),"")</f>
        <v/>
      </c>
      <c r="K80" t="str">
        <f>IF(COUNT(, , , , , , , , , -1.25, -0.69, -0.12, , , NA, NA, NA, NA, NA, NA, NA, NA, NA, NA)&gt;17.5,ROUND(AVERAGE(, , , , , , , , , -1.25, -0.69, -0.12, , , 0, 0, 0, 0, 0, 0, 0, 0, 0, 0),2),"NO AVG")</f>
        <v>NO AVG</v>
      </c>
    </row>
    <row r="81" spans="1:11" x14ac:dyDescent="0.25">
      <c r="A81" s="1">
        <v>44784.549432870372</v>
      </c>
      <c r="B81" s="1">
        <v>44784.549340277779</v>
      </c>
      <c r="C81">
        <v>4.2</v>
      </c>
      <c r="D81">
        <v>0</v>
      </c>
      <c r="E81">
        <v>37</v>
      </c>
      <c r="F81">
        <v>0</v>
      </c>
      <c r="G81" t="s">
        <v>43</v>
      </c>
      <c r="H81" t="s">
        <v>36</v>
      </c>
      <c r="J81" s="2"/>
      <c r="K81" s="2"/>
    </row>
    <row r="82" spans="1:11" x14ac:dyDescent="0.25">
      <c r="A82" s="1">
        <v>44784.556863425925</v>
      </c>
      <c r="B82" s="1">
        <v>44784.556284722225</v>
      </c>
      <c r="C82">
        <v>4</v>
      </c>
      <c r="D82">
        <v>0</v>
      </c>
      <c r="E82">
        <v>35</v>
      </c>
      <c r="F82">
        <v>0</v>
      </c>
      <c r="G82" t="s">
        <v>43</v>
      </c>
      <c r="H82" t="s">
        <v>36</v>
      </c>
      <c r="J82" s="2"/>
      <c r="K82" s="2"/>
    </row>
    <row r="83" spans="1:11" x14ac:dyDescent="0.25">
      <c r="A83" s="1">
        <v>44784.563321759262</v>
      </c>
      <c r="B83" s="1">
        <v>44784.56322916667</v>
      </c>
      <c r="C83">
        <v>3.9</v>
      </c>
      <c r="D83">
        <v>0.1</v>
      </c>
      <c r="E83">
        <v>35</v>
      </c>
      <c r="F83">
        <v>0</v>
      </c>
      <c r="G83" t="s">
        <v>33</v>
      </c>
      <c r="H83" t="s">
        <v>36</v>
      </c>
      <c r="I83">
        <v>0.93</v>
      </c>
      <c r="J83" s="2"/>
      <c r="K83" s="2"/>
    </row>
    <row r="84" spans="1:11" x14ac:dyDescent="0.25">
      <c r="A84" s="1">
        <v>44784.5703125</v>
      </c>
      <c r="B84" s="1">
        <v>44784.570173611108</v>
      </c>
      <c r="C84">
        <v>4</v>
      </c>
      <c r="D84">
        <v>0.1</v>
      </c>
      <c r="E84">
        <v>34</v>
      </c>
      <c r="F84">
        <v>0</v>
      </c>
      <c r="G84" t="s">
        <v>33</v>
      </c>
      <c r="H84" t="s">
        <v>36</v>
      </c>
      <c r="I84">
        <v>1.03</v>
      </c>
      <c r="J84" s="2"/>
      <c r="K84" s="2"/>
    </row>
    <row r="85" spans="1:11" x14ac:dyDescent="0.25">
      <c r="A85" s="1">
        <v>44784.577210648145</v>
      </c>
      <c r="B85" s="1">
        <v>44784.577118055553</v>
      </c>
      <c r="C85">
        <v>4.0999999999999996</v>
      </c>
      <c r="D85">
        <v>0</v>
      </c>
      <c r="E85">
        <v>36</v>
      </c>
      <c r="F85">
        <v>0</v>
      </c>
      <c r="G85" t="s">
        <v>43</v>
      </c>
      <c r="H85" t="s">
        <v>36</v>
      </c>
      <c r="J85" s="2"/>
      <c r="K85" s="2"/>
    </row>
    <row r="86" spans="1:11" x14ac:dyDescent="0.25">
      <c r="A86" s="1">
        <v>44784.584155092591</v>
      </c>
      <c r="B86" s="1">
        <v>44784.584062499998</v>
      </c>
      <c r="C86">
        <v>4.2</v>
      </c>
      <c r="D86">
        <v>0.1</v>
      </c>
      <c r="E86">
        <v>36</v>
      </c>
      <c r="F86">
        <v>0</v>
      </c>
      <c r="G86" t="s">
        <v>33</v>
      </c>
      <c r="H86" t="s">
        <v>36</v>
      </c>
      <c r="I86">
        <v>0.95</v>
      </c>
      <c r="J86" t="str">
        <f>IF(COUNT(I81:I86)&gt;3.5,ROUND(AVERAGE(I81:I86),2),"")</f>
        <v/>
      </c>
      <c r="K86" t="str">
        <f>IF(COUNT(, , , , , , , , , -1.25, -0.69, -0.12, , , , NA, NA, NA, NA, NA, NA, NA, NA, NA)&gt;17.5,ROUND(AVERAGE(, , , , , , , , , -1.25, -0.69, -0.12, , , , 0, 0, 0, 0, 0, 0, 0, 0, 0),2),"NO AVG")</f>
        <v>NO AVG</v>
      </c>
    </row>
    <row r="87" spans="1:11" x14ac:dyDescent="0.25">
      <c r="A87" s="1">
        <v>44784.591168981482</v>
      </c>
      <c r="B87" s="1">
        <v>44784.591006944444</v>
      </c>
      <c r="C87">
        <v>4.4000000000000004</v>
      </c>
      <c r="D87">
        <v>0.1</v>
      </c>
      <c r="E87">
        <v>35</v>
      </c>
      <c r="F87">
        <v>0</v>
      </c>
      <c r="G87" t="s">
        <v>33</v>
      </c>
      <c r="H87" t="s">
        <v>36</v>
      </c>
      <c r="I87">
        <v>1.08</v>
      </c>
      <c r="J87" s="2"/>
      <c r="K87" s="2"/>
    </row>
    <row r="88" spans="1:11" x14ac:dyDescent="0.25">
      <c r="A88" s="1">
        <v>44784.598078703704</v>
      </c>
      <c r="B88" s="1">
        <v>44784.597951388889</v>
      </c>
      <c r="C88">
        <v>4.5999999999999996</v>
      </c>
      <c r="D88">
        <v>0</v>
      </c>
      <c r="E88">
        <v>34</v>
      </c>
      <c r="F88">
        <v>0</v>
      </c>
      <c r="G88" t="s">
        <v>43</v>
      </c>
      <c r="H88" t="s">
        <v>36</v>
      </c>
      <c r="J88" s="2"/>
      <c r="K88" s="2"/>
    </row>
    <row r="89" spans="1:11" x14ac:dyDescent="0.25">
      <c r="A89" s="1">
        <v>44784.604988425926</v>
      </c>
      <c r="B89" s="1">
        <v>44784.604895833334</v>
      </c>
      <c r="C89">
        <v>4.5999999999999996</v>
      </c>
      <c r="D89">
        <v>0</v>
      </c>
      <c r="E89">
        <v>36</v>
      </c>
      <c r="F89">
        <v>0</v>
      </c>
      <c r="G89" t="s">
        <v>43</v>
      </c>
      <c r="H89" t="s">
        <v>36</v>
      </c>
      <c r="J89" s="2"/>
      <c r="K89" s="2"/>
    </row>
    <row r="90" spans="1:11" x14ac:dyDescent="0.25">
      <c r="A90" s="1">
        <v>44784.611990740741</v>
      </c>
      <c r="B90" s="1">
        <v>44784.611840277779</v>
      </c>
      <c r="C90">
        <v>4.8</v>
      </c>
      <c r="D90">
        <v>0</v>
      </c>
      <c r="E90">
        <v>36</v>
      </c>
      <c r="F90">
        <v>0</v>
      </c>
      <c r="G90" t="s">
        <v>43</v>
      </c>
      <c r="H90" t="s">
        <v>36</v>
      </c>
      <c r="J90" s="2"/>
      <c r="K90" s="2"/>
    </row>
    <row r="91" spans="1:11" x14ac:dyDescent="0.25">
      <c r="A91" s="1">
        <v>44784.618877314817</v>
      </c>
      <c r="B91" s="1">
        <v>44784.618784722225</v>
      </c>
      <c r="C91">
        <v>5</v>
      </c>
      <c r="D91">
        <v>0</v>
      </c>
      <c r="E91">
        <v>36</v>
      </c>
      <c r="F91">
        <v>0</v>
      </c>
      <c r="G91" t="s">
        <v>43</v>
      </c>
      <c r="H91" t="s">
        <v>36</v>
      </c>
      <c r="J91" s="2"/>
      <c r="K91" s="2"/>
    </row>
    <row r="92" spans="1:11" x14ac:dyDescent="0.25">
      <c r="A92" s="1">
        <v>44784.625868055555</v>
      </c>
      <c r="B92" s="1">
        <v>44784.62572916667</v>
      </c>
      <c r="C92">
        <v>5.0999999999999996</v>
      </c>
      <c r="D92">
        <v>0</v>
      </c>
      <c r="E92">
        <v>36</v>
      </c>
      <c r="F92">
        <v>0</v>
      </c>
      <c r="G92" t="s">
        <v>43</v>
      </c>
      <c r="H92" t="s">
        <v>36</v>
      </c>
      <c r="J92" t="str">
        <f>IF(COUNT(I87:I92)&gt;3.5,ROUND(AVERAGE(I87:I92),2),"")</f>
        <v/>
      </c>
      <c r="K92" t="str">
        <f>IF(COUNT(, , , , , , , , , -1.25, -0.69, -0.12, , , , , NA, NA, NA, NA, NA, NA, NA, NA)&gt;17.5,ROUND(AVERAGE(, , , , , , , , , -1.25, -0.69, -0.12, , , , , 0, 0, 0, 0, 0, 0, 0, 0),2),"NO AVG")</f>
        <v>NO AVG</v>
      </c>
    </row>
    <row r="93" spans="1:11" x14ac:dyDescent="0.25">
      <c r="A93" s="1">
        <v>44784.632754629631</v>
      </c>
      <c r="B93" s="1">
        <v>44784.632673611108</v>
      </c>
      <c r="C93">
        <v>5.0999999999999996</v>
      </c>
      <c r="D93">
        <v>0</v>
      </c>
      <c r="E93">
        <v>36</v>
      </c>
      <c r="F93">
        <v>0</v>
      </c>
      <c r="G93" t="s">
        <v>43</v>
      </c>
      <c r="H93" t="s">
        <v>36</v>
      </c>
      <c r="J93" s="2"/>
      <c r="K93" s="2"/>
    </row>
    <row r="94" spans="1:11" x14ac:dyDescent="0.25">
      <c r="A94" s="1">
        <v>44784.639687499999</v>
      </c>
      <c r="B94" s="1">
        <v>44784.639618055553</v>
      </c>
      <c r="C94">
        <v>5.2</v>
      </c>
      <c r="D94">
        <v>0.1</v>
      </c>
      <c r="E94">
        <v>36</v>
      </c>
      <c r="F94">
        <v>0</v>
      </c>
      <c r="G94" t="s">
        <v>33</v>
      </c>
      <c r="H94" t="s">
        <v>36</v>
      </c>
      <c r="I94">
        <v>1.26</v>
      </c>
      <c r="J94" s="2"/>
      <c r="K94" s="2"/>
    </row>
    <row r="95" spans="1:11" x14ac:dyDescent="0.25">
      <c r="A95" s="1">
        <v>44784.646643518521</v>
      </c>
      <c r="B95" s="1">
        <v>44784.646562499998</v>
      </c>
      <c r="C95">
        <v>5.3</v>
      </c>
      <c r="D95">
        <v>0.1</v>
      </c>
      <c r="E95">
        <v>36</v>
      </c>
      <c r="F95">
        <v>0</v>
      </c>
      <c r="G95" t="s">
        <v>33</v>
      </c>
      <c r="H95" t="s">
        <v>36</v>
      </c>
      <c r="I95">
        <v>1.29</v>
      </c>
      <c r="J95" s="2"/>
      <c r="K95" s="2"/>
    </row>
    <row r="96" spans="1:11" x14ac:dyDescent="0.25">
      <c r="A96" s="1">
        <v>44784.653587962966</v>
      </c>
      <c r="B96" s="1">
        <v>44784.653506944444</v>
      </c>
      <c r="C96">
        <v>5.3</v>
      </c>
      <c r="D96">
        <v>0.1</v>
      </c>
      <c r="E96">
        <v>34</v>
      </c>
      <c r="F96">
        <v>0</v>
      </c>
      <c r="G96" t="s">
        <v>33</v>
      </c>
      <c r="H96" t="s">
        <v>36</v>
      </c>
      <c r="I96">
        <v>1.43</v>
      </c>
      <c r="J96" s="2"/>
      <c r="K96" s="2"/>
    </row>
    <row r="97" spans="1:11" x14ac:dyDescent="0.25">
      <c r="A97" s="1">
        <v>44784.660532407404</v>
      </c>
      <c r="B97" s="1">
        <v>44784.660451388889</v>
      </c>
      <c r="C97">
        <v>5.2</v>
      </c>
      <c r="D97">
        <v>0.1</v>
      </c>
      <c r="E97">
        <v>36</v>
      </c>
      <c r="F97">
        <v>0</v>
      </c>
      <c r="G97" t="s">
        <v>33</v>
      </c>
      <c r="H97" t="s">
        <v>36</v>
      </c>
      <c r="I97">
        <v>1.26</v>
      </c>
      <c r="J97" s="2"/>
      <c r="K97" s="2"/>
    </row>
    <row r="98" spans="1:11" x14ac:dyDescent="0.25">
      <c r="A98" s="1">
        <v>44784.66747685185</v>
      </c>
      <c r="B98" s="1">
        <v>44784.667395833334</v>
      </c>
      <c r="C98">
        <v>5.4</v>
      </c>
      <c r="D98">
        <v>0.1</v>
      </c>
      <c r="E98">
        <v>37</v>
      </c>
      <c r="F98">
        <v>0</v>
      </c>
      <c r="G98" t="s">
        <v>33</v>
      </c>
      <c r="H98" t="s">
        <v>36</v>
      </c>
      <c r="I98">
        <v>1.25</v>
      </c>
      <c r="J98">
        <f>IF(COUNT(I93:I98)&gt;3.5,ROUND(AVERAGE(I93:I98),2),"")</f>
        <v>1.3</v>
      </c>
      <c r="K98" t="str">
        <f>IF(COUNT(, , , , , , , , , -1.25, -0.69, -0.12, , , , , 1.3, NA, NA, NA, NA, NA, NA, NA)&gt;17.5,ROUND(AVERAGE(, , , , , , , , , -1.25, -0.69, -0.12, , , , , 1.3, 0, 0, 0, 0, 0, 0, 0),2),"NO AVG")</f>
        <v>NO AVG</v>
      </c>
    </row>
    <row r="99" spans="1:11" x14ac:dyDescent="0.25">
      <c r="A99" s="1">
        <v>44784.674421296295</v>
      </c>
      <c r="B99" s="1">
        <v>44784.674328703702</v>
      </c>
      <c r="C99">
        <v>5.4</v>
      </c>
      <c r="D99">
        <v>0.1</v>
      </c>
      <c r="E99">
        <v>38</v>
      </c>
      <c r="F99">
        <v>0</v>
      </c>
      <c r="G99" t="s">
        <v>33</v>
      </c>
      <c r="H99" t="s">
        <v>36</v>
      </c>
      <c r="I99">
        <v>1.18</v>
      </c>
      <c r="J99" s="2"/>
      <c r="K99" s="2"/>
    </row>
    <row r="100" spans="1:11" x14ac:dyDescent="0.25">
      <c r="A100" s="1">
        <v>44784.681354166663</v>
      </c>
      <c r="B100" s="1">
        <v>44784.681273148148</v>
      </c>
      <c r="C100">
        <v>5.3</v>
      </c>
      <c r="D100">
        <v>0.1</v>
      </c>
      <c r="E100">
        <v>39</v>
      </c>
      <c r="F100">
        <v>0</v>
      </c>
      <c r="G100" t="s">
        <v>33</v>
      </c>
      <c r="H100" t="s">
        <v>36</v>
      </c>
      <c r="I100">
        <v>1.08</v>
      </c>
      <c r="J100" s="2"/>
      <c r="K100" s="2"/>
    </row>
    <row r="101" spans="1:11" x14ac:dyDescent="0.25">
      <c r="A101" s="1">
        <v>44784.688344907408</v>
      </c>
      <c r="B101" s="1">
        <v>44784.688217592593</v>
      </c>
      <c r="C101">
        <v>5.3</v>
      </c>
      <c r="D101">
        <v>0.1</v>
      </c>
      <c r="E101">
        <v>39</v>
      </c>
      <c r="F101">
        <v>0</v>
      </c>
      <c r="G101" t="s">
        <v>33</v>
      </c>
      <c r="H101" t="s">
        <v>36</v>
      </c>
      <c r="I101">
        <v>1.08</v>
      </c>
      <c r="J101" s="2"/>
      <c r="K101" s="2"/>
    </row>
    <row r="102" spans="1:11" x14ac:dyDescent="0.25">
      <c r="A102" s="1">
        <v>44784.695243055554</v>
      </c>
      <c r="B102" s="1">
        <v>44784.695162037038</v>
      </c>
      <c r="C102">
        <v>5.0999999999999996</v>
      </c>
      <c r="D102">
        <v>0</v>
      </c>
      <c r="E102">
        <v>39</v>
      </c>
      <c r="F102">
        <v>0</v>
      </c>
      <c r="G102" t="s">
        <v>43</v>
      </c>
      <c r="H102" t="s">
        <v>36</v>
      </c>
      <c r="J102" s="2"/>
      <c r="K102" s="2"/>
    </row>
    <row r="103" spans="1:11" x14ac:dyDescent="0.25">
      <c r="A103" s="1">
        <v>44784.702187499999</v>
      </c>
      <c r="B103" s="1">
        <v>44784.702106481483</v>
      </c>
      <c r="C103">
        <v>5.0999999999999996</v>
      </c>
      <c r="D103">
        <v>0</v>
      </c>
      <c r="E103">
        <v>38</v>
      </c>
      <c r="F103">
        <v>0</v>
      </c>
      <c r="G103" t="s">
        <v>43</v>
      </c>
      <c r="H103" t="s">
        <v>36</v>
      </c>
      <c r="J103" s="2"/>
      <c r="K103" s="2"/>
    </row>
    <row r="104" spans="1:11" x14ac:dyDescent="0.25">
      <c r="A104" s="1">
        <v>44784.709143518521</v>
      </c>
      <c r="B104" s="1">
        <v>44784.709050925929</v>
      </c>
      <c r="C104">
        <v>5.0999999999999996</v>
      </c>
      <c r="D104">
        <v>0</v>
      </c>
      <c r="E104">
        <v>37</v>
      </c>
      <c r="F104">
        <v>0</v>
      </c>
      <c r="G104" t="s">
        <v>43</v>
      </c>
      <c r="H104" t="s">
        <v>36</v>
      </c>
      <c r="J104" t="str">
        <f>IF(COUNT(I99:I104)&gt;3.5,ROUND(AVERAGE(I99:I104),2),"")</f>
        <v/>
      </c>
      <c r="K104">
        <f>IF(COUNT(, , , , , , , , , -1.25, -0.69, -0.12, , , , , 1.3, , NA, NA, NA, NA, NA, NA)&gt;17.5,ROUND(AVERAGE(, , , , , , , , , -1.25, -0.69, -0.12, , , , , 1.3, , 0, 0, 0, 0, 0, 0),2),"NO AVG")</f>
        <v>-0.03</v>
      </c>
    </row>
    <row r="105" spans="1:11" x14ac:dyDescent="0.25">
      <c r="A105" s="1">
        <v>44784.716087962966</v>
      </c>
      <c r="B105" s="1">
        <v>44784.715995370374</v>
      </c>
      <c r="C105">
        <v>5.0999999999999996</v>
      </c>
      <c r="D105">
        <v>0</v>
      </c>
      <c r="E105">
        <v>37</v>
      </c>
      <c r="F105">
        <v>0</v>
      </c>
      <c r="G105" t="s">
        <v>43</v>
      </c>
      <c r="H105" t="s">
        <v>36</v>
      </c>
      <c r="J105" s="2"/>
      <c r="K105" s="2"/>
    </row>
    <row r="106" spans="1:11" x14ac:dyDescent="0.25">
      <c r="A106" s="1">
        <v>44784.723020833335</v>
      </c>
      <c r="B106" s="1">
        <v>44784.722939814812</v>
      </c>
      <c r="C106">
        <v>5</v>
      </c>
      <c r="D106">
        <v>0.1</v>
      </c>
      <c r="E106">
        <v>37</v>
      </c>
      <c r="F106">
        <v>0</v>
      </c>
      <c r="G106" t="s">
        <v>33</v>
      </c>
      <c r="H106" t="s">
        <v>36</v>
      </c>
      <c r="I106">
        <v>1.1299999999999999</v>
      </c>
      <c r="J106" s="2"/>
      <c r="K106" s="2"/>
    </row>
    <row r="107" spans="1:11" x14ac:dyDescent="0.25">
      <c r="A107" s="1">
        <v>44784.72996527778</v>
      </c>
      <c r="B107" s="1">
        <v>44784.729884259257</v>
      </c>
      <c r="C107">
        <v>5.0999999999999996</v>
      </c>
      <c r="D107">
        <v>0</v>
      </c>
      <c r="E107">
        <v>36</v>
      </c>
      <c r="F107">
        <v>0</v>
      </c>
      <c r="G107" t="s">
        <v>43</v>
      </c>
      <c r="H107" t="s">
        <v>36</v>
      </c>
      <c r="J107" s="2"/>
      <c r="K107" s="2"/>
    </row>
    <row r="108" spans="1:11" x14ac:dyDescent="0.25">
      <c r="A108" s="1">
        <v>44784.736921296295</v>
      </c>
      <c r="B108" s="1">
        <v>44784.736828703702</v>
      </c>
      <c r="C108">
        <v>5.2</v>
      </c>
      <c r="D108">
        <v>0.1</v>
      </c>
      <c r="E108">
        <v>36</v>
      </c>
      <c r="F108">
        <v>0</v>
      </c>
      <c r="G108" t="s">
        <v>33</v>
      </c>
      <c r="H108" t="s">
        <v>36</v>
      </c>
      <c r="I108">
        <v>1.26</v>
      </c>
      <c r="J108" s="2"/>
      <c r="K108" s="2"/>
    </row>
    <row r="109" spans="1:11" x14ac:dyDescent="0.25">
      <c r="A109" s="1">
        <v>44784.743854166663</v>
      </c>
      <c r="B109" s="1">
        <v>44784.743773148148</v>
      </c>
      <c r="C109">
        <v>5.5</v>
      </c>
      <c r="D109">
        <v>0.1</v>
      </c>
      <c r="E109">
        <v>37</v>
      </c>
      <c r="F109">
        <v>0</v>
      </c>
      <c r="G109" t="s">
        <v>33</v>
      </c>
      <c r="H109" t="s">
        <v>36</v>
      </c>
      <c r="I109">
        <v>1.28</v>
      </c>
      <c r="J109" s="2"/>
      <c r="K109" s="2"/>
    </row>
    <row r="110" spans="1:11" x14ac:dyDescent="0.25">
      <c r="A110" s="1">
        <v>44784.750868055555</v>
      </c>
      <c r="B110" s="1">
        <v>44784.750717592593</v>
      </c>
      <c r="C110">
        <v>5.8</v>
      </c>
      <c r="D110">
        <v>0.1</v>
      </c>
      <c r="E110">
        <v>36</v>
      </c>
      <c r="F110">
        <v>0</v>
      </c>
      <c r="G110" t="s">
        <v>33</v>
      </c>
      <c r="H110" t="s">
        <v>36</v>
      </c>
      <c r="I110">
        <v>1.44</v>
      </c>
      <c r="J110">
        <f>IF(COUNT(I105:I110)&gt;3.5,ROUND(AVERAGE(I105:I110),2),"")</f>
        <v>1.28</v>
      </c>
      <c r="K110">
        <f>IF(COUNT(, , , , , , , , , -1.25, -0.69, -0.12, , , , , 1.3, , 1.28, NA, NA, NA, NA, NA)&gt;17.5,ROUND(AVERAGE(, , , , , , , , , -1.25, -0.69, -0.12, , , , , 1.3, , 1.28, 0, 0, 0, 0, 0),2),"NO AVG")</f>
        <v>0.02</v>
      </c>
    </row>
    <row r="111" spans="1:11" x14ac:dyDescent="0.25">
      <c r="A111" s="1">
        <v>44784.757754629631</v>
      </c>
      <c r="B111" s="1">
        <v>44784.757662037038</v>
      </c>
      <c r="C111">
        <v>5.9</v>
      </c>
      <c r="D111">
        <v>0.2</v>
      </c>
      <c r="E111">
        <v>37</v>
      </c>
      <c r="F111">
        <v>0</v>
      </c>
      <c r="G111" t="s">
        <v>33</v>
      </c>
      <c r="H111" t="s">
        <v>36</v>
      </c>
      <c r="I111">
        <v>1.43</v>
      </c>
      <c r="J111" s="2"/>
      <c r="K111" s="2"/>
    </row>
    <row r="112" spans="1:11" x14ac:dyDescent="0.25">
      <c r="A112" s="1">
        <v>44784.764687499999</v>
      </c>
      <c r="B112" s="1">
        <v>44784.764606481483</v>
      </c>
      <c r="C112">
        <v>6.1</v>
      </c>
      <c r="D112">
        <v>0.2</v>
      </c>
      <c r="E112">
        <v>38</v>
      </c>
      <c r="F112">
        <v>0</v>
      </c>
      <c r="G112" t="s">
        <v>33</v>
      </c>
      <c r="H112" t="s">
        <v>36</v>
      </c>
      <c r="I112">
        <v>1.42</v>
      </c>
      <c r="J112" s="2"/>
      <c r="K112" s="2"/>
    </row>
    <row r="113" spans="1:11" x14ac:dyDescent="0.25">
      <c r="A113" s="1">
        <v>44784.771631944444</v>
      </c>
      <c r="B113" s="1">
        <v>44784.771550925929</v>
      </c>
      <c r="C113">
        <v>6.3</v>
      </c>
      <c r="D113">
        <v>0.1</v>
      </c>
      <c r="E113">
        <v>39</v>
      </c>
      <c r="F113">
        <v>0</v>
      </c>
      <c r="G113" t="s">
        <v>33</v>
      </c>
      <c r="H113" t="s">
        <v>36</v>
      </c>
      <c r="I113">
        <v>1.38</v>
      </c>
      <c r="J113" s="2"/>
      <c r="K113" s="2"/>
    </row>
    <row r="114" spans="1:11" x14ac:dyDescent="0.25">
      <c r="A114" s="1">
        <v>44784.778587962966</v>
      </c>
      <c r="B114" s="1">
        <v>44784.778495370374</v>
      </c>
      <c r="C114">
        <v>6.5</v>
      </c>
      <c r="D114">
        <v>0.2</v>
      </c>
      <c r="E114">
        <v>41</v>
      </c>
      <c r="F114">
        <v>0</v>
      </c>
      <c r="G114" t="s">
        <v>33</v>
      </c>
      <c r="H114" t="s">
        <v>36</v>
      </c>
      <c r="I114">
        <v>1.33</v>
      </c>
      <c r="J114" s="2"/>
      <c r="K114" s="2"/>
    </row>
    <row r="115" spans="1:11" x14ac:dyDescent="0.25">
      <c r="A115" s="1">
        <v>44784.785543981481</v>
      </c>
      <c r="B115" s="1">
        <v>44784.785439814812</v>
      </c>
      <c r="C115">
        <v>6.8</v>
      </c>
      <c r="D115">
        <v>0.3</v>
      </c>
      <c r="E115">
        <v>42</v>
      </c>
      <c r="F115">
        <v>0</v>
      </c>
      <c r="G115" t="s">
        <v>33</v>
      </c>
      <c r="H115" t="s">
        <v>36</v>
      </c>
      <c r="I115">
        <v>1.39</v>
      </c>
      <c r="J115" s="2"/>
      <c r="K115" s="2"/>
    </row>
    <row r="116" spans="1:11" x14ac:dyDescent="0.25">
      <c r="A116" s="1">
        <v>44784.792511574073</v>
      </c>
      <c r="B116" s="1">
        <v>44784.792384259257</v>
      </c>
      <c r="C116">
        <v>7</v>
      </c>
      <c r="D116">
        <v>0.2</v>
      </c>
      <c r="E116">
        <v>43</v>
      </c>
      <c r="F116">
        <v>0</v>
      </c>
      <c r="G116" t="s">
        <v>33</v>
      </c>
      <c r="H116" t="s">
        <v>36</v>
      </c>
      <c r="I116">
        <v>1.35</v>
      </c>
      <c r="J116">
        <f>IF(COUNT(I111:I116)&gt;3.5,ROUND(AVERAGE(I111:I116),2),"")</f>
        <v>1.38</v>
      </c>
      <c r="K116">
        <f>IF(COUNT(, , , , , , , , , -1.25, -0.69, -0.12, , , , , 1.3, , 1.28, 1.38, NA, NA, NA, NA)&gt;17.5,ROUND(AVERAGE(, , , , , , , , , -1.25, -0.69, -0.12, , , , , 1.3, , 1.28, 1.38, 0, 0, 0, 0),2),"NO AVG")</f>
        <v>0.08</v>
      </c>
    </row>
    <row r="117" spans="1:11" x14ac:dyDescent="0.25">
      <c r="A117" s="1">
        <v>44784.799421296295</v>
      </c>
      <c r="B117" s="1">
        <v>44784.799328703702</v>
      </c>
      <c r="C117">
        <v>7</v>
      </c>
      <c r="D117">
        <v>0.1</v>
      </c>
      <c r="E117">
        <v>44</v>
      </c>
      <c r="F117">
        <v>0</v>
      </c>
      <c r="G117" t="s">
        <v>33</v>
      </c>
      <c r="H117" t="s">
        <v>36</v>
      </c>
      <c r="I117">
        <v>1.25</v>
      </c>
      <c r="J117" s="2"/>
      <c r="K117" s="2"/>
    </row>
    <row r="118" spans="1:11" x14ac:dyDescent="0.25">
      <c r="A118" s="1">
        <v>44784.80641203704</v>
      </c>
      <c r="B118" s="1">
        <v>44784.806273148148</v>
      </c>
      <c r="C118">
        <v>7.2</v>
      </c>
      <c r="D118">
        <v>0.1</v>
      </c>
      <c r="E118">
        <v>45</v>
      </c>
      <c r="F118">
        <v>0</v>
      </c>
      <c r="G118" t="s">
        <v>33</v>
      </c>
      <c r="H118" t="s">
        <v>36</v>
      </c>
      <c r="I118">
        <v>1.24</v>
      </c>
      <c r="J118" s="2"/>
      <c r="K118" s="2"/>
    </row>
    <row r="119" spans="1:11" x14ac:dyDescent="0.25">
      <c r="A119" s="1">
        <v>44784.813321759262</v>
      </c>
      <c r="B119" s="1">
        <v>44784.813217592593</v>
      </c>
      <c r="C119">
        <v>7.1</v>
      </c>
      <c r="D119">
        <v>0</v>
      </c>
      <c r="E119">
        <v>45</v>
      </c>
      <c r="F119">
        <v>0</v>
      </c>
      <c r="G119" t="s">
        <v>43</v>
      </c>
      <c r="H119" t="s">
        <v>36</v>
      </c>
      <c r="J119" s="2"/>
      <c r="K119" s="2"/>
    </row>
    <row r="120" spans="1:11" x14ac:dyDescent="0.25">
      <c r="A120" s="1">
        <v>44784.8202662037</v>
      </c>
      <c r="B120" s="1">
        <v>44784.820162037038</v>
      </c>
      <c r="C120">
        <v>7.1</v>
      </c>
      <c r="D120">
        <v>0</v>
      </c>
      <c r="E120">
        <v>45</v>
      </c>
      <c r="F120">
        <v>0</v>
      </c>
      <c r="G120" t="s">
        <v>43</v>
      </c>
      <c r="H120" t="s">
        <v>36</v>
      </c>
      <c r="J120" s="2"/>
      <c r="K120" s="2"/>
    </row>
    <row r="121" spans="1:11" x14ac:dyDescent="0.25">
      <c r="A121" s="1">
        <v>44784.827199074076</v>
      </c>
      <c r="B121" s="1">
        <v>44784.827106481483</v>
      </c>
      <c r="C121">
        <v>7.1</v>
      </c>
      <c r="D121">
        <v>0</v>
      </c>
      <c r="E121">
        <v>45</v>
      </c>
      <c r="F121">
        <v>0</v>
      </c>
      <c r="G121" t="s">
        <v>43</v>
      </c>
      <c r="H121" t="s">
        <v>36</v>
      </c>
      <c r="J121" s="2"/>
      <c r="K121" s="2"/>
    </row>
    <row r="122" spans="1:11" x14ac:dyDescent="0.25">
      <c r="A122" s="1">
        <v>44784.834143518521</v>
      </c>
      <c r="B122" s="1">
        <v>44784.834050925929</v>
      </c>
      <c r="C122">
        <v>6.8</v>
      </c>
      <c r="D122">
        <v>0.1</v>
      </c>
      <c r="E122">
        <v>49</v>
      </c>
      <c r="F122">
        <v>0</v>
      </c>
      <c r="G122" t="s">
        <v>33</v>
      </c>
      <c r="H122" t="s">
        <v>36</v>
      </c>
      <c r="I122">
        <v>0.83</v>
      </c>
      <c r="J122" t="str">
        <f>IF(COUNT(I117:I122)&gt;3.5,ROUND(AVERAGE(I117:I122),2),"")</f>
        <v/>
      </c>
      <c r="K122">
        <f>IF(COUNT(, , , , , , , , , -1.25, -0.69, -0.12, , , , , 1.3, , 1.28, 1.38, , NA, NA, NA)&gt;17.5,ROUND(AVERAGE(, , , , , , , , , -1.25, -0.69, -0.12, , , , , 1.3, , 1.28, 1.38, , 0, 0, 0),2),"NO AVG")</f>
        <v>0.08</v>
      </c>
    </row>
    <row r="123" spans="1:11" x14ac:dyDescent="0.25">
      <c r="A123" s="1">
        <v>44784.841099537036</v>
      </c>
      <c r="B123" s="1">
        <v>44784.840995370374</v>
      </c>
      <c r="C123">
        <v>6.3</v>
      </c>
      <c r="D123">
        <v>0.1</v>
      </c>
      <c r="E123">
        <v>51</v>
      </c>
      <c r="F123">
        <v>0</v>
      </c>
      <c r="G123" t="s">
        <v>33</v>
      </c>
      <c r="H123" t="s">
        <v>36</v>
      </c>
      <c r="I123">
        <v>0.54</v>
      </c>
      <c r="J123" s="2"/>
      <c r="K123" s="2"/>
    </row>
    <row r="124" spans="1:11" x14ac:dyDescent="0.25">
      <c r="A124" s="1">
        <v>44784.848032407404</v>
      </c>
      <c r="B124" s="1">
        <v>44784.847939814812</v>
      </c>
      <c r="C124">
        <v>6.1</v>
      </c>
      <c r="D124">
        <v>0</v>
      </c>
      <c r="E124">
        <v>52</v>
      </c>
      <c r="F124">
        <v>0</v>
      </c>
      <c r="G124" t="s">
        <v>43</v>
      </c>
      <c r="H124" t="s">
        <v>36</v>
      </c>
      <c r="J124" s="2"/>
      <c r="K124" s="2"/>
    </row>
    <row r="125" spans="1:11" x14ac:dyDescent="0.25">
      <c r="A125" s="1">
        <v>44784.85497685185</v>
      </c>
      <c r="B125" s="1">
        <v>44784.854884259257</v>
      </c>
      <c r="C125">
        <v>5.7</v>
      </c>
      <c r="D125">
        <v>0</v>
      </c>
      <c r="E125">
        <v>52</v>
      </c>
      <c r="F125">
        <v>0</v>
      </c>
      <c r="G125" t="s">
        <v>43</v>
      </c>
      <c r="H125" t="s">
        <v>36</v>
      </c>
      <c r="J125" s="2"/>
      <c r="K125" s="2"/>
    </row>
    <row r="126" spans="1:11" x14ac:dyDescent="0.25">
      <c r="A126" s="1">
        <v>44784.861932870372</v>
      </c>
      <c r="B126" s="1">
        <v>44784.861828703702</v>
      </c>
      <c r="C126">
        <v>5.0999999999999996</v>
      </c>
      <c r="D126">
        <v>0.1</v>
      </c>
      <c r="E126">
        <v>53</v>
      </c>
      <c r="F126">
        <v>0</v>
      </c>
      <c r="G126" t="s">
        <v>33</v>
      </c>
      <c r="H126" t="s">
        <v>36</v>
      </c>
      <c r="I126">
        <v>0.04</v>
      </c>
      <c r="J126" s="2"/>
      <c r="K126" s="2"/>
    </row>
    <row r="127" spans="1:11" x14ac:dyDescent="0.25">
      <c r="A127" s="1">
        <v>44784.86886574074</v>
      </c>
      <c r="B127" s="1">
        <v>44784.868773148148</v>
      </c>
      <c r="C127">
        <v>4.9000000000000004</v>
      </c>
      <c r="D127">
        <v>0</v>
      </c>
      <c r="E127">
        <v>53</v>
      </c>
      <c r="F127">
        <v>0</v>
      </c>
      <c r="G127" t="s">
        <v>43</v>
      </c>
      <c r="H127" t="s">
        <v>36</v>
      </c>
      <c r="J127" s="2"/>
      <c r="K127" s="2"/>
    </row>
    <row r="128" spans="1:11" x14ac:dyDescent="0.25">
      <c r="A128" s="1">
        <v>44784.875821759262</v>
      </c>
      <c r="B128" s="1">
        <v>44784.875717592593</v>
      </c>
      <c r="C128">
        <v>4.7</v>
      </c>
      <c r="D128">
        <v>0</v>
      </c>
      <c r="E128">
        <v>53</v>
      </c>
      <c r="F128">
        <v>0</v>
      </c>
      <c r="G128" t="s">
        <v>43</v>
      </c>
      <c r="H128" t="s">
        <v>36</v>
      </c>
      <c r="J128" t="str">
        <f>IF(COUNT(I123:I128)&gt;3.5,ROUND(AVERAGE(I123:I128),2),"")</f>
        <v/>
      </c>
      <c r="K128">
        <f>IF(COUNT(, , , , , , , , , -1.25, -0.69, -0.12, , , , , 1.3, , 1.28, 1.38, , , NA, NA)&gt;17.5,ROUND(AVERAGE(, , , , , , , , , -1.25, -0.69, -0.12, , , , , 1.3, , 1.28, 1.38, , , 0, 0),2),"NO AVG")</f>
        <v>0.08</v>
      </c>
    </row>
    <row r="129" spans="1:11" x14ac:dyDescent="0.25">
      <c r="A129" s="1">
        <v>44784.8827662037</v>
      </c>
      <c r="B129" s="1">
        <v>44784.882662037038</v>
      </c>
      <c r="C129">
        <v>4.7</v>
      </c>
      <c r="D129">
        <v>0</v>
      </c>
      <c r="E129">
        <v>55</v>
      </c>
      <c r="F129">
        <v>0</v>
      </c>
      <c r="G129" t="s">
        <v>43</v>
      </c>
      <c r="H129" t="s">
        <v>36</v>
      </c>
      <c r="J129" s="2"/>
      <c r="K129" s="2"/>
    </row>
    <row r="130" spans="1:11" x14ac:dyDescent="0.25">
      <c r="A130" s="1">
        <v>44784.889756944445</v>
      </c>
      <c r="B130" s="1">
        <v>44784.889606481483</v>
      </c>
      <c r="C130">
        <v>4.7</v>
      </c>
      <c r="D130">
        <v>0</v>
      </c>
      <c r="E130">
        <v>55</v>
      </c>
      <c r="F130">
        <v>0</v>
      </c>
      <c r="G130" t="s">
        <v>43</v>
      </c>
      <c r="H130" t="s">
        <v>36</v>
      </c>
      <c r="J130" s="2"/>
      <c r="K130" s="2"/>
    </row>
    <row r="131" spans="1:11" x14ac:dyDescent="0.25">
      <c r="A131" s="1">
        <v>44784.896655092591</v>
      </c>
      <c r="B131" s="1">
        <v>44784.896550925929</v>
      </c>
      <c r="C131">
        <v>4.7</v>
      </c>
      <c r="D131">
        <v>0</v>
      </c>
      <c r="E131">
        <v>56</v>
      </c>
      <c r="F131">
        <v>0</v>
      </c>
      <c r="G131" t="s">
        <v>43</v>
      </c>
      <c r="H131" t="s">
        <v>36</v>
      </c>
      <c r="J131" s="2"/>
      <c r="K131" s="2"/>
    </row>
    <row r="132" spans="1:11" x14ac:dyDescent="0.25">
      <c r="A132" s="1">
        <v>44784.903634259259</v>
      </c>
      <c r="B132" s="1">
        <v>44784.903495370374</v>
      </c>
      <c r="C132">
        <v>4.8</v>
      </c>
      <c r="D132">
        <v>0</v>
      </c>
      <c r="E132">
        <v>57</v>
      </c>
      <c r="F132">
        <v>0</v>
      </c>
      <c r="G132" t="s">
        <v>43</v>
      </c>
      <c r="H132" t="s">
        <v>36</v>
      </c>
      <c r="J132" s="2"/>
      <c r="K132" s="2"/>
    </row>
    <row r="133" spans="1:11" x14ac:dyDescent="0.25">
      <c r="A133" s="1">
        <v>44784.910543981481</v>
      </c>
      <c r="B133" s="1">
        <v>44784.910439814812</v>
      </c>
      <c r="C133">
        <v>4.9000000000000004</v>
      </c>
      <c r="D133">
        <v>0</v>
      </c>
      <c r="E133">
        <v>57</v>
      </c>
      <c r="F133">
        <v>0</v>
      </c>
      <c r="G133" t="s">
        <v>43</v>
      </c>
      <c r="H133" t="s">
        <v>36</v>
      </c>
      <c r="J133" s="2"/>
      <c r="K133" s="2"/>
    </row>
    <row r="134" spans="1:11" x14ac:dyDescent="0.25">
      <c r="A134" s="1">
        <v>44784.917488425926</v>
      </c>
      <c r="B134" s="1">
        <v>44784.917384259257</v>
      </c>
      <c r="C134">
        <v>5.0999999999999996</v>
      </c>
      <c r="D134">
        <v>0</v>
      </c>
      <c r="E134">
        <v>60</v>
      </c>
      <c r="F134">
        <v>0</v>
      </c>
      <c r="G134" t="s">
        <v>43</v>
      </c>
      <c r="H134" t="s">
        <v>36</v>
      </c>
      <c r="J134" t="str">
        <f>IF(COUNT(I129:I134)&gt;3.5,ROUND(AVERAGE(I129:I134),2),"")</f>
        <v/>
      </c>
      <c r="K134">
        <f>IF(COUNT(, , , , , , , , , -1.25, -0.69, -0.12, , , , , 1.3, , 1.28, 1.38, , , , NA)&gt;17.5,ROUND(AVERAGE(, , , , , , , , , -1.25, -0.69, -0.12, , , , , 1.3, , 1.28, 1.38, , , , 0),2),"NO AVG")</f>
        <v>0.08</v>
      </c>
    </row>
    <row r="135" spans="1:11" x14ac:dyDescent="0.25">
      <c r="A135" s="1">
        <v>44784.924525462964</v>
      </c>
      <c r="B135" s="1">
        <v>44784.924328703702</v>
      </c>
      <c r="C135">
        <v>5.0999999999999996</v>
      </c>
      <c r="D135">
        <v>0</v>
      </c>
      <c r="E135">
        <v>61</v>
      </c>
      <c r="F135">
        <v>0</v>
      </c>
      <c r="G135" t="s">
        <v>43</v>
      </c>
      <c r="H135" t="s">
        <v>36</v>
      </c>
      <c r="J135" s="2"/>
      <c r="K135" s="2"/>
    </row>
    <row r="136" spans="1:11" x14ac:dyDescent="0.25">
      <c r="A136" s="1">
        <v>44784.93136574074</v>
      </c>
      <c r="B136" s="1">
        <v>44784.931273148148</v>
      </c>
      <c r="C136">
        <v>5.2</v>
      </c>
      <c r="D136">
        <v>0</v>
      </c>
      <c r="E136">
        <v>63</v>
      </c>
      <c r="F136">
        <v>0</v>
      </c>
      <c r="G136" t="s">
        <v>43</v>
      </c>
      <c r="H136" t="s">
        <v>36</v>
      </c>
      <c r="J136" s="2"/>
      <c r="K136" s="2"/>
    </row>
    <row r="137" spans="1:11" x14ac:dyDescent="0.25">
      <c r="A137" s="1">
        <v>44784.938321759262</v>
      </c>
      <c r="B137" s="1">
        <v>44784.938217592593</v>
      </c>
      <c r="C137">
        <v>5.5</v>
      </c>
      <c r="D137">
        <v>0</v>
      </c>
      <c r="E137">
        <v>65</v>
      </c>
      <c r="F137">
        <v>0</v>
      </c>
      <c r="G137" t="s">
        <v>43</v>
      </c>
      <c r="H137" t="s">
        <v>36</v>
      </c>
      <c r="J137" s="2"/>
      <c r="K137" s="2"/>
    </row>
    <row r="138" spans="1:11" x14ac:dyDescent="0.25">
      <c r="A138" s="1">
        <v>44784.9452662037</v>
      </c>
      <c r="B138" s="1">
        <v>44784.945162037038</v>
      </c>
      <c r="C138">
        <v>5.7</v>
      </c>
      <c r="D138">
        <v>0</v>
      </c>
      <c r="E138">
        <v>66</v>
      </c>
      <c r="F138">
        <v>0</v>
      </c>
      <c r="G138" t="s">
        <v>43</v>
      </c>
      <c r="H138" t="s">
        <v>36</v>
      </c>
      <c r="J138" s="2"/>
      <c r="K138" s="2"/>
    </row>
    <row r="139" spans="1:11" x14ac:dyDescent="0.25">
      <c r="A139" s="1">
        <v>44784.952256944445</v>
      </c>
      <c r="B139" s="1">
        <v>44784.952106481483</v>
      </c>
      <c r="C139">
        <v>5.8</v>
      </c>
      <c r="D139">
        <v>0</v>
      </c>
      <c r="E139">
        <v>67</v>
      </c>
      <c r="F139">
        <v>0</v>
      </c>
      <c r="G139" t="s">
        <v>43</v>
      </c>
      <c r="H139" t="s">
        <v>36</v>
      </c>
      <c r="J139" s="2"/>
      <c r="K139" s="2"/>
    </row>
    <row r="140" spans="1:11" x14ac:dyDescent="0.25">
      <c r="A140" s="1">
        <v>44784.959155092591</v>
      </c>
      <c r="B140" s="1">
        <v>44784.959050925929</v>
      </c>
      <c r="C140">
        <v>5.9</v>
      </c>
      <c r="D140">
        <v>0</v>
      </c>
      <c r="E140">
        <v>68</v>
      </c>
      <c r="F140">
        <v>0</v>
      </c>
      <c r="G140" t="s">
        <v>43</v>
      </c>
      <c r="H140" t="s">
        <v>36</v>
      </c>
      <c r="J140" t="str">
        <f>IF(COUNT(I135:I140)&gt;3.5,ROUND(AVERAGE(I135:I140),2),"")</f>
        <v/>
      </c>
      <c r="K140">
        <f>IF(COUNT(, , , , , , , , , -1.25, -0.69, -0.12, , , , , 1.3, , 1.28, 1.38, , , , )&gt;17.5,ROUND(AVERAGE(, , , , , , , , , -1.25, -0.69, -0.12, , , , , 1.3, , 1.28, 1.38, , , , ),2),"NO AVG")</f>
        <v>0.08</v>
      </c>
    </row>
    <row r="141" spans="1:11" x14ac:dyDescent="0.25">
      <c r="A141" s="1">
        <v>44784.966180555559</v>
      </c>
      <c r="B141" s="1">
        <v>44784.965995370374</v>
      </c>
      <c r="C141">
        <v>5.7</v>
      </c>
      <c r="D141">
        <v>0.1</v>
      </c>
      <c r="E141">
        <v>70</v>
      </c>
      <c r="F141">
        <v>0</v>
      </c>
      <c r="G141" t="s">
        <v>33</v>
      </c>
      <c r="H141" t="s">
        <v>36</v>
      </c>
      <c r="I141">
        <v>-0.97</v>
      </c>
      <c r="J141" s="2"/>
      <c r="K141" s="2"/>
    </row>
    <row r="142" spans="1:11" x14ac:dyDescent="0.25">
      <c r="A142" s="1">
        <v>44784.973043981481</v>
      </c>
      <c r="B142" s="1">
        <v>44784.972939814812</v>
      </c>
      <c r="C142">
        <v>5.7</v>
      </c>
      <c r="D142">
        <v>0</v>
      </c>
      <c r="E142">
        <v>70</v>
      </c>
      <c r="F142">
        <v>0</v>
      </c>
      <c r="G142" t="s">
        <v>43</v>
      </c>
      <c r="H142" t="s">
        <v>36</v>
      </c>
      <c r="J142" s="2"/>
      <c r="K142" s="2"/>
    </row>
    <row r="143" spans="1:11" x14ac:dyDescent="0.25">
      <c r="A143" s="1">
        <v>44784.979988425926</v>
      </c>
      <c r="B143" s="1">
        <v>44784.979884259257</v>
      </c>
      <c r="C143">
        <v>5.7</v>
      </c>
      <c r="D143">
        <v>0</v>
      </c>
      <c r="E143">
        <v>71</v>
      </c>
      <c r="F143">
        <v>0</v>
      </c>
      <c r="G143" t="s">
        <v>43</v>
      </c>
      <c r="H143" t="s">
        <v>36</v>
      </c>
      <c r="J143" s="2"/>
      <c r="K143" s="2"/>
    </row>
    <row r="144" spans="1:11" x14ac:dyDescent="0.25">
      <c r="A144" s="1">
        <v>44784.986932870372</v>
      </c>
      <c r="B144" s="1">
        <v>44784.986828703702</v>
      </c>
      <c r="C144">
        <v>5.5</v>
      </c>
      <c r="D144">
        <v>0.1</v>
      </c>
      <c r="E144">
        <v>72</v>
      </c>
      <c r="F144">
        <v>0</v>
      </c>
      <c r="G144" t="s">
        <v>33</v>
      </c>
      <c r="H144" t="s">
        <v>36</v>
      </c>
      <c r="I144">
        <v>-1.17</v>
      </c>
      <c r="J144" s="2"/>
      <c r="K144" s="2"/>
    </row>
    <row r="145" spans="1:12" x14ac:dyDescent="0.25">
      <c r="A145" s="1">
        <v>44784.993923611109</v>
      </c>
      <c r="B145" s="1">
        <v>44784.993773148148</v>
      </c>
      <c r="C145">
        <v>5.5</v>
      </c>
      <c r="D145">
        <v>0</v>
      </c>
      <c r="E145">
        <v>72</v>
      </c>
      <c r="F145">
        <v>0</v>
      </c>
      <c r="G145" t="s">
        <v>43</v>
      </c>
      <c r="H145" t="s">
        <v>36</v>
      </c>
      <c r="J145" s="2"/>
      <c r="K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C78D-F732-4F8B-8DB1-DF94C4BA5F9F}">
  <sheetPr codeName="Sheet19"/>
  <dimension ref="A1:M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3" max="13" width="10.28515625" bestFit="1" customWidth="1"/>
  </cols>
  <sheetData>
    <row r="1" spans="1:13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M1" t="s">
        <v>3</v>
      </c>
    </row>
    <row r="2" spans="1:13" x14ac:dyDescent="0.25">
      <c r="A2" s="1">
        <v>44784.000775462962</v>
      </c>
      <c r="B2" s="1">
        <v>44784.000717592593</v>
      </c>
      <c r="C2">
        <v>0</v>
      </c>
      <c r="D2">
        <v>0</v>
      </c>
      <c r="E2">
        <v>77</v>
      </c>
      <c r="F2">
        <v>0</v>
      </c>
      <c r="G2" t="s">
        <v>32</v>
      </c>
      <c r="H2" t="s">
        <v>36</v>
      </c>
      <c r="K2" t="str">
        <f>IF(COUNT(, NA, NA, NA, NA, NA, NA, NA, NA, NA, NA, NA, NA, NA, NA, NA, NA, NA, NA, NA, NA, NA, NA, NA)&gt;17.5,ROUND(AVERAGE(, 0, 0, 0, 0, 0, 0, 0, 0, 0, 0, 0, 0, 0, 0, 0, 0, 0, 0, 0, 0, 0, 0, 0),2),"NO AVG")</f>
        <v>NO AVG</v>
      </c>
      <c r="M2" t="s">
        <v>55</v>
      </c>
    </row>
    <row r="3" spans="1:13" x14ac:dyDescent="0.25">
      <c r="A3" s="1">
        <v>44784.007731481484</v>
      </c>
      <c r="B3" s="1">
        <v>44784.007662037038</v>
      </c>
      <c r="C3">
        <v>0</v>
      </c>
      <c r="D3">
        <v>0</v>
      </c>
      <c r="E3">
        <v>77</v>
      </c>
      <c r="F3">
        <v>0</v>
      </c>
      <c r="G3" t="s">
        <v>32</v>
      </c>
      <c r="H3" t="s">
        <v>36</v>
      </c>
      <c r="J3" s="2"/>
      <c r="K3" s="2"/>
    </row>
    <row r="4" spans="1:13" x14ac:dyDescent="0.25">
      <c r="A4" s="1">
        <v>44784.014652777776</v>
      </c>
      <c r="B4" s="1">
        <v>44784.014606481483</v>
      </c>
      <c r="C4">
        <v>0</v>
      </c>
      <c r="D4">
        <v>0</v>
      </c>
      <c r="E4">
        <v>77</v>
      </c>
      <c r="F4">
        <v>0</v>
      </c>
      <c r="G4" t="s">
        <v>32</v>
      </c>
      <c r="H4" t="s">
        <v>36</v>
      </c>
      <c r="J4" s="2"/>
      <c r="K4" s="2"/>
    </row>
    <row r="5" spans="1:13" x14ac:dyDescent="0.25">
      <c r="A5" s="1">
        <v>44784.021608796298</v>
      </c>
      <c r="B5" s="1">
        <v>44784.021550925929</v>
      </c>
      <c r="C5">
        <v>0</v>
      </c>
      <c r="D5">
        <v>0</v>
      </c>
      <c r="E5">
        <v>77</v>
      </c>
      <c r="F5">
        <v>0</v>
      </c>
      <c r="G5" t="s">
        <v>32</v>
      </c>
      <c r="H5" t="s">
        <v>36</v>
      </c>
      <c r="J5" s="2"/>
      <c r="K5" s="2"/>
    </row>
    <row r="6" spans="1:13" x14ac:dyDescent="0.25">
      <c r="A6" s="1">
        <v>44784.028553240743</v>
      </c>
      <c r="B6" s="1">
        <v>44784.028495370374</v>
      </c>
      <c r="C6">
        <v>0</v>
      </c>
      <c r="D6">
        <v>0</v>
      </c>
      <c r="E6">
        <v>77</v>
      </c>
      <c r="F6">
        <v>0</v>
      </c>
      <c r="G6" t="s">
        <v>32</v>
      </c>
      <c r="H6" t="s">
        <v>36</v>
      </c>
      <c r="J6" s="2"/>
      <c r="K6" s="2"/>
    </row>
    <row r="7" spans="1:13" x14ac:dyDescent="0.25">
      <c r="A7" s="1">
        <v>44784.035497685189</v>
      </c>
      <c r="B7" s="1">
        <v>44784.035439814812</v>
      </c>
      <c r="C7">
        <v>0</v>
      </c>
      <c r="D7">
        <v>0</v>
      </c>
      <c r="E7">
        <v>77</v>
      </c>
      <c r="F7">
        <v>0</v>
      </c>
      <c r="G7" t="s">
        <v>32</v>
      </c>
      <c r="H7" t="s">
        <v>36</v>
      </c>
      <c r="J7" s="2"/>
      <c r="K7" s="2"/>
    </row>
    <row r="8" spans="1:13" x14ac:dyDescent="0.25">
      <c r="A8" s="1">
        <v>44784.042442129627</v>
      </c>
      <c r="B8" s="1">
        <v>44784.042384259257</v>
      </c>
      <c r="C8">
        <v>0</v>
      </c>
      <c r="D8">
        <v>0</v>
      </c>
      <c r="E8">
        <v>77</v>
      </c>
      <c r="F8">
        <v>0</v>
      </c>
      <c r="G8" t="s">
        <v>32</v>
      </c>
      <c r="H8" t="s">
        <v>36</v>
      </c>
      <c r="J8" t="str">
        <f>IF(COUNT(I3:I8)&gt;3.5,ROUND(AVERAGE(I3:I8),2),"")</f>
        <v/>
      </c>
      <c r="K8" t="str">
        <f>IF(COUNT(, , NA, NA, NA, NA, NA, NA, NA, NA, NA, NA, NA, NA, NA, NA, NA, NA, NA, NA, NA, NA, NA, NA)&gt;17.5,ROUND(AVERAGE(, , 0, 0, 0, 0, 0, 0, 0, 0, 0, 0, 0, 0, 0, 0, 0, 0, 0, 0, 0, 0, 0, 0),2),"NO AVG")</f>
        <v>NO AVG</v>
      </c>
    </row>
    <row r="9" spans="1:13" x14ac:dyDescent="0.25">
      <c r="A9" s="1">
        <v>44784.049386574072</v>
      </c>
      <c r="B9" s="1">
        <v>44784.049328703702</v>
      </c>
      <c r="C9">
        <v>0</v>
      </c>
      <c r="D9">
        <v>0</v>
      </c>
      <c r="E9">
        <v>77</v>
      </c>
      <c r="F9">
        <v>0</v>
      </c>
      <c r="G9" t="s">
        <v>32</v>
      </c>
      <c r="H9" t="s">
        <v>36</v>
      </c>
      <c r="J9" s="2"/>
      <c r="K9" s="2"/>
    </row>
    <row r="10" spans="1:13" x14ac:dyDescent="0.25">
      <c r="A10" s="1">
        <v>44784.056331018517</v>
      </c>
      <c r="B10" s="1">
        <v>44784.056273148148</v>
      </c>
      <c r="C10">
        <v>0</v>
      </c>
      <c r="D10">
        <v>0</v>
      </c>
      <c r="E10">
        <v>77</v>
      </c>
      <c r="F10">
        <v>0</v>
      </c>
      <c r="G10" t="s">
        <v>32</v>
      </c>
      <c r="H10" t="s">
        <v>36</v>
      </c>
      <c r="J10" s="2"/>
      <c r="K10" s="2"/>
    </row>
    <row r="11" spans="1:13" x14ac:dyDescent="0.25">
      <c r="A11" s="1">
        <v>44784.063275462962</v>
      </c>
      <c r="B11" s="1">
        <v>44784.063217592593</v>
      </c>
      <c r="C11">
        <v>0</v>
      </c>
      <c r="D11">
        <v>0</v>
      </c>
      <c r="E11">
        <v>77</v>
      </c>
      <c r="F11">
        <v>0</v>
      </c>
      <c r="G11" t="s">
        <v>32</v>
      </c>
      <c r="H11" t="s">
        <v>36</v>
      </c>
      <c r="J11" s="2"/>
      <c r="K11" s="2"/>
    </row>
    <row r="12" spans="1:13" x14ac:dyDescent="0.25">
      <c r="A12" s="1">
        <v>44784.070219907408</v>
      </c>
      <c r="B12" s="1">
        <v>44784.070162037038</v>
      </c>
      <c r="C12">
        <v>0</v>
      </c>
      <c r="D12">
        <v>0</v>
      </c>
      <c r="E12">
        <v>77</v>
      </c>
      <c r="F12">
        <v>0</v>
      </c>
      <c r="G12" t="s">
        <v>32</v>
      </c>
      <c r="H12" t="s">
        <v>36</v>
      </c>
      <c r="J12" s="2"/>
      <c r="K12" s="2"/>
    </row>
    <row r="13" spans="1:13" x14ac:dyDescent="0.25">
      <c r="A13" s="1">
        <v>44784.077175925922</v>
      </c>
      <c r="B13" s="1">
        <v>44784.077106481483</v>
      </c>
      <c r="C13">
        <v>0</v>
      </c>
      <c r="D13">
        <v>0</v>
      </c>
      <c r="E13">
        <v>77</v>
      </c>
      <c r="F13">
        <v>0</v>
      </c>
      <c r="G13" t="s">
        <v>32</v>
      </c>
      <c r="H13" t="s">
        <v>36</v>
      </c>
      <c r="J13" s="2"/>
      <c r="K13" s="2"/>
    </row>
    <row r="14" spans="1:13" x14ac:dyDescent="0.25">
      <c r="A14" s="1">
        <v>44784.084108796298</v>
      </c>
      <c r="B14" s="1">
        <v>44784.084050925929</v>
      </c>
      <c r="C14">
        <v>0</v>
      </c>
      <c r="D14">
        <v>0</v>
      </c>
      <c r="E14">
        <v>77</v>
      </c>
      <c r="F14">
        <v>0</v>
      </c>
      <c r="G14" t="s">
        <v>32</v>
      </c>
      <c r="H14" t="s">
        <v>36</v>
      </c>
      <c r="J14" t="str">
        <f>IF(COUNT(I9:I14)&gt;3.5,ROUND(AVERAGE(I9:I14),2),"")</f>
        <v/>
      </c>
      <c r="K14" t="str">
        <f>IF(COUNT(, , , NA, NA, NA, NA, NA, NA, NA, NA, NA, NA, NA, NA, NA, NA, NA, NA, NA, NA, NA, NA, NA)&gt;17.5,ROUND(AVERAGE(, , , 0, 0, 0, 0, 0, 0, 0, 0, 0, 0, 0, 0, 0, 0, 0, 0, 0, 0, 0, 0, 0),2),"NO AVG")</f>
        <v>NO AVG</v>
      </c>
    </row>
    <row r="15" spans="1:13" x14ac:dyDescent="0.25">
      <c r="A15" s="1">
        <v>44784.091053240743</v>
      </c>
      <c r="B15" s="1">
        <v>44784.090995370374</v>
      </c>
      <c r="C15">
        <v>0</v>
      </c>
      <c r="D15">
        <v>0</v>
      </c>
      <c r="E15">
        <v>77</v>
      </c>
      <c r="F15">
        <v>0</v>
      </c>
      <c r="G15" t="s">
        <v>32</v>
      </c>
      <c r="H15" t="s">
        <v>36</v>
      </c>
      <c r="J15" s="2"/>
      <c r="K15" s="2"/>
    </row>
    <row r="16" spans="1:13" x14ac:dyDescent="0.25">
      <c r="A16" s="1">
        <v>44784.098009259258</v>
      </c>
      <c r="B16" s="1">
        <v>44784.097939814812</v>
      </c>
      <c r="C16">
        <v>0</v>
      </c>
      <c r="D16">
        <v>0</v>
      </c>
      <c r="E16">
        <v>77</v>
      </c>
      <c r="F16">
        <v>0</v>
      </c>
      <c r="G16" t="s">
        <v>32</v>
      </c>
      <c r="H16" t="s">
        <v>36</v>
      </c>
      <c r="J16" s="2"/>
      <c r="K16" s="2"/>
    </row>
    <row r="17" spans="1:11" x14ac:dyDescent="0.25">
      <c r="A17" s="1">
        <v>44784.104942129627</v>
      </c>
      <c r="B17" s="1">
        <v>44784.104884259257</v>
      </c>
      <c r="C17">
        <v>0</v>
      </c>
      <c r="D17">
        <v>0</v>
      </c>
      <c r="E17">
        <v>77</v>
      </c>
      <c r="F17">
        <v>0</v>
      </c>
      <c r="G17" t="s">
        <v>32</v>
      </c>
      <c r="H17" t="s">
        <v>36</v>
      </c>
      <c r="J17" s="2"/>
      <c r="K17" s="2"/>
    </row>
    <row r="18" spans="1:11" x14ac:dyDescent="0.25">
      <c r="A18" s="1">
        <v>44784.111886574072</v>
      </c>
      <c r="B18" s="1">
        <v>44784.111828703702</v>
      </c>
      <c r="C18">
        <v>0</v>
      </c>
      <c r="D18">
        <v>0</v>
      </c>
      <c r="E18">
        <v>77</v>
      </c>
      <c r="F18">
        <v>0</v>
      </c>
      <c r="G18" t="s">
        <v>32</v>
      </c>
      <c r="H18" t="s">
        <v>36</v>
      </c>
      <c r="J18" s="2"/>
      <c r="K18" s="2"/>
    </row>
    <row r="19" spans="1:11" x14ac:dyDescent="0.25">
      <c r="A19" s="1">
        <v>44784.118842592594</v>
      </c>
      <c r="B19" s="1">
        <v>44784.118773148148</v>
      </c>
      <c r="C19">
        <v>0</v>
      </c>
      <c r="D19">
        <v>0</v>
      </c>
      <c r="E19">
        <v>77</v>
      </c>
      <c r="F19">
        <v>0</v>
      </c>
      <c r="G19" t="s">
        <v>32</v>
      </c>
      <c r="H19" t="s">
        <v>36</v>
      </c>
      <c r="J19" s="2"/>
      <c r="K19" s="2"/>
    </row>
    <row r="20" spans="1:11" x14ac:dyDescent="0.25">
      <c r="A20" s="1">
        <v>44784.125787037039</v>
      </c>
      <c r="B20" s="1">
        <v>44784.125717592593</v>
      </c>
      <c r="C20">
        <v>0</v>
      </c>
      <c r="D20">
        <v>0</v>
      </c>
      <c r="E20">
        <v>77</v>
      </c>
      <c r="F20">
        <v>0</v>
      </c>
      <c r="G20" t="s">
        <v>32</v>
      </c>
      <c r="H20" t="s">
        <v>36</v>
      </c>
      <c r="J20" t="str">
        <f>IF(COUNT(I15:I20)&gt;3.5,ROUND(AVERAGE(I15:I20),2),"")</f>
        <v/>
      </c>
      <c r="K20" t="str">
        <f>IF(COUNT(, , , , NA, NA, NA, NA, NA, NA, NA, NA, NA, NA, NA, NA, NA, NA, NA, NA, NA, NA, NA, NA)&gt;17.5,ROUND(AVERAGE(, , , , 0, 0, 0, 0, 0, 0, 0, 0, 0, 0, 0, 0, 0, 0, 0, 0, 0, 0, 0, 0),2),"NO AVG")</f>
        <v>NO AVG</v>
      </c>
    </row>
    <row r="21" spans="1:11" x14ac:dyDescent="0.25">
      <c r="A21" s="1">
        <v>44784.132731481484</v>
      </c>
      <c r="B21" s="1">
        <v>44784.132662037038</v>
      </c>
      <c r="C21">
        <v>0</v>
      </c>
      <c r="D21">
        <v>0</v>
      </c>
      <c r="E21">
        <v>77</v>
      </c>
      <c r="F21">
        <v>0</v>
      </c>
      <c r="G21" t="s">
        <v>32</v>
      </c>
      <c r="H21" t="s">
        <v>36</v>
      </c>
      <c r="J21" s="2"/>
      <c r="K21" s="2"/>
    </row>
    <row r="22" spans="1:11" x14ac:dyDescent="0.25">
      <c r="A22" s="1">
        <v>44784.139722222222</v>
      </c>
      <c r="B22" s="1">
        <v>44784.139606481483</v>
      </c>
      <c r="C22">
        <v>0</v>
      </c>
      <c r="D22">
        <v>0</v>
      </c>
      <c r="E22">
        <v>77</v>
      </c>
      <c r="F22">
        <v>0</v>
      </c>
      <c r="G22" t="s">
        <v>32</v>
      </c>
      <c r="H22" t="s">
        <v>36</v>
      </c>
      <c r="J22" s="2"/>
      <c r="K22" s="2"/>
    </row>
    <row r="23" spans="1:11" x14ac:dyDescent="0.25">
      <c r="A23" s="1">
        <v>44784.146620370368</v>
      </c>
      <c r="B23" s="1">
        <v>44784.146550925929</v>
      </c>
      <c r="C23">
        <v>0</v>
      </c>
      <c r="D23">
        <v>0</v>
      </c>
      <c r="E23">
        <v>77</v>
      </c>
      <c r="F23">
        <v>0</v>
      </c>
      <c r="G23" t="s">
        <v>32</v>
      </c>
      <c r="H23" t="s">
        <v>36</v>
      </c>
      <c r="J23" s="2"/>
      <c r="K23" s="2"/>
    </row>
    <row r="24" spans="1:11" x14ac:dyDescent="0.25">
      <c r="A24" s="1">
        <v>44784.153564814813</v>
      </c>
      <c r="B24" s="1">
        <v>44784.153495370374</v>
      </c>
      <c r="C24">
        <v>0</v>
      </c>
      <c r="D24">
        <v>0</v>
      </c>
      <c r="E24">
        <v>77</v>
      </c>
      <c r="F24">
        <v>0</v>
      </c>
      <c r="G24" t="s">
        <v>32</v>
      </c>
      <c r="H24" t="s">
        <v>36</v>
      </c>
      <c r="J24" s="2"/>
      <c r="K24" s="2"/>
    </row>
    <row r="25" spans="1:11" x14ac:dyDescent="0.25">
      <c r="A25" s="1">
        <v>44784.160509259258</v>
      </c>
      <c r="B25" s="1">
        <v>44784.160439814812</v>
      </c>
      <c r="C25">
        <v>0</v>
      </c>
      <c r="D25">
        <v>0</v>
      </c>
      <c r="E25">
        <v>77</v>
      </c>
      <c r="F25">
        <v>0</v>
      </c>
      <c r="G25" t="s">
        <v>32</v>
      </c>
      <c r="H25" t="s">
        <v>36</v>
      </c>
      <c r="J25" s="2"/>
      <c r="K25" s="2"/>
    </row>
    <row r="26" spans="1:11" x14ac:dyDescent="0.25">
      <c r="A26" s="1">
        <v>44784.167453703703</v>
      </c>
      <c r="B26" s="1">
        <v>44784.167384259257</v>
      </c>
      <c r="C26">
        <v>0</v>
      </c>
      <c r="D26">
        <v>0</v>
      </c>
      <c r="E26">
        <v>77</v>
      </c>
      <c r="F26">
        <v>0</v>
      </c>
      <c r="G26" t="s">
        <v>32</v>
      </c>
      <c r="H26" t="s">
        <v>36</v>
      </c>
      <c r="J26" t="str">
        <f>IF(COUNT(I21:I26)&gt;3.5,ROUND(AVERAGE(I21:I26),2),"")</f>
        <v/>
      </c>
      <c r="K26" t="str">
        <f>IF(COUNT(, , , , , NA, NA, NA, NA, NA, NA, NA, NA, NA, NA, NA, NA, NA, NA, NA, NA, NA, NA, NA)&gt;17.5,ROUND(AVERAGE(, , , , , 0, 0, 0, 0, 0, 0, 0, 0, 0, 0, 0, 0, 0, 0, 0, 0, 0, 0, 0),2),"NO AVG")</f>
        <v>NO AVG</v>
      </c>
    </row>
    <row r="27" spans="1:11" x14ac:dyDescent="0.25">
      <c r="A27" s="1">
        <v>44784.174409722225</v>
      </c>
      <c r="B27" s="1">
        <v>44784.174328703702</v>
      </c>
      <c r="C27">
        <v>0</v>
      </c>
      <c r="D27">
        <v>0</v>
      </c>
      <c r="E27">
        <v>77</v>
      </c>
      <c r="F27">
        <v>0</v>
      </c>
      <c r="G27" t="s">
        <v>32</v>
      </c>
      <c r="H27" t="s">
        <v>36</v>
      </c>
      <c r="J27" s="2"/>
      <c r="K27" s="2"/>
    </row>
    <row r="28" spans="1:11" x14ac:dyDescent="0.25">
      <c r="A28" s="1"/>
      <c r="B28" s="1">
        <v>44784.180555555555</v>
      </c>
      <c r="J28" s="2"/>
      <c r="K28" s="2"/>
    </row>
    <row r="29" spans="1:11" x14ac:dyDescent="0.25">
      <c r="A29" s="1">
        <v>44784.188287037039</v>
      </c>
      <c r="B29" s="1">
        <v>44784.188217592593</v>
      </c>
      <c r="C29">
        <v>0</v>
      </c>
      <c r="D29">
        <v>0</v>
      </c>
      <c r="E29">
        <v>77</v>
      </c>
      <c r="F29">
        <v>0</v>
      </c>
      <c r="G29" t="s">
        <v>32</v>
      </c>
      <c r="H29" t="s">
        <v>36</v>
      </c>
      <c r="J29" s="2"/>
      <c r="K29" s="2"/>
    </row>
    <row r="30" spans="1:11" x14ac:dyDescent="0.25">
      <c r="A30" s="1">
        <v>44784.195231481484</v>
      </c>
      <c r="B30" s="1">
        <v>44784.195162037038</v>
      </c>
      <c r="C30">
        <v>0</v>
      </c>
      <c r="D30">
        <v>0</v>
      </c>
      <c r="E30">
        <v>77</v>
      </c>
      <c r="F30">
        <v>0</v>
      </c>
      <c r="G30" t="s">
        <v>32</v>
      </c>
      <c r="H30" t="s">
        <v>36</v>
      </c>
      <c r="J30" s="2"/>
      <c r="K30" s="2"/>
    </row>
    <row r="31" spans="1:11" x14ac:dyDescent="0.25">
      <c r="A31" s="1">
        <v>44784.202187499999</v>
      </c>
      <c r="B31" s="1">
        <v>44784.20212962963</v>
      </c>
      <c r="C31">
        <v>0</v>
      </c>
      <c r="D31">
        <v>0</v>
      </c>
      <c r="E31">
        <v>77</v>
      </c>
      <c r="F31">
        <v>0</v>
      </c>
      <c r="G31" t="s">
        <v>32</v>
      </c>
      <c r="H31" t="s">
        <v>36</v>
      </c>
      <c r="J31" s="2"/>
      <c r="K31" s="2"/>
    </row>
    <row r="32" spans="1:11" x14ac:dyDescent="0.25">
      <c r="A32" s="1">
        <v>44784.209120370368</v>
      </c>
      <c r="B32" s="1">
        <v>44784.209050925929</v>
      </c>
      <c r="C32">
        <v>0</v>
      </c>
      <c r="D32">
        <v>0</v>
      </c>
      <c r="E32">
        <v>77</v>
      </c>
      <c r="F32">
        <v>0</v>
      </c>
      <c r="G32" t="s">
        <v>32</v>
      </c>
      <c r="H32" t="s">
        <v>36</v>
      </c>
      <c r="J32" t="str">
        <f>IF(COUNT(I27:I32)&gt;3.5,ROUND(AVERAGE(I27:I32),2),"")</f>
        <v/>
      </c>
      <c r="K32" t="str">
        <f>IF(COUNT(, , , , , , NA, NA, NA, NA, NA, NA, NA, NA, NA, NA, NA, NA, NA, NA, NA, NA, NA, NA)&gt;17.5,ROUND(AVERAGE(, , , , , , 0, 0, 0, 0, 0, 0, 0, 0, 0, 0, 0, 0, 0, 0, 0, 0, 0, 0),2),"NO AVG")</f>
        <v>NO AVG</v>
      </c>
    </row>
    <row r="33" spans="1:11" x14ac:dyDescent="0.25">
      <c r="A33" s="1">
        <v>44784.216157407405</v>
      </c>
      <c r="B33" s="1">
        <v>44784.215995370374</v>
      </c>
      <c r="C33">
        <v>0</v>
      </c>
      <c r="D33">
        <v>0</v>
      </c>
      <c r="E33">
        <v>77</v>
      </c>
      <c r="F33">
        <v>0</v>
      </c>
      <c r="G33" t="s">
        <v>32</v>
      </c>
      <c r="H33" t="s">
        <v>36</v>
      </c>
      <c r="J33" s="2"/>
      <c r="K33" s="2"/>
    </row>
    <row r="34" spans="1:11" x14ac:dyDescent="0.25">
      <c r="A34" s="1">
        <v>44784.223020833335</v>
      </c>
      <c r="B34" s="1">
        <v>44784.222939814812</v>
      </c>
      <c r="C34">
        <v>0</v>
      </c>
      <c r="D34">
        <v>0</v>
      </c>
      <c r="E34">
        <v>77</v>
      </c>
      <c r="F34">
        <v>0</v>
      </c>
      <c r="G34" t="s">
        <v>32</v>
      </c>
      <c r="H34" t="s">
        <v>36</v>
      </c>
      <c r="J34" s="2"/>
      <c r="K34" s="2"/>
    </row>
    <row r="35" spans="1:11" x14ac:dyDescent="0.25">
      <c r="A35" s="1">
        <v>44784.229953703703</v>
      </c>
      <c r="B35" s="1">
        <v>44784.229884259257</v>
      </c>
      <c r="C35">
        <v>0</v>
      </c>
      <c r="D35">
        <v>0</v>
      </c>
      <c r="E35">
        <v>77</v>
      </c>
      <c r="F35">
        <v>0</v>
      </c>
      <c r="G35" t="s">
        <v>32</v>
      </c>
      <c r="H35" t="s">
        <v>36</v>
      </c>
      <c r="J35" s="2"/>
      <c r="K35" s="2"/>
    </row>
    <row r="36" spans="1:11" x14ac:dyDescent="0.25">
      <c r="A36" s="1">
        <v>44784.236898148149</v>
      </c>
      <c r="B36" s="1">
        <v>44784.236840277779</v>
      </c>
      <c r="C36">
        <v>0</v>
      </c>
      <c r="D36">
        <v>0</v>
      </c>
      <c r="E36">
        <v>77</v>
      </c>
      <c r="F36">
        <v>0</v>
      </c>
      <c r="G36" t="s">
        <v>32</v>
      </c>
      <c r="H36" t="s">
        <v>36</v>
      </c>
      <c r="J36" s="2"/>
      <c r="K36" s="2"/>
    </row>
    <row r="37" spans="1:11" x14ac:dyDescent="0.25">
      <c r="A37" s="1">
        <v>44784.243842592594</v>
      </c>
      <c r="B37" s="1">
        <v>44784.243773148148</v>
      </c>
      <c r="C37">
        <v>0</v>
      </c>
      <c r="D37">
        <v>0</v>
      </c>
      <c r="E37">
        <v>77</v>
      </c>
      <c r="F37">
        <v>0</v>
      </c>
      <c r="G37" t="s">
        <v>32</v>
      </c>
      <c r="H37" t="s">
        <v>36</v>
      </c>
      <c r="J37" s="2"/>
      <c r="K37" s="2"/>
    </row>
    <row r="38" spans="1:11" x14ac:dyDescent="0.25">
      <c r="A38" s="1">
        <v>44784.250798611109</v>
      </c>
      <c r="B38" s="1">
        <v>44784.25072916667</v>
      </c>
      <c r="C38">
        <v>0</v>
      </c>
      <c r="D38">
        <v>0</v>
      </c>
      <c r="E38">
        <v>77</v>
      </c>
      <c r="F38">
        <v>0</v>
      </c>
      <c r="G38" t="s">
        <v>32</v>
      </c>
      <c r="H38" t="s">
        <v>36</v>
      </c>
      <c r="J38" t="str">
        <f>IF(COUNT(I33:I38)&gt;3.5,ROUND(AVERAGE(I33:I38),2),"")</f>
        <v/>
      </c>
      <c r="K38" t="str">
        <f>IF(COUNT(, , , , , , , NA, NA, NA, NA, NA, NA, NA, NA, NA, NA, NA, NA, NA, NA, NA, NA, NA)&gt;17.5,ROUND(AVERAGE(, , , , , , , 0, 0, 0, 0, 0, 0, 0, 0, 0, 0, 0, 0, 0, 0, 0, 0, 0),2),"NO AVG")</f>
        <v>NO AVG</v>
      </c>
    </row>
    <row r="39" spans="1:11" x14ac:dyDescent="0.25">
      <c r="A39" s="1">
        <v>44784.257743055554</v>
      </c>
      <c r="B39" s="1">
        <v>44784.257662037038</v>
      </c>
      <c r="C39">
        <v>0</v>
      </c>
      <c r="D39">
        <v>0</v>
      </c>
      <c r="E39">
        <v>77</v>
      </c>
      <c r="F39">
        <v>0</v>
      </c>
      <c r="G39" t="s">
        <v>32</v>
      </c>
      <c r="H39" t="s">
        <v>36</v>
      </c>
      <c r="J39" s="2"/>
      <c r="K39" s="2"/>
    </row>
    <row r="40" spans="1:11" x14ac:dyDescent="0.25">
      <c r="A40" s="1">
        <v>44784.264687499999</v>
      </c>
      <c r="B40" s="1">
        <v>44784.264606481483</v>
      </c>
      <c r="C40">
        <v>0</v>
      </c>
      <c r="D40">
        <v>0</v>
      </c>
      <c r="E40">
        <v>77</v>
      </c>
      <c r="F40">
        <v>0</v>
      </c>
      <c r="G40" t="s">
        <v>32</v>
      </c>
      <c r="H40" t="s">
        <v>36</v>
      </c>
      <c r="J40" s="2"/>
      <c r="K40" s="2"/>
    </row>
    <row r="41" spans="1:11" x14ac:dyDescent="0.25">
      <c r="A41" s="1">
        <v>44784.271631944444</v>
      </c>
      <c r="B41" s="1">
        <v>44784.271550925929</v>
      </c>
      <c r="C41">
        <v>0</v>
      </c>
      <c r="D41">
        <v>0</v>
      </c>
      <c r="E41">
        <v>77</v>
      </c>
      <c r="F41">
        <v>0</v>
      </c>
      <c r="G41" t="s">
        <v>32</v>
      </c>
      <c r="H41" t="s">
        <v>36</v>
      </c>
      <c r="J41" s="2"/>
      <c r="K41" s="2"/>
    </row>
    <row r="42" spans="1:11" x14ac:dyDescent="0.25">
      <c r="A42" s="1">
        <v>44784.278622685182</v>
      </c>
      <c r="B42" s="1">
        <v>44784.278495370374</v>
      </c>
      <c r="C42">
        <v>0</v>
      </c>
      <c r="D42">
        <v>0</v>
      </c>
      <c r="E42">
        <v>77</v>
      </c>
      <c r="F42">
        <v>0</v>
      </c>
      <c r="G42" t="s">
        <v>32</v>
      </c>
      <c r="H42" t="s">
        <v>36</v>
      </c>
      <c r="J42" s="2"/>
      <c r="K42" s="2"/>
    </row>
    <row r="43" spans="1:11" x14ac:dyDescent="0.25">
      <c r="A43" s="1">
        <v>44784.285509259258</v>
      </c>
      <c r="B43" s="1">
        <v>44784.285439814812</v>
      </c>
      <c r="C43">
        <v>0</v>
      </c>
      <c r="D43">
        <v>0</v>
      </c>
      <c r="E43">
        <v>77</v>
      </c>
      <c r="F43">
        <v>0</v>
      </c>
      <c r="G43" t="s">
        <v>32</v>
      </c>
      <c r="H43" t="s">
        <v>36</v>
      </c>
      <c r="J43" s="2"/>
      <c r="K43" s="2"/>
    </row>
    <row r="44" spans="1:11" x14ac:dyDescent="0.25">
      <c r="A44" s="1">
        <v>44784.292453703703</v>
      </c>
      <c r="B44" s="1">
        <v>44784.292384259257</v>
      </c>
      <c r="C44">
        <v>0</v>
      </c>
      <c r="D44">
        <v>0</v>
      </c>
      <c r="E44">
        <v>77</v>
      </c>
      <c r="F44">
        <v>0</v>
      </c>
      <c r="G44" t="s">
        <v>32</v>
      </c>
      <c r="H44" t="s">
        <v>36</v>
      </c>
      <c r="J44" t="str">
        <f>IF(COUNT(I39:I44)&gt;3.5,ROUND(AVERAGE(I39:I44),2),"")</f>
        <v/>
      </c>
      <c r="K44" t="str">
        <f>IF(COUNT(, , , , , , , , NA, NA, NA, NA, NA, NA, NA, NA, NA, NA, NA, NA, NA, NA, NA, NA)&gt;17.5,ROUND(AVERAGE(, , , , , , , , 0, 0, 0, 0, 0, 0, 0, 0, 0, 0, 0, 0, 0, 0, 0, 0),2),"NO AVG")</f>
        <v>NO AVG</v>
      </c>
    </row>
    <row r="45" spans="1:11" x14ac:dyDescent="0.25">
      <c r="A45" s="1">
        <v>44784.299409722225</v>
      </c>
      <c r="B45" s="1">
        <v>44784.299340277779</v>
      </c>
      <c r="C45">
        <v>0</v>
      </c>
      <c r="D45">
        <v>0</v>
      </c>
      <c r="E45">
        <v>77</v>
      </c>
      <c r="F45">
        <v>0</v>
      </c>
      <c r="G45" t="s">
        <v>32</v>
      </c>
      <c r="H45" t="s">
        <v>36</v>
      </c>
      <c r="J45" s="2"/>
      <c r="K45" s="2"/>
    </row>
    <row r="46" spans="1:11" x14ac:dyDescent="0.25">
      <c r="A46" s="1">
        <v>44784.306354166663</v>
      </c>
      <c r="B46" s="1">
        <v>44784.306273148148</v>
      </c>
      <c r="C46">
        <v>0</v>
      </c>
      <c r="D46">
        <v>0</v>
      </c>
      <c r="E46">
        <v>77</v>
      </c>
      <c r="F46">
        <v>0</v>
      </c>
      <c r="G46" t="s">
        <v>32</v>
      </c>
      <c r="H46" t="s">
        <v>36</v>
      </c>
      <c r="J46" s="2"/>
      <c r="K46" s="2"/>
    </row>
    <row r="47" spans="1:11" x14ac:dyDescent="0.25">
      <c r="A47" s="1">
        <v>44784.313287037039</v>
      </c>
      <c r="B47" s="1">
        <v>44784.313217592593</v>
      </c>
      <c r="C47">
        <v>0</v>
      </c>
      <c r="D47">
        <v>0</v>
      </c>
      <c r="E47">
        <v>77</v>
      </c>
      <c r="F47">
        <v>0</v>
      </c>
      <c r="G47" t="s">
        <v>32</v>
      </c>
      <c r="H47" t="s">
        <v>36</v>
      </c>
      <c r="J47" s="2"/>
      <c r="K47" s="2"/>
    </row>
    <row r="48" spans="1:11" x14ac:dyDescent="0.25">
      <c r="A48" s="1">
        <v>44784.320289351854</v>
      </c>
      <c r="B48" s="1">
        <v>44784.320162037038</v>
      </c>
      <c r="C48">
        <v>0</v>
      </c>
      <c r="D48">
        <v>0</v>
      </c>
      <c r="E48">
        <v>77</v>
      </c>
      <c r="F48">
        <v>0</v>
      </c>
      <c r="G48" t="s">
        <v>32</v>
      </c>
      <c r="H48" t="s">
        <v>36</v>
      </c>
      <c r="J48" s="2"/>
      <c r="K48" s="2"/>
    </row>
    <row r="49" spans="1:11" x14ac:dyDescent="0.25">
      <c r="A49" s="1">
        <v>44784.327187499999</v>
      </c>
      <c r="B49" s="1">
        <v>44784.327106481483</v>
      </c>
      <c r="C49">
        <v>0</v>
      </c>
      <c r="D49">
        <v>0</v>
      </c>
      <c r="E49">
        <v>77</v>
      </c>
      <c r="F49">
        <v>0</v>
      </c>
      <c r="G49" t="s">
        <v>32</v>
      </c>
      <c r="H49" t="s">
        <v>36</v>
      </c>
      <c r="J49" s="2"/>
      <c r="K49" s="2"/>
    </row>
    <row r="50" spans="1:11" x14ac:dyDescent="0.25">
      <c r="A50" s="1">
        <v>44784.334131944444</v>
      </c>
      <c r="B50" s="1">
        <v>44784.334050925929</v>
      </c>
      <c r="C50">
        <v>0</v>
      </c>
      <c r="D50">
        <v>0</v>
      </c>
      <c r="E50">
        <v>77</v>
      </c>
      <c r="F50">
        <v>0</v>
      </c>
      <c r="G50" t="s">
        <v>32</v>
      </c>
      <c r="H50" t="s">
        <v>36</v>
      </c>
      <c r="J50" t="str">
        <f>IF(COUNT(I45:I50)&gt;3.5,ROUND(AVERAGE(I45:I50),2),"")</f>
        <v/>
      </c>
      <c r="K50" t="str">
        <f>IF(COUNT(, , , , , , , , , NA, NA, NA, NA, NA, NA, NA, NA, NA, NA, NA, NA, NA, NA, NA)&gt;17.5,ROUND(AVERAGE(, , , , , , , , , 0, 0, 0, 0, 0, 0, 0, 0, 0, 0, 0, 0, 0, 0, 0),2),"NO AVG")</f>
        <v>NO AVG</v>
      </c>
    </row>
    <row r="51" spans="1:11" x14ac:dyDescent="0.25">
      <c r="A51" s="1">
        <v>44784.341145833336</v>
      </c>
      <c r="B51" s="1">
        <v>44784.340995370374</v>
      </c>
      <c r="C51">
        <v>0</v>
      </c>
      <c r="D51">
        <v>0</v>
      </c>
      <c r="E51">
        <v>77</v>
      </c>
      <c r="F51">
        <v>0</v>
      </c>
      <c r="G51" t="s">
        <v>32</v>
      </c>
      <c r="H51" t="s">
        <v>36</v>
      </c>
      <c r="J51" s="2"/>
      <c r="K51" s="2"/>
    </row>
    <row r="52" spans="1:11" x14ac:dyDescent="0.25">
      <c r="A52" s="1">
        <v>44784.348020833335</v>
      </c>
      <c r="B52" s="1">
        <v>44784.347951388889</v>
      </c>
      <c r="C52">
        <v>0</v>
      </c>
      <c r="D52">
        <v>0</v>
      </c>
      <c r="E52">
        <v>77</v>
      </c>
      <c r="F52">
        <v>0</v>
      </c>
      <c r="G52" t="s">
        <v>32</v>
      </c>
      <c r="H52" t="s">
        <v>36</v>
      </c>
      <c r="J52" s="2"/>
      <c r="K52" s="2"/>
    </row>
    <row r="53" spans="1:11" x14ac:dyDescent="0.25">
      <c r="A53" s="1">
        <v>44784.35496527778</v>
      </c>
      <c r="B53" s="1">
        <v>44784.354884259257</v>
      </c>
      <c r="C53">
        <v>0</v>
      </c>
      <c r="D53">
        <v>0</v>
      </c>
      <c r="E53">
        <v>77</v>
      </c>
      <c r="F53">
        <v>0</v>
      </c>
      <c r="G53" t="s">
        <v>32</v>
      </c>
      <c r="H53" t="s">
        <v>36</v>
      </c>
      <c r="J53" s="2"/>
      <c r="K53" s="2"/>
    </row>
    <row r="54" spans="1:11" x14ac:dyDescent="0.25">
      <c r="A54" s="1">
        <v>44784.361909722225</v>
      </c>
      <c r="B54" s="1">
        <v>44784.361828703702</v>
      </c>
      <c r="C54">
        <v>0</v>
      </c>
      <c r="D54">
        <v>0</v>
      </c>
      <c r="E54">
        <v>77</v>
      </c>
      <c r="F54">
        <v>0</v>
      </c>
      <c r="G54" t="s">
        <v>32</v>
      </c>
      <c r="H54" t="s">
        <v>36</v>
      </c>
      <c r="J54" s="2"/>
      <c r="K54" s="2"/>
    </row>
    <row r="55" spans="1:11" x14ac:dyDescent="0.25">
      <c r="A55" s="1">
        <v>44784.368854166663</v>
      </c>
      <c r="B55" s="1">
        <v>44784.368784722225</v>
      </c>
      <c r="C55">
        <v>0</v>
      </c>
      <c r="D55">
        <v>0</v>
      </c>
      <c r="E55">
        <v>77</v>
      </c>
      <c r="F55">
        <v>0</v>
      </c>
      <c r="G55" t="s">
        <v>32</v>
      </c>
      <c r="H55" t="s">
        <v>36</v>
      </c>
      <c r="J55" s="2"/>
      <c r="K55" s="2"/>
    </row>
    <row r="56" spans="1:11" x14ac:dyDescent="0.25">
      <c r="A56" s="1">
        <v>44784.375798611109</v>
      </c>
      <c r="B56" s="1">
        <v>44784.375717592593</v>
      </c>
      <c r="C56">
        <v>0</v>
      </c>
      <c r="D56">
        <v>0</v>
      </c>
      <c r="E56">
        <v>77</v>
      </c>
      <c r="F56">
        <v>0</v>
      </c>
      <c r="G56" t="s">
        <v>32</v>
      </c>
      <c r="H56" t="s">
        <v>36</v>
      </c>
      <c r="J56" t="str">
        <f>IF(COUNT(I51:I56)&gt;3.5,ROUND(AVERAGE(I51:I56),2),"")</f>
        <v/>
      </c>
      <c r="K56" t="str">
        <f>IF(COUNT(, , , , , , , , , , NA, NA, NA, NA, NA, NA, NA, NA, NA, NA, NA, NA, NA, NA)&gt;17.5,ROUND(AVERAGE(, , , , , , , , , , 0, 0, 0, 0, 0, 0, 0, 0, 0, 0, 0, 0, 0, 0),2),"NO AVG")</f>
        <v>NO AVG</v>
      </c>
    </row>
    <row r="57" spans="1:11" x14ac:dyDescent="0.25">
      <c r="A57" s="1">
        <v>44784.382743055554</v>
      </c>
      <c r="B57" s="1">
        <v>44784.382662037038</v>
      </c>
      <c r="C57">
        <v>0</v>
      </c>
      <c r="D57">
        <v>0</v>
      </c>
      <c r="E57">
        <v>77</v>
      </c>
      <c r="F57">
        <v>0</v>
      </c>
      <c r="G57" t="s">
        <v>32</v>
      </c>
      <c r="H57" t="s">
        <v>36</v>
      </c>
      <c r="J57" s="2"/>
      <c r="K57" s="2"/>
    </row>
    <row r="58" spans="1:11" x14ac:dyDescent="0.25">
      <c r="A58" s="1">
        <v>44784.389687499999</v>
      </c>
      <c r="B58" s="1">
        <v>44784.389618055553</v>
      </c>
      <c r="C58">
        <v>0</v>
      </c>
      <c r="D58">
        <v>0</v>
      </c>
      <c r="E58">
        <v>77</v>
      </c>
      <c r="F58">
        <v>0</v>
      </c>
      <c r="G58" t="s">
        <v>32</v>
      </c>
      <c r="H58" t="s">
        <v>36</v>
      </c>
      <c r="J58" s="2"/>
      <c r="K58" s="2"/>
    </row>
    <row r="59" spans="1:11" x14ac:dyDescent="0.25">
      <c r="A59" s="1">
        <v>44784.396643518521</v>
      </c>
      <c r="B59" s="1">
        <v>44784.396562499998</v>
      </c>
      <c r="C59">
        <v>0</v>
      </c>
      <c r="D59">
        <v>0</v>
      </c>
      <c r="E59">
        <v>77</v>
      </c>
      <c r="F59">
        <v>0</v>
      </c>
      <c r="G59" t="s">
        <v>32</v>
      </c>
      <c r="H59" t="s">
        <v>36</v>
      </c>
      <c r="J59" s="2"/>
      <c r="K59" s="2"/>
    </row>
    <row r="60" spans="1:11" x14ac:dyDescent="0.25">
      <c r="A60" s="1">
        <v>44784.40357638889</v>
      </c>
      <c r="B60" s="1">
        <v>44784.403506944444</v>
      </c>
      <c r="C60">
        <v>0</v>
      </c>
      <c r="D60">
        <v>0</v>
      </c>
      <c r="E60">
        <v>77</v>
      </c>
      <c r="F60">
        <v>0</v>
      </c>
      <c r="G60" t="s">
        <v>32</v>
      </c>
      <c r="H60" t="s">
        <v>36</v>
      </c>
      <c r="J60" s="2"/>
      <c r="K60" s="2"/>
    </row>
    <row r="61" spans="1:11" x14ac:dyDescent="0.25">
      <c r="A61" s="1">
        <v>44784.410578703704</v>
      </c>
      <c r="B61" s="1">
        <v>44784.410451388889</v>
      </c>
      <c r="C61">
        <v>0</v>
      </c>
      <c r="D61">
        <v>0</v>
      </c>
      <c r="E61">
        <v>77</v>
      </c>
      <c r="F61">
        <v>0</v>
      </c>
      <c r="G61" t="s">
        <v>32</v>
      </c>
      <c r="H61" t="s">
        <v>36</v>
      </c>
      <c r="J61" s="2"/>
      <c r="K61" s="2"/>
    </row>
    <row r="62" spans="1:11" x14ac:dyDescent="0.25">
      <c r="A62" s="1">
        <v>44784.41746527778</v>
      </c>
      <c r="B62" s="1">
        <v>44784.417395833334</v>
      </c>
      <c r="C62">
        <v>0</v>
      </c>
      <c r="D62">
        <v>0</v>
      </c>
      <c r="E62">
        <v>77</v>
      </c>
      <c r="F62">
        <v>0</v>
      </c>
      <c r="G62" t="s">
        <v>32</v>
      </c>
      <c r="H62" t="s">
        <v>36</v>
      </c>
      <c r="J62" t="str">
        <f>IF(COUNT(I57:I62)&gt;3.5,ROUND(AVERAGE(I57:I62),2),"")</f>
        <v/>
      </c>
      <c r="K62" t="str">
        <f>IF(COUNT(, , , , , , , , , , , NA, NA, NA, NA, NA, NA, NA, NA, NA, NA, NA, NA, NA)&gt;17.5,ROUND(AVERAGE(, , , , , , , , , , , 0, 0, 0, 0, 0, 0, 0, 0, 0, 0, 0, 0, 0),2),"NO AVG")</f>
        <v>NO AVG</v>
      </c>
    </row>
    <row r="63" spans="1:11" x14ac:dyDescent="0.25">
      <c r="A63" s="1">
        <v>44784.424490740741</v>
      </c>
      <c r="B63" s="1">
        <v>44784.424340277779</v>
      </c>
      <c r="C63">
        <v>0</v>
      </c>
      <c r="D63">
        <v>0</v>
      </c>
      <c r="E63">
        <v>77</v>
      </c>
      <c r="F63">
        <v>0</v>
      </c>
      <c r="G63" t="s">
        <v>32</v>
      </c>
      <c r="H63" t="s">
        <v>36</v>
      </c>
      <c r="J63" s="2"/>
      <c r="K63" s="2"/>
    </row>
    <row r="64" spans="1:11" x14ac:dyDescent="0.25">
      <c r="A64" s="1">
        <v>44784.431354166663</v>
      </c>
      <c r="B64" s="1">
        <v>44784.431284722225</v>
      </c>
      <c r="C64">
        <v>0</v>
      </c>
      <c r="D64">
        <v>0</v>
      </c>
      <c r="E64">
        <v>77</v>
      </c>
      <c r="F64">
        <v>0</v>
      </c>
      <c r="G64" t="s">
        <v>32</v>
      </c>
      <c r="H64" t="s">
        <v>36</v>
      </c>
      <c r="J64" s="2"/>
      <c r="K64" s="2"/>
    </row>
    <row r="65" spans="1:11" x14ac:dyDescent="0.25">
      <c r="A65" s="1">
        <v>44784.438310185185</v>
      </c>
      <c r="B65" s="1">
        <v>44784.43822916667</v>
      </c>
      <c r="C65">
        <v>0</v>
      </c>
      <c r="D65">
        <v>0</v>
      </c>
      <c r="E65">
        <v>77</v>
      </c>
      <c r="F65">
        <v>0</v>
      </c>
      <c r="G65" t="s">
        <v>32</v>
      </c>
      <c r="H65" t="s">
        <v>36</v>
      </c>
      <c r="J65" s="2"/>
      <c r="K65" s="2"/>
    </row>
    <row r="66" spans="1:11" x14ac:dyDescent="0.25">
      <c r="A66" s="1">
        <v>44784.445243055554</v>
      </c>
      <c r="B66" s="1">
        <v>44784.445173611108</v>
      </c>
      <c r="C66">
        <v>0</v>
      </c>
      <c r="D66">
        <v>0</v>
      </c>
      <c r="E66">
        <v>77</v>
      </c>
      <c r="F66">
        <v>0</v>
      </c>
      <c r="G66" t="s">
        <v>32</v>
      </c>
      <c r="H66" t="s">
        <v>36</v>
      </c>
      <c r="J66" s="2"/>
      <c r="K66" s="2"/>
    </row>
    <row r="67" spans="1:11" x14ac:dyDescent="0.25">
      <c r="A67" s="1">
        <v>44784.452187499999</v>
      </c>
      <c r="B67" s="1">
        <v>44784.452118055553</v>
      </c>
      <c r="C67">
        <v>0</v>
      </c>
      <c r="D67">
        <v>0</v>
      </c>
      <c r="E67">
        <v>77</v>
      </c>
      <c r="F67">
        <v>0</v>
      </c>
      <c r="G67" t="s">
        <v>32</v>
      </c>
      <c r="H67" t="s">
        <v>36</v>
      </c>
      <c r="J67" s="2"/>
      <c r="K67" s="2"/>
    </row>
    <row r="68" spans="1:11" x14ac:dyDescent="0.25">
      <c r="A68" s="1">
        <v>44784.459143518521</v>
      </c>
      <c r="B68" s="1">
        <v>44784.459062499998</v>
      </c>
      <c r="C68">
        <v>0</v>
      </c>
      <c r="D68">
        <v>0</v>
      </c>
      <c r="E68">
        <v>77</v>
      </c>
      <c r="F68">
        <v>0</v>
      </c>
      <c r="G68" t="s">
        <v>32</v>
      </c>
      <c r="H68" t="s">
        <v>36</v>
      </c>
      <c r="J68" t="str">
        <f>IF(COUNT(I63:I68)&gt;3.5,ROUND(AVERAGE(I63:I68),2),"")</f>
        <v/>
      </c>
      <c r="K68" t="str">
        <f>IF(COUNT(, , , , , , , , , , , , NA, NA, NA, NA, NA, NA, NA, NA, NA, NA, NA, NA)&gt;17.5,ROUND(AVERAGE(, , , , , , , , , , , , 0, 0, 0, 0, 0, 0, 0, 0, 0, 0, 0, 0),2),"NO AVG")</f>
        <v>NO AVG</v>
      </c>
    </row>
    <row r="69" spans="1:11" x14ac:dyDescent="0.25">
      <c r="A69" s="1">
        <v>44784.466087962966</v>
      </c>
      <c r="B69" s="1">
        <v>44784.466006944444</v>
      </c>
      <c r="C69">
        <v>0</v>
      </c>
      <c r="D69">
        <v>0</v>
      </c>
      <c r="E69">
        <v>77</v>
      </c>
      <c r="F69">
        <v>0</v>
      </c>
      <c r="G69" t="s">
        <v>32</v>
      </c>
      <c r="H69" t="s">
        <v>36</v>
      </c>
      <c r="J69" s="2"/>
      <c r="K69" s="2"/>
    </row>
    <row r="70" spans="1:11" x14ac:dyDescent="0.25">
      <c r="A70" s="1">
        <v>44784.473020833335</v>
      </c>
      <c r="B70" s="1">
        <v>44784.472951388889</v>
      </c>
      <c r="C70">
        <v>0</v>
      </c>
      <c r="D70">
        <v>0</v>
      </c>
      <c r="E70">
        <v>77</v>
      </c>
      <c r="F70">
        <v>0</v>
      </c>
      <c r="G70" t="s">
        <v>32</v>
      </c>
      <c r="H70" t="s">
        <v>36</v>
      </c>
      <c r="J70" s="2"/>
      <c r="K70" s="2"/>
    </row>
    <row r="71" spans="1:11" x14ac:dyDescent="0.25">
      <c r="A71" s="1">
        <v>44784.47997685185</v>
      </c>
      <c r="B71" s="1">
        <v>44784.479895833334</v>
      </c>
      <c r="C71">
        <v>0</v>
      </c>
      <c r="D71">
        <v>0</v>
      </c>
      <c r="E71">
        <v>77</v>
      </c>
      <c r="F71">
        <v>0</v>
      </c>
      <c r="G71" t="s">
        <v>32</v>
      </c>
      <c r="H71" t="s">
        <v>36</v>
      </c>
      <c r="J71" s="2"/>
      <c r="K71" s="2"/>
    </row>
    <row r="72" spans="1:11" x14ac:dyDescent="0.25">
      <c r="A72" s="1">
        <v>44784.486944444441</v>
      </c>
      <c r="B72" s="1">
        <v>44784.486840277779</v>
      </c>
      <c r="C72">
        <v>0</v>
      </c>
      <c r="D72">
        <v>0</v>
      </c>
      <c r="E72">
        <v>77</v>
      </c>
      <c r="F72">
        <v>0</v>
      </c>
      <c r="G72" t="s">
        <v>32</v>
      </c>
      <c r="H72" t="s">
        <v>36</v>
      </c>
      <c r="J72" s="2"/>
      <c r="K72" s="2"/>
    </row>
    <row r="73" spans="1:11" x14ac:dyDescent="0.25">
      <c r="A73" s="1">
        <v>44784.49391203704</v>
      </c>
      <c r="B73" s="1">
        <v>44784.493784722225</v>
      </c>
      <c r="C73">
        <v>0</v>
      </c>
      <c r="D73">
        <v>0</v>
      </c>
      <c r="E73">
        <v>77</v>
      </c>
      <c r="F73">
        <v>0</v>
      </c>
      <c r="G73" t="s">
        <v>32</v>
      </c>
      <c r="H73" t="s">
        <v>36</v>
      </c>
      <c r="J73" s="2"/>
      <c r="K73" s="2"/>
    </row>
    <row r="74" spans="1:11" x14ac:dyDescent="0.25">
      <c r="A74" s="1">
        <v>44784.500810185185</v>
      </c>
      <c r="B74" s="1">
        <v>44784.50072916667</v>
      </c>
      <c r="C74">
        <v>0</v>
      </c>
      <c r="D74">
        <v>0</v>
      </c>
      <c r="E74">
        <v>77</v>
      </c>
      <c r="F74">
        <v>0</v>
      </c>
      <c r="G74" t="s">
        <v>32</v>
      </c>
      <c r="H74" t="s">
        <v>36</v>
      </c>
      <c r="J74" t="str">
        <f>IF(COUNT(I69:I74)&gt;3.5,ROUND(AVERAGE(I69:I74),2),"")</f>
        <v/>
      </c>
      <c r="K74" t="str">
        <f>IF(COUNT(, , , , , , , , , , , , , NA, NA, NA, NA, NA, NA, NA, NA, NA, NA, NA)&gt;17.5,ROUND(AVERAGE(, , , , , , , , , , , , , 0, 0, 0, 0, 0, 0, 0, 0, 0, 0, 0),2),"NO AVG")</f>
        <v>NO AVG</v>
      </c>
    </row>
    <row r="75" spans="1:11" x14ac:dyDescent="0.25">
      <c r="A75" s="1">
        <v>44784.507754629631</v>
      </c>
      <c r="B75" s="1">
        <v>44784.507673611108</v>
      </c>
      <c r="C75">
        <v>0</v>
      </c>
      <c r="D75">
        <v>0</v>
      </c>
      <c r="E75">
        <v>77</v>
      </c>
      <c r="F75">
        <v>0</v>
      </c>
      <c r="G75" t="s">
        <v>32</v>
      </c>
      <c r="H75" t="s">
        <v>36</v>
      </c>
      <c r="J75" s="2"/>
      <c r="K75" s="2"/>
    </row>
    <row r="76" spans="1:11" x14ac:dyDescent="0.25">
      <c r="A76" s="1">
        <v>44784.514699074076</v>
      </c>
      <c r="B76" s="1">
        <v>44784.514618055553</v>
      </c>
      <c r="C76">
        <v>0</v>
      </c>
      <c r="D76">
        <v>0</v>
      </c>
      <c r="E76">
        <v>77</v>
      </c>
      <c r="F76">
        <v>0</v>
      </c>
      <c r="G76" t="s">
        <v>32</v>
      </c>
      <c r="H76" t="s">
        <v>36</v>
      </c>
      <c r="J76" s="2"/>
      <c r="K76" s="2"/>
    </row>
    <row r="77" spans="1:11" x14ac:dyDescent="0.25">
      <c r="A77" s="1">
        <v>44784.521643518521</v>
      </c>
      <c r="B77" s="1">
        <v>44784.521562499998</v>
      </c>
      <c r="C77">
        <v>0</v>
      </c>
      <c r="D77">
        <v>0</v>
      </c>
      <c r="E77">
        <v>77</v>
      </c>
      <c r="F77">
        <v>0</v>
      </c>
      <c r="G77" t="s">
        <v>32</v>
      </c>
      <c r="H77" t="s">
        <v>36</v>
      </c>
      <c r="J77" s="2"/>
      <c r="K77" s="2"/>
    </row>
    <row r="78" spans="1:11" x14ac:dyDescent="0.25">
      <c r="A78" s="1">
        <v>44784.528622685182</v>
      </c>
      <c r="B78" s="1">
        <v>44784.528506944444</v>
      </c>
      <c r="C78">
        <v>0</v>
      </c>
      <c r="D78">
        <v>0</v>
      </c>
      <c r="E78">
        <v>77</v>
      </c>
      <c r="F78">
        <v>0</v>
      </c>
      <c r="G78" t="s">
        <v>32</v>
      </c>
      <c r="H78" t="s">
        <v>36</v>
      </c>
      <c r="J78" s="2"/>
      <c r="K78" s="2"/>
    </row>
    <row r="79" spans="1:11" x14ac:dyDescent="0.25">
      <c r="A79" s="1">
        <v>44784.535532407404</v>
      </c>
      <c r="B79" s="1">
        <v>44784.535451388889</v>
      </c>
      <c r="C79">
        <v>0</v>
      </c>
      <c r="D79">
        <v>0</v>
      </c>
      <c r="E79">
        <v>77</v>
      </c>
      <c r="F79">
        <v>0</v>
      </c>
      <c r="G79" t="s">
        <v>32</v>
      </c>
      <c r="H79" t="s">
        <v>36</v>
      </c>
      <c r="J79" s="2"/>
      <c r="K79" s="2"/>
    </row>
    <row r="80" spans="1:11" x14ac:dyDescent="0.25">
      <c r="A80" s="1">
        <v>44784.54247685185</v>
      </c>
      <c r="B80" s="1">
        <v>44784.542395833334</v>
      </c>
      <c r="C80">
        <v>0</v>
      </c>
      <c r="D80">
        <v>0</v>
      </c>
      <c r="E80">
        <v>77</v>
      </c>
      <c r="F80">
        <v>0</v>
      </c>
      <c r="G80" t="s">
        <v>32</v>
      </c>
      <c r="H80" t="s">
        <v>36</v>
      </c>
      <c r="J80" t="str">
        <f>IF(COUNT(I75:I80)&gt;3.5,ROUND(AVERAGE(I75:I80),2),"")</f>
        <v/>
      </c>
      <c r="K80" t="str">
        <f>IF(COUNT(, , , , , , , , , , , , , , NA, NA, NA, NA, NA, NA, NA, NA, NA, NA)&gt;17.5,ROUND(AVERAGE(, , , , , , , , , , , , , , 0, 0, 0, 0, 0, 0, 0, 0, 0, 0),2),"NO AVG")</f>
        <v>NO AVG</v>
      </c>
    </row>
    <row r="81" spans="1:11" x14ac:dyDescent="0.25">
      <c r="A81" s="1">
        <v>44784.549432870372</v>
      </c>
      <c r="B81" s="1">
        <v>44784.549340277779</v>
      </c>
      <c r="C81">
        <v>0</v>
      </c>
      <c r="D81">
        <v>0</v>
      </c>
      <c r="E81">
        <v>77</v>
      </c>
      <c r="F81">
        <v>0</v>
      </c>
      <c r="G81" t="s">
        <v>32</v>
      </c>
      <c r="H81" t="s">
        <v>36</v>
      </c>
      <c r="J81" s="2"/>
      <c r="K81" s="2"/>
    </row>
    <row r="82" spans="1:11" x14ac:dyDescent="0.25">
      <c r="A82" s="1">
        <v>44784.556863425925</v>
      </c>
      <c r="B82" s="1">
        <v>44784.556284722225</v>
      </c>
      <c r="C82">
        <v>0</v>
      </c>
      <c r="D82">
        <v>0</v>
      </c>
      <c r="E82">
        <v>77</v>
      </c>
      <c r="F82">
        <v>0</v>
      </c>
      <c r="G82" t="s">
        <v>32</v>
      </c>
      <c r="H82" t="s">
        <v>36</v>
      </c>
      <c r="J82" s="2"/>
      <c r="K82" s="2"/>
    </row>
    <row r="83" spans="1:11" x14ac:dyDescent="0.25">
      <c r="A83" s="1">
        <v>44784.563321759262</v>
      </c>
      <c r="B83" s="1">
        <v>44784.56322916667</v>
      </c>
      <c r="C83">
        <v>0</v>
      </c>
      <c r="D83">
        <v>0</v>
      </c>
      <c r="E83">
        <v>77</v>
      </c>
      <c r="F83">
        <v>0</v>
      </c>
      <c r="G83" t="s">
        <v>32</v>
      </c>
      <c r="H83" t="s">
        <v>36</v>
      </c>
      <c r="J83" s="2"/>
      <c r="K83" s="2"/>
    </row>
    <row r="84" spans="1:11" x14ac:dyDescent="0.25">
      <c r="A84" s="1">
        <v>44784.5703125</v>
      </c>
      <c r="B84" s="1">
        <v>44784.570173611108</v>
      </c>
      <c r="C84">
        <v>0</v>
      </c>
      <c r="D84">
        <v>0</v>
      </c>
      <c r="E84">
        <v>77</v>
      </c>
      <c r="F84">
        <v>0</v>
      </c>
      <c r="G84" t="s">
        <v>32</v>
      </c>
      <c r="H84" t="s">
        <v>36</v>
      </c>
      <c r="J84" s="2"/>
      <c r="K84" s="2"/>
    </row>
    <row r="85" spans="1:11" x14ac:dyDescent="0.25">
      <c r="A85" s="1">
        <v>44784.577210648145</v>
      </c>
      <c r="B85" s="1">
        <v>44784.577118055553</v>
      </c>
      <c r="C85">
        <v>0</v>
      </c>
      <c r="D85">
        <v>0</v>
      </c>
      <c r="E85">
        <v>77</v>
      </c>
      <c r="F85">
        <v>0</v>
      </c>
      <c r="G85" t="s">
        <v>32</v>
      </c>
      <c r="H85" t="s">
        <v>36</v>
      </c>
      <c r="J85" s="2"/>
      <c r="K85" s="2"/>
    </row>
    <row r="86" spans="1:11" x14ac:dyDescent="0.25">
      <c r="A86" s="1">
        <v>44784.584155092591</v>
      </c>
      <c r="B86" s="1">
        <v>44784.584062499998</v>
      </c>
      <c r="C86">
        <v>0</v>
      </c>
      <c r="D86">
        <v>0</v>
      </c>
      <c r="E86">
        <v>77</v>
      </c>
      <c r="F86">
        <v>0</v>
      </c>
      <c r="G86" t="s">
        <v>32</v>
      </c>
      <c r="H86" t="s">
        <v>36</v>
      </c>
      <c r="J86" t="str">
        <f>IF(COUNT(I81:I86)&gt;3.5,ROUND(AVERAGE(I81:I86),2),"")</f>
        <v/>
      </c>
      <c r="K86" t="str">
        <f>IF(COUNT(, , , , , , , , , , , , , , , NA, NA, NA, NA, NA, NA, NA, NA, NA)&gt;17.5,ROUND(AVERAGE(, , , , , , , , , , , , , , , 0, 0, 0, 0, 0, 0, 0, 0, 0),2),"NO AVG")</f>
        <v>NO AVG</v>
      </c>
    </row>
    <row r="87" spans="1:11" x14ac:dyDescent="0.25">
      <c r="A87" s="1">
        <v>44784.591157407405</v>
      </c>
      <c r="B87" s="1">
        <v>44784.591006944444</v>
      </c>
      <c r="C87">
        <v>0</v>
      </c>
      <c r="D87">
        <v>0</v>
      </c>
      <c r="E87">
        <v>77</v>
      </c>
      <c r="F87">
        <v>0</v>
      </c>
      <c r="G87" t="s">
        <v>32</v>
      </c>
      <c r="H87" t="s">
        <v>36</v>
      </c>
      <c r="J87" s="2"/>
      <c r="K87" s="2"/>
    </row>
    <row r="88" spans="1:11" x14ac:dyDescent="0.25">
      <c r="A88" s="1">
        <v>44784.598078703704</v>
      </c>
      <c r="B88" s="1">
        <v>44784.597951388889</v>
      </c>
      <c r="C88">
        <v>0</v>
      </c>
      <c r="D88">
        <v>0</v>
      </c>
      <c r="E88">
        <v>77</v>
      </c>
      <c r="F88">
        <v>0</v>
      </c>
      <c r="G88" t="s">
        <v>32</v>
      </c>
      <c r="H88" t="s">
        <v>36</v>
      </c>
      <c r="J88" s="2"/>
      <c r="K88" s="2"/>
    </row>
    <row r="89" spans="1:11" x14ac:dyDescent="0.25">
      <c r="A89" s="1">
        <v>44784.604988425926</v>
      </c>
      <c r="B89" s="1">
        <v>44784.604895833334</v>
      </c>
      <c r="C89">
        <v>0</v>
      </c>
      <c r="D89">
        <v>0</v>
      </c>
      <c r="E89">
        <v>77</v>
      </c>
      <c r="F89">
        <v>0</v>
      </c>
      <c r="G89" t="s">
        <v>32</v>
      </c>
      <c r="H89" t="s">
        <v>36</v>
      </c>
      <c r="J89" s="2"/>
      <c r="K89" s="2"/>
    </row>
    <row r="90" spans="1:11" x14ac:dyDescent="0.25">
      <c r="A90" s="1">
        <v>44784.611990740741</v>
      </c>
      <c r="B90" s="1">
        <v>44784.611840277779</v>
      </c>
      <c r="C90">
        <v>0</v>
      </c>
      <c r="D90">
        <v>0</v>
      </c>
      <c r="E90">
        <v>77</v>
      </c>
      <c r="F90">
        <v>0</v>
      </c>
      <c r="G90" t="s">
        <v>32</v>
      </c>
      <c r="H90" t="s">
        <v>36</v>
      </c>
      <c r="J90" s="2"/>
      <c r="K90" s="2"/>
    </row>
    <row r="91" spans="1:11" x14ac:dyDescent="0.25">
      <c r="A91" s="1">
        <v>44784.618877314817</v>
      </c>
      <c r="B91" s="1">
        <v>44784.618784722225</v>
      </c>
      <c r="C91">
        <v>0</v>
      </c>
      <c r="D91">
        <v>0</v>
      </c>
      <c r="E91">
        <v>77</v>
      </c>
      <c r="F91">
        <v>0</v>
      </c>
      <c r="G91" t="s">
        <v>32</v>
      </c>
      <c r="H91" t="s">
        <v>36</v>
      </c>
      <c r="J91" s="2"/>
      <c r="K91" s="2"/>
    </row>
    <row r="92" spans="1:11" x14ac:dyDescent="0.25">
      <c r="A92" s="1">
        <v>44784.625868055555</v>
      </c>
      <c r="B92" s="1">
        <v>44784.62572916667</v>
      </c>
      <c r="C92">
        <v>0</v>
      </c>
      <c r="D92">
        <v>0</v>
      </c>
      <c r="E92">
        <v>77</v>
      </c>
      <c r="F92">
        <v>0</v>
      </c>
      <c r="G92" t="s">
        <v>32</v>
      </c>
      <c r="H92" t="s">
        <v>36</v>
      </c>
      <c r="J92" t="str">
        <f>IF(COUNT(I87:I92)&gt;3.5,ROUND(AVERAGE(I87:I92),2),"")</f>
        <v/>
      </c>
      <c r="K92" t="str">
        <f>IF(COUNT(, , , , , , , , , , , , , , , , NA, NA, NA, NA, NA, NA, NA, NA)&gt;17.5,ROUND(AVERAGE(, , , , , , , , , , , , , , , , 0, 0, 0, 0, 0, 0, 0, 0),2),"NO AVG")</f>
        <v>NO AVG</v>
      </c>
    </row>
    <row r="93" spans="1:11" x14ac:dyDescent="0.25">
      <c r="A93" s="1">
        <v>44784.632754629631</v>
      </c>
      <c r="B93" s="1">
        <v>44784.632673611108</v>
      </c>
      <c r="C93">
        <v>0</v>
      </c>
      <c r="D93">
        <v>0</v>
      </c>
      <c r="E93">
        <v>77</v>
      </c>
      <c r="F93">
        <v>0</v>
      </c>
      <c r="G93" t="s">
        <v>32</v>
      </c>
      <c r="H93" t="s">
        <v>36</v>
      </c>
      <c r="J93" s="2"/>
      <c r="K93" s="2"/>
    </row>
    <row r="94" spans="1:11" x14ac:dyDescent="0.25">
      <c r="A94" s="1">
        <v>44784.639687499999</v>
      </c>
      <c r="B94" s="1">
        <v>44784.639618055553</v>
      </c>
      <c r="C94">
        <v>0</v>
      </c>
      <c r="D94">
        <v>0</v>
      </c>
      <c r="E94">
        <v>77</v>
      </c>
      <c r="F94">
        <v>0</v>
      </c>
      <c r="G94" t="s">
        <v>32</v>
      </c>
      <c r="H94" t="s">
        <v>36</v>
      </c>
      <c r="J94" s="2"/>
      <c r="K94" s="2"/>
    </row>
    <row r="95" spans="1:11" x14ac:dyDescent="0.25">
      <c r="A95" s="1">
        <v>44784.646643518521</v>
      </c>
      <c r="B95" s="1">
        <v>44784.646562499998</v>
      </c>
      <c r="C95">
        <v>0</v>
      </c>
      <c r="D95">
        <v>0</v>
      </c>
      <c r="E95">
        <v>77</v>
      </c>
      <c r="F95">
        <v>0</v>
      </c>
      <c r="G95" t="s">
        <v>32</v>
      </c>
      <c r="H95" t="s">
        <v>36</v>
      </c>
      <c r="J95" s="2"/>
      <c r="K95" s="2"/>
    </row>
    <row r="96" spans="1:11" x14ac:dyDescent="0.25">
      <c r="A96" s="1">
        <v>44784.65357638889</v>
      </c>
      <c r="B96" s="1">
        <v>44784.653506944444</v>
      </c>
      <c r="C96">
        <v>0</v>
      </c>
      <c r="D96">
        <v>0</v>
      </c>
      <c r="E96">
        <v>77</v>
      </c>
      <c r="F96">
        <v>0</v>
      </c>
      <c r="G96" t="s">
        <v>32</v>
      </c>
      <c r="H96" t="s">
        <v>36</v>
      </c>
      <c r="J96" s="2"/>
      <c r="K96" s="2"/>
    </row>
    <row r="97" spans="1:11" x14ac:dyDescent="0.25">
      <c r="A97" s="1">
        <v>44784.660532407404</v>
      </c>
      <c r="B97" s="1">
        <v>44784.660451388889</v>
      </c>
      <c r="C97">
        <v>0</v>
      </c>
      <c r="D97">
        <v>0</v>
      </c>
      <c r="E97">
        <v>77</v>
      </c>
      <c r="F97">
        <v>0</v>
      </c>
      <c r="G97" t="s">
        <v>32</v>
      </c>
      <c r="H97" t="s">
        <v>36</v>
      </c>
      <c r="J97" s="2"/>
      <c r="K97" s="2"/>
    </row>
    <row r="98" spans="1:11" x14ac:dyDescent="0.25">
      <c r="A98" s="1">
        <v>44784.66747685185</v>
      </c>
      <c r="B98" s="1">
        <v>44784.667395833334</v>
      </c>
      <c r="C98">
        <v>0</v>
      </c>
      <c r="D98">
        <v>0</v>
      </c>
      <c r="E98">
        <v>77</v>
      </c>
      <c r="F98">
        <v>0</v>
      </c>
      <c r="G98" t="s">
        <v>32</v>
      </c>
      <c r="H98" t="s">
        <v>36</v>
      </c>
      <c r="J98" t="str">
        <f>IF(COUNT(I93:I98)&gt;3.5,ROUND(AVERAGE(I93:I98),2),"")</f>
        <v/>
      </c>
      <c r="K98" t="str">
        <f>IF(COUNT(, , , , , , , , , , , , , , , , , NA, NA, NA, NA, NA, NA, NA)&gt;17.5,ROUND(AVERAGE(, , , , , , , , , , , , , , , , , 0, 0, 0, 0, 0, 0, 0),2),"NO AVG")</f>
        <v>NO AVG</v>
      </c>
    </row>
    <row r="99" spans="1:11" x14ac:dyDescent="0.25">
      <c r="A99" s="1">
        <v>44784.674409722225</v>
      </c>
      <c r="B99" s="1">
        <v>44784.674328703702</v>
      </c>
      <c r="C99">
        <v>0</v>
      </c>
      <c r="D99">
        <v>0</v>
      </c>
      <c r="E99">
        <v>77</v>
      </c>
      <c r="F99">
        <v>0</v>
      </c>
      <c r="G99" t="s">
        <v>32</v>
      </c>
      <c r="H99" t="s">
        <v>36</v>
      </c>
      <c r="J99" s="2"/>
      <c r="K99" s="2"/>
    </row>
    <row r="100" spans="1:11" x14ac:dyDescent="0.25">
      <c r="A100" s="1">
        <v>44784.681354166663</v>
      </c>
      <c r="B100" s="1">
        <v>44784.681273148148</v>
      </c>
      <c r="C100">
        <v>0</v>
      </c>
      <c r="D100">
        <v>0</v>
      </c>
      <c r="E100">
        <v>77</v>
      </c>
      <c r="F100">
        <v>0</v>
      </c>
      <c r="G100" t="s">
        <v>32</v>
      </c>
      <c r="H100" t="s">
        <v>36</v>
      </c>
      <c r="J100" s="2"/>
      <c r="K100" s="2"/>
    </row>
    <row r="101" spans="1:11" x14ac:dyDescent="0.25">
      <c r="A101" s="1">
        <v>44784.688333333332</v>
      </c>
      <c r="B101" s="1">
        <v>44784.688217592593</v>
      </c>
      <c r="C101">
        <v>0</v>
      </c>
      <c r="D101">
        <v>0</v>
      </c>
      <c r="E101">
        <v>77</v>
      </c>
      <c r="F101">
        <v>0</v>
      </c>
      <c r="G101" t="s">
        <v>32</v>
      </c>
      <c r="H101" t="s">
        <v>36</v>
      </c>
      <c r="J101" s="2"/>
      <c r="K101" s="2"/>
    </row>
    <row r="102" spans="1:11" x14ac:dyDescent="0.25">
      <c r="A102" s="1">
        <v>44784.695243055554</v>
      </c>
      <c r="B102" s="1">
        <v>44784.695162037038</v>
      </c>
      <c r="C102">
        <v>0</v>
      </c>
      <c r="D102">
        <v>0</v>
      </c>
      <c r="E102">
        <v>77</v>
      </c>
      <c r="F102">
        <v>0</v>
      </c>
      <c r="G102" t="s">
        <v>32</v>
      </c>
      <c r="H102" t="s">
        <v>36</v>
      </c>
      <c r="J102" s="2"/>
      <c r="K102" s="2"/>
    </row>
    <row r="103" spans="1:11" x14ac:dyDescent="0.25">
      <c r="A103" s="1">
        <v>44784.702187499999</v>
      </c>
      <c r="B103" s="1">
        <v>44784.702106481483</v>
      </c>
      <c r="C103">
        <v>0</v>
      </c>
      <c r="D103">
        <v>0</v>
      </c>
      <c r="E103">
        <v>77</v>
      </c>
      <c r="F103">
        <v>0</v>
      </c>
      <c r="G103" t="s">
        <v>32</v>
      </c>
      <c r="H103" t="s">
        <v>36</v>
      </c>
      <c r="J103" s="2"/>
      <c r="K103" s="2"/>
    </row>
    <row r="104" spans="1:11" x14ac:dyDescent="0.25">
      <c r="A104" s="1">
        <v>44784.709143518521</v>
      </c>
      <c r="B104" s="1">
        <v>44784.709050925929</v>
      </c>
      <c r="C104">
        <v>0</v>
      </c>
      <c r="D104">
        <v>0</v>
      </c>
      <c r="E104">
        <v>77</v>
      </c>
      <c r="F104">
        <v>0</v>
      </c>
      <c r="G104" t="s">
        <v>32</v>
      </c>
      <c r="H104" t="s">
        <v>36</v>
      </c>
      <c r="J104" t="str">
        <f>IF(COUNT(I99:I104)&gt;3.5,ROUND(AVERAGE(I99:I104),2),"")</f>
        <v/>
      </c>
      <c r="K104">
        <f>IF(COUNT(, , , , , , , , , , , , , , , , , , NA, NA, NA, NA, NA, NA)&gt;17.5,ROUND(AVERAGE(, , , , , , , , , , , , , , , , , , 0, 0, 0, 0, 0, 0),2),"NO AVG")</f>
        <v>0</v>
      </c>
    </row>
    <row r="105" spans="1:11" x14ac:dyDescent="0.25">
      <c r="A105" s="1">
        <v>44784.71607638889</v>
      </c>
      <c r="B105" s="1">
        <v>44784.715995370374</v>
      </c>
      <c r="C105">
        <v>0</v>
      </c>
      <c r="D105">
        <v>0</v>
      </c>
      <c r="E105">
        <v>77</v>
      </c>
      <c r="F105">
        <v>0</v>
      </c>
      <c r="G105" t="s">
        <v>32</v>
      </c>
      <c r="H105" t="s">
        <v>36</v>
      </c>
      <c r="J105" s="2"/>
      <c r="K105" s="2"/>
    </row>
    <row r="106" spans="1:11" x14ac:dyDescent="0.25">
      <c r="A106" s="1">
        <v>44784.723020833335</v>
      </c>
      <c r="B106" s="1">
        <v>44784.722939814812</v>
      </c>
      <c r="C106">
        <v>0</v>
      </c>
      <c r="D106">
        <v>0</v>
      </c>
      <c r="E106">
        <v>77</v>
      </c>
      <c r="F106">
        <v>0</v>
      </c>
      <c r="G106" t="s">
        <v>32</v>
      </c>
      <c r="H106" t="s">
        <v>36</v>
      </c>
      <c r="J106" s="2"/>
      <c r="K106" s="2"/>
    </row>
    <row r="107" spans="1:11" x14ac:dyDescent="0.25">
      <c r="A107" s="1">
        <v>44784.72996527778</v>
      </c>
      <c r="B107" s="1">
        <v>44784.729884259257</v>
      </c>
      <c r="C107">
        <v>0</v>
      </c>
      <c r="D107">
        <v>0</v>
      </c>
      <c r="E107">
        <v>77</v>
      </c>
      <c r="F107">
        <v>0</v>
      </c>
      <c r="G107" t="s">
        <v>32</v>
      </c>
      <c r="H107" t="s">
        <v>36</v>
      </c>
      <c r="J107" s="2"/>
      <c r="K107" s="2"/>
    </row>
    <row r="108" spans="1:11" x14ac:dyDescent="0.25">
      <c r="A108" s="1">
        <v>44784.736909722225</v>
      </c>
      <c r="B108" s="1">
        <v>44784.736828703702</v>
      </c>
      <c r="C108">
        <v>0</v>
      </c>
      <c r="D108">
        <v>0</v>
      </c>
      <c r="E108">
        <v>77</v>
      </c>
      <c r="F108">
        <v>0</v>
      </c>
      <c r="G108" t="s">
        <v>32</v>
      </c>
      <c r="H108" t="s">
        <v>36</v>
      </c>
      <c r="J108" s="2"/>
      <c r="K108" s="2"/>
    </row>
    <row r="109" spans="1:11" x14ac:dyDescent="0.25">
      <c r="A109" s="1">
        <v>44784.743854166663</v>
      </c>
      <c r="B109" s="1">
        <v>44784.743773148148</v>
      </c>
      <c r="C109">
        <v>0</v>
      </c>
      <c r="D109">
        <v>0</v>
      </c>
      <c r="E109">
        <v>77</v>
      </c>
      <c r="F109">
        <v>0</v>
      </c>
      <c r="G109" t="s">
        <v>32</v>
      </c>
      <c r="H109" t="s">
        <v>36</v>
      </c>
      <c r="J109" s="2"/>
      <c r="K109" s="2"/>
    </row>
    <row r="110" spans="1:11" x14ac:dyDescent="0.25">
      <c r="A110" s="1">
        <v>44784.750856481478</v>
      </c>
      <c r="B110" s="1">
        <v>44784.750717592593</v>
      </c>
      <c r="C110">
        <v>0</v>
      </c>
      <c r="D110">
        <v>0</v>
      </c>
      <c r="E110">
        <v>77</v>
      </c>
      <c r="F110">
        <v>0</v>
      </c>
      <c r="G110" t="s">
        <v>32</v>
      </c>
      <c r="H110" t="s">
        <v>36</v>
      </c>
      <c r="J110" t="str">
        <f>IF(COUNT(I105:I110)&gt;3.5,ROUND(AVERAGE(I105:I110),2),"")</f>
        <v/>
      </c>
      <c r="K110">
        <f>IF(COUNT(, , , , , , , , , , , , , , , , , , , NA, NA, NA, NA, NA)&gt;17.5,ROUND(AVERAGE(, , , , , , , , , , , , , , , , , , , 0, 0, 0, 0, 0),2),"NO AVG")</f>
        <v>0</v>
      </c>
    </row>
    <row r="111" spans="1:11" x14ac:dyDescent="0.25">
      <c r="A111" s="1">
        <v>44784.757754629631</v>
      </c>
      <c r="B111" s="1">
        <v>44784.757662037038</v>
      </c>
      <c r="C111">
        <v>0</v>
      </c>
      <c r="D111">
        <v>0</v>
      </c>
      <c r="E111">
        <v>77</v>
      </c>
      <c r="F111">
        <v>0</v>
      </c>
      <c r="G111" t="s">
        <v>32</v>
      </c>
      <c r="H111" t="s">
        <v>36</v>
      </c>
      <c r="J111" s="2"/>
      <c r="K111" s="2"/>
    </row>
    <row r="112" spans="1:11" x14ac:dyDescent="0.25">
      <c r="A112" s="1">
        <v>44784.764687499999</v>
      </c>
      <c r="B112" s="1">
        <v>44784.764606481483</v>
      </c>
      <c r="C112">
        <v>0</v>
      </c>
      <c r="D112">
        <v>0</v>
      </c>
      <c r="E112">
        <v>77</v>
      </c>
      <c r="F112">
        <v>0</v>
      </c>
      <c r="G112" t="s">
        <v>32</v>
      </c>
      <c r="H112" t="s">
        <v>36</v>
      </c>
      <c r="J112" s="2"/>
      <c r="K112" s="2"/>
    </row>
    <row r="113" spans="1:11" x14ac:dyDescent="0.25">
      <c r="A113" s="1">
        <v>44784.771631944444</v>
      </c>
      <c r="B113" s="1">
        <v>44784.771550925929</v>
      </c>
      <c r="C113">
        <v>0</v>
      </c>
      <c r="D113">
        <v>0</v>
      </c>
      <c r="E113">
        <v>77</v>
      </c>
      <c r="F113">
        <v>0</v>
      </c>
      <c r="G113" t="s">
        <v>32</v>
      </c>
      <c r="H113" t="s">
        <v>36</v>
      </c>
      <c r="J113" s="2"/>
      <c r="K113" s="2"/>
    </row>
    <row r="114" spans="1:11" x14ac:dyDescent="0.25">
      <c r="A114" s="1">
        <v>44784.778587962966</v>
      </c>
      <c r="B114" s="1">
        <v>44784.778495370374</v>
      </c>
      <c r="C114">
        <v>0</v>
      </c>
      <c r="D114">
        <v>0</v>
      </c>
      <c r="E114">
        <v>77</v>
      </c>
      <c r="F114">
        <v>0</v>
      </c>
      <c r="G114" t="s">
        <v>32</v>
      </c>
      <c r="H114" t="s">
        <v>36</v>
      </c>
      <c r="J114" s="2"/>
      <c r="K114" s="2"/>
    </row>
    <row r="115" spans="1:11" x14ac:dyDescent="0.25">
      <c r="A115" s="1">
        <v>44784.785543981481</v>
      </c>
      <c r="B115" s="1">
        <v>44784.785439814812</v>
      </c>
      <c r="C115">
        <v>0</v>
      </c>
      <c r="D115">
        <v>0</v>
      </c>
      <c r="E115">
        <v>77</v>
      </c>
      <c r="F115">
        <v>0</v>
      </c>
      <c r="G115" t="s">
        <v>32</v>
      </c>
      <c r="H115" t="s">
        <v>36</v>
      </c>
      <c r="J115" s="2"/>
      <c r="K115" s="2"/>
    </row>
    <row r="116" spans="1:11" x14ac:dyDescent="0.25">
      <c r="A116" s="1">
        <v>44784.792500000003</v>
      </c>
      <c r="B116" s="1">
        <v>44784.792384259257</v>
      </c>
      <c r="C116">
        <v>0</v>
      </c>
      <c r="D116">
        <v>0</v>
      </c>
      <c r="E116">
        <v>77</v>
      </c>
      <c r="F116">
        <v>0</v>
      </c>
      <c r="G116" t="s">
        <v>32</v>
      </c>
      <c r="H116" t="s">
        <v>36</v>
      </c>
      <c r="J116" t="str">
        <f>IF(COUNT(I111:I116)&gt;3.5,ROUND(AVERAGE(I111:I116),2),"")</f>
        <v/>
      </c>
      <c r="K116">
        <f>IF(COUNT(, , , , , , , , , , , , , , , , , , , , NA, NA, NA, NA)&gt;17.5,ROUND(AVERAGE(, , , , , , , , , , , , , , , , , , , , 0, 0, 0, 0),2),"NO AVG")</f>
        <v>0</v>
      </c>
    </row>
    <row r="117" spans="1:11" x14ac:dyDescent="0.25">
      <c r="A117" s="1">
        <v>44784.799421296295</v>
      </c>
      <c r="B117" s="1">
        <v>44784.799328703702</v>
      </c>
      <c r="C117">
        <v>0</v>
      </c>
      <c r="D117">
        <v>0</v>
      </c>
      <c r="E117">
        <v>77</v>
      </c>
      <c r="F117">
        <v>0</v>
      </c>
      <c r="G117" t="s">
        <v>32</v>
      </c>
      <c r="H117" t="s">
        <v>36</v>
      </c>
      <c r="J117" s="2"/>
      <c r="K117" s="2"/>
    </row>
    <row r="118" spans="1:11" x14ac:dyDescent="0.25">
      <c r="A118" s="1">
        <v>44784.80641203704</v>
      </c>
      <c r="B118" s="1">
        <v>44784.806273148148</v>
      </c>
      <c r="C118">
        <v>0</v>
      </c>
      <c r="D118">
        <v>0</v>
      </c>
      <c r="E118">
        <v>77</v>
      </c>
      <c r="F118">
        <v>0</v>
      </c>
      <c r="G118" t="s">
        <v>32</v>
      </c>
      <c r="H118" t="s">
        <v>36</v>
      </c>
      <c r="J118" s="2"/>
      <c r="K118" s="2"/>
    </row>
    <row r="119" spans="1:11" x14ac:dyDescent="0.25">
      <c r="A119" s="1">
        <v>44784.813310185185</v>
      </c>
      <c r="B119" s="1">
        <v>44784.813217592593</v>
      </c>
      <c r="C119">
        <v>0</v>
      </c>
      <c r="D119">
        <v>0</v>
      </c>
      <c r="E119">
        <v>77</v>
      </c>
      <c r="F119">
        <v>0</v>
      </c>
      <c r="G119" t="s">
        <v>32</v>
      </c>
      <c r="H119" t="s">
        <v>36</v>
      </c>
      <c r="J119" s="2"/>
      <c r="K119" s="2"/>
    </row>
    <row r="120" spans="1:11" x14ac:dyDescent="0.25">
      <c r="A120" s="1">
        <v>44784.820254629631</v>
      </c>
      <c r="B120" s="1">
        <v>44784.820162037038</v>
      </c>
      <c r="C120">
        <v>0</v>
      </c>
      <c r="D120">
        <v>0</v>
      </c>
      <c r="E120">
        <v>77</v>
      </c>
      <c r="F120">
        <v>0</v>
      </c>
      <c r="G120" t="s">
        <v>32</v>
      </c>
      <c r="H120" t="s">
        <v>36</v>
      </c>
      <c r="J120" s="2"/>
      <c r="K120" s="2"/>
    </row>
    <row r="121" spans="1:11" x14ac:dyDescent="0.25">
      <c r="A121" s="1">
        <v>44784.827199074076</v>
      </c>
      <c r="B121" s="1">
        <v>44784.827106481483</v>
      </c>
      <c r="C121">
        <v>0</v>
      </c>
      <c r="D121">
        <v>0</v>
      </c>
      <c r="E121">
        <v>77</v>
      </c>
      <c r="F121">
        <v>0</v>
      </c>
      <c r="G121" t="s">
        <v>32</v>
      </c>
      <c r="H121" t="s">
        <v>36</v>
      </c>
      <c r="J121" s="2"/>
      <c r="K121" s="2"/>
    </row>
    <row r="122" spans="1:11" x14ac:dyDescent="0.25">
      <c r="A122" s="1">
        <v>44784.834143518521</v>
      </c>
      <c r="B122" s="1">
        <v>44784.834050925929</v>
      </c>
      <c r="C122">
        <v>0</v>
      </c>
      <c r="D122">
        <v>0</v>
      </c>
      <c r="E122">
        <v>77</v>
      </c>
      <c r="F122">
        <v>0</v>
      </c>
      <c r="G122" t="s">
        <v>32</v>
      </c>
      <c r="H122" t="s">
        <v>36</v>
      </c>
      <c r="J122" t="str">
        <f>IF(COUNT(I117:I122)&gt;3.5,ROUND(AVERAGE(I117:I122),2),"")</f>
        <v/>
      </c>
      <c r="K122">
        <f>IF(COUNT(, , , , , , , , , , , , , , , , , , , , , NA, NA, NA)&gt;17.5,ROUND(AVERAGE(, , , , , , , , , , , , , , , , , , , , , 0, 0, 0),2),"NO AVG")</f>
        <v>0</v>
      </c>
    </row>
    <row r="123" spans="1:11" x14ac:dyDescent="0.25">
      <c r="A123" s="1">
        <v>44784.841087962966</v>
      </c>
      <c r="B123" s="1">
        <v>44784.840995370374</v>
      </c>
      <c r="C123">
        <v>0</v>
      </c>
      <c r="D123">
        <v>0</v>
      </c>
      <c r="E123">
        <v>77</v>
      </c>
      <c r="F123">
        <v>0</v>
      </c>
      <c r="G123" t="s">
        <v>32</v>
      </c>
      <c r="H123" t="s">
        <v>36</v>
      </c>
      <c r="J123" s="2"/>
      <c r="K123" s="2"/>
    </row>
    <row r="124" spans="1:11" x14ac:dyDescent="0.25">
      <c r="A124" s="1">
        <v>44784.848032407404</v>
      </c>
      <c r="B124" s="1">
        <v>44784.847939814812</v>
      </c>
      <c r="C124">
        <v>0</v>
      </c>
      <c r="D124">
        <v>0</v>
      </c>
      <c r="E124">
        <v>77</v>
      </c>
      <c r="F124">
        <v>0</v>
      </c>
      <c r="G124" t="s">
        <v>32</v>
      </c>
      <c r="H124" t="s">
        <v>36</v>
      </c>
      <c r="J124" s="2"/>
      <c r="K124" s="2"/>
    </row>
    <row r="125" spans="1:11" x14ac:dyDescent="0.25">
      <c r="A125" s="1">
        <v>44784.85497685185</v>
      </c>
      <c r="B125" s="1">
        <v>44784.854884259257</v>
      </c>
      <c r="C125">
        <v>0</v>
      </c>
      <c r="D125">
        <v>0</v>
      </c>
      <c r="E125">
        <v>77</v>
      </c>
      <c r="F125">
        <v>0</v>
      </c>
      <c r="G125" t="s">
        <v>32</v>
      </c>
      <c r="H125" t="s">
        <v>36</v>
      </c>
      <c r="J125" s="2"/>
      <c r="K125" s="2"/>
    </row>
    <row r="126" spans="1:11" x14ac:dyDescent="0.25">
      <c r="A126" s="1">
        <v>44784.861921296295</v>
      </c>
      <c r="B126" s="1">
        <v>44784.861828703702</v>
      </c>
      <c r="C126">
        <v>0</v>
      </c>
      <c r="D126">
        <v>0</v>
      </c>
      <c r="E126">
        <v>77</v>
      </c>
      <c r="F126">
        <v>0</v>
      </c>
      <c r="G126" t="s">
        <v>32</v>
      </c>
      <c r="H126" t="s">
        <v>36</v>
      </c>
      <c r="J126" s="2"/>
      <c r="K126" s="2"/>
    </row>
    <row r="127" spans="1:11" x14ac:dyDescent="0.25">
      <c r="A127" s="1">
        <v>44784.86886574074</v>
      </c>
      <c r="B127" s="1">
        <v>44784.868773148148</v>
      </c>
      <c r="C127">
        <v>0</v>
      </c>
      <c r="D127">
        <v>0</v>
      </c>
      <c r="E127">
        <v>77</v>
      </c>
      <c r="F127">
        <v>0</v>
      </c>
      <c r="G127" t="s">
        <v>32</v>
      </c>
      <c r="H127" t="s">
        <v>36</v>
      </c>
      <c r="J127" s="2"/>
      <c r="K127" s="2"/>
    </row>
    <row r="128" spans="1:11" x14ac:dyDescent="0.25">
      <c r="A128" s="1">
        <v>44784.875810185185</v>
      </c>
      <c r="B128" s="1">
        <v>44784.875717592593</v>
      </c>
      <c r="C128">
        <v>0</v>
      </c>
      <c r="D128">
        <v>0</v>
      </c>
      <c r="E128">
        <v>77</v>
      </c>
      <c r="F128">
        <v>0</v>
      </c>
      <c r="G128" t="s">
        <v>32</v>
      </c>
      <c r="H128" t="s">
        <v>36</v>
      </c>
      <c r="J128" t="str">
        <f>IF(COUNT(I123:I128)&gt;3.5,ROUND(AVERAGE(I123:I128),2),"")</f>
        <v/>
      </c>
      <c r="K128">
        <f>IF(COUNT(, , , , , , , , , , , , , , , , , , , , , , NA, NA)&gt;17.5,ROUND(AVERAGE(, , , , , , , , , , , , , , , , , , , , , , 0, 0),2),"NO AVG")</f>
        <v>0</v>
      </c>
    </row>
    <row r="129" spans="1:11" x14ac:dyDescent="0.25">
      <c r="A129" s="1">
        <v>44784.8827662037</v>
      </c>
      <c r="B129" s="1">
        <v>44784.882662037038</v>
      </c>
      <c r="C129">
        <v>0</v>
      </c>
      <c r="D129">
        <v>0</v>
      </c>
      <c r="E129">
        <v>77</v>
      </c>
      <c r="F129">
        <v>0</v>
      </c>
      <c r="G129" t="s">
        <v>32</v>
      </c>
      <c r="H129" t="s">
        <v>36</v>
      </c>
      <c r="J129" s="2"/>
      <c r="K129" s="2"/>
    </row>
    <row r="130" spans="1:11" x14ac:dyDescent="0.25">
      <c r="A130" s="1">
        <v>44784.889756944445</v>
      </c>
      <c r="B130" s="1">
        <v>44784.889606481483</v>
      </c>
      <c r="C130">
        <v>0</v>
      </c>
      <c r="D130">
        <v>0</v>
      </c>
      <c r="E130">
        <v>77</v>
      </c>
      <c r="F130">
        <v>0</v>
      </c>
      <c r="G130" t="s">
        <v>32</v>
      </c>
      <c r="H130" t="s">
        <v>36</v>
      </c>
      <c r="J130" s="2"/>
      <c r="K130" s="2"/>
    </row>
    <row r="131" spans="1:11" x14ac:dyDescent="0.25">
      <c r="A131" s="1">
        <v>44784.896655092591</v>
      </c>
      <c r="B131" s="1">
        <v>44784.896550925929</v>
      </c>
      <c r="C131">
        <v>0</v>
      </c>
      <c r="D131">
        <v>0</v>
      </c>
      <c r="E131">
        <v>77</v>
      </c>
      <c r="F131">
        <v>0</v>
      </c>
      <c r="G131" t="s">
        <v>32</v>
      </c>
      <c r="H131" t="s">
        <v>36</v>
      </c>
      <c r="J131" s="2"/>
      <c r="K131" s="2"/>
    </row>
    <row r="132" spans="1:11" x14ac:dyDescent="0.25">
      <c r="A132" s="1">
        <v>44784.903634259259</v>
      </c>
      <c r="B132" s="1">
        <v>44784.903495370374</v>
      </c>
      <c r="C132">
        <v>0</v>
      </c>
      <c r="D132">
        <v>0</v>
      </c>
      <c r="E132">
        <v>77</v>
      </c>
      <c r="F132">
        <v>0</v>
      </c>
      <c r="G132" t="s">
        <v>32</v>
      </c>
      <c r="H132" t="s">
        <v>36</v>
      </c>
      <c r="J132" s="2"/>
      <c r="K132" s="2"/>
    </row>
    <row r="133" spans="1:11" x14ac:dyDescent="0.25">
      <c r="A133" s="1">
        <v>44784.910543981481</v>
      </c>
      <c r="B133" s="1">
        <v>44784.910439814812</v>
      </c>
      <c r="C133">
        <v>0</v>
      </c>
      <c r="D133">
        <v>0</v>
      </c>
      <c r="E133">
        <v>77</v>
      </c>
      <c r="F133">
        <v>0</v>
      </c>
      <c r="G133" t="s">
        <v>32</v>
      </c>
      <c r="H133" t="s">
        <v>36</v>
      </c>
      <c r="J133" s="2"/>
      <c r="K133" s="2"/>
    </row>
    <row r="134" spans="1:11" x14ac:dyDescent="0.25">
      <c r="A134" s="1">
        <v>44784.917488425926</v>
      </c>
      <c r="B134" s="1">
        <v>44784.917384259257</v>
      </c>
      <c r="C134">
        <v>0</v>
      </c>
      <c r="D134">
        <v>0</v>
      </c>
      <c r="E134">
        <v>77</v>
      </c>
      <c r="F134">
        <v>0</v>
      </c>
      <c r="G134" t="s">
        <v>32</v>
      </c>
      <c r="H134" t="s">
        <v>36</v>
      </c>
      <c r="J134" t="str">
        <f>IF(COUNT(I129:I134)&gt;3.5,ROUND(AVERAGE(I129:I134),2),"")</f>
        <v/>
      </c>
      <c r="K134">
        <f>IF(COUNT(, , , , , , , , , , , , , , , , , , , , , , , NA)&gt;17.5,ROUND(AVERAGE(, , , , , , , , , , , , , , , , , , , , , , , 0),2),"NO AVG")</f>
        <v>0</v>
      </c>
    </row>
    <row r="135" spans="1:11" x14ac:dyDescent="0.25">
      <c r="A135" s="1">
        <v>44784.924525462964</v>
      </c>
      <c r="B135" s="1">
        <v>44784.924328703702</v>
      </c>
      <c r="C135">
        <v>0</v>
      </c>
      <c r="D135">
        <v>0</v>
      </c>
      <c r="E135">
        <v>77</v>
      </c>
      <c r="F135">
        <v>0</v>
      </c>
      <c r="G135" t="s">
        <v>32</v>
      </c>
      <c r="H135" t="s">
        <v>36</v>
      </c>
      <c r="J135" s="2"/>
      <c r="K135" s="2"/>
    </row>
    <row r="136" spans="1:11" x14ac:dyDescent="0.25">
      <c r="A136" s="1">
        <v>44784.93136574074</v>
      </c>
      <c r="B136" s="1">
        <v>44784.931273148148</v>
      </c>
      <c r="C136">
        <v>0</v>
      </c>
      <c r="D136">
        <v>0</v>
      </c>
      <c r="E136">
        <v>77</v>
      </c>
      <c r="F136">
        <v>0</v>
      </c>
      <c r="G136" t="s">
        <v>32</v>
      </c>
      <c r="H136" t="s">
        <v>36</v>
      </c>
      <c r="J136" s="2"/>
      <c r="K136" s="2"/>
    </row>
    <row r="137" spans="1:11" x14ac:dyDescent="0.25">
      <c r="A137" s="1">
        <v>44784.938321759262</v>
      </c>
      <c r="B137" s="1">
        <v>44784.938217592593</v>
      </c>
      <c r="C137">
        <v>0</v>
      </c>
      <c r="D137">
        <v>0</v>
      </c>
      <c r="E137">
        <v>77</v>
      </c>
      <c r="F137">
        <v>0</v>
      </c>
      <c r="G137" t="s">
        <v>32</v>
      </c>
      <c r="H137" t="s">
        <v>36</v>
      </c>
      <c r="J137" s="2"/>
      <c r="K137" s="2"/>
    </row>
    <row r="138" spans="1:11" x14ac:dyDescent="0.25">
      <c r="A138" s="1">
        <v>44784.945254629631</v>
      </c>
      <c r="B138" s="1">
        <v>44784.945162037038</v>
      </c>
      <c r="C138">
        <v>0</v>
      </c>
      <c r="D138">
        <v>0</v>
      </c>
      <c r="E138">
        <v>77</v>
      </c>
      <c r="F138">
        <v>0</v>
      </c>
      <c r="G138" t="s">
        <v>32</v>
      </c>
      <c r="H138" t="s">
        <v>36</v>
      </c>
      <c r="J138" s="2"/>
      <c r="K138" s="2"/>
    </row>
    <row r="139" spans="1:11" x14ac:dyDescent="0.25">
      <c r="A139" s="1">
        <v>44784.952256944445</v>
      </c>
      <c r="B139" s="1">
        <v>44784.952106481483</v>
      </c>
      <c r="C139">
        <v>0</v>
      </c>
      <c r="D139">
        <v>0</v>
      </c>
      <c r="E139">
        <v>77</v>
      </c>
      <c r="F139">
        <v>0</v>
      </c>
      <c r="G139" t="s">
        <v>32</v>
      </c>
      <c r="H139" t="s">
        <v>36</v>
      </c>
      <c r="J139" s="2"/>
      <c r="K139" s="2"/>
    </row>
    <row r="140" spans="1:11" x14ac:dyDescent="0.25">
      <c r="A140" s="1">
        <v>44784.959155092591</v>
      </c>
      <c r="B140" s="1">
        <v>44784.959050925929</v>
      </c>
      <c r="C140">
        <v>0</v>
      </c>
      <c r="D140">
        <v>0</v>
      </c>
      <c r="E140">
        <v>77</v>
      </c>
      <c r="F140">
        <v>0</v>
      </c>
      <c r="G140" t="s">
        <v>32</v>
      </c>
      <c r="H140" t="s">
        <v>36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</row>
    <row r="141" spans="1:11" x14ac:dyDescent="0.25">
      <c r="A141" s="1">
        <v>44784.966180555559</v>
      </c>
      <c r="B141" s="1">
        <v>44784.965995370374</v>
      </c>
      <c r="C141">
        <v>0</v>
      </c>
      <c r="D141">
        <v>0</v>
      </c>
      <c r="E141">
        <v>77</v>
      </c>
      <c r="F141">
        <v>0</v>
      </c>
      <c r="G141" t="s">
        <v>32</v>
      </c>
      <c r="H141" t="s">
        <v>36</v>
      </c>
      <c r="J141" s="2"/>
      <c r="K141" s="2"/>
    </row>
    <row r="142" spans="1:11" x14ac:dyDescent="0.25">
      <c r="A142" s="1">
        <v>44784.973043981481</v>
      </c>
      <c r="B142" s="1">
        <v>44784.972939814812</v>
      </c>
      <c r="C142">
        <v>0</v>
      </c>
      <c r="D142">
        <v>0</v>
      </c>
      <c r="E142">
        <v>77</v>
      </c>
      <c r="F142">
        <v>0</v>
      </c>
      <c r="G142" t="s">
        <v>32</v>
      </c>
      <c r="H142" t="s">
        <v>36</v>
      </c>
      <c r="J142" s="2"/>
      <c r="K142" s="2"/>
    </row>
    <row r="143" spans="1:11" x14ac:dyDescent="0.25">
      <c r="A143" s="1">
        <v>44784.979988425926</v>
      </c>
      <c r="B143" s="1">
        <v>44784.979884259257</v>
      </c>
      <c r="C143">
        <v>0</v>
      </c>
      <c r="D143">
        <v>0</v>
      </c>
      <c r="E143">
        <v>77</v>
      </c>
      <c r="F143">
        <v>0</v>
      </c>
      <c r="G143" t="s">
        <v>32</v>
      </c>
      <c r="H143" t="s">
        <v>36</v>
      </c>
      <c r="J143" s="2"/>
      <c r="K143" s="2"/>
    </row>
    <row r="144" spans="1:11" x14ac:dyDescent="0.25">
      <c r="A144" s="1">
        <v>44784.986921296295</v>
      </c>
      <c r="B144" s="1">
        <v>44784.986828703702</v>
      </c>
      <c r="C144">
        <v>0</v>
      </c>
      <c r="D144">
        <v>0</v>
      </c>
      <c r="E144">
        <v>77</v>
      </c>
      <c r="F144">
        <v>0</v>
      </c>
      <c r="G144" t="s">
        <v>32</v>
      </c>
      <c r="H144" t="s">
        <v>36</v>
      </c>
      <c r="J144" s="2"/>
      <c r="K144" s="2"/>
    </row>
    <row r="145" spans="1:12" x14ac:dyDescent="0.25">
      <c r="A145" s="1">
        <v>44784.993923611109</v>
      </c>
      <c r="B145" s="1">
        <v>44784.993773148148</v>
      </c>
      <c r="C145">
        <v>0</v>
      </c>
      <c r="D145">
        <v>0</v>
      </c>
      <c r="E145">
        <v>77</v>
      </c>
      <c r="F145">
        <v>0</v>
      </c>
      <c r="G145" t="s">
        <v>32</v>
      </c>
      <c r="H145" t="s">
        <v>36</v>
      </c>
      <c r="J145" s="2"/>
      <c r="K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D19D5-BEBE-4A6E-BB16-8EEB909AEAE6}">
  <sheetPr codeName="Sheet18"/>
  <dimension ref="A1:M151"/>
  <sheetViews>
    <sheetView workbookViewId="0">
      <selection activeCell="K140" sqref="K140"/>
    </sheetView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3" max="13" width="9.85546875" bestFit="1" customWidth="1"/>
  </cols>
  <sheetData>
    <row r="1" spans="1:13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M1" t="s">
        <v>3</v>
      </c>
    </row>
    <row r="2" spans="1:13" x14ac:dyDescent="0.25">
      <c r="A2" s="1">
        <v>44784.000775462962</v>
      </c>
      <c r="B2" s="1">
        <v>44784.000717592593</v>
      </c>
      <c r="C2">
        <v>3.2</v>
      </c>
      <c r="D2">
        <v>2.4</v>
      </c>
      <c r="E2">
        <v>67</v>
      </c>
      <c r="F2">
        <v>72</v>
      </c>
      <c r="G2" t="s">
        <v>33</v>
      </c>
      <c r="H2" t="s">
        <v>33</v>
      </c>
      <c r="I2">
        <v>-1</v>
      </c>
      <c r="J2">
        <v>0.87</v>
      </c>
      <c r="K2">
        <f>IF(COUNT(0.87, -0.29, -0.29, -0.15, 0.12, 0.59, 1.02, 1.7, 2.21, 2.03, 1.96, 2.56, 3.21, 3.45, 2.84, 2.52, 2.72, 2.45, 1.63, 1.22, 1.29, 1.37, 1.36, 1.24)&gt;17.5,ROUND(AVERAGE(0.87, -0.29, -0.29, -0.15, 0.12, 0.59, 1.02, 1.7, 2.21, 2.03, 1.96, 2.56, 3.21, 3.45, 2.84, 2.52, 2.72, 2.45, 1.63, 1.22, 1.29, 1.37, 1.36, 1.24),2),"NO AVG")</f>
        <v>1.57</v>
      </c>
      <c r="M2" t="s">
        <v>54</v>
      </c>
    </row>
    <row r="3" spans="1:13" x14ac:dyDescent="0.25">
      <c r="A3" s="1">
        <v>44784.007731481484</v>
      </c>
      <c r="B3" s="1">
        <v>44784.007662037038</v>
      </c>
      <c r="C3">
        <v>3.2</v>
      </c>
      <c r="D3">
        <v>2.2999999999999998</v>
      </c>
      <c r="E3">
        <v>68</v>
      </c>
      <c r="F3">
        <v>72</v>
      </c>
      <c r="G3" t="s">
        <v>33</v>
      </c>
      <c r="H3" t="s">
        <v>33</v>
      </c>
      <c r="I3">
        <v>-1.06</v>
      </c>
      <c r="J3" s="2"/>
      <c r="K3" s="2"/>
    </row>
    <row r="4" spans="1:13" x14ac:dyDescent="0.25">
      <c r="A4" s="1">
        <v>44784.014652777776</v>
      </c>
      <c r="B4" s="1">
        <v>44784.014606481483</v>
      </c>
      <c r="C4">
        <v>3.2</v>
      </c>
      <c r="D4">
        <v>2.2999999999999998</v>
      </c>
      <c r="E4">
        <v>67</v>
      </c>
      <c r="F4">
        <v>71</v>
      </c>
      <c r="G4" t="s">
        <v>33</v>
      </c>
      <c r="H4" t="s">
        <v>33</v>
      </c>
      <c r="I4">
        <v>-0.99</v>
      </c>
      <c r="J4" s="2"/>
      <c r="K4" s="2"/>
    </row>
    <row r="5" spans="1:13" x14ac:dyDescent="0.25">
      <c r="A5" s="1">
        <v>44784.021597222221</v>
      </c>
      <c r="B5" s="1">
        <v>44784.021550925929</v>
      </c>
      <c r="C5">
        <v>3.2</v>
      </c>
      <c r="D5">
        <v>2.2999999999999998</v>
      </c>
      <c r="E5">
        <v>69</v>
      </c>
      <c r="F5">
        <v>73</v>
      </c>
      <c r="G5" t="s">
        <v>33</v>
      </c>
      <c r="H5" t="s">
        <v>33</v>
      </c>
      <c r="I5">
        <v>-1.1299999999999999</v>
      </c>
      <c r="J5" s="2"/>
      <c r="K5" s="2"/>
    </row>
    <row r="6" spans="1:13" x14ac:dyDescent="0.25">
      <c r="A6" s="1">
        <v>44784.028553240743</v>
      </c>
      <c r="B6" s="1">
        <v>44784.028495370374</v>
      </c>
      <c r="C6">
        <v>3.2</v>
      </c>
      <c r="D6">
        <v>2.4</v>
      </c>
      <c r="E6">
        <v>69</v>
      </c>
      <c r="F6">
        <v>73</v>
      </c>
      <c r="G6" t="s">
        <v>33</v>
      </c>
      <c r="H6" t="s">
        <v>33</v>
      </c>
      <c r="I6">
        <v>-1.1000000000000001</v>
      </c>
      <c r="J6" s="2"/>
      <c r="K6" s="2"/>
    </row>
    <row r="7" spans="1:13" x14ac:dyDescent="0.25">
      <c r="A7" s="1">
        <v>44784.035497685189</v>
      </c>
      <c r="B7" s="1">
        <v>44784.035439814812</v>
      </c>
      <c r="C7">
        <v>3.3</v>
      </c>
      <c r="D7">
        <v>2.4</v>
      </c>
      <c r="E7">
        <v>68</v>
      </c>
      <c r="F7">
        <v>73</v>
      </c>
      <c r="G7" t="s">
        <v>33</v>
      </c>
      <c r="H7" t="s">
        <v>33</v>
      </c>
      <c r="I7">
        <v>-1.04</v>
      </c>
      <c r="J7" s="2"/>
      <c r="K7" s="2"/>
    </row>
    <row r="8" spans="1:13" x14ac:dyDescent="0.25">
      <c r="A8" s="1">
        <v>44784.042442129627</v>
      </c>
      <c r="B8" s="1">
        <v>44784.042384259257</v>
      </c>
      <c r="C8">
        <v>3.5</v>
      </c>
      <c r="D8">
        <v>2.5</v>
      </c>
      <c r="E8">
        <v>69</v>
      </c>
      <c r="F8">
        <v>73</v>
      </c>
      <c r="G8" t="s">
        <v>33</v>
      </c>
      <c r="H8" t="s">
        <v>33</v>
      </c>
      <c r="I8">
        <v>-0.98</v>
      </c>
      <c r="J8">
        <f>IF(COUNT(I3:I8)&gt;3.5,ROUND(AVERAGE(I3:I8),2),"")</f>
        <v>-1.05</v>
      </c>
      <c r="K8">
        <f>IF(COUNT(0.87, -1.05, -0.29, -0.15, 0.12, 0.59, 1.02, 1.7, 2.21, 2.03, 1.96, 2.56, 3.21, 3.45, 2.84, 2.52, 2.72, 2.45, 1.63, 1.22, 1.29, 1.37, 1.36, 1.24)&gt;17.5,ROUND(AVERAGE(0.87, -1.05, -0.29, -0.15, 0.12, 0.59, 1.02, 1.7, 2.21, 2.03, 1.96, 2.56, 3.21, 3.45, 2.84, 2.52, 2.72, 2.45, 1.63, 1.22, 1.29, 1.37, 1.36, 1.24),2),"NO AVG")</f>
        <v>1.54</v>
      </c>
    </row>
    <row r="9" spans="1:13" x14ac:dyDescent="0.25">
      <c r="A9" s="1">
        <v>44784.049386574072</v>
      </c>
      <c r="B9" s="1">
        <v>44784.049328703702</v>
      </c>
      <c r="C9">
        <v>3.4</v>
      </c>
      <c r="D9">
        <v>2.6</v>
      </c>
      <c r="E9">
        <v>68</v>
      </c>
      <c r="F9">
        <v>72</v>
      </c>
      <c r="G9" t="s">
        <v>33</v>
      </c>
      <c r="H9" t="s">
        <v>33</v>
      </c>
      <c r="I9">
        <v>-0.91</v>
      </c>
      <c r="J9" s="2"/>
      <c r="K9" s="2"/>
    </row>
    <row r="10" spans="1:13" x14ac:dyDescent="0.25">
      <c r="A10" s="1">
        <v>44784.056331018517</v>
      </c>
      <c r="B10" s="1">
        <v>44784.056273148148</v>
      </c>
      <c r="C10">
        <v>3.5</v>
      </c>
      <c r="D10">
        <v>2.5</v>
      </c>
      <c r="E10">
        <v>68</v>
      </c>
      <c r="F10">
        <v>72</v>
      </c>
      <c r="G10" t="s">
        <v>33</v>
      </c>
      <c r="H10" t="s">
        <v>33</v>
      </c>
      <c r="I10">
        <v>-0.91</v>
      </c>
      <c r="J10" s="2"/>
      <c r="K10" s="2"/>
    </row>
    <row r="11" spans="1:13" x14ac:dyDescent="0.25">
      <c r="A11" s="1">
        <v>44784.063275462962</v>
      </c>
      <c r="B11" s="1">
        <v>44784.063217592593</v>
      </c>
      <c r="C11">
        <v>3.6</v>
      </c>
      <c r="D11">
        <v>2.5</v>
      </c>
      <c r="E11">
        <v>68</v>
      </c>
      <c r="F11">
        <v>72</v>
      </c>
      <c r="G11" t="s">
        <v>33</v>
      </c>
      <c r="H11" t="s">
        <v>33</v>
      </c>
      <c r="I11">
        <v>-0.88</v>
      </c>
      <c r="J11" s="2"/>
      <c r="K11" s="2"/>
    </row>
    <row r="12" spans="1:13" x14ac:dyDescent="0.25">
      <c r="A12" s="1">
        <v>44784.070219907408</v>
      </c>
      <c r="B12" s="1">
        <v>44784.070162037038</v>
      </c>
      <c r="C12">
        <v>5.5</v>
      </c>
      <c r="D12">
        <v>4.4000000000000004</v>
      </c>
      <c r="E12">
        <v>68</v>
      </c>
      <c r="F12">
        <v>73</v>
      </c>
      <c r="G12" t="s">
        <v>33</v>
      </c>
      <c r="H12" t="s">
        <v>33</v>
      </c>
      <c r="I12">
        <v>0.24</v>
      </c>
      <c r="J12" s="2"/>
      <c r="K12" s="2"/>
    </row>
    <row r="13" spans="1:13" x14ac:dyDescent="0.25">
      <c r="A13" s="1">
        <v>44784.077164351853</v>
      </c>
      <c r="B13" s="1">
        <v>44784.077106481483</v>
      </c>
      <c r="C13">
        <v>8</v>
      </c>
      <c r="D13">
        <v>6.6</v>
      </c>
      <c r="E13">
        <v>68</v>
      </c>
      <c r="F13">
        <v>72</v>
      </c>
      <c r="G13" t="s">
        <v>33</v>
      </c>
      <c r="H13" t="s">
        <v>33</v>
      </c>
      <c r="I13">
        <v>1.71</v>
      </c>
      <c r="J13" s="2"/>
      <c r="K13" s="2"/>
    </row>
    <row r="14" spans="1:13" x14ac:dyDescent="0.25">
      <c r="A14" s="1">
        <v>44784.084108796298</v>
      </c>
      <c r="B14" s="1">
        <v>44784.084050925929</v>
      </c>
      <c r="C14">
        <v>9.1999999999999993</v>
      </c>
      <c r="D14">
        <v>7.6</v>
      </c>
      <c r="E14">
        <v>68</v>
      </c>
      <c r="F14">
        <v>72</v>
      </c>
      <c r="G14" t="s">
        <v>33</v>
      </c>
      <c r="H14" t="s">
        <v>33</v>
      </c>
      <c r="I14">
        <v>2.38</v>
      </c>
      <c r="J14">
        <f>IF(COUNT(I9:I14)&gt;3.5,ROUND(AVERAGE(I9:I14),2),"")</f>
        <v>0.27</v>
      </c>
      <c r="K14">
        <f>IF(COUNT(0.87, -1.05, 0.27, -0.15, 0.12, 0.59, 1.02, 1.7, 2.21, 2.03, 1.96, 2.56, 3.21, 3.45, 2.84, 2.52, 2.72, 2.45, 1.63, 1.22, 1.29, 1.37, 1.36, 1.24)&gt;17.5,ROUND(AVERAGE(0.87, -1.05, 0.27, -0.15, 0.12, 0.59, 1.02, 1.7, 2.21, 2.03, 1.96, 2.56, 3.21, 3.45, 2.84, 2.52, 2.72, 2.45, 1.63, 1.22, 1.29, 1.37, 1.36, 1.24),2),"NO AVG")</f>
        <v>1.56</v>
      </c>
    </row>
    <row r="15" spans="1:13" x14ac:dyDescent="0.25">
      <c r="A15" s="1">
        <v>44784.091053240743</v>
      </c>
      <c r="B15" s="1">
        <v>44784.090995370374</v>
      </c>
      <c r="C15">
        <v>9.6999999999999993</v>
      </c>
      <c r="D15">
        <v>8.1999999999999993</v>
      </c>
      <c r="E15">
        <v>67</v>
      </c>
      <c r="F15">
        <v>72</v>
      </c>
      <c r="G15" t="s">
        <v>33</v>
      </c>
      <c r="H15" t="s">
        <v>33</v>
      </c>
      <c r="I15">
        <v>2.75</v>
      </c>
      <c r="J15" s="2"/>
      <c r="K15" s="2"/>
    </row>
    <row r="16" spans="1:13" x14ac:dyDescent="0.25">
      <c r="A16" s="1">
        <v>44784.098009259258</v>
      </c>
      <c r="B16" s="1">
        <v>44784.097939814812</v>
      </c>
      <c r="C16">
        <v>9.8000000000000007</v>
      </c>
      <c r="D16">
        <v>8.1</v>
      </c>
      <c r="E16">
        <v>68</v>
      </c>
      <c r="F16">
        <v>73</v>
      </c>
      <c r="G16" t="s">
        <v>33</v>
      </c>
      <c r="H16" t="s">
        <v>33</v>
      </c>
      <c r="I16">
        <v>2.68</v>
      </c>
      <c r="J16" s="2"/>
      <c r="K16" s="2"/>
    </row>
    <row r="17" spans="1:11" x14ac:dyDescent="0.25">
      <c r="A17" s="1">
        <v>44784.104942129627</v>
      </c>
      <c r="B17" s="1">
        <v>44784.104884259257</v>
      </c>
      <c r="C17">
        <v>9.5</v>
      </c>
      <c r="D17">
        <v>7.9</v>
      </c>
      <c r="E17">
        <v>68</v>
      </c>
      <c r="F17">
        <v>73</v>
      </c>
      <c r="G17" t="s">
        <v>33</v>
      </c>
      <c r="H17" t="s">
        <v>33</v>
      </c>
      <c r="I17">
        <v>2.5299999999999998</v>
      </c>
      <c r="J17" s="2"/>
      <c r="K17" s="2"/>
    </row>
    <row r="18" spans="1:11" x14ac:dyDescent="0.25">
      <c r="A18" s="1">
        <v>44784.111886574072</v>
      </c>
      <c r="B18" s="1">
        <v>44784.111828703702</v>
      </c>
      <c r="C18">
        <v>9.1</v>
      </c>
      <c r="D18">
        <v>7.6</v>
      </c>
      <c r="E18">
        <v>67</v>
      </c>
      <c r="F18">
        <v>72</v>
      </c>
      <c r="G18" t="s">
        <v>33</v>
      </c>
      <c r="H18" t="s">
        <v>33</v>
      </c>
      <c r="I18">
        <v>2.39</v>
      </c>
      <c r="J18" s="2"/>
      <c r="K18" s="2"/>
    </row>
    <row r="19" spans="1:11" x14ac:dyDescent="0.25">
      <c r="A19" s="1">
        <v>44784.118831018517</v>
      </c>
      <c r="B19" s="1">
        <v>44784.118773148148</v>
      </c>
      <c r="C19">
        <v>8.6999999999999993</v>
      </c>
      <c r="D19">
        <v>7.1</v>
      </c>
      <c r="E19">
        <v>67</v>
      </c>
      <c r="F19">
        <v>72</v>
      </c>
      <c r="G19" t="s">
        <v>33</v>
      </c>
      <c r="H19" t="s">
        <v>33</v>
      </c>
      <c r="I19">
        <v>2.11</v>
      </c>
      <c r="J19" s="2"/>
      <c r="K19" s="2"/>
    </row>
    <row r="20" spans="1:11" x14ac:dyDescent="0.25">
      <c r="A20" s="1">
        <v>44784.125775462962</v>
      </c>
      <c r="B20" s="1">
        <v>44784.125717592593</v>
      </c>
      <c r="C20">
        <v>8.5</v>
      </c>
      <c r="D20">
        <v>6.9</v>
      </c>
      <c r="E20">
        <v>68</v>
      </c>
      <c r="F20">
        <v>72</v>
      </c>
      <c r="G20" t="s">
        <v>33</v>
      </c>
      <c r="H20" t="s">
        <v>33</v>
      </c>
      <c r="I20">
        <v>1.96</v>
      </c>
      <c r="J20">
        <f>IF(COUNT(I15:I20)&gt;3.5,ROUND(AVERAGE(I15:I20),2),"")</f>
        <v>2.4</v>
      </c>
      <c r="K20">
        <f>IF(COUNT(0.87, -1.05, 0.27, 2.4, 0.12, 0.59, 1.02, 1.7, 2.21, 2.03, 1.96, 2.56, 3.21, 3.45, 2.84, 2.52, 2.72, 2.45, 1.63, 1.22, 1.29, 1.37, 1.36, 1.24)&gt;17.5,ROUND(AVERAGE(0.87, -1.05, 0.27, 2.4, 0.12, 0.59, 1.02, 1.7, 2.21, 2.03, 1.96, 2.56, 3.21, 3.45, 2.84, 2.52, 2.72, 2.45, 1.63, 1.22, 1.29, 1.37, 1.36, 1.24),2),"NO AVG")</f>
        <v>1.67</v>
      </c>
    </row>
    <row r="21" spans="1:11" x14ac:dyDescent="0.25">
      <c r="A21" s="1">
        <v>44784.132719907408</v>
      </c>
      <c r="B21" s="1">
        <v>44784.132662037038</v>
      </c>
      <c r="C21">
        <v>7.9</v>
      </c>
      <c r="D21">
        <v>6.6</v>
      </c>
      <c r="E21">
        <v>67</v>
      </c>
      <c r="F21">
        <v>72</v>
      </c>
      <c r="G21" t="s">
        <v>33</v>
      </c>
      <c r="H21" t="s">
        <v>33</v>
      </c>
      <c r="I21">
        <v>1.72</v>
      </c>
      <c r="J21" s="2"/>
      <c r="K21" s="2"/>
    </row>
    <row r="22" spans="1:11" x14ac:dyDescent="0.25">
      <c r="A22" s="1">
        <v>44784.139722222222</v>
      </c>
      <c r="B22" s="1">
        <v>44784.139606481483</v>
      </c>
      <c r="C22">
        <v>7.5</v>
      </c>
      <c r="D22">
        <v>6.2</v>
      </c>
      <c r="E22">
        <v>68</v>
      </c>
      <c r="F22">
        <v>72</v>
      </c>
      <c r="G22" t="s">
        <v>33</v>
      </c>
      <c r="H22" t="s">
        <v>33</v>
      </c>
      <c r="I22">
        <v>1.44</v>
      </c>
      <c r="J22" s="2"/>
      <c r="K22" s="2"/>
    </row>
    <row r="23" spans="1:11" x14ac:dyDescent="0.25">
      <c r="A23" s="1">
        <v>44784.146620370368</v>
      </c>
      <c r="B23" s="1">
        <v>44784.146550925929</v>
      </c>
      <c r="C23">
        <v>7.3</v>
      </c>
      <c r="D23">
        <v>5.9</v>
      </c>
      <c r="E23">
        <v>68</v>
      </c>
      <c r="F23">
        <v>73</v>
      </c>
      <c r="G23" t="s">
        <v>33</v>
      </c>
      <c r="H23" t="s">
        <v>33</v>
      </c>
      <c r="I23">
        <v>1.25</v>
      </c>
      <c r="J23" s="2"/>
      <c r="K23" s="2"/>
    </row>
    <row r="24" spans="1:11" x14ac:dyDescent="0.25">
      <c r="A24" s="1">
        <v>44784.153564814813</v>
      </c>
      <c r="B24" s="1">
        <v>44784.153495370374</v>
      </c>
      <c r="C24">
        <v>7</v>
      </c>
      <c r="D24">
        <v>5.6</v>
      </c>
      <c r="E24">
        <v>67</v>
      </c>
      <c r="F24">
        <v>72</v>
      </c>
      <c r="G24" t="s">
        <v>33</v>
      </c>
      <c r="H24" t="s">
        <v>33</v>
      </c>
      <c r="I24">
        <v>1.1399999999999999</v>
      </c>
      <c r="J24" s="2"/>
      <c r="K24" s="2"/>
    </row>
    <row r="25" spans="1:11" x14ac:dyDescent="0.25">
      <c r="A25" s="1">
        <v>44784.160509259258</v>
      </c>
      <c r="B25" s="1">
        <v>44784.160439814812</v>
      </c>
      <c r="C25">
        <v>6.7</v>
      </c>
      <c r="D25">
        <v>5.3</v>
      </c>
      <c r="E25">
        <v>68</v>
      </c>
      <c r="F25">
        <v>72</v>
      </c>
      <c r="G25" t="s">
        <v>33</v>
      </c>
      <c r="H25" t="s">
        <v>33</v>
      </c>
      <c r="I25">
        <v>0.92</v>
      </c>
      <c r="J25" s="2"/>
      <c r="K25" s="2"/>
    </row>
    <row r="26" spans="1:11" x14ac:dyDescent="0.25">
      <c r="A26" s="1">
        <v>44784.167453703703</v>
      </c>
      <c r="B26" s="1">
        <v>44784.167384259257</v>
      </c>
      <c r="C26">
        <v>6.3</v>
      </c>
      <c r="D26">
        <v>5.2</v>
      </c>
      <c r="E26">
        <v>68</v>
      </c>
      <c r="F26">
        <v>72</v>
      </c>
      <c r="G26" t="s">
        <v>33</v>
      </c>
      <c r="H26" t="s">
        <v>33</v>
      </c>
      <c r="I26">
        <v>0.77</v>
      </c>
      <c r="J26">
        <f>IF(COUNT(I21:I26)&gt;3.5,ROUND(AVERAGE(I21:I26),2),"")</f>
        <v>1.21</v>
      </c>
      <c r="K26">
        <f>IF(COUNT(0.87, -1.05, 0.27, 2.4, 1.21, 0.59, 1.02, 1.7, 2.21, 2.03, 1.96, 2.56, 3.21, 3.45, 2.84, 2.52, 2.72, 2.45, 1.63, 1.22, 1.29, 1.37, 1.36, 1.24)&gt;17.5,ROUND(AVERAGE(0.87, -1.05, 0.27, 2.4, 1.21, 0.59, 1.02, 1.7, 2.21, 2.03, 1.96, 2.56, 3.21, 3.45, 2.84, 2.52, 2.72, 2.45, 1.63, 1.22, 1.29, 1.37, 1.36, 1.24),2),"NO AVG")</f>
        <v>1.71</v>
      </c>
    </row>
    <row r="27" spans="1:11" x14ac:dyDescent="0.25">
      <c r="A27" s="1">
        <v>44784.174398148149</v>
      </c>
      <c r="B27" s="1">
        <v>44784.174328703702</v>
      </c>
      <c r="C27">
        <v>6</v>
      </c>
      <c r="D27">
        <v>5.2</v>
      </c>
      <c r="E27">
        <v>68</v>
      </c>
      <c r="F27">
        <v>73</v>
      </c>
      <c r="G27" t="s">
        <v>33</v>
      </c>
      <c r="H27" t="s">
        <v>33</v>
      </c>
      <c r="I27">
        <v>0.64</v>
      </c>
      <c r="J27" s="2"/>
      <c r="K27" s="2"/>
    </row>
    <row r="28" spans="1:11" x14ac:dyDescent="0.25">
      <c r="A28" s="1"/>
      <c r="B28" s="1">
        <v>44784.180555555555</v>
      </c>
      <c r="J28" s="2"/>
      <c r="K28" s="2"/>
    </row>
    <row r="29" spans="1:11" x14ac:dyDescent="0.25">
      <c r="A29" s="1">
        <v>44784.188275462962</v>
      </c>
      <c r="B29" s="1">
        <v>44784.188217592593</v>
      </c>
      <c r="C29">
        <v>6.2</v>
      </c>
      <c r="D29">
        <v>5</v>
      </c>
      <c r="E29">
        <v>69</v>
      </c>
      <c r="F29">
        <v>73</v>
      </c>
      <c r="G29" t="s">
        <v>33</v>
      </c>
      <c r="H29" t="s">
        <v>33</v>
      </c>
      <c r="I29">
        <v>0.61</v>
      </c>
      <c r="J29" s="2"/>
      <c r="K29" s="2"/>
    </row>
    <row r="30" spans="1:11" x14ac:dyDescent="0.25">
      <c r="A30" s="1">
        <v>44784.195231481484</v>
      </c>
      <c r="B30" s="1">
        <v>44784.195162037038</v>
      </c>
      <c r="C30">
        <v>6.1</v>
      </c>
      <c r="D30">
        <v>5.0999999999999996</v>
      </c>
      <c r="E30">
        <v>69</v>
      </c>
      <c r="F30">
        <v>73</v>
      </c>
      <c r="G30" t="s">
        <v>33</v>
      </c>
      <c r="H30" t="s">
        <v>33</v>
      </c>
      <c r="I30">
        <v>0.61</v>
      </c>
      <c r="J30" s="2"/>
      <c r="K30" s="2"/>
    </row>
    <row r="31" spans="1:11" x14ac:dyDescent="0.25">
      <c r="A31" s="1">
        <v>44784.202187499999</v>
      </c>
      <c r="B31" s="1">
        <v>44784.20212962963</v>
      </c>
      <c r="C31">
        <v>6</v>
      </c>
      <c r="D31">
        <v>5.0999999999999996</v>
      </c>
      <c r="E31">
        <v>69</v>
      </c>
      <c r="F31">
        <v>73</v>
      </c>
      <c r="G31" t="s">
        <v>33</v>
      </c>
      <c r="H31" t="s">
        <v>33</v>
      </c>
      <c r="I31">
        <v>0.57999999999999996</v>
      </c>
      <c r="J31" s="2"/>
      <c r="K31" s="2"/>
    </row>
    <row r="32" spans="1:11" x14ac:dyDescent="0.25">
      <c r="A32" s="1">
        <v>44784.209108796298</v>
      </c>
      <c r="B32" s="1">
        <v>44784.209050925929</v>
      </c>
      <c r="C32">
        <v>5.9</v>
      </c>
      <c r="D32">
        <v>5</v>
      </c>
      <c r="E32">
        <v>69</v>
      </c>
      <c r="F32">
        <v>73</v>
      </c>
      <c r="G32" t="s">
        <v>33</v>
      </c>
      <c r="H32" t="s">
        <v>33</v>
      </c>
      <c r="I32">
        <v>0.51</v>
      </c>
      <c r="J32">
        <f>IF(COUNT(I27:I32)&gt;3.5,ROUND(AVERAGE(I27:I32),2),"")</f>
        <v>0.59</v>
      </c>
      <c r="K32">
        <f>IF(COUNT(0.87, -1.05, 0.27, 2.4, 1.21, 0.59, 1.02, 1.7, 2.21, 2.03, 1.96, 2.56, 3.21, 3.45, 2.84, 2.52, 2.72, 2.45, 1.63, 1.22, 1.29, 1.37, 1.36, 1.24)&gt;17.5,ROUND(AVERAGE(0.87, -1.05, 0.27, 2.4, 1.21, 0.59, 1.02, 1.7, 2.21, 2.03, 1.96, 2.56, 3.21, 3.45, 2.84, 2.52, 2.72, 2.45, 1.63, 1.22, 1.29, 1.37, 1.36, 1.24),2),"NO AVG")</f>
        <v>1.71</v>
      </c>
    </row>
    <row r="33" spans="1:11" x14ac:dyDescent="0.25">
      <c r="A33" s="1">
        <v>44784.216157407405</v>
      </c>
      <c r="B33" s="1">
        <v>44784.215995370374</v>
      </c>
      <c r="C33">
        <v>6</v>
      </c>
      <c r="D33">
        <v>4.9000000000000004</v>
      </c>
      <c r="E33">
        <v>70</v>
      </c>
      <c r="F33">
        <v>74</v>
      </c>
      <c r="G33" t="s">
        <v>33</v>
      </c>
      <c r="H33" t="s">
        <v>33</v>
      </c>
      <c r="I33">
        <v>0.44</v>
      </c>
      <c r="J33" s="2"/>
      <c r="K33" s="2"/>
    </row>
    <row r="34" spans="1:11" x14ac:dyDescent="0.25">
      <c r="A34" s="1">
        <v>44784.223009259258</v>
      </c>
      <c r="B34" s="1">
        <v>44784.222939814812</v>
      </c>
      <c r="C34">
        <v>5.9</v>
      </c>
      <c r="D34">
        <v>4.8</v>
      </c>
      <c r="E34">
        <v>70</v>
      </c>
      <c r="F34">
        <v>74</v>
      </c>
      <c r="G34" t="s">
        <v>33</v>
      </c>
      <c r="H34" t="s">
        <v>33</v>
      </c>
      <c r="I34">
        <v>0.38</v>
      </c>
      <c r="J34" s="2"/>
      <c r="K34" s="2"/>
    </row>
    <row r="35" spans="1:11" x14ac:dyDescent="0.25">
      <c r="A35" s="1">
        <v>44784.229953703703</v>
      </c>
      <c r="B35" s="1">
        <v>44784.229884259257</v>
      </c>
      <c r="C35">
        <v>5.8</v>
      </c>
      <c r="D35">
        <v>4.8</v>
      </c>
      <c r="E35">
        <v>69</v>
      </c>
      <c r="F35">
        <v>73</v>
      </c>
      <c r="G35" t="s">
        <v>33</v>
      </c>
      <c r="H35" t="s">
        <v>33</v>
      </c>
      <c r="I35">
        <v>0.42</v>
      </c>
      <c r="J35" s="2"/>
      <c r="K35" s="2"/>
    </row>
    <row r="36" spans="1:11" x14ac:dyDescent="0.25">
      <c r="A36" s="1">
        <v>44784.236898148149</v>
      </c>
      <c r="B36" s="1">
        <v>44784.236840277779</v>
      </c>
      <c r="C36">
        <v>5.7</v>
      </c>
      <c r="D36">
        <v>4.7</v>
      </c>
      <c r="E36">
        <v>69</v>
      </c>
      <c r="F36">
        <v>73</v>
      </c>
      <c r="G36" t="s">
        <v>33</v>
      </c>
      <c r="H36" t="s">
        <v>33</v>
      </c>
      <c r="I36">
        <v>0.36</v>
      </c>
      <c r="J36" s="2"/>
      <c r="K36" s="2"/>
    </row>
    <row r="37" spans="1:11" x14ac:dyDescent="0.25">
      <c r="A37" s="1">
        <v>44784.243842592594</v>
      </c>
      <c r="B37" s="1">
        <v>44784.243773148148</v>
      </c>
      <c r="C37">
        <v>5.7</v>
      </c>
      <c r="D37">
        <v>4.7</v>
      </c>
      <c r="E37">
        <v>69</v>
      </c>
      <c r="F37">
        <v>73</v>
      </c>
      <c r="G37" t="s">
        <v>33</v>
      </c>
      <c r="H37" t="s">
        <v>33</v>
      </c>
      <c r="I37">
        <v>0.36</v>
      </c>
      <c r="J37" s="2"/>
      <c r="K37" s="2"/>
    </row>
    <row r="38" spans="1:11" x14ac:dyDescent="0.25">
      <c r="A38" s="1">
        <v>44784.250798611109</v>
      </c>
      <c r="B38" s="1">
        <v>44784.25072916667</v>
      </c>
      <c r="C38">
        <v>5.7</v>
      </c>
      <c r="D38">
        <v>4.5999999999999996</v>
      </c>
      <c r="E38">
        <v>69</v>
      </c>
      <c r="F38">
        <v>73</v>
      </c>
      <c r="G38" t="s">
        <v>33</v>
      </c>
      <c r="H38" t="s">
        <v>33</v>
      </c>
      <c r="I38">
        <v>0.33</v>
      </c>
      <c r="J38">
        <f>IF(COUNT(I33:I38)&gt;3.5,ROUND(AVERAGE(I33:I38),2),"")</f>
        <v>0.38</v>
      </c>
      <c r="K38">
        <f>IF(COUNT(0.87, -1.05, 0.27, 2.4, 1.21, 0.59, 0.38, 1.7, 2.21, 2.03, 1.96, 2.56, 3.21, 3.45, 2.84, 2.52, 2.72, 2.45, 1.63, 1.22, 1.29, 1.37, 1.36, 1.24)&gt;17.5,ROUND(AVERAGE(0.87, -1.05, 0.27, 2.4, 1.21, 0.59, 0.38, 1.7, 2.21, 2.03, 1.96, 2.56, 3.21, 3.45, 2.84, 2.52, 2.72, 2.45, 1.63, 1.22, 1.29, 1.37, 1.36, 1.24),2),"NO AVG")</f>
        <v>1.68</v>
      </c>
    </row>
    <row r="39" spans="1:11" x14ac:dyDescent="0.25">
      <c r="A39" s="1">
        <v>44784.257743055554</v>
      </c>
      <c r="B39" s="1">
        <v>44784.257662037038</v>
      </c>
      <c r="C39">
        <v>5.6</v>
      </c>
      <c r="D39">
        <v>4.7</v>
      </c>
      <c r="E39">
        <v>69</v>
      </c>
      <c r="F39">
        <v>73</v>
      </c>
      <c r="G39" t="s">
        <v>33</v>
      </c>
      <c r="H39" t="s">
        <v>33</v>
      </c>
      <c r="I39">
        <v>0.33</v>
      </c>
      <c r="J39" s="2"/>
      <c r="K39" s="2"/>
    </row>
    <row r="40" spans="1:11" x14ac:dyDescent="0.25">
      <c r="A40" s="1">
        <v>44784.264687499999</v>
      </c>
      <c r="B40" s="1">
        <v>44784.264606481483</v>
      </c>
      <c r="C40">
        <v>5.9</v>
      </c>
      <c r="D40">
        <v>4.8</v>
      </c>
      <c r="E40">
        <v>68</v>
      </c>
      <c r="F40">
        <v>73</v>
      </c>
      <c r="G40" t="s">
        <v>33</v>
      </c>
      <c r="H40" t="s">
        <v>33</v>
      </c>
      <c r="I40">
        <v>0.49</v>
      </c>
      <c r="J40" s="2"/>
      <c r="K40" s="2"/>
    </row>
    <row r="41" spans="1:11" x14ac:dyDescent="0.25">
      <c r="A41" s="1">
        <v>44784.271620370368</v>
      </c>
      <c r="B41" s="1">
        <v>44784.271550925929</v>
      </c>
      <c r="C41">
        <v>6</v>
      </c>
      <c r="D41">
        <v>5.0999999999999996</v>
      </c>
      <c r="E41">
        <v>67</v>
      </c>
      <c r="F41">
        <v>72</v>
      </c>
      <c r="G41" t="s">
        <v>33</v>
      </c>
      <c r="H41" t="s">
        <v>33</v>
      </c>
      <c r="I41">
        <v>0.68</v>
      </c>
      <c r="J41" s="2"/>
      <c r="K41" s="2"/>
    </row>
    <row r="42" spans="1:11" x14ac:dyDescent="0.25">
      <c r="A42" s="1">
        <v>44784.278622685182</v>
      </c>
      <c r="B42" s="1">
        <v>44784.278495370374</v>
      </c>
      <c r="C42">
        <v>6</v>
      </c>
      <c r="D42">
        <v>5.2</v>
      </c>
      <c r="E42">
        <v>68</v>
      </c>
      <c r="F42">
        <v>72</v>
      </c>
      <c r="G42" t="s">
        <v>33</v>
      </c>
      <c r="H42" t="s">
        <v>33</v>
      </c>
      <c r="I42">
        <v>0.68</v>
      </c>
      <c r="J42" s="2"/>
      <c r="K42" s="2"/>
    </row>
    <row r="43" spans="1:11" x14ac:dyDescent="0.25">
      <c r="A43" s="1">
        <v>44784.285509259258</v>
      </c>
      <c r="B43" s="1">
        <v>44784.285439814812</v>
      </c>
      <c r="C43">
        <v>6.1</v>
      </c>
      <c r="D43">
        <v>5.0999999999999996</v>
      </c>
      <c r="E43">
        <v>67</v>
      </c>
      <c r="F43">
        <v>72</v>
      </c>
      <c r="G43" t="s">
        <v>33</v>
      </c>
      <c r="H43" t="s">
        <v>33</v>
      </c>
      <c r="I43">
        <v>0.71</v>
      </c>
      <c r="J43" s="2"/>
      <c r="K43" s="2"/>
    </row>
    <row r="44" spans="1:11" x14ac:dyDescent="0.25">
      <c r="A44" s="1">
        <v>44784.292453703703</v>
      </c>
      <c r="B44" s="1">
        <v>44784.292384259257</v>
      </c>
      <c r="C44">
        <v>6.2</v>
      </c>
      <c r="D44">
        <v>5</v>
      </c>
      <c r="E44">
        <v>66</v>
      </c>
      <c r="F44">
        <v>70</v>
      </c>
      <c r="G44" t="s">
        <v>33</v>
      </c>
      <c r="H44" t="s">
        <v>33</v>
      </c>
      <c r="I44">
        <v>0.82</v>
      </c>
      <c r="J44">
        <f>IF(COUNT(I39:I44)&gt;3.5,ROUND(AVERAGE(I39:I44),2),"")</f>
        <v>0.62</v>
      </c>
      <c r="K44">
        <f>IF(COUNT(0.87, -1.05, 0.27, 2.4, 1.21, 0.59, 0.38, 0.62, 2.21, 2.03, 1.96, 2.56, 3.21, 3.45, 2.84, 2.52, 2.72, 2.45, 1.63, 1.22, 1.29, 1.37, 1.36, 1.24)&gt;17.5,ROUND(AVERAGE(0.87, -1.05, 0.27, 2.4, 1.21, 0.59, 0.38, 0.62, 2.21, 2.03, 1.96, 2.56, 3.21, 3.45, 2.84, 2.52, 2.72, 2.45, 1.63, 1.22, 1.29, 1.37, 1.36, 1.24),2),"NO AVG")</f>
        <v>1.64</v>
      </c>
    </row>
    <row r="45" spans="1:11" x14ac:dyDescent="0.25">
      <c r="A45" s="1">
        <v>44784.299409722225</v>
      </c>
      <c r="B45" s="1">
        <v>44784.299340277779</v>
      </c>
      <c r="C45">
        <v>6.6</v>
      </c>
      <c r="D45">
        <v>5.4</v>
      </c>
      <c r="E45">
        <v>67</v>
      </c>
      <c r="F45">
        <v>71</v>
      </c>
      <c r="G45" t="s">
        <v>33</v>
      </c>
      <c r="H45" t="s">
        <v>33</v>
      </c>
      <c r="I45">
        <v>0.99</v>
      </c>
      <c r="J45" s="2"/>
      <c r="K45" s="2"/>
    </row>
    <row r="46" spans="1:11" x14ac:dyDescent="0.25">
      <c r="A46" s="1">
        <v>44784.306342592594</v>
      </c>
      <c r="B46" s="1">
        <v>44784.306273148148</v>
      </c>
      <c r="C46">
        <v>6.5</v>
      </c>
      <c r="D46">
        <v>5.3</v>
      </c>
      <c r="E46">
        <v>67</v>
      </c>
      <c r="F46">
        <v>71</v>
      </c>
      <c r="G46" t="s">
        <v>33</v>
      </c>
      <c r="H46" t="s">
        <v>33</v>
      </c>
      <c r="I46">
        <v>0.93</v>
      </c>
      <c r="J46" s="2"/>
      <c r="K46" s="2"/>
    </row>
    <row r="47" spans="1:11" x14ac:dyDescent="0.25">
      <c r="A47" s="1">
        <v>44784.313287037039</v>
      </c>
      <c r="B47" s="1">
        <v>44784.313217592593</v>
      </c>
      <c r="C47">
        <v>6.5</v>
      </c>
      <c r="D47">
        <v>5.3</v>
      </c>
      <c r="E47">
        <v>66</v>
      </c>
      <c r="F47">
        <v>71</v>
      </c>
      <c r="G47" t="s">
        <v>33</v>
      </c>
      <c r="H47" t="s">
        <v>33</v>
      </c>
      <c r="I47">
        <v>0.96</v>
      </c>
      <c r="J47" s="2"/>
      <c r="K47" s="2"/>
    </row>
    <row r="48" spans="1:11" x14ac:dyDescent="0.25">
      <c r="A48" s="1">
        <v>44784.320231481484</v>
      </c>
      <c r="B48" s="1">
        <v>44784.320162037038</v>
      </c>
      <c r="C48">
        <v>6.7</v>
      </c>
      <c r="D48">
        <v>5.4</v>
      </c>
      <c r="E48">
        <v>65</v>
      </c>
      <c r="F48">
        <v>70</v>
      </c>
      <c r="G48" t="s">
        <v>33</v>
      </c>
      <c r="H48" t="s">
        <v>33</v>
      </c>
      <c r="I48">
        <v>1.1299999999999999</v>
      </c>
      <c r="J48" s="2"/>
      <c r="K48" s="2"/>
    </row>
    <row r="49" spans="1:11" x14ac:dyDescent="0.25">
      <c r="A49" s="1">
        <v>44784.327175925922</v>
      </c>
      <c r="B49" s="1">
        <v>44784.327106481483</v>
      </c>
      <c r="C49">
        <v>6.9</v>
      </c>
      <c r="D49">
        <v>5.6</v>
      </c>
      <c r="E49">
        <v>65</v>
      </c>
      <c r="F49">
        <v>70</v>
      </c>
      <c r="G49" t="s">
        <v>33</v>
      </c>
      <c r="H49" t="s">
        <v>33</v>
      </c>
      <c r="I49">
        <v>1.25</v>
      </c>
      <c r="J49" s="2"/>
      <c r="K49" s="2"/>
    </row>
    <row r="50" spans="1:11" x14ac:dyDescent="0.25">
      <c r="A50" s="1">
        <v>44784.334131944444</v>
      </c>
      <c r="B50" s="1">
        <v>44784.334050925929</v>
      </c>
      <c r="C50">
        <v>7</v>
      </c>
      <c r="D50">
        <v>5.7</v>
      </c>
      <c r="E50">
        <v>66</v>
      </c>
      <c r="F50">
        <v>70</v>
      </c>
      <c r="G50" t="s">
        <v>33</v>
      </c>
      <c r="H50" t="s">
        <v>33</v>
      </c>
      <c r="I50">
        <v>1.27</v>
      </c>
      <c r="J50">
        <f>IF(COUNT(I45:I50)&gt;3.5,ROUND(AVERAGE(I45:I50),2),"")</f>
        <v>1.0900000000000001</v>
      </c>
      <c r="K50">
        <f>IF(COUNT(0.87, -1.05, 0.27, 2.4, 1.21, 0.59, 0.38, 0.62, 1.09, 2.03, 1.96, 2.56, 3.21, 3.45, 2.84, 2.52, 2.72, 2.45, 1.63, 1.22, 1.29, 1.37, 1.36, 1.24)&gt;17.5,ROUND(AVERAGE(0.87, -1.05, 0.27, 2.4, 1.21, 0.59, 0.38, 0.62, 1.09, 2.03, 1.96, 2.56, 3.21, 3.45, 2.84, 2.52, 2.72, 2.45, 1.63, 1.22, 1.29, 1.37, 1.36, 1.24),2),"NO AVG")</f>
        <v>1.59</v>
      </c>
    </row>
    <row r="51" spans="1:11" x14ac:dyDescent="0.25">
      <c r="A51" s="1">
        <v>44784.341145833336</v>
      </c>
      <c r="B51" s="1">
        <v>44784.340995370374</v>
      </c>
      <c r="C51">
        <v>7.2</v>
      </c>
      <c r="D51">
        <v>5.9</v>
      </c>
      <c r="E51">
        <v>65</v>
      </c>
      <c r="F51">
        <v>70</v>
      </c>
      <c r="G51" t="s">
        <v>33</v>
      </c>
      <c r="H51" t="s">
        <v>33</v>
      </c>
      <c r="I51">
        <v>1.43</v>
      </c>
      <c r="J51" s="2"/>
      <c r="K51" s="2"/>
    </row>
    <row r="52" spans="1:11" x14ac:dyDescent="0.25">
      <c r="A52" s="1">
        <v>44784.348020833335</v>
      </c>
      <c r="B52" s="1">
        <v>44784.347951388889</v>
      </c>
      <c r="C52">
        <v>7.3</v>
      </c>
      <c r="D52">
        <v>6</v>
      </c>
      <c r="E52">
        <v>65</v>
      </c>
      <c r="F52">
        <v>69</v>
      </c>
      <c r="G52" t="s">
        <v>33</v>
      </c>
      <c r="H52" t="s">
        <v>33</v>
      </c>
      <c r="I52">
        <v>1.53</v>
      </c>
      <c r="J52" s="2"/>
      <c r="K52" s="2"/>
    </row>
    <row r="53" spans="1:11" x14ac:dyDescent="0.25">
      <c r="A53" s="1">
        <v>44784.354953703703</v>
      </c>
      <c r="B53" s="1">
        <v>44784.354884259257</v>
      </c>
      <c r="C53">
        <v>7.5</v>
      </c>
      <c r="D53">
        <v>6</v>
      </c>
      <c r="E53">
        <v>64</v>
      </c>
      <c r="F53">
        <v>69</v>
      </c>
      <c r="G53" t="s">
        <v>33</v>
      </c>
      <c r="H53" t="s">
        <v>33</v>
      </c>
      <c r="I53">
        <v>1.62</v>
      </c>
      <c r="J53" s="2"/>
      <c r="K53" s="2"/>
    </row>
    <row r="54" spans="1:11" x14ac:dyDescent="0.25">
      <c r="A54" s="1">
        <v>44784.361909722225</v>
      </c>
      <c r="B54" s="1">
        <v>44784.361828703702</v>
      </c>
      <c r="C54">
        <v>8.6</v>
      </c>
      <c r="D54">
        <v>7.3</v>
      </c>
      <c r="E54">
        <v>60</v>
      </c>
      <c r="F54">
        <v>66</v>
      </c>
      <c r="G54" t="s">
        <v>33</v>
      </c>
      <c r="H54" t="s">
        <v>33</v>
      </c>
      <c r="I54">
        <v>2.6</v>
      </c>
      <c r="J54" s="2"/>
      <c r="K54" s="2"/>
    </row>
    <row r="55" spans="1:11" x14ac:dyDescent="0.25">
      <c r="A55" s="1">
        <v>44784.368842592594</v>
      </c>
      <c r="B55" s="1">
        <v>44784.368784722225</v>
      </c>
      <c r="C55">
        <v>9.9</v>
      </c>
      <c r="D55">
        <v>8.8000000000000007</v>
      </c>
      <c r="E55">
        <v>59</v>
      </c>
      <c r="F55">
        <v>64</v>
      </c>
      <c r="G55" t="s">
        <v>33</v>
      </c>
      <c r="H55" t="s">
        <v>33</v>
      </c>
      <c r="I55">
        <v>3.56</v>
      </c>
      <c r="J55" s="2"/>
      <c r="K55" s="2"/>
    </row>
    <row r="56" spans="1:11" x14ac:dyDescent="0.25">
      <c r="A56" s="1">
        <v>44784.375798611109</v>
      </c>
      <c r="B56" s="1">
        <v>44784.375717592593</v>
      </c>
      <c r="C56">
        <v>11.7</v>
      </c>
      <c r="D56">
        <v>10.8</v>
      </c>
      <c r="E56">
        <v>57</v>
      </c>
      <c r="F56">
        <v>63</v>
      </c>
      <c r="G56" t="s">
        <v>33</v>
      </c>
      <c r="H56" t="s">
        <v>33</v>
      </c>
      <c r="I56">
        <v>4.82</v>
      </c>
      <c r="J56">
        <f>IF(COUNT(I51:I56)&gt;3.5,ROUND(AVERAGE(I51:I56),2),"")</f>
        <v>2.59</v>
      </c>
      <c r="K56">
        <f>IF(COUNT(0.87, -1.05, 0.27, 2.4, 1.21, 0.59, 0.38, 0.62, 1.09, 2.59, 1.96, 2.56, 3.21, 3.45, 2.84, 2.52, 2.72, 2.45, 1.63, 1.22, 1.29, 1.37, 1.36, 1.24)&gt;17.5,ROUND(AVERAGE(0.87, -1.05, 0.27, 2.4, 1.21, 0.59, 0.38, 0.62, 1.09, 2.59, 1.96, 2.56, 3.21, 3.45, 2.84, 2.52, 2.72, 2.45, 1.63, 1.22, 1.29, 1.37, 1.36, 1.24),2),"NO AVG")</f>
        <v>1.62</v>
      </c>
    </row>
    <row r="57" spans="1:11" x14ac:dyDescent="0.25">
      <c r="A57" s="1">
        <v>44784.382743055554</v>
      </c>
      <c r="B57" s="1">
        <v>44784.382662037038</v>
      </c>
      <c r="C57">
        <v>13.1</v>
      </c>
      <c r="D57">
        <v>11.9</v>
      </c>
      <c r="E57">
        <v>57</v>
      </c>
      <c r="F57">
        <v>63</v>
      </c>
      <c r="G57" t="s">
        <v>33</v>
      </c>
      <c r="H57" t="s">
        <v>33</v>
      </c>
      <c r="I57">
        <v>5.58</v>
      </c>
      <c r="J57" s="2"/>
      <c r="K57" s="2"/>
    </row>
    <row r="58" spans="1:11" x14ac:dyDescent="0.25">
      <c r="A58" s="1">
        <v>44784.389675925922</v>
      </c>
      <c r="B58" s="1">
        <v>44784.389618055553</v>
      </c>
      <c r="C58">
        <v>13.8</v>
      </c>
      <c r="D58">
        <v>12.4</v>
      </c>
      <c r="E58">
        <v>59</v>
      </c>
      <c r="F58">
        <v>64</v>
      </c>
      <c r="G58" t="s">
        <v>33</v>
      </c>
      <c r="H58" t="s">
        <v>33</v>
      </c>
      <c r="I58">
        <v>5.85</v>
      </c>
      <c r="J58" s="2"/>
      <c r="K58" s="2"/>
    </row>
    <row r="59" spans="1:11" x14ac:dyDescent="0.25">
      <c r="A59" s="1">
        <v>44784.396631944444</v>
      </c>
      <c r="B59" s="1">
        <v>44784.396562499998</v>
      </c>
      <c r="C59">
        <v>12.9</v>
      </c>
      <c r="D59">
        <v>11.7</v>
      </c>
      <c r="E59">
        <v>60</v>
      </c>
      <c r="F59">
        <v>65</v>
      </c>
      <c r="G59" t="s">
        <v>33</v>
      </c>
      <c r="H59" t="s">
        <v>33</v>
      </c>
      <c r="I59">
        <v>5.29</v>
      </c>
      <c r="J59" s="2"/>
      <c r="K59" s="2"/>
    </row>
    <row r="60" spans="1:11" x14ac:dyDescent="0.25">
      <c r="A60" s="1">
        <v>44784.40357638889</v>
      </c>
      <c r="B60" s="1">
        <v>44784.403506944444</v>
      </c>
      <c r="C60">
        <v>11.8</v>
      </c>
      <c r="D60">
        <v>10.5</v>
      </c>
      <c r="E60">
        <v>60</v>
      </c>
      <c r="F60">
        <v>64</v>
      </c>
      <c r="G60" t="s">
        <v>33</v>
      </c>
      <c r="H60" t="s">
        <v>33</v>
      </c>
      <c r="I60">
        <v>4.62</v>
      </c>
      <c r="J60" s="2"/>
      <c r="K60" s="2"/>
    </row>
    <row r="61" spans="1:11" x14ac:dyDescent="0.25">
      <c r="A61" s="1">
        <v>44784.410578703704</v>
      </c>
      <c r="B61" s="1">
        <v>44784.410451388889</v>
      </c>
      <c r="C61">
        <v>11.7</v>
      </c>
      <c r="D61">
        <v>10.1</v>
      </c>
      <c r="E61">
        <v>59</v>
      </c>
      <c r="F61">
        <v>64</v>
      </c>
      <c r="G61" t="s">
        <v>33</v>
      </c>
      <c r="H61" t="s">
        <v>33</v>
      </c>
      <c r="I61">
        <v>4.5</v>
      </c>
      <c r="J61" s="2"/>
      <c r="K61" s="2"/>
    </row>
    <row r="62" spans="1:11" x14ac:dyDescent="0.25">
      <c r="A62" s="1">
        <v>44784.41746527778</v>
      </c>
      <c r="B62" s="1">
        <v>44784.417395833334</v>
      </c>
      <c r="C62">
        <v>11.9</v>
      </c>
      <c r="D62">
        <v>10.6</v>
      </c>
      <c r="E62">
        <v>60</v>
      </c>
      <c r="F62">
        <v>64</v>
      </c>
      <c r="G62" t="s">
        <v>33</v>
      </c>
      <c r="H62" t="s">
        <v>33</v>
      </c>
      <c r="I62">
        <v>4.68</v>
      </c>
      <c r="J62">
        <f>IF(COUNT(I57:I62)&gt;3.5,ROUND(AVERAGE(I57:I62),2),"")</f>
        <v>5.09</v>
      </c>
      <c r="K62">
        <f>IF(COUNT(0.87, -1.05, 0.27, 2.4, 1.21, 0.59, 0.38, 0.62, 1.09, 2.59, 5.09, 2.56, 3.21, 3.45, 2.84, 2.52, 2.72, 2.45, 1.63, 1.22, 1.29, 1.37, 1.36, 1.24)&gt;17.5,ROUND(AVERAGE(0.87, -1.05, 0.27, 2.4, 1.21, 0.59, 0.38, 0.62, 1.09, 2.59, 5.09, 2.56, 3.21, 3.45, 2.84, 2.52, 2.72, 2.45, 1.63, 1.22, 1.29, 1.37, 1.36, 1.24),2),"NO AVG")</f>
        <v>1.75</v>
      </c>
    </row>
    <row r="63" spans="1:11" x14ac:dyDescent="0.25">
      <c r="A63" s="1">
        <v>44784.424490740741</v>
      </c>
      <c r="B63" s="1">
        <v>44784.424340277779</v>
      </c>
      <c r="C63">
        <v>11.9</v>
      </c>
      <c r="D63">
        <v>10.7</v>
      </c>
      <c r="E63">
        <v>61</v>
      </c>
      <c r="F63">
        <v>65</v>
      </c>
      <c r="G63" t="s">
        <v>33</v>
      </c>
      <c r="H63" t="s">
        <v>33</v>
      </c>
      <c r="I63">
        <v>4.6399999999999997</v>
      </c>
      <c r="J63" s="2"/>
      <c r="K63" s="2"/>
    </row>
    <row r="64" spans="1:11" x14ac:dyDescent="0.25">
      <c r="A64" s="1">
        <v>44784.431354166663</v>
      </c>
      <c r="B64" s="1">
        <v>44784.431284722225</v>
      </c>
      <c r="C64">
        <v>12.1</v>
      </c>
      <c r="D64">
        <v>11.1</v>
      </c>
      <c r="E64">
        <v>59</v>
      </c>
      <c r="F64">
        <v>64</v>
      </c>
      <c r="G64" t="s">
        <v>33</v>
      </c>
      <c r="H64" t="s">
        <v>33</v>
      </c>
      <c r="I64">
        <v>4.93</v>
      </c>
      <c r="J64" s="2"/>
      <c r="K64" s="2"/>
    </row>
    <row r="65" spans="1:11" x14ac:dyDescent="0.25">
      <c r="A65" s="1">
        <v>44784.438310185185</v>
      </c>
      <c r="B65" s="1">
        <v>44784.43822916667</v>
      </c>
      <c r="C65">
        <v>12.4</v>
      </c>
      <c r="D65">
        <v>11</v>
      </c>
      <c r="E65">
        <v>57</v>
      </c>
      <c r="F65">
        <v>62</v>
      </c>
      <c r="G65" t="s">
        <v>33</v>
      </c>
      <c r="H65" t="s">
        <v>33</v>
      </c>
      <c r="I65">
        <v>5.13</v>
      </c>
      <c r="J65" s="2"/>
      <c r="K65" s="2"/>
    </row>
    <row r="66" spans="1:11" x14ac:dyDescent="0.25">
      <c r="A66" s="1">
        <v>44784.445243055554</v>
      </c>
      <c r="B66" s="1">
        <v>44784.445173611108</v>
      </c>
      <c r="C66">
        <v>12.7</v>
      </c>
      <c r="D66">
        <v>11.2</v>
      </c>
      <c r="E66">
        <v>55</v>
      </c>
      <c r="F66">
        <v>61</v>
      </c>
      <c r="G66" t="s">
        <v>33</v>
      </c>
      <c r="H66" t="s">
        <v>33</v>
      </c>
      <c r="I66">
        <v>5.39</v>
      </c>
      <c r="J66" s="2"/>
      <c r="K66" s="2"/>
    </row>
    <row r="67" spans="1:11" x14ac:dyDescent="0.25">
      <c r="A67" s="1">
        <v>44784.452187499999</v>
      </c>
      <c r="B67" s="1">
        <v>44784.452118055553</v>
      </c>
      <c r="C67">
        <v>12.4</v>
      </c>
      <c r="D67">
        <v>11.4</v>
      </c>
      <c r="E67">
        <v>49</v>
      </c>
      <c r="F67">
        <v>55</v>
      </c>
      <c r="G67" t="s">
        <v>33</v>
      </c>
      <c r="H67" t="s">
        <v>33</v>
      </c>
      <c r="I67">
        <v>5.78</v>
      </c>
      <c r="J67" s="2"/>
      <c r="K67" s="2"/>
    </row>
    <row r="68" spans="1:11" x14ac:dyDescent="0.25">
      <c r="A68" s="1">
        <v>44784.459131944444</v>
      </c>
      <c r="B68" s="1">
        <v>44784.459062499998</v>
      </c>
      <c r="C68">
        <v>12.1</v>
      </c>
      <c r="D68">
        <v>11.6</v>
      </c>
      <c r="E68">
        <v>52</v>
      </c>
      <c r="F68">
        <v>57</v>
      </c>
      <c r="G68" t="s">
        <v>33</v>
      </c>
      <c r="H68" t="s">
        <v>33</v>
      </c>
      <c r="I68">
        <v>5.57</v>
      </c>
      <c r="J68">
        <f>IF(COUNT(I63:I68)&gt;3.5,ROUND(AVERAGE(I63:I68),2),"")</f>
        <v>5.24</v>
      </c>
      <c r="K68">
        <f>IF(COUNT(0.87, -1.05, 0.27, 2.4, 1.21, 0.59, 0.38, 0.62, 1.09, 2.59, 5.09, 5.24, 3.21, 3.45, 2.84, 2.52, 2.72, 2.45, 1.63, 1.22, 1.29, 1.37, 1.36, 1.24)&gt;17.5,ROUND(AVERAGE(0.87, -1.05, 0.27, 2.4, 1.21, 0.59, 0.38, 0.62, 1.09, 2.59, 5.09, 5.24, 3.21, 3.45, 2.84, 2.52, 2.72, 2.45, 1.63, 1.22, 1.29, 1.37, 1.36, 1.24),2),"NO AVG")</f>
        <v>1.86</v>
      </c>
    </row>
    <row r="69" spans="1:11" x14ac:dyDescent="0.25">
      <c r="A69" s="1">
        <v>44784.466087962966</v>
      </c>
      <c r="B69" s="1">
        <v>44784.466006944444</v>
      </c>
      <c r="C69">
        <v>12.1</v>
      </c>
      <c r="D69">
        <v>11.8</v>
      </c>
      <c r="E69">
        <v>51</v>
      </c>
      <c r="F69">
        <v>56</v>
      </c>
      <c r="G69" t="s">
        <v>33</v>
      </c>
      <c r="H69" t="s">
        <v>33</v>
      </c>
      <c r="I69">
        <v>5.7</v>
      </c>
      <c r="J69" s="2"/>
      <c r="K69" s="2"/>
    </row>
    <row r="70" spans="1:11" x14ac:dyDescent="0.25">
      <c r="A70" s="1">
        <v>44784.473020833335</v>
      </c>
      <c r="B70" s="1">
        <v>44784.472951388889</v>
      </c>
      <c r="C70">
        <v>12.7</v>
      </c>
      <c r="D70">
        <v>12.1</v>
      </c>
      <c r="E70">
        <v>47</v>
      </c>
      <c r="F70">
        <v>53</v>
      </c>
      <c r="G70" t="s">
        <v>33</v>
      </c>
      <c r="H70" t="s">
        <v>33</v>
      </c>
      <c r="I70">
        <v>6.22</v>
      </c>
      <c r="J70" s="2"/>
      <c r="K70" s="2"/>
    </row>
    <row r="71" spans="1:11" x14ac:dyDescent="0.25">
      <c r="A71" s="1">
        <v>44784.47996527778</v>
      </c>
      <c r="B71" s="1">
        <v>44784.479895833334</v>
      </c>
      <c r="C71">
        <v>12.8</v>
      </c>
      <c r="D71">
        <v>12.4</v>
      </c>
      <c r="E71">
        <v>50</v>
      </c>
      <c r="F71">
        <v>55</v>
      </c>
      <c r="G71" t="s">
        <v>33</v>
      </c>
      <c r="H71" t="s">
        <v>33</v>
      </c>
      <c r="I71">
        <v>6.17</v>
      </c>
      <c r="J71" s="2"/>
      <c r="K71" s="2"/>
    </row>
    <row r="72" spans="1:11" x14ac:dyDescent="0.25">
      <c r="A72" s="1">
        <v>44784.486944444441</v>
      </c>
      <c r="B72" s="1">
        <v>44784.486840277779</v>
      </c>
      <c r="C72">
        <v>13.4</v>
      </c>
      <c r="D72">
        <v>13.1</v>
      </c>
      <c r="E72">
        <v>49</v>
      </c>
      <c r="F72">
        <v>55</v>
      </c>
      <c r="G72" t="s">
        <v>33</v>
      </c>
      <c r="H72" t="s">
        <v>33</v>
      </c>
      <c r="I72">
        <v>6.6</v>
      </c>
      <c r="J72" s="2"/>
      <c r="K72" s="2"/>
    </row>
    <row r="73" spans="1:11" x14ac:dyDescent="0.25">
      <c r="A73" s="1">
        <v>44784.49391203704</v>
      </c>
      <c r="B73" s="1">
        <v>44784.493784722225</v>
      </c>
      <c r="C73">
        <v>14.2</v>
      </c>
      <c r="D73">
        <v>13.7</v>
      </c>
      <c r="E73">
        <v>50</v>
      </c>
      <c r="F73">
        <v>56</v>
      </c>
      <c r="G73" t="s">
        <v>33</v>
      </c>
      <c r="H73" t="s">
        <v>33</v>
      </c>
      <c r="I73">
        <v>6.96</v>
      </c>
      <c r="J73" s="2"/>
      <c r="K73" s="2"/>
    </row>
    <row r="74" spans="1:11" x14ac:dyDescent="0.25">
      <c r="A74" s="1">
        <v>44784.500810185185</v>
      </c>
      <c r="B74" s="1">
        <v>44784.50072916667</v>
      </c>
      <c r="C74">
        <v>14.3</v>
      </c>
      <c r="D74">
        <v>13.7</v>
      </c>
      <c r="E74">
        <v>50</v>
      </c>
      <c r="F74">
        <v>55</v>
      </c>
      <c r="G74" t="s">
        <v>33</v>
      </c>
      <c r="H74" t="s">
        <v>33</v>
      </c>
      <c r="I74">
        <v>7.02</v>
      </c>
      <c r="J74">
        <f>IF(COUNT(I69:I74)&gt;3.5,ROUND(AVERAGE(I69:I74),2),"")</f>
        <v>6.45</v>
      </c>
      <c r="K74">
        <f>IF(COUNT(0.87, -1.05, 0.27, 2.4, 1.21, 0.59, 0.38, 0.62, 1.09, 2.59, 5.09, 5.24, 6.45, 3.45, 2.84, 2.52, 2.72, 2.45, 1.63, 1.22, 1.29, 1.37, 1.36, 1.24)&gt;17.5,ROUND(AVERAGE(0.87, -1.05, 0.27, 2.4, 1.21, 0.59, 0.38, 0.62, 1.09, 2.59, 5.09, 5.24, 6.45, 3.45, 2.84, 2.52, 2.72, 2.45, 1.63, 1.22, 1.29, 1.37, 1.36, 1.24),2),"NO AVG")</f>
        <v>1.99</v>
      </c>
    </row>
    <row r="75" spans="1:11" x14ac:dyDescent="0.25">
      <c r="A75" s="1">
        <v>44784.507754629631</v>
      </c>
      <c r="B75" s="1">
        <v>44784.507673611108</v>
      </c>
      <c r="C75">
        <v>14.7</v>
      </c>
      <c r="D75">
        <v>13.8</v>
      </c>
      <c r="E75">
        <v>51</v>
      </c>
      <c r="F75">
        <v>57</v>
      </c>
      <c r="G75" t="s">
        <v>33</v>
      </c>
      <c r="H75" t="s">
        <v>33</v>
      </c>
      <c r="I75">
        <v>7.07</v>
      </c>
      <c r="J75" s="2"/>
      <c r="K75" s="2"/>
    </row>
    <row r="76" spans="1:11" x14ac:dyDescent="0.25">
      <c r="A76" s="1">
        <v>44784.514687499999</v>
      </c>
      <c r="B76" s="1">
        <v>44784.514618055553</v>
      </c>
      <c r="C76">
        <v>14.9</v>
      </c>
      <c r="D76">
        <v>14.2</v>
      </c>
      <c r="E76">
        <v>48</v>
      </c>
      <c r="F76">
        <v>54</v>
      </c>
      <c r="G76" t="s">
        <v>33</v>
      </c>
      <c r="H76" t="s">
        <v>33</v>
      </c>
      <c r="I76">
        <v>7.47</v>
      </c>
      <c r="J76" s="2"/>
      <c r="K76" s="2"/>
    </row>
    <row r="77" spans="1:11" x14ac:dyDescent="0.25">
      <c r="A77" s="1">
        <v>44784.521643518521</v>
      </c>
      <c r="B77" s="1">
        <v>44784.521562499998</v>
      </c>
      <c r="C77">
        <v>15.1</v>
      </c>
      <c r="D77">
        <v>14.4</v>
      </c>
      <c r="E77">
        <v>48</v>
      </c>
      <c r="F77">
        <v>53</v>
      </c>
      <c r="G77" t="s">
        <v>33</v>
      </c>
      <c r="H77" t="s">
        <v>33</v>
      </c>
      <c r="I77">
        <v>7.62</v>
      </c>
      <c r="J77" s="2"/>
      <c r="K77" s="2"/>
    </row>
    <row r="78" spans="1:11" x14ac:dyDescent="0.25">
      <c r="A78" s="1">
        <v>44784.528622685182</v>
      </c>
      <c r="B78" s="1">
        <v>44784.528506944444</v>
      </c>
      <c r="C78">
        <v>15.1</v>
      </c>
      <c r="D78">
        <v>14.2</v>
      </c>
      <c r="E78">
        <v>48</v>
      </c>
      <c r="F78">
        <v>53</v>
      </c>
      <c r="G78" t="s">
        <v>33</v>
      </c>
      <c r="H78" t="s">
        <v>33</v>
      </c>
      <c r="I78">
        <v>7.56</v>
      </c>
      <c r="J78" s="2"/>
      <c r="K78" s="2"/>
    </row>
    <row r="79" spans="1:11" x14ac:dyDescent="0.25">
      <c r="A79" s="1">
        <v>44784.535532407404</v>
      </c>
      <c r="B79" s="1">
        <v>44784.535451388889</v>
      </c>
      <c r="C79">
        <v>14.6</v>
      </c>
      <c r="D79">
        <v>14.3</v>
      </c>
      <c r="E79">
        <v>49</v>
      </c>
      <c r="F79">
        <v>54</v>
      </c>
      <c r="G79" t="s">
        <v>33</v>
      </c>
      <c r="H79" t="s">
        <v>33</v>
      </c>
      <c r="I79">
        <v>7.37</v>
      </c>
      <c r="J79" s="2"/>
      <c r="K79" s="2"/>
    </row>
    <row r="80" spans="1:11" x14ac:dyDescent="0.25">
      <c r="A80" s="1">
        <v>44784.54247685185</v>
      </c>
      <c r="B80" s="1">
        <v>44784.542395833334</v>
      </c>
      <c r="C80">
        <v>14.3</v>
      </c>
      <c r="D80">
        <v>13.8</v>
      </c>
      <c r="E80">
        <v>50</v>
      </c>
      <c r="F80">
        <v>56</v>
      </c>
      <c r="G80" t="s">
        <v>33</v>
      </c>
      <c r="H80" t="s">
        <v>33</v>
      </c>
      <c r="I80">
        <v>7.02</v>
      </c>
      <c r="J80">
        <f>IF(COUNT(I75:I80)&gt;3.5,ROUND(AVERAGE(I75:I80),2),"")</f>
        <v>7.35</v>
      </c>
      <c r="K80">
        <f>IF(COUNT(0.87, -1.05, 0.27, 2.4, 1.21, 0.59, 0.38, 0.62, 1.09, 2.59, 5.09, 5.24, 6.45, 7.35, 2.84, 2.52, 2.72, 2.45, 1.63, 1.22, 1.29, 1.37, 1.36, 1.24)&gt;17.5,ROUND(AVERAGE(0.87, -1.05, 0.27, 2.4, 1.21, 0.59, 0.38, 0.62, 1.09, 2.59, 5.09, 5.24, 6.45, 7.35, 2.84, 2.52, 2.72, 2.45, 1.63, 1.22, 1.29, 1.37, 1.36, 1.24),2),"NO AVG")</f>
        <v>2.16</v>
      </c>
    </row>
    <row r="81" spans="1:11" x14ac:dyDescent="0.25">
      <c r="A81" s="1">
        <v>44784.549421296295</v>
      </c>
      <c r="B81" s="1">
        <v>44784.549340277779</v>
      </c>
      <c r="C81">
        <v>14.2</v>
      </c>
      <c r="D81">
        <v>13.8</v>
      </c>
      <c r="E81">
        <v>51</v>
      </c>
      <c r="F81">
        <v>56</v>
      </c>
      <c r="G81" t="s">
        <v>33</v>
      </c>
      <c r="H81" t="s">
        <v>33</v>
      </c>
      <c r="I81">
        <v>6.95</v>
      </c>
      <c r="J81" s="2"/>
      <c r="K81" s="2"/>
    </row>
    <row r="82" spans="1:11" x14ac:dyDescent="0.25">
      <c r="A82" s="1">
        <v>44784.556863425925</v>
      </c>
      <c r="B82" s="1">
        <v>44784.556284722225</v>
      </c>
      <c r="C82">
        <v>14</v>
      </c>
      <c r="D82">
        <v>13.5</v>
      </c>
      <c r="E82">
        <v>48</v>
      </c>
      <c r="F82">
        <v>54</v>
      </c>
      <c r="G82" t="s">
        <v>33</v>
      </c>
      <c r="H82" t="s">
        <v>33</v>
      </c>
      <c r="I82">
        <v>6.98</v>
      </c>
      <c r="J82" s="2"/>
      <c r="K82" s="2"/>
    </row>
    <row r="83" spans="1:11" x14ac:dyDescent="0.25">
      <c r="A83" s="1">
        <v>44784.563310185185</v>
      </c>
      <c r="B83" s="1">
        <v>44784.56322916667</v>
      </c>
      <c r="C83">
        <v>13.6</v>
      </c>
      <c r="D83">
        <v>13.1</v>
      </c>
      <c r="E83">
        <v>46</v>
      </c>
      <c r="F83">
        <v>53</v>
      </c>
      <c r="G83" t="s">
        <v>33</v>
      </c>
      <c r="H83" t="s">
        <v>33</v>
      </c>
      <c r="I83">
        <v>6.84</v>
      </c>
      <c r="J83" s="2"/>
      <c r="K83" s="2"/>
    </row>
    <row r="84" spans="1:11" x14ac:dyDescent="0.25">
      <c r="A84" s="1">
        <v>44784.5703125</v>
      </c>
      <c r="B84" s="1">
        <v>44784.570173611108</v>
      </c>
      <c r="C84">
        <v>13.8</v>
      </c>
      <c r="D84">
        <v>12.9</v>
      </c>
      <c r="E84">
        <v>50</v>
      </c>
      <c r="F84">
        <v>55</v>
      </c>
      <c r="G84" t="s">
        <v>33</v>
      </c>
      <c r="H84" t="s">
        <v>33</v>
      </c>
      <c r="I84">
        <v>6.63</v>
      </c>
      <c r="J84" s="2"/>
      <c r="K84" s="2"/>
    </row>
    <row r="85" spans="1:11" x14ac:dyDescent="0.25">
      <c r="A85" s="1">
        <v>44784.577199074076</v>
      </c>
      <c r="B85" s="1">
        <v>44784.577118055553</v>
      </c>
      <c r="C85">
        <v>14.2</v>
      </c>
      <c r="D85">
        <v>13</v>
      </c>
      <c r="E85">
        <v>51</v>
      </c>
      <c r="F85">
        <v>57</v>
      </c>
      <c r="G85" t="s">
        <v>33</v>
      </c>
      <c r="H85" t="s">
        <v>33</v>
      </c>
      <c r="I85">
        <v>6.68</v>
      </c>
      <c r="J85" s="2"/>
      <c r="K85" s="2"/>
    </row>
    <row r="86" spans="1:11" x14ac:dyDescent="0.25">
      <c r="A86" s="1">
        <v>44784.584155092591</v>
      </c>
      <c r="B86" s="1">
        <v>44784.584062499998</v>
      </c>
      <c r="C86">
        <v>14.4</v>
      </c>
      <c r="D86">
        <v>13.6</v>
      </c>
      <c r="E86">
        <v>50</v>
      </c>
      <c r="F86">
        <v>56</v>
      </c>
      <c r="G86" t="s">
        <v>33</v>
      </c>
      <c r="H86" t="s">
        <v>33</v>
      </c>
      <c r="I86">
        <v>6.99</v>
      </c>
      <c r="J86">
        <f>IF(COUNT(I81:I86)&gt;3.5,ROUND(AVERAGE(I81:I86),2),"")</f>
        <v>6.85</v>
      </c>
      <c r="K86">
        <f>IF(COUNT(0.87, -1.05, 0.27, 2.4, 1.21, 0.59, 0.38, 0.62, 1.09, 2.59, 5.09, 5.24, 6.45, 7.35, 6.85, 2.52, 2.72, 2.45, 1.63, 1.22, 1.29, 1.37, 1.36, 1.24)&gt;17.5,ROUND(AVERAGE(0.87, -1.05, 0.27, 2.4, 1.21, 0.59, 0.38, 0.62, 1.09, 2.59, 5.09, 5.24, 6.45, 7.35, 6.85, 2.52, 2.72, 2.45, 1.63, 1.22, 1.29, 1.37, 1.36, 1.24),2),"NO AVG")</f>
        <v>2.3199999999999998</v>
      </c>
    </row>
    <row r="87" spans="1:11" x14ac:dyDescent="0.25">
      <c r="A87" s="1">
        <v>44784.591157407405</v>
      </c>
      <c r="B87" s="1">
        <v>44784.591006944444</v>
      </c>
      <c r="C87">
        <v>14.5</v>
      </c>
      <c r="D87">
        <v>13.7</v>
      </c>
      <c r="E87">
        <v>52</v>
      </c>
      <c r="F87">
        <v>57</v>
      </c>
      <c r="G87" t="s">
        <v>33</v>
      </c>
      <c r="H87" t="s">
        <v>33</v>
      </c>
      <c r="I87">
        <v>6.95</v>
      </c>
      <c r="J87" s="2"/>
      <c r="K87" s="2"/>
    </row>
    <row r="88" spans="1:11" x14ac:dyDescent="0.25">
      <c r="A88" s="1">
        <v>44784.598067129627</v>
      </c>
      <c r="B88" s="1">
        <v>44784.597951388889</v>
      </c>
      <c r="C88">
        <v>14</v>
      </c>
      <c r="D88">
        <v>13.4</v>
      </c>
      <c r="E88">
        <v>50</v>
      </c>
      <c r="F88">
        <v>55</v>
      </c>
      <c r="G88" t="s">
        <v>33</v>
      </c>
      <c r="H88" t="s">
        <v>33</v>
      </c>
      <c r="I88">
        <v>6.84</v>
      </c>
      <c r="J88" s="2"/>
      <c r="K88" s="2"/>
    </row>
    <row r="89" spans="1:11" x14ac:dyDescent="0.25">
      <c r="A89" s="1">
        <v>44784.604988425926</v>
      </c>
      <c r="B89" s="1">
        <v>44784.604895833334</v>
      </c>
      <c r="C89">
        <v>13.6</v>
      </c>
      <c r="D89">
        <v>13.2</v>
      </c>
      <c r="E89">
        <v>53</v>
      </c>
      <c r="F89">
        <v>58</v>
      </c>
      <c r="G89" t="s">
        <v>33</v>
      </c>
      <c r="H89" t="s">
        <v>33</v>
      </c>
      <c r="I89">
        <v>6.45</v>
      </c>
      <c r="J89" s="2"/>
      <c r="K89" s="2"/>
    </row>
    <row r="90" spans="1:11" x14ac:dyDescent="0.25">
      <c r="A90" s="1">
        <v>44784.611979166664</v>
      </c>
      <c r="B90" s="1">
        <v>44784.611840277779</v>
      </c>
      <c r="C90">
        <v>13.3</v>
      </c>
      <c r="D90">
        <v>13.1</v>
      </c>
      <c r="E90">
        <v>51</v>
      </c>
      <c r="F90">
        <v>56</v>
      </c>
      <c r="G90" t="s">
        <v>33</v>
      </c>
      <c r="H90" t="s">
        <v>33</v>
      </c>
      <c r="I90">
        <v>6.47</v>
      </c>
      <c r="J90" s="2"/>
      <c r="K90" s="2"/>
    </row>
    <row r="91" spans="1:11" x14ac:dyDescent="0.25">
      <c r="A91" s="1">
        <v>44784.618877314817</v>
      </c>
      <c r="B91" s="1">
        <v>44784.618784722225</v>
      </c>
      <c r="C91">
        <v>13.7</v>
      </c>
      <c r="D91">
        <v>13.3</v>
      </c>
      <c r="E91">
        <v>53</v>
      </c>
      <c r="F91">
        <v>58</v>
      </c>
      <c r="G91" t="s">
        <v>33</v>
      </c>
      <c r="H91" t="s">
        <v>33</v>
      </c>
      <c r="I91">
        <v>6.51</v>
      </c>
      <c r="J91" s="2"/>
      <c r="K91" s="2"/>
    </row>
    <row r="92" spans="1:11" x14ac:dyDescent="0.25">
      <c r="A92" s="1">
        <v>44784.625868055555</v>
      </c>
      <c r="B92" s="1">
        <v>44784.62572916667</v>
      </c>
      <c r="C92">
        <v>14.3</v>
      </c>
      <c r="D92">
        <v>13.7</v>
      </c>
      <c r="E92">
        <v>55</v>
      </c>
      <c r="F92">
        <v>60</v>
      </c>
      <c r="G92" t="s">
        <v>33</v>
      </c>
      <c r="H92" t="s">
        <v>33</v>
      </c>
      <c r="I92">
        <v>6.67</v>
      </c>
      <c r="J92">
        <f>IF(COUNT(I87:I92)&gt;3.5,ROUND(AVERAGE(I87:I92),2),"")</f>
        <v>6.65</v>
      </c>
      <c r="K92">
        <f>IF(COUNT(0.87, -1.05, 0.27, 2.4, 1.21, 0.59, 0.38, 0.62, 1.09, 2.59, 5.09, 5.24, 6.45, 7.35, 6.85, 6.65, 2.72, 2.45, 1.63, 1.22, 1.29, 1.37, 1.36, 1.24)&gt;17.5,ROUND(AVERAGE(0.87, -1.05, 0.27, 2.4, 1.21, 0.59, 0.38, 0.62, 1.09, 2.59, 5.09, 5.24, 6.45, 7.35, 6.85, 6.65, 2.72, 2.45, 1.63, 1.22, 1.29, 1.37, 1.36, 1.24),2),"NO AVG")</f>
        <v>2.5</v>
      </c>
    </row>
    <row r="93" spans="1:11" x14ac:dyDescent="0.25">
      <c r="A93" s="1">
        <v>44784.632754629631</v>
      </c>
      <c r="B93" s="1">
        <v>44784.632673611108</v>
      </c>
      <c r="C93">
        <v>14.8</v>
      </c>
      <c r="D93">
        <v>14.4</v>
      </c>
      <c r="E93">
        <v>54</v>
      </c>
      <c r="F93">
        <v>59</v>
      </c>
      <c r="G93" t="s">
        <v>33</v>
      </c>
      <c r="H93" t="s">
        <v>33</v>
      </c>
      <c r="I93">
        <v>7.11</v>
      </c>
      <c r="J93" s="2"/>
      <c r="K93" s="2"/>
    </row>
    <row r="94" spans="1:11" x14ac:dyDescent="0.25">
      <c r="A94" s="1">
        <v>44784.639687499999</v>
      </c>
      <c r="B94" s="1">
        <v>44784.639618055553</v>
      </c>
      <c r="C94">
        <v>15.2</v>
      </c>
      <c r="D94">
        <v>15</v>
      </c>
      <c r="E94">
        <v>54</v>
      </c>
      <c r="F94">
        <v>60</v>
      </c>
      <c r="G94" t="s">
        <v>33</v>
      </c>
      <c r="H94" t="s">
        <v>33</v>
      </c>
      <c r="I94">
        <v>7.38</v>
      </c>
      <c r="J94" s="2"/>
      <c r="K94" s="2"/>
    </row>
    <row r="95" spans="1:11" x14ac:dyDescent="0.25">
      <c r="A95" s="1">
        <v>44784.646631944444</v>
      </c>
      <c r="B95" s="1">
        <v>44784.646562499998</v>
      </c>
      <c r="C95">
        <v>15.4</v>
      </c>
      <c r="D95">
        <v>15</v>
      </c>
      <c r="E95">
        <v>55</v>
      </c>
      <c r="F95">
        <v>60</v>
      </c>
      <c r="G95" t="s">
        <v>33</v>
      </c>
      <c r="H95" t="s">
        <v>33</v>
      </c>
      <c r="I95">
        <v>7.41</v>
      </c>
      <c r="J95" s="2"/>
      <c r="K95" s="2"/>
    </row>
    <row r="96" spans="1:11" x14ac:dyDescent="0.25">
      <c r="A96" s="1">
        <v>44784.65357638889</v>
      </c>
      <c r="B96" s="1">
        <v>44784.653506944444</v>
      </c>
      <c r="C96">
        <v>15.5</v>
      </c>
      <c r="D96">
        <v>15</v>
      </c>
      <c r="E96">
        <v>55</v>
      </c>
      <c r="F96">
        <v>60</v>
      </c>
      <c r="G96" t="s">
        <v>33</v>
      </c>
      <c r="H96" t="s">
        <v>33</v>
      </c>
      <c r="I96">
        <v>7.44</v>
      </c>
      <c r="J96" s="2"/>
      <c r="K96" s="2"/>
    </row>
    <row r="97" spans="1:11" x14ac:dyDescent="0.25">
      <c r="A97" s="1">
        <v>44784.660520833335</v>
      </c>
      <c r="B97" s="1">
        <v>44784.660451388889</v>
      </c>
      <c r="C97">
        <v>15.7</v>
      </c>
      <c r="D97">
        <v>15.1</v>
      </c>
      <c r="E97">
        <v>54</v>
      </c>
      <c r="F97">
        <v>59</v>
      </c>
      <c r="G97" t="s">
        <v>33</v>
      </c>
      <c r="H97" t="s">
        <v>33</v>
      </c>
      <c r="I97">
        <v>7.6</v>
      </c>
      <c r="J97" s="2"/>
      <c r="K97" s="2"/>
    </row>
    <row r="98" spans="1:11" x14ac:dyDescent="0.25">
      <c r="A98" s="1">
        <v>44784.66746527778</v>
      </c>
      <c r="B98" s="1">
        <v>44784.667395833334</v>
      </c>
      <c r="C98">
        <v>16.399999999999999</v>
      </c>
      <c r="D98">
        <v>15.3</v>
      </c>
      <c r="E98">
        <v>56</v>
      </c>
      <c r="F98">
        <v>61</v>
      </c>
      <c r="G98" t="s">
        <v>33</v>
      </c>
      <c r="H98" t="s">
        <v>33</v>
      </c>
      <c r="I98">
        <v>7.73</v>
      </c>
      <c r="J98">
        <f>IF(COUNT(I93:I98)&gt;3.5,ROUND(AVERAGE(I93:I98),2),"")</f>
        <v>7.45</v>
      </c>
      <c r="K98">
        <f>IF(COUNT(0.87, -1.05, 0.27, 2.4, 1.21, 0.59, 0.38, 0.62, 1.09, 2.59, 5.09, 5.24, 6.45, 7.35, 6.85, 6.65, 7.45, 2.45, 1.63, 1.22, 1.29, 1.37, 1.36, 1.24)&gt;17.5,ROUND(AVERAGE(0.87, -1.05, 0.27, 2.4, 1.21, 0.59, 0.38, 0.62, 1.09, 2.59, 5.09, 5.24, 6.45, 7.35, 6.85, 6.65, 7.45, 2.45, 1.63, 1.22, 1.29, 1.37, 1.36, 1.24),2),"NO AVG")</f>
        <v>2.69</v>
      </c>
    </row>
    <row r="99" spans="1:11" x14ac:dyDescent="0.25">
      <c r="A99" s="1">
        <v>44784.674409722225</v>
      </c>
      <c r="B99" s="1">
        <v>44784.674328703702</v>
      </c>
      <c r="C99">
        <v>16.100000000000001</v>
      </c>
      <c r="D99">
        <v>15.2</v>
      </c>
      <c r="E99">
        <v>56</v>
      </c>
      <c r="F99">
        <v>62</v>
      </c>
      <c r="G99" t="s">
        <v>33</v>
      </c>
      <c r="H99" t="s">
        <v>33</v>
      </c>
      <c r="I99">
        <v>7.58</v>
      </c>
      <c r="J99" s="2"/>
      <c r="K99" s="2"/>
    </row>
    <row r="100" spans="1:11" x14ac:dyDescent="0.25">
      <c r="A100" s="1">
        <v>44784.681342592594</v>
      </c>
      <c r="B100" s="1">
        <v>44784.681273148148</v>
      </c>
      <c r="C100">
        <v>15.5</v>
      </c>
      <c r="D100">
        <v>14.6</v>
      </c>
      <c r="E100">
        <v>58</v>
      </c>
      <c r="F100">
        <v>63</v>
      </c>
      <c r="G100" t="s">
        <v>33</v>
      </c>
      <c r="H100" t="s">
        <v>33</v>
      </c>
      <c r="I100">
        <v>7.11</v>
      </c>
      <c r="J100" s="2"/>
      <c r="K100" s="2"/>
    </row>
    <row r="101" spans="1:11" x14ac:dyDescent="0.25">
      <c r="A101" s="1">
        <v>44784.688333333332</v>
      </c>
      <c r="B101" s="1">
        <v>44784.688217592593</v>
      </c>
      <c r="C101">
        <v>14.4</v>
      </c>
      <c r="D101">
        <v>13.3</v>
      </c>
      <c r="E101">
        <v>58</v>
      </c>
      <c r="F101">
        <v>63</v>
      </c>
      <c r="G101" t="s">
        <v>33</v>
      </c>
      <c r="H101" t="s">
        <v>33</v>
      </c>
      <c r="I101">
        <v>6.37</v>
      </c>
      <c r="J101" s="2"/>
      <c r="K101" s="2"/>
    </row>
    <row r="102" spans="1:11" x14ac:dyDescent="0.25">
      <c r="A102" s="1">
        <v>44784.695231481484</v>
      </c>
      <c r="B102" s="1">
        <v>44784.695162037038</v>
      </c>
      <c r="C102">
        <v>13.5</v>
      </c>
      <c r="D102">
        <v>12.4</v>
      </c>
      <c r="E102">
        <v>56</v>
      </c>
      <c r="F102">
        <v>62</v>
      </c>
      <c r="G102" t="s">
        <v>33</v>
      </c>
      <c r="H102" t="s">
        <v>33</v>
      </c>
      <c r="I102">
        <v>5.93</v>
      </c>
      <c r="J102" s="2"/>
      <c r="K102" s="2"/>
    </row>
    <row r="103" spans="1:11" x14ac:dyDescent="0.25">
      <c r="A103" s="1">
        <v>44784.702175925922</v>
      </c>
      <c r="B103" s="1">
        <v>44784.702106481483</v>
      </c>
      <c r="C103">
        <v>12.5</v>
      </c>
      <c r="D103">
        <v>11.6</v>
      </c>
      <c r="E103">
        <v>56</v>
      </c>
      <c r="F103">
        <v>62</v>
      </c>
      <c r="G103" t="s">
        <v>33</v>
      </c>
      <c r="H103" t="s">
        <v>33</v>
      </c>
      <c r="I103">
        <v>5.38</v>
      </c>
      <c r="J103" s="2"/>
      <c r="K103" s="2"/>
    </row>
    <row r="104" spans="1:11" x14ac:dyDescent="0.25">
      <c r="A104" s="1">
        <v>44784.709131944444</v>
      </c>
      <c r="B104" s="1">
        <v>44784.709050925929</v>
      </c>
      <c r="C104">
        <v>12.3</v>
      </c>
      <c r="D104">
        <v>11.1</v>
      </c>
      <c r="E104">
        <v>58</v>
      </c>
      <c r="F104">
        <v>62</v>
      </c>
      <c r="G104" t="s">
        <v>33</v>
      </c>
      <c r="H104" t="s">
        <v>33</v>
      </c>
      <c r="I104">
        <v>5.0999999999999996</v>
      </c>
      <c r="J104">
        <f>IF(COUNT(I99:I104)&gt;3.5,ROUND(AVERAGE(I99:I104),2),"")</f>
        <v>6.25</v>
      </c>
      <c r="K104">
        <f>IF(COUNT(0.87, -1.05, 0.27, 2.4, 1.21, 0.59, 0.38, 0.62, 1.09, 2.59, 5.09, 5.24, 6.45, 7.35, 6.85, 6.65, 7.45, 6.25, 1.63, 1.22, 1.29, 1.37, 1.36, 1.24)&gt;17.5,ROUND(AVERAGE(0.87, -1.05, 0.27, 2.4, 1.21, 0.59, 0.38, 0.62, 1.09, 2.59, 5.09, 5.24, 6.45, 7.35, 6.85, 6.65, 7.45, 6.25, 1.63, 1.22, 1.29, 1.37, 1.36, 1.24),2),"NO AVG")</f>
        <v>2.85</v>
      </c>
    </row>
    <row r="105" spans="1:11" x14ac:dyDescent="0.25">
      <c r="A105" s="1">
        <v>44784.71607638889</v>
      </c>
      <c r="B105" s="1">
        <v>44784.715995370374</v>
      </c>
      <c r="C105">
        <v>12.3</v>
      </c>
      <c r="D105">
        <v>11.1</v>
      </c>
      <c r="E105">
        <v>58</v>
      </c>
      <c r="F105">
        <v>63</v>
      </c>
      <c r="G105" t="s">
        <v>33</v>
      </c>
      <c r="H105" t="s">
        <v>33</v>
      </c>
      <c r="I105">
        <v>5.0599999999999996</v>
      </c>
      <c r="J105" s="2"/>
      <c r="K105" s="2"/>
    </row>
    <row r="106" spans="1:11" x14ac:dyDescent="0.25">
      <c r="A106" s="1">
        <v>44784.723009259258</v>
      </c>
      <c r="B106" s="1">
        <v>44784.722939814812</v>
      </c>
      <c r="C106">
        <v>12.2</v>
      </c>
      <c r="D106">
        <v>10.6</v>
      </c>
      <c r="E106">
        <v>57</v>
      </c>
      <c r="F106">
        <v>62</v>
      </c>
      <c r="G106" t="s">
        <v>33</v>
      </c>
      <c r="H106" t="s">
        <v>33</v>
      </c>
      <c r="I106">
        <v>4.95</v>
      </c>
      <c r="J106" s="2"/>
      <c r="K106" s="2"/>
    </row>
    <row r="107" spans="1:11" x14ac:dyDescent="0.25">
      <c r="A107" s="1">
        <v>44784.729953703703</v>
      </c>
      <c r="B107" s="1">
        <v>44784.729884259257</v>
      </c>
      <c r="C107">
        <v>11.7</v>
      </c>
      <c r="D107">
        <v>10.5</v>
      </c>
      <c r="E107">
        <v>57</v>
      </c>
      <c r="F107">
        <v>62</v>
      </c>
      <c r="G107" t="s">
        <v>33</v>
      </c>
      <c r="H107" t="s">
        <v>33</v>
      </c>
      <c r="I107">
        <v>4.7699999999999996</v>
      </c>
      <c r="J107" s="2"/>
      <c r="K107" s="2"/>
    </row>
    <row r="108" spans="1:11" x14ac:dyDescent="0.25">
      <c r="A108" s="1">
        <v>44784.736909722225</v>
      </c>
      <c r="B108" s="1">
        <v>44784.736828703702</v>
      </c>
      <c r="C108">
        <v>12</v>
      </c>
      <c r="D108">
        <v>10.8</v>
      </c>
      <c r="E108">
        <v>58</v>
      </c>
      <c r="F108">
        <v>63</v>
      </c>
      <c r="G108" t="s">
        <v>33</v>
      </c>
      <c r="H108" t="s">
        <v>33</v>
      </c>
      <c r="I108">
        <v>4.88</v>
      </c>
      <c r="J108" s="2"/>
      <c r="K108" s="2"/>
    </row>
    <row r="109" spans="1:11" x14ac:dyDescent="0.25">
      <c r="A109" s="1">
        <v>44784.743842592594</v>
      </c>
      <c r="B109" s="1">
        <v>44784.743773148148</v>
      </c>
      <c r="C109">
        <v>12.1</v>
      </c>
      <c r="D109">
        <v>10.9</v>
      </c>
      <c r="E109">
        <v>59</v>
      </c>
      <c r="F109">
        <v>64</v>
      </c>
      <c r="G109" t="s">
        <v>33</v>
      </c>
      <c r="H109" t="s">
        <v>33</v>
      </c>
      <c r="I109">
        <v>4.87</v>
      </c>
      <c r="J109" s="2"/>
      <c r="K109" s="2"/>
    </row>
    <row r="110" spans="1:11" x14ac:dyDescent="0.25">
      <c r="A110" s="1">
        <v>44784.750856481478</v>
      </c>
      <c r="B110" s="1">
        <v>44784.750717592593</v>
      </c>
      <c r="C110">
        <v>12.3</v>
      </c>
      <c r="D110">
        <v>11</v>
      </c>
      <c r="E110">
        <v>58</v>
      </c>
      <c r="F110">
        <v>64</v>
      </c>
      <c r="G110" t="s">
        <v>33</v>
      </c>
      <c r="H110" t="s">
        <v>33</v>
      </c>
      <c r="I110">
        <v>5</v>
      </c>
      <c r="J110">
        <f>IF(COUNT(I105:I110)&gt;3.5,ROUND(AVERAGE(I105:I110),2),"")</f>
        <v>4.92</v>
      </c>
      <c r="K110">
        <f>IF(COUNT(0.87, -1.05, 0.27, 2.4, 1.21, 0.59, 0.38, 0.62, 1.09, 2.59, 5.09, 5.24, 6.45, 7.35, 6.85, 6.65, 7.45, 6.25, 4.92, 1.22, 1.29, 1.37, 1.36, 1.24)&gt;17.5,ROUND(AVERAGE(0.87, -1.05, 0.27, 2.4, 1.21, 0.59, 0.38, 0.62, 1.09, 2.59, 5.09, 5.24, 6.45, 7.35, 6.85, 6.65, 7.45, 6.25, 4.92, 1.22, 1.29, 1.37, 1.36, 1.24),2),"NO AVG")</f>
        <v>2.99</v>
      </c>
    </row>
    <row r="111" spans="1:11" x14ac:dyDescent="0.25">
      <c r="A111" s="1">
        <v>44784.757743055554</v>
      </c>
      <c r="B111" s="1">
        <v>44784.757662037038</v>
      </c>
      <c r="C111">
        <v>12.3</v>
      </c>
      <c r="D111">
        <v>11.1</v>
      </c>
      <c r="E111">
        <v>60</v>
      </c>
      <c r="F111">
        <v>65</v>
      </c>
      <c r="G111" t="s">
        <v>33</v>
      </c>
      <c r="H111" t="s">
        <v>33</v>
      </c>
      <c r="I111">
        <v>4.92</v>
      </c>
      <c r="J111" s="2"/>
      <c r="K111" s="2"/>
    </row>
    <row r="112" spans="1:11" x14ac:dyDescent="0.25">
      <c r="A112" s="1">
        <v>44784.764687499999</v>
      </c>
      <c r="B112" s="1">
        <v>44784.764606481483</v>
      </c>
      <c r="C112">
        <v>12.4</v>
      </c>
      <c r="D112">
        <v>11.1</v>
      </c>
      <c r="E112">
        <v>62</v>
      </c>
      <c r="F112">
        <v>66</v>
      </c>
      <c r="G112" t="s">
        <v>33</v>
      </c>
      <c r="H112" t="s">
        <v>33</v>
      </c>
      <c r="I112">
        <v>4.8499999999999996</v>
      </c>
      <c r="J112" s="2"/>
      <c r="K112" s="2"/>
    </row>
    <row r="113" spans="1:11" x14ac:dyDescent="0.25">
      <c r="A113" s="1">
        <v>44784.771631944444</v>
      </c>
      <c r="B113" s="1">
        <v>44784.771550925929</v>
      </c>
      <c r="C113">
        <v>12.3</v>
      </c>
      <c r="D113">
        <v>10.7</v>
      </c>
      <c r="E113">
        <v>61</v>
      </c>
      <c r="F113">
        <v>67</v>
      </c>
      <c r="G113" t="s">
        <v>33</v>
      </c>
      <c r="H113" t="s">
        <v>33</v>
      </c>
      <c r="I113">
        <v>4.6900000000000004</v>
      </c>
      <c r="J113" s="2"/>
      <c r="K113" s="2"/>
    </row>
    <row r="114" spans="1:11" x14ac:dyDescent="0.25">
      <c r="A114" s="1">
        <v>44784.77857638889</v>
      </c>
      <c r="B114" s="1">
        <v>44784.778495370374</v>
      </c>
      <c r="C114">
        <v>12.1</v>
      </c>
      <c r="D114">
        <v>10.9</v>
      </c>
      <c r="E114">
        <v>63</v>
      </c>
      <c r="F114">
        <v>68</v>
      </c>
      <c r="G114" t="s">
        <v>33</v>
      </c>
      <c r="H114" t="s">
        <v>33</v>
      </c>
      <c r="I114">
        <v>4.59</v>
      </c>
      <c r="J114" s="2"/>
      <c r="K114" s="2"/>
    </row>
    <row r="115" spans="1:11" x14ac:dyDescent="0.25">
      <c r="A115" s="1">
        <v>44784.785532407404</v>
      </c>
      <c r="B115" s="1">
        <v>44784.785439814812</v>
      </c>
      <c r="C115">
        <v>11.9</v>
      </c>
      <c r="D115">
        <v>10.8</v>
      </c>
      <c r="E115">
        <v>63</v>
      </c>
      <c r="F115">
        <v>68</v>
      </c>
      <c r="G115" t="s">
        <v>33</v>
      </c>
      <c r="H115" t="s">
        <v>33</v>
      </c>
      <c r="I115">
        <v>4.5</v>
      </c>
      <c r="J115" s="2"/>
      <c r="K115" s="2"/>
    </row>
    <row r="116" spans="1:11" x14ac:dyDescent="0.25">
      <c r="A116" s="1">
        <v>44784.792500000003</v>
      </c>
      <c r="B116" s="1">
        <v>44784.792384259257</v>
      </c>
      <c r="C116">
        <v>11.9</v>
      </c>
      <c r="D116">
        <v>10.8</v>
      </c>
      <c r="E116">
        <v>64</v>
      </c>
      <c r="F116">
        <v>68</v>
      </c>
      <c r="G116" t="s">
        <v>33</v>
      </c>
      <c r="H116" t="s">
        <v>33</v>
      </c>
      <c r="I116">
        <v>4.46</v>
      </c>
      <c r="J116">
        <f>IF(COUNT(I111:I116)&gt;3.5,ROUND(AVERAGE(I111:I116),2),"")</f>
        <v>4.67</v>
      </c>
      <c r="K116">
        <f>IF(COUNT(0.87, -1.05, 0.27, 2.4, 1.21, 0.59, 0.38, 0.62, 1.09, 2.59, 5.09, 5.24, 6.45, 7.35, 6.85, 6.65, 7.45, 6.25, 4.92, 4.67, 1.29, 1.37, 1.36, 1.24)&gt;17.5,ROUND(AVERAGE(0.87, -1.05, 0.27, 2.4, 1.21, 0.59, 0.38, 0.62, 1.09, 2.59, 5.09, 5.24, 6.45, 7.35, 6.85, 6.65, 7.45, 6.25, 4.92, 4.67, 1.29, 1.37, 1.36, 1.24),2),"NO AVG")</f>
        <v>3.13</v>
      </c>
    </row>
    <row r="117" spans="1:11" x14ac:dyDescent="0.25">
      <c r="A117" s="1">
        <v>44784.799421296295</v>
      </c>
      <c r="B117" s="1">
        <v>44784.799328703702</v>
      </c>
      <c r="C117">
        <v>11.7</v>
      </c>
      <c r="D117">
        <v>10.6</v>
      </c>
      <c r="E117">
        <v>65</v>
      </c>
      <c r="F117">
        <v>69</v>
      </c>
      <c r="G117" t="s">
        <v>33</v>
      </c>
      <c r="H117" t="s">
        <v>33</v>
      </c>
      <c r="I117">
        <v>4.2699999999999996</v>
      </c>
      <c r="J117" s="2"/>
      <c r="K117" s="2"/>
    </row>
    <row r="118" spans="1:11" x14ac:dyDescent="0.25">
      <c r="A118" s="1">
        <v>44784.80641203704</v>
      </c>
      <c r="B118" s="1">
        <v>44784.806273148148</v>
      </c>
      <c r="C118">
        <v>11.5</v>
      </c>
      <c r="D118">
        <v>10.3</v>
      </c>
      <c r="E118">
        <v>66</v>
      </c>
      <c r="F118">
        <v>71</v>
      </c>
      <c r="G118" t="s">
        <v>33</v>
      </c>
      <c r="H118" t="s">
        <v>33</v>
      </c>
      <c r="I118">
        <v>4.01</v>
      </c>
      <c r="J118" s="2"/>
      <c r="K118" s="2"/>
    </row>
    <row r="119" spans="1:11" x14ac:dyDescent="0.25">
      <c r="A119" s="1">
        <v>44784.813310185185</v>
      </c>
      <c r="B119" s="1">
        <v>44784.813217592593</v>
      </c>
      <c r="C119">
        <v>11.1</v>
      </c>
      <c r="D119">
        <v>10.199999999999999</v>
      </c>
      <c r="E119">
        <v>67</v>
      </c>
      <c r="F119">
        <v>72</v>
      </c>
      <c r="G119" t="s">
        <v>33</v>
      </c>
      <c r="H119" t="s">
        <v>33</v>
      </c>
      <c r="I119">
        <v>3.79</v>
      </c>
      <c r="J119" s="2"/>
      <c r="K119" s="2"/>
    </row>
    <row r="120" spans="1:11" x14ac:dyDescent="0.25">
      <c r="A120" s="1">
        <v>44784.820254629631</v>
      </c>
      <c r="B120" s="1">
        <v>44784.820162037038</v>
      </c>
      <c r="C120">
        <v>11.1</v>
      </c>
      <c r="D120">
        <v>10.199999999999999</v>
      </c>
      <c r="E120">
        <v>68</v>
      </c>
      <c r="F120">
        <v>73</v>
      </c>
      <c r="G120" t="s">
        <v>33</v>
      </c>
      <c r="H120" t="s">
        <v>33</v>
      </c>
      <c r="I120">
        <v>3.72</v>
      </c>
      <c r="J120" s="2"/>
      <c r="K120" s="2"/>
    </row>
    <row r="121" spans="1:11" x14ac:dyDescent="0.25">
      <c r="A121" s="1">
        <v>44784.827199074076</v>
      </c>
      <c r="B121" s="1">
        <v>44784.827106481483</v>
      </c>
      <c r="C121">
        <v>11.3</v>
      </c>
      <c r="D121">
        <v>10.199999999999999</v>
      </c>
      <c r="E121">
        <v>69</v>
      </c>
      <c r="F121">
        <v>73</v>
      </c>
      <c r="G121" t="s">
        <v>33</v>
      </c>
      <c r="H121" t="s">
        <v>33</v>
      </c>
      <c r="I121">
        <v>3.75</v>
      </c>
      <c r="J121" s="2"/>
      <c r="K121" s="2"/>
    </row>
    <row r="122" spans="1:11" x14ac:dyDescent="0.25">
      <c r="A122" s="1">
        <v>44784.834131944444</v>
      </c>
      <c r="B122" s="1">
        <v>44784.834050925929</v>
      </c>
      <c r="C122">
        <v>11.4</v>
      </c>
      <c r="D122">
        <v>10.1</v>
      </c>
      <c r="E122">
        <v>69</v>
      </c>
      <c r="F122">
        <v>73</v>
      </c>
      <c r="G122" t="s">
        <v>33</v>
      </c>
      <c r="H122" t="s">
        <v>33</v>
      </c>
      <c r="I122">
        <v>3.75</v>
      </c>
      <c r="J122">
        <f>IF(COUNT(I117:I122)&gt;3.5,ROUND(AVERAGE(I117:I122),2),"")</f>
        <v>3.88</v>
      </c>
      <c r="K122">
        <f>IF(COUNT(0.87, -1.05, 0.27, 2.4, 1.21, 0.59, 0.38, 0.62, 1.09, 2.59, 5.09, 5.24, 6.45, 7.35, 6.85, 6.65, 7.45, 6.25, 4.92, 4.67, 3.88, 1.37, 1.36, 1.24)&gt;17.5,ROUND(AVERAGE(0.87, -1.05, 0.27, 2.4, 1.21, 0.59, 0.38, 0.62, 1.09, 2.59, 5.09, 5.24, 6.45, 7.35, 6.85, 6.65, 7.45, 6.25, 4.92, 4.67, 3.88, 1.37, 1.36, 1.24),2),"NO AVG")</f>
        <v>3.24</v>
      </c>
    </row>
    <row r="123" spans="1:11" x14ac:dyDescent="0.25">
      <c r="A123" s="1">
        <v>44784.841087962966</v>
      </c>
      <c r="B123" s="1">
        <v>44784.840995370374</v>
      </c>
      <c r="C123">
        <v>11.4</v>
      </c>
      <c r="D123">
        <v>10.4</v>
      </c>
      <c r="E123">
        <v>70</v>
      </c>
      <c r="F123">
        <v>74</v>
      </c>
      <c r="G123" t="s">
        <v>33</v>
      </c>
      <c r="H123" t="s">
        <v>33</v>
      </c>
      <c r="I123">
        <v>3.77</v>
      </c>
      <c r="J123" s="2"/>
      <c r="K123" s="2"/>
    </row>
    <row r="124" spans="1:11" x14ac:dyDescent="0.25">
      <c r="A124" s="1">
        <v>44784.848032407404</v>
      </c>
      <c r="B124" s="1">
        <v>44784.847939814812</v>
      </c>
      <c r="C124">
        <v>12</v>
      </c>
      <c r="D124">
        <v>10.8</v>
      </c>
      <c r="E124">
        <v>70</v>
      </c>
      <c r="F124">
        <v>74</v>
      </c>
      <c r="G124" t="s">
        <v>33</v>
      </c>
      <c r="H124" t="s">
        <v>33</v>
      </c>
      <c r="I124">
        <v>4.07</v>
      </c>
      <c r="J124" s="2"/>
      <c r="K124" s="2"/>
    </row>
    <row r="125" spans="1:11" x14ac:dyDescent="0.25">
      <c r="A125" s="1">
        <v>44784.85496527778</v>
      </c>
      <c r="B125" s="1">
        <v>44784.854884259257</v>
      </c>
      <c r="C125">
        <v>12.3</v>
      </c>
      <c r="D125">
        <v>11</v>
      </c>
      <c r="E125">
        <v>70</v>
      </c>
      <c r="F125">
        <v>74</v>
      </c>
      <c r="G125" t="s">
        <v>33</v>
      </c>
      <c r="H125" t="s">
        <v>33</v>
      </c>
      <c r="I125">
        <v>4.2300000000000004</v>
      </c>
      <c r="J125" s="2"/>
      <c r="K125" s="2"/>
    </row>
    <row r="126" spans="1:11" x14ac:dyDescent="0.25">
      <c r="A126" s="1">
        <v>44784.861921296295</v>
      </c>
      <c r="B126" s="1">
        <v>44784.861828703702</v>
      </c>
      <c r="C126">
        <v>12.4</v>
      </c>
      <c r="D126">
        <v>11.1</v>
      </c>
      <c r="E126">
        <v>71</v>
      </c>
      <c r="F126">
        <v>75</v>
      </c>
      <c r="G126" t="s">
        <v>33</v>
      </c>
      <c r="H126" t="s">
        <v>33</v>
      </c>
      <c r="I126">
        <v>4.22</v>
      </c>
      <c r="J126" s="2"/>
      <c r="K126" s="2"/>
    </row>
    <row r="127" spans="1:11" x14ac:dyDescent="0.25">
      <c r="A127" s="1">
        <v>44784.86886574074</v>
      </c>
      <c r="B127" s="1">
        <v>44784.868773148148</v>
      </c>
      <c r="C127">
        <v>12.3</v>
      </c>
      <c r="D127">
        <v>11.1</v>
      </c>
      <c r="E127">
        <v>70</v>
      </c>
      <c r="F127">
        <v>75</v>
      </c>
      <c r="G127" t="s">
        <v>33</v>
      </c>
      <c r="H127" t="s">
        <v>33</v>
      </c>
      <c r="I127">
        <v>4.22</v>
      </c>
      <c r="J127" s="2"/>
      <c r="K127" s="2"/>
    </row>
    <row r="128" spans="1:11" x14ac:dyDescent="0.25">
      <c r="A128" s="1">
        <v>44784.875810185185</v>
      </c>
      <c r="B128" s="1">
        <v>44784.875717592593</v>
      </c>
      <c r="C128">
        <v>12.1</v>
      </c>
      <c r="D128">
        <v>10.9</v>
      </c>
      <c r="E128">
        <v>70</v>
      </c>
      <c r="F128">
        <v>75</v>
      </c>
      <c r="G128" t="s">
        <v>33</v>
      </c>
      <c r="H128" t="s">
        <v>33</v>
      </c>
      <c r="I128">
        <v>4.0999999999999996</v>
      </c>
      <c r="J128">
        <f>IF(COUNT(I123:I128)&gt;3.5,ROUND(AVERAGE(I123:I128),2),"")</f>
        <v>4.0999999999999996</v>
      </c>
      <c r="K128">
        <f>IF(COUNT(0.87, -1.05, 0.27, 2.4, 1.21, 0.59, 0.38, 0.62, 1.09, 2.59, 5.09, 5.24, 6.45, 7.35, 6.85, 6.65, 7.45, 6.25, 4.92, 4.67, 3.88, 4.1, 1.36, 1.24)&gt;17.5,ROUND(AVERAGE(0.87, -1.05, 0.27, 2.4, 1.21, 0.59, 0.38, 0.62, 1.09, 2.59, 5.09, 5.24, 6.45, 7.35, 6.85, 6.65, 7.45, 6.25, 4.92, 4.67, 3.88, 4.1, 1.36, 1.24),2),"NO AVG")</f>
        <v>3.35</v>
      </c>
    </row>
    <row r="129" spans="1:11" x14ac:dyDescent="0.25">
      <c r="A129" s="1">
        <v>44784.882754629631</v>
      </c>
      <c r="B129" s="1">
        <v>44784.882662037038</v>
      </c>
      <c r="C129">
        <v>11.8</v>
      </c>
      <c r="D129">
        <v>10.9</v>
      </c>
      <c r="E129">
        <v>70</v>
      </c>
      <c r="F129">
        <v>75</v>
      </c>
      <c r="G129" t="s">
        <v>33</v>
      </c>
      <c r="H129" t="s">
        <v>33</v>
      </c>
      <c r="I129">
        <v>4.01</v>
      </c>
      <c r="J129" s="2"/>
      <c r="K129" s="2"/>
    </row>
    <row r="130" spans="1:11" x14ac:dyDescent="0.25">
      <c r="A130" s="1">
        <v>44784.889745370368</v>
      </c>
      <c r="B130" s="1">
        <v>44784.889606481483</v>
      </c>
      <c r="C130">
        <v>11.8</v>
      </c>
      <c r="D130">
        <v>10.7</v>
      </c>
      <c r="E130">
        <v>71</v>
      </c>
      <c r="F130">
        <v>75</v>
      </c>
      <c r="G130" t="s">
        <v>33</v>
      </c>
      <c r="H130" t="s">
        <v>33</v>
      </c>
      <c r="I130">
        <v>3.91</v>
      </c>
      <c r="J130" s="2"/>
      <c r="K130" s="2"/>
    </row>
    <row r="131" spans="1:11" x14ac:dyDescent="0.25">
      <c r="A131" s="1">
        <v>44784.896643518521</v>
      </c>
      <c r="B131" s="1">
        <v>44784.896550925929</v>
      </c>
      <c r="C131">
        <v>12</v>
      </c>
      <c r="D131">
        <v>10.6</v>
      </c>
      <c r="E131">
        <v>71</v>
      </c>
      <c r="F131">
        <v>76</v>
      </c>
      <c r="G131" t="s">
        <v>33</v>
      </c>
      <c r="H131" t="s">
        <v>33</v>
      </c>
      <c r="I131">
        <v>3.91</v>
      </c>
      <c r="J131" s="2"/>
      <c r="K131" s="2"/>
    </row>
    <row r="132" spans="1:11" x14ac:dyDescent="0.25">
      <c r="A132" s="1">
        <v>44784.903622685182</v>
      </c>
      <c r="B132" s="1">
        <v>44784.903495370374</v>
      </c>
      <c r="C132">
        <v>12.2</v>
      </c>
      <c r="D132">
        <v>10.6</v>
      </c>
      <c r="E132">
        <v>72</v>
      </c>
      <c r="F132">
        <v>76</v>
      </c>
      <c r="G132" t="s">
        <v>33</v>
      </c>
      <c r="H132" t="s">
        <v>33</v>
      </c>
      <c r="I132">
        <v>3.93</v>
      </c>
      <c r="J132" s="2"/>
      <c r="K132" s="2"/>
    </row>
    <row r="133" spans="1:11" x14ac:dyDescent="0.25">
      <c r="A133" s="1">
        <v>44784.910532407404</v>
      </c>
      <c r="B133" s="1">
        <v>44784.910439814812</v>
      </c>
      <c r="C133">
        <v>12.2</v>
      </c>
      <c r="D133">
        <v>10.6</v>
      </c>
      <c r="E133">
        <v>71</v>
      </c>
      <c r="F133">
        <v>75</v>
      </c>
      <c r="G133" t="s">
        <v>33</v>
      </c>
      <c r="H133" t="s">
        <v>33</v>
      </c>
      <c r="I133">
        <v>4</v>
      </c>
      <c r="J133" s="2"/>
      <c r="K133" s="2"/>
    </row>
    <row r="134" spans="1:11" x14ac:dyDescent="0.25">
      <c r="A134" s="1">
        <v>44784.91747685185</v>
      </c>
      <c r="B134" s="1">
        <v>44784.917384259257</v>
      </c>
      <c r="C134">
        <v>12.3</v>
      </c>
      <c r="D134">
        <v>10.7</v>
      </c>
      <c r="E134">
        <v>71</v>
      </c>
      <c r="F134">
        <v>76</v>
      </c>
      <c r="G134" t="s">
        <v>33</v>
      </c>
      <c r="H134" t="s">
        <v>33</v>
      </c>
      <c r="I134">
        <v>4.03</v>
      </c>
      <c r="J134">
        <f>IF(COUNT(I129:I134)&gt;3.5,ROUND(AVERAGE(I129:I134),2),"")</f>
        <v>3.97</v>
      </c>
      <c r="K134">
        <f>IF(COUNT(0.87, -1.05, 0.27, 2.4, 1.21, 0.59, 0.38, 0.62, 1.09, 2.59, 5.09, 5.24, 6.45, 7.35, 6.85, 6.65, 7.45, 6.25, 4.92, 4.67, 3.88, 4.1, 3.97, 1.24)&gt;17.5,ROUND(AVERAGE(0.87, -1.05, 0.27, 2.4, 1.21, 0.59, 0.38, 0.62, 1.09, 2.59, 5.09, 5.24, 6.45, 7.35, 6.85, 6.65, 7.45, 6.25, 4.92, 4.67, 3.88, 4.1, 3.97, 1.24),2),"NO AVG")</f>
        <v>3.46</v>
      </c>
    </row>
    <row r="135" spans="1:11" x14ac:dyDescent="0.25">
      <c r="A135" s="1">
        <v>44784.924513888887</v>
      </c>
      <c r="B135" s="1">
        <v>44784.924328703702</v>
      </c>
      <c r="C135">
        <v>12.4</v>
      </c>
      <c r="D135">
        <v>10.8</v>
      </c>
      <c r="E135">
        <v>71</v>
      </c>
      <c r="F135">
        <v>75</v>
      </c>
      <c r="G135" t="s">
        <v>33</v>
      </c>
      <c r="H135" t="s">
        <v>33</v>
      </c>
      <c r="I135">
        <v>4.13</v>
      </c>
      <c r="J135" s="2"/>
      <c r="K135" s="2"/>
    </row>
    <row r="136" spans="1:11" x14ac:dyDescent="0.25">
      <c r="A136" s="1">
        <v>44784.93136574074</v>
      </c>
      <c r="B136" s="1">
        <v>44784.931273148148</v>
      </c>
      <c r="C136">
        <v>12.5</v>
      </c>
      <c r="D136">
        <v>10.8</v>
      </c>
      <c r="E136">
        <v>71</v>
      </c>
      <c r="F136">
        <v>76</v>
      </c>
      <c r="G136" t="s">
        <v>33</v>
      </c>
      <c r="H136" t="s">
        <v>33</v>
      </c>
      <c r="I136">
        <v>4.12</v>
      </c>
      <c r="J136" s="2"/>
      <c r="K136" s="2"/>
    </row>
    <row r="137" spans="1:11" x14ac:dyDescent="0.25">
      <c r="A137" s="1">
        <v>44784.938310185185</v>
      </c>
      <c r="B137" s="1">
        <v>44784.938217592593</v>
      </c>
      <c r="C137">
        <v>12.4</v>
      </c>
      <c r="D137">
        <v>10.9</v>
      </c>
      <c r="E137">
        <v>71</v>
      </c>
      <c r="F137">
        <v>76</v>
      </c>
      <c r="G137" t="s">
        <v>33</v>
      </c>
      <c r="H137" t="s">
        <v>33</v>
      </c>
      <c r="I137">
        <v>4.12</v>
      </c>
      <c r="J137" s="2"/>
      <c r="K137" s="2"/>
    </row>
    <row r="138" spans="1:11" x14ac:dyDescent="0.25">
      <c r="A138" s="1">
        <v>44784.945254629631</v>
      </c>
      <c r="B138" s="1">
        <v>44784.945162037038</v>
      </c>
      <c r="C138">
        <v>12.5</v>
      </c>
      <c r="D138">
        <v>11.1</v>
      </c>
      <c r="E138">
        <v>74</v>
      </c>
      <c r="F138">
        <v>78</v>
      </c>
      <c r="G138" t="s">
        <v>33</v>
      </c>
      <c r="H138" t="s">
        <v>33</v>
      </c>
      <c r="I138">
        <v>4.04</v>
      </c>
      <c r="J138" s="2"/>
      <c r="K138" s="2"/>
    </row>
    <row r="139" spans="1:11" x14ac:dyDescent="0.25">
      <c r="A139" s="1">
        <v>44784.952245370368</v>
      </c>
      <c r="B139" s="1">
        <v>44784.952106481483</v>
      </c>
      <c r="C139">
        <v>13.1</v>
      </c>
      <c r="D139">
        <v>11.6</v>
      </c>
      <c r="E139">
        <v>72</v>
      </c>
      <c r="F139">
        <v>76</v>
      </c>
      <c r="G139" t="s">
        <v>33</v>
      </c>
      <c r="H139" t="s">
        <v>33</v>
      </c>
      <c r="I139">
        <v>4.51</v>
      </c>
      <c r="J139" s="2"/>
      <c r="K139" s="2"/>
    </row>
    <row r="140" spans="1:11" x14ac:dyDescent="0.25">
      <c r="A140" s="1">
        <v>44784.959143518521</v>
      </c>
      <c r="B140" s="1">
        <v>44784.959050925929</v>
      </c>
      <c r="C140">
        <v>13.5</v>
      </c>
      <c r="D140">
        <v>11.9</v>
      </c>
      <c r="E140">
        <v>71</v>
      </c>
      <c r="F140">
        <v>75</v>
      </c>
      <c r="G140" t="s">
        <v>33</v>
      </c>
      <c r="H140" t="s">
        <v>33</v>
      </c>
      <c r="I140">
        <v>4.8</v>
      </c>
      <c r="J140">
        <f>IF(COUNT(I135:I140)&gt;3.5,ROUND(AVERAGE(I135:I140),2),"")</f>
        <v>4.29</v>
      </c>
      <c r="K140">
        <f>IF(COUNT(0.87, -1.05, 0.27, 2.4, 1.21, 0.59, 0.38, 0.62, 1.09, 2.59, 5.09, 5.24, 6.45, 7.35, 6.85, 6.65, 7.45, 6.25, 4.92, 4.67, 3.88, 4.1, 3.97, 4.29)&gt;17.5,ROUND(AVERAGE(0.87, -1.05, 0.27, 2.4, 1.21, 0.59, 0.38, 0.62, 1.09, 2.59, 5.09, 5.24, 6.45, 7.35, 6.85, 6.65, 7.45, 6.25, 4.92, 4.67, 3.88, 4.1, 3.97, 4.29),2),"NO AVG")</f>
        <v>3.59</v>
      </c>
    </row>
    <row r="141" spans="1:11" x14ac:dyDescent="0.25">
      <c r="A141" s="1">
        <v>44784.966168981482</v>
      </c>
      <c r="B141" s="1">
        <v>44784.965995370374</v>
      </c>
      <c r="C141">
        <v>13.6</v>
      </c>
      <c r="D141">
        <v>12</v>
      </c>
      <c r="E141">
        <v>70</v>
      </c>
      <c r="F141">
        <v>75</v>
      </c>
      <c r="G141" t="s">
        <v>33</v>
      </c>
      <c r="H141" t="s">
        <v>33</v>
      </c>
      <c r="I141">
        <v>4.8899999999999997</v>
      </c>
      <c r="J141" s="2"/>
      <c r="K141" s="2"/>
    </row>
    <row r="142" spans="1:11" x14ac:dyDescent="0.25">
      <c r="A142" s="1">
        <v>44784.973032407404</v>
      </c>
      <c r="B142" s="1">
        <v>44784.972939814812</v>
      </c>
      <c r="C142">
        <v>13.6</v>
      </c>
      <c r="D142">
        <v>12</v>
      </c>
      <c r="E142">
        <v>70</v>
      </c>
      <c r="F142">
        <v>75</v>
      </c>
      <c r="G142" t="s">
        <v>33</v>
      </c>
      <c r="H142" t="s">
        <v>33</v>
      </c>
      <c r="I142">
        <v>4.8899999999999997</v>
      </c>
      <c r="J142" s="2"/>
      <c r="K142" s="2"/>
    </row>
    <row r="143" spans="1:11" x14ac:dyDescent="0.25">
      <c r="A143" s="1">
        <v>44784.97997685185</v>
      </c>
      <c r="B143" s="1">
        <v>44784.979884259257</v>
      </c>
      <c r="C143">
        <v>14</v>
      </c>
      <c r="D143">
        <v>12.4</v>
      </c>
      <c r="E143">
        <v>70</v>
      </c>
      <c r="F143">
        <v>75</v>
      </c>
      <c r="G143" t="s">
        <v>33</v>
      </c>
      <c r="H143" t="s">
        <v>33</v>
      </c>
      <c r="I143">
        <v>5.14</v>
      </c>
      <c r="J143" s="2"/>
      <c r="K143" s="2"/>
    </row>
    <row r="144" spans="1:11" x14ac:dyDescent="0.25">
      <c r="A144" s="1">
        <v>44784.986921296295</v>
      </c>
      <c r="B144" s="1">
        <v>44784.986828703702</v>
      </c>
      <c r="C144">
        <v>14.7</v>
      </c>
      <c r="D144">
        <v>13.2</v>
      </c>
      <c r="E144">
        <v>70</v>
      </c>
      <c r="F144">
        <v>75</v>
      </c>
      <c r="G144" t="s">
        <v>33</v>
      </c>
      <c r="H144" t="s">
        <v>33</v>
      </c>
      <c r="I144">
        <v>5.59</v>
      </c>
      <c r="J144" s="2"/>
      <c r="K144" s="2"/>
    </row>
    <row r="145" spans="1:12" x14ac:dyDescent="0.25">
      <c r="A145" s="1">
        <v>44784.99391203704</v>
      </c>
      <c r="B145" s="1">
        <v>44784.993773148148</v>
      </c>
      <c r="C145">
        <v>15.1</v>
      </c>
      <c r="D145">
        <v>13.7</v>
      </c>
      <c r="E145">
        <v>71</v>
      </c>
      <c r="F145">
        <v>75</v>
      </c>
      <c r="G145" t="s">
        <v>33</v>
      </c>
      <c r="H145" t="s">
        <v>33</v>
      </c>
      <c r="I145">
        <v>5.83</v>
      </c>
      <c r="J145" s="2"/>
      <c r="K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C080C-0490-4586-A52D-ABA94DCDE5EC}">
  <sheetPr codeName="Sheet17"/>
  <dimension ref="A1:M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3" max="13" width="12.28515625" bestFit="1" customWidth="1"/>
  </cols>
  <sheetData>
    <row r="1" spans="1:13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M1" t="s">
        <v>3</v>
      </c>
    </row>
    <row r="2" spans="1:13" x14ac:dyDescent="0.25">
      <c r="A2" s="1">
        <v>44784.000775462962</v>
      </c>
      <c r="B2" s="1">
        <v>44784.000717592593</v>
      </c>
      <c r="C2">
        <v>1.9</v>
      </c>
      <c r="D2">
        <v>2.5</v>
      </c>
      <c r="E2">
        <v>0</v>
      </c>
      <c r="F2">
        <v>0</v>
      </c>
      <c r="G2" t="s">
        <v>33</v>
      </c>
      <c r="H2" t="s">
        <v>38</v>
      </c>
      <c r="K2" t="str">
        <f>IF(COUNT(, NA, NA, NA, NA, NA, NA, NA, NA, NA, NA, NA, NA, NA, NA, NA, NA, NA, NA, NA, NA, NA, NA, NA)&gt;17.5,ROUND(AVERAGE(, 0, 0, 0, 0, 0, 0, 0, 0, 0, 0, 0, 0, 0, 0, 0, 0, 0, 0, 0, 0, 0, 0, 0),2),"NO AVG")</f>
        <v>NO AVG</v>
      </c>
      <c r="M2" t="s">
        <v>52</v>
      </c>
    </row>
    <row r="3" spans="1:13" x14ac:dyDescent="0.25">
      <c r="A3" s="1">
        <v>44784.007731481484</v>
      </c>
      <c r="B3" s="1">
        <v>44784.007662037038</v>
      </c>
      <c r="C3">
        <v>1.7</v>
      </c>
      <c r="D3">
        <v>2.2000000000000002</v>
      </c>
      <c r="E3">
        <v>0</v>
      </c>
      <c r="F3">
        <v>0</v>
      </c>
      <c r="G3" t="s">
        <v>33</v>
      </c>
      <c r="H3" t="s">
        <v>38</v>
      </c>
      <c r="J3" s="2"/>
      <c r="K3" s="2"/>
    </row>
    <row r="4" spans="1:13" x14ac:dyDescent="0.25">
      <c r="A4" s="1">
        <v>44784.014652777776</v>
      </c>
      <c r="B4" s="1">
        <v>44784.014606481483</v>
      </c>
      <c r="C4">
        <v>1.5</v>
      </c>
      <c r="D4">
        <v>2.1</v>
      </c>
      <c r="E4">
        <v>0</v>
      </c>
      <c r="F4">
        <v>0</v>
      </c>
      <c r="G4" t="s">
        <v>33</v>
      </c>
      <c r="H4" t="s">
        <v>38</v>
      </c>
      <c r="J4" s="2"/>
      <c r="K4" s="2"/>
    </row>
    <row r="5" spans="1:13" x14ac:dyDescent="0.25">
      <c r="A5" s="1">
        <v>44784.021597222221</v>
      </c>
      <c r="B5" s="1">
        <v>44784.021550925929</v>
      </c>
      <c r="C5">
        <v>1.5</v>
      </c>
      <c r="D5">
        <v>2.1</v>
      </c>
      <c r="E5">
        <v>0</v>
      </c>
      <c r="F5">
        <v>0</v>
      </c>
      <c r="G5" t="s">
        <v>33</v>
      </c>
      <c r="H5" t="s">
        <v>38</v>
      </c>
      <c r="J5" s="2"/>
      <c r="K5" s="2"/>
    </row>
    <row r="6" spans="1:13" x14ac:dyDescent="0.25">
      <c r="A6" s="1">
        <v>44784.028553240743</v>
      </c>
      <c r="B6" s="1">
        <v>44784.028495370374</v>
      </c>
      <c r="C6">
        <v>1.4</v>
      </c>
      <c r="D6">
        <v>2</v>
      </c>
      <c r="E6">
        <v>0</v>
      </c>
      <c r="F6">
        <v>0</v>
      </c>
      <c r="G6" t="s">
        <v>33</v>
      </c>
      <c r="H6" t="s">
        <v>38</v>
      </c>
      <c r="J6" s="2"/>
      <c r="K6" s="2"/>
    </row>
    <row r="7" spans="1:13" x14ac:dyDescent="0.25">
      <c r="A7" s="1">
        <v>44784.035497685189</v>
      </c>
      <c r="B7" s="1">
        <v>44784.035439814812</v>
      </c>
      <c r="C7">
        <v>1.4</v>
      </c>
      <c r="D7">
        <v>2</v>
      </c>
      <c r="E7">
        <v>0</v>
      </c>
      <c r="F7">
        <v>0</v>
      </c>
      <c r="G7" t="s">
        <v>33</v>
      </c>
      <c r="H7" t="s">
        <v>38</v>
      </c>
      <c r="J7" s="2"/>
      <c r="K7" s="2"/>
    </row>
    <row r="8" spans="1:13" x14ac:dyDescent="0.25">
      <c r="A8" s="1">
        <v>44784.042442129627</v>
      </c>
      <c r="B8" s="1">
        <v>44784.042384259257</v>
      </c>
      <c r="C8">
        <v>1.3</v>
      </c>
      <c r="D8">
        <v>1.9</v>
      </c>
      <c r="E8">
        <v>0</v>
      </c>
      <c r="F8">
        <v>0</v>
      </c>
      <c r="G8" t="s">
        <v>33</v>
      </c>
      <c r="H8" t="s">
        <v>38</v>
      </c>
      <c r="J8" t="str">
        <f>IF(COUNT(I3:I8)&gt;3.5,ROUND(AVERAGE(I3:I8),2),"")</f>
        <v/>
      </c>
      <c r="K8" t="str">
        <f>IF(COUNT(, , NA, NA, NA, NA, NA, NA, NA, NA, NA, NA, NA, NA, NA, NA, NA, NA, NA, NA, NA, NA, NA, NA)&gt;17.5,ROUND(AVERAGE(, , 0, 0, 0, 0, 0, 0, 0, 0, 0, 0, 0, 0, 0, 0, 0, 0, 0, 0, 0, 0, 0, 0),2),"NO AVG")</f>
        <v>NO AVG</v>
      </c>
    </row>
    <row r="9" spans="1:13" x14ac:dyDescent="0.25">
      <c r="A9" s="1">
        <v>44784.049386574072</v>
      </c>
      <c r="B9" s="1">
        <v>44784.049328703702</v>
      </c>
      <c r="C9">
        <v>1.3</v>
      </c>
      <c r="D9">
        <v>1.9</v>
      </c>
      <c r="E9">
        <v>0</v>
      </c>
      <c r="F9">
        <v>0</v>
      </c>
      <c r="G9" t="s">
        <v>33</v>
      </c>
      <c r="H9" t="s">
        <v>38</v>
      </c>
      <c r="J9" s="2"/>
      <c r="K9" s="2"/>
    </row>
    <row r="10" spans="1:13" x14ac:dyDescent="0.25">
      <c r="A10" s="1">
        <v>44784.056331018517</v>
      </c>
      <c r="B10" s="1">
        <v>44784.056273148148</v>
      </c>
      <c r="C10">
        <v>1.3</v>
      </c>
      <c r="D10">
        <v>2</v>
      </c>
      <c r="E10">
        <v>0</v>
      </c>
      <c r="F10">
        <v>0</v>
      </c>
      <c r="G10" t="s">
        <v>33</v>
      </c>
      <c r="H10" t="s">
        <v>38</v>
      </c>
      <c r="J10" s="2"/>
      <c r="K10" s="2"/>
    </row>
    <row r="11" spans="1:13" x14ac:dyDescent="0.25">
      <c r="A11" s="1">
        <v>44784.063263888886</v>
      </c>
      <c r="B11" s="1">
        <v>44784.063217592593</v>
      </c>
      <c r="C11">
        <v>1.4</v>
      </c>
      <c r="D11">
        <v>2</v>
      </c>
      <c r="E11">
        <v>0</v>
      </c>
      <c r="F11">
        <v>0</v>
      </c>
      <c r="G11" t="s">
        <v>33</v>
      </c>
      <c r="H11" t="s">
        <v>38</v>
      </c>
      <c r="J11" s="2"/>
      <c r="K11" s="2"/>
    </row>
    <row r="12" spans="1:13" x14ac:dyDescent="0.25">
      <c r="A12" s="1">
        <v>44784.070219907408</v>
      </c>
      <c r="B12" s="1">
        <v>44784.070162037038</v>
      </c>
      <c r="C12">
        <v>1.4</v>
      </c>
      <c r="D12">
        <v>1.9</v>
      </c>
      <c r="E12">
        <v>0</v>
      </c>
      <c r="F12">
        <v>0</v>
      </c>
      <c r="G12" t="s">
        <v>33</v>
      </c>
      <c r="H12" t="s">
        <v>38</v>
      </c>
      <c r="J12" s="2"/>
      <c r="K12" s="2"/>
    </row>
    <row r="13" spans="1:13" x14ac:dyDescent="0.25">
      <c r="A13" s="1">
        <v>44784.077164351853</v>
      </c>
      <c r="B13" s="1">
        <v>44784.077106481483</v>
      </c>
      <c r="C13">
        <v>1.4</v>
      </c>
      <c r="D13">
        <v>2</v>
      </c>
      <c r="E13">
        <v>0</v>
      </c>
      <c r="F13">
        <v>0</v>
      </c>
      <c r="G13" t="s">
        <v>33</v>
      </c>
      <c r="H13" t="s">
        <v>38</v>
      </c>
      <c r="J13" s="2"/>
      <c r="K13" s="2"/>
    </row>
    <row r="14" spans="1:13" x14ac:dyDescent="0.25">
      <c r="A14" s="1">
        <v>44784.084108796298</v>
      </c>
      <c r="B14" s="1">
        <v>44784.084050925929</v>
      </c>
      <c r="C14">
        <v>1.4</v>
      </c>
      <c r="D14">
        <v>1.9</v>
      </c>
      <c r="E14">
        <v>0</v>
      </c>
      <c r="F14">
        <v>0</v>
      </c>
      <c r="G14" t="s">
        <v>33</v>
      </c>
      <c r="H14" t="s">
        <v>38</v>
      </c>
      <c r="J14" t="str">
        <f>IF(COUNT(I9:I14)&gt;3.5,ROUND(AVERAGE(I9:I14),2),"")</f>
        <v/>
      </c>
      <c r="K14" t="str">
        <f>IF(COUNT(, , , NA, NA, NA, NA, NA, NA, NA, NA, NA, NA, NA, NA, NA, NA, NA, NA, NA, NA, NA, NA, NA)&gt;17.5,ROUND(AVERAGE(, , , 0, 0, 0, 0, 0, 0, 0, 0, 0, 0, 0, 0, 0, 0, 0, 0, 0, 0, 0, 0, 0),2),"NO AVG")</f>
        <v>NO AVG</v>
      </c>
    </row>
    <row r="15" spans="1:13" x14ac:dyDescent="0.25">
      <c r="A15" s="1">
        <v>44784.091053240743</v>
      </c>
      <c r="B15" s="1">
        <v>44784.090995370374</v>
      </c>
      <c r="C15">
        <v>1.5</v>
      </c>
      <c r="D15">
        <v>2.1</v>
      </c>
      <c r="E15">
        <v>0</v>
      </c>
      <c r="F15">
        <v>0</v>
      </c>
      <c r="G15" t="s">
        <v>33</v>
      </c>
      <c r="H15" t="s">
        <v>38</v>
      </c>
      <c r="J15" s="2"/>
      <c r="K15" s="2"/>
    </row>
    <row r="16" spans="1:13" x14ac:dyDescent="0.25">
      <c r="A16" s="1">
        <v>44784.098009259258</v>
      </c>
      <c r="B16" s="1">
        <v>44784.097939814812</v>
      </c>
      <c r="C16">
        <v>1.5</v>
      </c>
      <c r="D16">
        <v>2</v>
      </c>
      <c r="E16">
        <v>0</v>
      </c>
      <c r="F16">
        <v>0</v>
      </c>
      <c r="G16" t="s">
        <v>33</v>
      </c>
      <c r="H16" t="s">
        <v>38</v>
      </c>
      <c r="J16" s="2"/>
      <c r="K16" s="2"/>
    </row>
    <row r="17" spans="1:11" x14ac:dyDescent="0.25">
      <c r="A17" s="1">
        <v>44784.104942129627</v>
      </c>
      <c r="B17" s="1">
        <v>44784.104884259257</v>
      </c>
      <c r="C17">
        <v>1.5</v>
      </c>
      <c r="D17">
        <v>2.1</v>
      </c>
      <c r="E17">
        <v>0</v>
      </c>
      <c r="F17">
        <v>0</v>
      </c>
      <c r="G17" t="s">
        <v>33</v>
      </c>
      <c r="H17" t="s">
        <v>38</v>
      </c>
      <c r="J17" s="2"/>
      <c r="K17" s="2"/>
    </row>
    <row r="18" spans="1:11" x14ac:dyDescent="0.25">
      <c r="A18" s="1">
        <v>44784.111886574072</v>
      </c>
      <c r="B18" s="1">
        <v>44784.111828703702</v>
      </c>
      <c r="C18">
        <v>1.6</v>
      </c>
      <c r="D18">
        <v>2.1</v>
      </c>
      <c r="E18">
        <v>0</v>
      </c>
      <c r="F18">
        <v>0</v>
      </c>
      <c r="G18" t="s">
        <v>33</v>
      </c>
      <c r="H18" t="s">
        <v>38</v>
      </c>
      <c r="J18" s="2"/>
      <c r="K18" s="2"/>
    </row>
    <row r="19" spans="1:11" x14ac:dyDescent="0.25">
      <c r="A19" s="1">
        <v>44784.118831018517</v>
      </c>
      <c r="B19" s="1">
        <v>44784.118773148148</v>
      </c>
      <c r="C19">
        <v>1.6</v>
      </c>
      <c r="D19">
        <v>2.2000000000000002</v>
      </c>
      <c r="E19">
        <v>0</v>
      </c>
      <c r="F19">
        <v>0</v>
      </c>
      <c r="G19" t="s">
        <v>33</v>
      </c>
      <c r="H19" t="s">
        <v>38</v>
      </c>
      <c r="J19" s="2"/>
      <c r="K19" s="2"/>
    </row>
    <row r="20" spans="1:11" x14ac:dyDescent="0.25">
      <c r="A20" s="1">
        <v>44784.125775462962</v>
      </c>
      <c r="B20" s="1">
        <v>44784.125717592593</v>
      </c>
      <c r="C20">
        <v>1.7</v>
      </c>
      <c r="D20">
        <v>2.1</v>
      </c>
      <c r="E20">
        <v>0</v>
      </c>
      <c r="F20">
        <v>0</v>
      </c>
      <c r="G20" t="s">
        <v>33</v>
      </c>
      <c r="H20" t="s">
        <v>38</v>
      </c>
      <c r="J20" t="str">
        <f>IF(COUNT(I15:I20)&gt;3.5,ROUND(AVERAGE(I15:I20),2),"")</f>
        <v/>
      </c>
      <c r="K20" t="str">
        <f>IF(COUNT(, , , , NA, NA, NA, NA, NA, NA, NA, NA, NA, NA, NA, NA, NA, NA, NA, NA, NA, NA, NA, NA)&gt;17.5,ROUND(AVERAGE(, , , , 0, 0, 0, 0, 0, 0, 0, 0, 0, 0, 0, 0, 0, 0, 0, 0, 0, 0, 0, 0),2),"NO AVG")</f>
        <v>NO AVG</v>
      </c>
    </row>
    <row r="21" spans="1:11" x14ac:dyDescent="0.25">
      <c r="A21" s="1">
        <v>44784.132719907408</v>
      </c>
      <c r="B21" s="1">
        <v>44784.132662037038</v>
      </c>
      <c r="C21">
        <v>1.7</v>
      </c>
      <c r="D21">
        <v>2.2000000000000002</v>
      </c>
      <c r="E21">
        <v>0</v>
      </c>
      <c r="F21">
        <v>0</v>
      </c>
      <c r="G21" t="s">
        <v>33</v>
      </c>
      <c r="H21" t="s">
        <v>38</v>
      </c>
      <c r="J21" s="2"/>
      <c r="K21" s="2"/>
    </row>
    <row r="22" spans="1:11" x14ac:dyDescent="0.25">
      <c r="A22" s="1">
        <v>44784.139675925922</v>
      </c>
      <c r="B22" s="1">
        <v>44784.139606481483</v>
      </c>
      <c r="C22">
        <v>1.8</v>
      </c>
      <c r="D22">
        <v>2.2999999999999998</v>
      </c>
      <c r="E22">
        <v>0</v>
      </c>
      <c r="F22">
        <v>0</v>
      </c>
      <c r="G22" t="s">
        <v>33</v>
      </c>
      <c r="H22" t="s">
        <v>38</v>
      </c>
      <c r="J22" s="2"/>
      <c r="K22" s="2"/>
    </row>
    <row r="23" spans="1:11" x14ac:dyDescent="0.25">
      <c r="A23" s="1">
        <v>44784.146608796298</v>
      </c>
      <c r="B23" s="1">
        <v>44784.146550925929</v>
      </c>
      <c r="C23">
        <v>1.8</v>
      </c>
      <c r="D23">
        <v>2.2999999999999998</v>
      </c>
      <c r="E23">
        <v>0</v>
      </c>
      <c r="F23">
        <v>0</v>
      </c>
      <c r="G23" t="s">
        <v>33</v>
      </c>
      <c r="H23" t="s">
        <v>38</v>
      </c>
      <c r="J23" s="2"/>
      <c r="K23" s="2"/>
    </row>
    <row r="24" spans="1:11" x14ac:dyDescent="0.25">
      <c r="A24" s="1">
        <v>44784.153564814813</v>
      </c>
      <c r="B24" s="1">
        <v>44784.153495370374</v>
      </c>
      <c r="C24">
        <v>1.8</v>
      </c>
      <c r="D24">
        <v>2.4</v>
      </c>
      <c r="E24">
        <v>0</v>
      </c>
      <c r="F24">
        <v>0</v>
      </c>
      <c r="G24" t="s">
        <v>33</v>
      </c>
      <c r="H24" t="s">
        <v>38</v>
      </c>
      <c r="J24" s="2"/>
      <c r="K24" s="2"/>
    </row>
    <row r="25" spans="1:11" x14ac:dyDescent="0.25">
      <c r="A25" s="1">
        <v>44784.160509259258</v>
      </c>
      <c r="B25" s="1">
        <v>44784.160439814812</v>
      </c>
      <c r="C25">
        <v>1.9</v>
      </c>
      <c r="D25">
        <v>2.4</v>
      </c>
      <c r="E25">
        <v>0</v>
      </c>
      <c r="F25">
        <v>0</v>
      </c>
      <c r="G25" t="s">
        <v>33</v>
      </c>
      <c r="H25" t="s">
        <v>38</v>
      </c>
      <c r="J25" s="2"/>
      <c r="K25" s="2"/>
    </row>
    <row r="26" spans="1:11" x14ac:dyDescent="0.25">
      <c r="A26" s="1">
        <v>44784.167442129627</v>
      </c>
      <c r="B26" s="1">
        <v>44784.167384259257</v>
      </c>
      <c r="C26">
        <v>1.9</v>
      </c>
      <c r="D26">
        <v>2.5</v>
      </c>
      <c r="E26">
        <v>0</v>
      </c>
      <c r="F26">
        <v>0</v>
      </c>
      <c r="G26" t="s">
        <v>33</v>
      </c>
      <c r="H26" t="s">
        <v>38</v>
      </c>
      <c r="J26" t="str">
        <f>IF(COUNT(I21:I26)&gt;3.5,ROUND(AVERAGE(I21:I26),2),"")</f>
        <v/>
      </c>
      <c r="K26" t="str">
        <f>IF(COUNT(, , , , , NA, NA, NA, NA, NA, NA, NA, NA, NA, NA, NA, NA, NA, NA, NA, NA, NA, NA, NA)&gt;17.5,ROUND(AVERAGE(, , , , , 0, 0, 0, 0, 0, 0, 0, 0, 0, 0, 0, 0, 0, 0, 0, 0, 0, 0, 0),2),"NO AVG")</f>
        <v>NO AVG</v>
      </c>
    </row>
    <row r="27" spans="1:11" x14ac:dyDescent="0.25">
      <c r="A27" s="1">
        <v>44784.174398148149</v>
      </c>
      <c r="B27" s="1">
        <v>44784.174328703702</v>
      </c>
      <c r="C27">
        <v>2</v>
      </c>
      <c r="D27">
        <v>2.6</v>
      </c>
      <c r="E27">
        <v>0</v>
      </c>
      <c r="F27">
        <v>0</v>
      </c>
      <c r="G27" t="s">
        <v>33</v>
      </c>
      <c r="H27" t="s">
        <v>38</v>
      </c>
      <c r="J27" s="2"/>
      <c r="K27" s="2"/>
    </row>
    <row r="28" spans="1:11" x14ac:dyDescent="0.25">
      <c r="A28" s="1"/>
      <c r="B28" s="1">
        <v>44784.180555555555</v>
      </c>
      <c r="J28" s="2"/>
      <c r="K28" s="2"/>
    </row>
    <row r="29" spans="1:11" x14ac:dyDescent="0.25">
      <c r="A29" s="1">
        <v>44784.188275462962</v>
      </c>
      <c r="B29" s="1">
        <v>44784.188217592593</v>
      </c>
      <c r="C29">
        <v>2</v>
      </c>
      <c r="D29">
        <v>2.8</v>
      </c>
      <c r="E29">
        <v>0</v>
      </c>
      <c r="F29">
        <v>0</v>
      </c>
      <c r="G29" t="s">
        <v>33</v>
      </c>
      <c r="H29" t="s">
        <v>38</v>
      </c>
      <c r="J29" s="2"/>
      <c r="K29" s="2"/>
    </row>
    <row r="30" spans="1:11" x14ac:dyDescent="0.25">
      <c r="A30" s="1">
        <v>44784.195231481484</v>
      </c>
      <c r="B30" s="1">
        <v>44784.195162037038</v>
      </c>
      <c r="C30">
        <v>2.1</v>
      </c>
      <c r="D30">
        <v>2.8</v>
      </c>
      <c r="E30">
        <v>0</v>
      </c>
      <c r="F30">
        <v>0</v>
      </c>
      <c r="G30" t="s">
        <v>33</v>
      </c>
      <c r="H30" t="s">
        <v>38</v>
      </c>
      <c r="J30" s="2"/>
      <c r="K30" s="2"/>
    </row>
    <row r="31" spans="1:11" x14ac:dyDescent="0.25">
      <c r="A31" s="1">
        <v>44784.202187499999</v>
      </c>
      <c r="B31" s="1">
        <v>44784.20212962963</v>
      </c>
      <c r="C31">
        <v>2.1</v>
      </c>
      <c r="D31">
        <v>2.8</v>
      </c>
      <c r="E31">
        <v>0</v>
      </c>
      <c r="F31">
        <v>0</v>
      </c>
      <c r="G31" t="s">
        <v>33</v>
      </c>
      <c r="H31" t="s">
        <v>38</v>
      </c>
      <c r="J31" s="2"/>
      <c r="K31" s="2"/>
    </row>
    <row r="32" spans="1:11" x14ac:dyDescent="0.25">
      <c r="A32" s="1">
        <v>44784.209108796298</v>
      </c>
      <c r="B32" s="1">
        <v>44784.209050925929</v>
      </c>
      <c r="C32">
        <v>2.2000000000000002</v>
      </c>
      <c r="D32">
        <v>2.9</v>
      </c>
      <c r="E32">
        <v>0</v>
      </c>
      <c r="F32">
        <v>0</v>
      </c>
      <c r="G32" t="s">
        <v>33</v>
      </c>
      <c r="H32" t="s">
        <v>38</v>
      </c>
      <c r="J32" t="str">
        <f>IF(COUNT(I27:I32)&gt;3.5,ROUND(AVERAGE(I27:I32),2),"")</f>
        <v/>
      </c>
      <c r="K32" t="str">
        <f>IF(COUNT(, , , , , , NA, NA, NA, NA, NA, NA, NA, NA, NA, NA, NA, NA, NA, NA, NA, NA, NA, NA)&gt;17.5,ROUND(AVERAGE(, , , , , , 0, 0, 0, 0, 0, 0, 0, 0, 0, 0, 0, 0, 0, 0, 0, 0, 0, 0),2),"NO AVG")</f>
        <v>NO AVG</v>
      </c>
    </row>
    <row r="33" spans="1:11" x14ac:dyDescent="0.25">
      <c r="A33" s="1">
        <v>44784.216145833336</v>
      </c>
      <c r="B33" s="1">
        <v>44784.215995370374</v>
      </c>
      <c r="C33">
        <v>2.1</v>
      </c>
      <c r="D33">
        <v>2.9</v>
      </c>
      <c r="E33">
        <v>0</v>
      </c>
      <c r="F33">
        <v>0</v>
      </c>
      <c r="G33" t="s">
        <v>33</v>
      </c>
      <c r="H33" t="s">
        <v>38</v>
      </c>
      <c r="J33" s="2"/>
      <c r="K33" s="2"/>
    </row>
    <row r="34" spans="1:11" x14ac:dyDescent="0.25">
      <c r="A34" s="1">
        <v>44784.223009259258</v>
      </c>
      <c r="B34" s="1">
        <v>44784.222939814812</v>
      </c>
      <c r="C34">
        <v>2.2000000000000002</v>
      </c>
      <c r="D34">
        <v>2.9</v>
      </c>
      <c r="E34">
        <v>0</v>
      </c>
      <c r="F34">
        <v>0</v>
      </c>
      <c r="G34" t="s">
        <v>33</v>
      </c>
      <c r="H34" t="s">
        <v>38</v>
      </c>
      <c r="J34" s="2"/>
      <c r="K34" s="2"/>
    </row>
    <row r="35" spans="1:11" x14ac:dyDescent="0.25">
      <c r="A35" s="1">
        <v>44784.229953703703</v>
      </c>
      <c r="B35" s="1">
        <v>44784.229884259257</v>
      </c>
      <c r="C35">
        <v>2.2999999999999998</v>
      </c>
      <c r="D35">
        <v>3</v>
      </c>
      <c r="E35">
        <v>0</v>
      </c>
      <c r="F35">
        <v>0</v>
      </c>
      <c r="G35" t="s">
        <v>33</v>
      </c>
      <c r="H35" t="s">
        <v>38</v>
      </c>
      <c r="J35" s="2"/>
      <c r="K35" s="2"/>
    </row>
    <row r="36" spans="1:11" x14ac:dyDescent="0.25">
      <c r="A36" s="1">
        <v>44784.236898148149</v>
      </c>
      <c r="B36" s="1">
        <v>44784.236840277779</v>
      </c>
      <c r="C36">
        <v>2.2999999999999998</v>
      </c>
      <c r="D36">
        <v>3.1</v>
      </c>
      <c r="E36">
        <v>0</v>
      </c>
      <c r="F36">
        <v>0</v>
      </c>
      <c r="G36" t="s">
        <v>33</v>
      </c>
      <c r="H36" t="s">
        <v>38</v>
      </c>
      <c r="J36" s="2"/>
      <c r="K36" s="2"/>
    </row>
    <row r="37" spans="1:11" x14ac:dyDescent="0.25">
      <c r="A37" s="1">
        <v>44784.243842592594</v>
      </c>
      <c r="B37" s="1">
        <v>44784.243773148148</v>
      </c>
      <c r="C37">
        <v>2.2999999999999998</v>
      </c>
      <c r="D37">
        <v>3.1</v>
      </c>
      <c r="E37">
        <v>0</v>
      </c>
      <c r="F37">
        <v>0</v>
      </c>
      <c r="G37" t="s">
        <v>33</v>
      </c>
      <c r="H37" t="s">
        <v>38</v>
      </c>
      <c r="J37" s="2"/>
      <c r="K37" s="2"/>
    </row>
    <row r="38" spans="1:11" x14ac:dyDescent="0.25">
      <c r="A38" s="1">
        <v>44784.250798611109</v>
      </c>
      <c r="B38" s="1">
        <v>44784.25072916667</v>
      </c>
      <c r="C38">
        <v>2.2000000000000002</v>
      </c>
      <c r="D38">
        <v>2.9</v>
      </c>
      <c r="E38">
        <v>0</v>
      </c>
      <c r="F38">
        <v>0</v>
      </c>
      <c r="G38" t="s">
        <v>33</v>
      </c>
      <c r="H38" t="s">
        <v>38</v>
      </c>
      <c r="J38" t="str">
        <f>IF(COUNT(I33:I38)&gt;3.5,ROUND(AVERAGE(I33:I38),2),"")</f>
        <v/>
      </c>
      <c r="K38" t="str">
        <f>IF(COUNT(, , , , , , , NA, NA, NA, NA, NA, NA, NA, NA, NA, NA, NA, NA, NA, NA, NA, NA, NA)&gt;17.5,ROUND(AVERAGE(, , , , , , , 0, 0, 0, 0, 0, 0, 0, 0, 0, 0, 0, 0, 0, 0, 0, 0, 0),2),"NO AVG")</f>
        <v>NO AVG</v>
      </c>
    </row>
    <row r="39" spans="1:11" x14ac:dyDescent="0.25">
      <c r="A39" s="1">
        <v>44784.257731481484</v>
      </c>
      <c r="B39" s="1">
        <v>44784.257662037038</v>
      </c>
      <c r="C39">
        <v>2.2999999999999998</v>
      </c>
      <c r="D39">
        <v>3</v>
      </c>
      <c r="E39">
        <v>0</v>
      </c>
      <c r="F39">
        <v>0</v>
      </c>
      <c r="G39" t="s">
        <v>33</v>
      </c>
      <c r="H39" t="s">
        <v>38</v>
      </c>
      <c r="J39" s="2"/>
      <c r="K39" s="2"/>
    </row>
    <row r="40" spans="1:11" x14ac:dyDescent="0.25">
      <c r="A40" s="1">
        <v>44784.264675925922</v>
      </c>
      <c r="B40" s="1">
        <v>44784.264606481483</v>
      </c>
      <c r="C40">
        <v>2.5</v>
      </c>
      <c r="D40">
        <v>3.1</v>
      </c>
      <c r="E40">
        <v>0</v>
      </c>
      <c r="F40">
        <v>0</v>
      </c>
      <c r="G40" t="s">
        <v>33</v>
      </c>
      <c r="H40" t="s">
        <v>38</v>
      </c>
      <c r="J40" s="2"/>
      <c r="K40" s="2"/>
    </row>
    <row r="41" spans="1:11" x14ac:dyDescent="0.25">
      <c r="A41" s="1">
        <v>44784.271620370368</v>
      </c>
      <c r="B41" s="1">
        <v>44784.271550925929</v>
      </c>
      <c r="C41">
        <v>2.4</v>
      </c>
      <c r="D41">
        <v>3.2</v>
      </c>
      <c r="E41">
        <v>0</v>
      </c>
      <c r="F41">
        <v>0</v>
      </c>
      <c r="G41" t="s">
        <v>33</v>
      </c>
      <c r="H41" t="s">
        <v>38</v>
      </c>
      <c r="J41" s="2"/>
      <c r="K41" s="2"/>
    </row>
    <row r="42" spans="1:11" x14ac:dyDescent="0.25">
      <c r="A42" s="1">
        <v>44784.278611111113</v>
      </c>
      <c r="B42" s="1">
        <v>44784.278495370374</v>
      </c>
      <c r="C42">
        <v>2.5</v>
      </c>
      <c r="D42">
        <v>3.1</v>
      </c>
      <c r="E42">
        <v>0</v>
      </c>
      <c r="F42">
        <v>0</v>
      </c>
      <c r="G42" t="s">
        <v>33</v>
      </c>
      <c r="H42" t="s">
        <v>38</v>
      </c>
      <c r="J42" s="2"/>
      <c r="K42" s="2"/>
    </row>
    <row r="43" spans="1:11" x14ac:dyDescent="0.25">
      <c r="A43" s="1">
        <v>44784.285509259258</v>
      </c>
      <c r="B43" s="1">
        <v>44784.285439814812</v>
      </c>
      <c r="C43">
        <v>2.5</v>
      </c>
      <c r="D43">
        <v>3</v>
      </c>
      <c r="E43">
        <v>0</v>
      </c>
      <c r="F43">
        <v>0</v>
      </c>
      <c r="G43" t="s">
        <v>33</v>
      </c>
      <c r="H43" t="s">
        <v>38</v>
      </c>
      <c r="J43" s="2"/>
      <c r="K43" s="2"/>
    </row>
    <row r="44" spans="1:11" x14ac:dyDescent="0.25">
      <c r="A44" s="1">
        <v>44784.292453703703</v>
      </c>
      <c r="B44" s="1">
        <v>44784.292384259257</v>
      </c>
      <c r="C44">
        <v>2.5</v>
      </c>
      <c r="D44">
        <v>3</v>
      </c>
      <c r="E44">
        <v>0</v>
      </c>
      <c r="F44">
        <v>0</v>
      </c>
      <c r="G44" t="s">
        <v>33</v>
      </c>
      <c r="H44" t="s">
        <v>38</v>
      </c>
      <c r="J44" t="str">
        <f>IF(COUNT(I39:I44)&gt;3.5,ROUND(AVERAGE(I39:I44),2),"")</f>
        <v/>
      </c>
      <c r="K44" t="str">
        <f>IF(COUNT(, , , , , , , , NA, NA, NA, NA, NA, NA, NA, NA, NA, NA, NA, NA, NA, NA, NA, NA)&gt;17.5,ROUND(AVERAGE(, , , , , , , , 0, 0, 0, 0, 0, 0, 0, 0, 0, 0, 0, 0, 0, 0, 0, 0),2),"NO AVG")</f>
        <v>NO AVG</v>
      </c>
    </row>
    <row r="45" spans="1:11" x14ac:dyDescent="0.25">
      <c r="A45" s="1">
        <v>44784.299398148149</v>
      </c>
      <c r="B45" s="1">
        <v>44784.299340277779</v>
      </c>
      <c r="C45">
        <v>2.6</v>
      </c>
      <c r="D45">
        <v>3</v>
      </c>
      <c r="E45">
        <v>0</v>
      </c>
      <c r="F45">
        <v>0</v>
      </c>
      <c r="G45" t="s">
        <v>33</v>
      </c>
      <c r="H45" t="s">
        <v>38</v>
      </c>
      <c r="J45" s="2"/>
      <c r="K45" s="2"/>
    </row>
    <row r="46" spans="1:11" x14ac:dyDescent="0.25">
      <c r="A46" s="1">
        <v>44784.306342592594</v>
      </c>
      <c r="B46" s="1">
        <v>44784.306273148148</v>
      </c>
      <c r="C46">
        <v>2.6</v>
      </c>
      <c r="D46">
        <v>3.1</v>
      </c>
      <c r="E46">
        <v>0</v>
      </c>
      <c r="F46">
        <v>0</v>
      </c>
      <c r="G46" t="s">
        <v>33</v>
      </c>
      <c r="H46" t="s">
        <v>38</v>
      </c>
      <c r="J46" s="2"/>
      <c r="K46" s="2"/>
    </row>
    <row r="47" spans="1:11" x14ac:dyDescent="0.25">
      <c r="A47" s="1">
        <v>44784.313287037039</v>
      </c>
      <c r="B47" s="1">
        <v>44784.313217592593</v>
      </c>
      <c r="C47">
        <v>3</v>
      </c>
      <c r="D47">
        <v>3.4</v>
      </c>
      <c r="E47">
        <v>0</v>
      </c>
      <c r="F47">
        <v>0</v>
      </c>
      <c r="G47" t="s">
        <v>33</v>
      </c>
      <c r="H47" t="s">
        <v>38</v>
      </c>
      <c r="J47" s="2"/>
      <c r="K47" s="2"/>
    </row>
    <row r="48" spans="1:11" x14ac:dyDescent="0.25">
      <c r="A48" s="1">
        <v>44784.320231481484</v>
      </c>
      <c r="B48" s="1">
        <v>44784.320162037038</v>
      </c>
      <c r="C48">
        <v>3.4</v>
      </c>
      <c r="D48">
        <v>3.7</v>
      </c>
      <c r="E48">
        <v>0</v>
      </c>
      <c r="F48">
        <v>0</v>
      </c>
      <c r="G48" t="s">
        <v>33</v>
      </c>
      <c r="H48" t="s">
        <v>38</v>
      </c>
      <c r="J48" s="2"/>
      <c r="K48" s="2"/>
    </row>
    <row r="49" spans="1:11" x14ac:dyDescent="0.25">
      <c r="A49" s="1">
        <v>44784.327175925922</v>
      </c>
      <c r="B49" s="1">
        <v>44784.327106481483</v>
      </c>
      <c r="C49">
        <v>3.7</v>
      </c>
      <c r="D49">
        <v>4.2</v>
      </c>
      <c r="E49">
        <v>0</v>
      </c>
      <c r="F49">
        <v>0</v>
      </c>
      <c r="G49" t="s">
        <v>33</v>
      </c>
      <c r="H49" t="s">
        <v>38</v>
      </c>
      <c r="J49" s="2"/>
      <c r="K49" s="2"/>
    </row>
    <row r="50" spans="1:11" x14ac:dyDescent="0.25">
      <c r="A50" s="1">
        <v>44784.334120370368</v>
      </c>
      <c r="B50" s="1">
        <v>44784.334050925929</v>
      </c>
      <c r="C50">
        <v>4</v>
      </c>
      <c r="D50">
        <v>4.5</v>
      </c>
      <c r="E50">
        <v>0</v>
      </c>
      <c r="F50">
        <v>0</v>
      </c>
      <c r="G50" t="s">
        <v>33</v>
      </c>
      <c r="H50" t="s">
        <v>38</v>
      </c>
      <c r="J50" t="str">
        <f>IF(COUNT(I45:I50)&gt;3.5,ROUND(AVERAGE(I45:I50),2),"")</f>
        <v/>
      </c>
      <c r="K50" t="str">
        <f>IF(COUNT(, , , , , , , , , NA, NA, NA, NA, NA, NA, NA, NA, NA, NA, NA, NA, NA, NA, NA)&gt;17.5,ROUND(AVERAGE(, , , , , , , , , 0, 0, 0, 0, 0, 0, 0, 0, 0, 0, 0, 0, 0, 0, 0),2),"NO AVG")</f>
        <v>NO AVG</v>
      </c>
    </row>
    <row r="51" spans="1:11" x14ac:dyDescent="0.25">
      <c r="A51" s="1">
        <v>44784.341145833336</v>
      </c>
      <c r="B51" s="1">
        <v>44784.340995370374</v>
      </c>
      <c r="C51">
        <v>4.2</v>
      </c>
      <c r="D51">
        <v>4.5999999999999996</v>
      </c>
      <c r="E51">
        <v>0</v>
      </c>
      <c r="F51">
        <v>0</v>
      </c>
      <c r="G51" t="s">
        <v>33</v>
      </c>
      <c r="H51" t="s">
        <v>38</v>
      </c>
      <c r="J51" s="2"/>
      <c r="K51" s="2"/>
    </row>
    <row r="52" spans="1:11" x14ac:dyDescent="0.25">
      <c r="A52" s="1">
        <v>44784.348009259258</v>
      </c>
      <c r="B52" s="1">
        <v>44784.347951388889</v>
      </c>
      <c r="C52">
        <v>4.3</v>
      </c>
      <c r="D52">
        <v>4.8</v>
      </c>
      <c r="E52">
        <v>0</v>
      </c>
      <c r="F52">
        <v>0</v>
      </c>
      <c r="G52" t="s">
        <v>33</v>
      </c>
      <c r="H52" t="s">
        <v>38</v>
      </c>
      <c r="J52" s="2"/>
      <c r="K52" s="2"/>
    </row>
    <row r="53" spans="1:11" x14ac:dyDescent="0.25">
      <c r="A53" s="1">
        <v>44784.354953703703</v>
      </c>
      <c r="B53" s="1">
        <v>44784.354884259257</v>
      </c>
      <c r="C53">
        <v>4.5</v>
      </c>
      <c r="D53">
        <v>5</v>
      </c>
      <c r="E53">
        <v>0</v>
      </c>
      <c r="F53">
        <v>0</v>
      </c>
      <c r="G53" t="s">
        <v>33</v>
      </c>
      <c r="H53" t="s">
        <v>38</v>
      </c>
      <c r="J53" s="2"/>
      <c r="K53" s="2"/>
    </row>
    <row r="54" spans="1:11" x14ac:dyDescent="0.25">
      <c r="A54" s="1">
        <v>44784.361898148149</v>
      </c>
      <c r="B54" s="1">
        <v>44784.361828703702</v>
      </c>
      <c r="C54">
        <v>4.4000000000000004</v>
      </c>
      <c r="D54">
        <v>5.0999999999999996</v>
      </c>
      <c r="E54">
        <v>0</v>
      </c>
      <c r="F54">
        <v>0</v>
      </c>
      <c r="G54" t="s">
        <v>33</v>
      </c>
      <c r="H54" t="s">
        <v>38</v>
      </c>
      <c r="J54" s="2"/>
      <c r="K54" s="2"/>
    </row>
    <row r="55" spans="1:11" x14ac:dyDescent="0.25">
      <c r="A55" s="1">
        <v>44784.368842592594</v>
      </c>
      <c r="B55" s="1">
        <v>44784.368784722225</v>
      </c>
      <c r="C55">
        <v>4.4000000000000004</v>
      </c>
      <c r="D55">
        <v>5</v>
      </c>
      <c r="E55">
        <v>0</v>
      </c>
      <c r="F55">
        <v>0</v>
      </c>
      <c r="G55" t="s">
        <v>33</v>
      </c>
      <c r="H55" t="s">
        <v>38</v>
      </c>
      <c r="J55" s="2"/>
      <c r="K55" s="2"/>
    </row>
    <row r="56" spans="1:11" x14ac:dyDescent="0.25">
      <c r="A56" s="1">
        <v>44784.375798611109</v>
      </c>
      <c r="B56" s="1">
        <v>44784.375717592593</v>
      </c>
      <c r="C56">
        <v>4.4000000000000004</v>
      </c>
      <c r="D56">
        <v>5</v>
      </c>
      <c r="E56">
        <v>0</v>
      </c>
      <c r="F56">
        <v>0</v>
      </c>
      <c r="G56" t="s">
        <v>33</v>
      </c>
      <c r="H56" t="s">
        <v>38</v>
      </c>
      <c r="J56" t="str">
        <f>IF(COUNT(I51:I56)&gt;3.5,ROUND(AVERAGE(I51:I56),2),"")</f>
        <v/>
      </c>
      <c r="K56" t="str">
        <f>IF(COUNT(, , , , , , , , , , NA, NA, NA, NA, NA, NA, NA, NA, NA, NA, NA, NA, NA, NA)&gt;17.5,ROUND(AVERAGE(, , , , , , , , , , 0, 0, 0, 0, 0, 0, 0, 0, 0, 0, 0, 0, 0, 0),2),"NO AVG")</f>
        <v>NO AVG</v>
      </c>
    </row>
    <row r="57" spans="1:11" x14ac:dyDescent="0.25">
      <c r="A57" s="1">
        <v>44784.382743055554</v>
      </c>
      <c r="B57" s="1">
        <v>44784.382662037038</v>
      </c>
      <c r="C57">
        <v>4.4000000000000004</v>
      </c>
      <c r="D57">
        <v>5.0999999999999996</v>
      </c>
      <c r="E57">
        <v>0</v>
      </c>
      <c r="F57">
        <v>0</v>
      </c>
      <c r="G57" t="s">
        <v>33</v>
      </c>
      <c r="H57" t="s">
        <v>38</v>
      </c>
      <c r="J57" s="2"/>
      <c r="K57" s="2"/>
    </row>
    <row r="58" spans="1:11" x14ac:dyDescent="0.25">
      <c r="A58" s="1">
        <v>44784.389675925922</v>
      </c>
      <c r="B58" s="1">
        <v>44784.389618055553</v>
      </c>
      <c r="C58">
        <v>4.4000000000000004</v>
      </c>
      <c r="D58">
        <v>5.0999999999999996</v>
      </c>
      <c r="E58">
        <v>0</v>
      </c>
      <c r="F58">
        <v>0</v>
      </c>
      <c r="G58" t="s">
        <v>33</v>
      </c>
      <c r="H58" t="s">
        <v>38</v>
      </c>
      <c r="J58" s="2"/>
      <c r="K58" s="2"/>
    </row>
    <row r="59" spans="1:11" x14ac:dyDescent="0.25">
      <c r="A59" s="1">
        <v>44784.396631944444</v>
      </c>
      <c r="B59" s="1">
        <v>44784.396562499998</v>
      </c>
      <c r="C59">
        <v>4.4000000000000004</v>
      </c>
      <c r="D59">
        <v>5.3</v>
      </c>
      <c r="E59">
        <v>0</v>
      </c>
      <c r="F59">
        <v>0</v>
      </c>
      <c r="G59" t="s">
        <v>33</v>
      </c>
      <c r="H59" t="s">
        <v>38</v>
      </c>
      <c r="J59" s="2"/>
      <c r="K59" s="2"/>
    </row>
    <row r="60" spans="1:11" x14ac:dyDescent="0.25">
      <c r="A60" s="1">
        <v>44784.40357638889</v>
      </c>
      <c r="B60" s="1">
        <v>44784.403506944444</v>
      </c>
      <c r="C60">
        <v>4.4000000000000004</v>
      </c>
      <c r="D60">
        <v>5.2</v>
      </c>
      <c r="E60">
        <v>0</v>
      </c>
      <c r="F60">
        <v>0</v>
      </c>
      <c r="G60" t="s">
        <v>33</v>
      </c>
      <c r="H60" t="s">
        <v>38</v>
      </c>
      <c r="J60" s="2"/>
      <c r="K60" s="2"/>
    </row>
    <row r="61" spans="1:11" x14ac:dyDescent="0.25">
      <c r="A61" s="1">
        <v>44784.410578703704</v>
      </c>
      <c r="B61" s="1">
        <v>44784.410451388889</v>
      </c>
      <c r="C61">
        <v>4.5</v>
      </c>
      <c r="D61">
        <v>5.3</v>
      </c>
      <c r="E61">
        <v>0</v>
      </c>
      <c r="F61">
        <v>0</v>
      </c>
      <c r="G61" t="s">
        <v>33</v>
      </c>
      <c r="H61" t="s">
        <v>38</v>
      </c>
      <c r="J61" s="2"/>
      <c r="K61" s="2"/>
    </row>
    <row r="62" spans="1:11" x14ac:dyDescent="0.25">
      <c r="A62" s="1">
        <v>44784.41746527778</v>
      </c>
      <c r="B62" s="1">
        <v>44784.417395833334</v>
      </c>
      <c r="C62">
        <v>4.7</v>
      </c>
      <c r="D62">
        <v>5.6</v>
      </c>
      <c r="E62">
        <v>0</v>
      </c>
      <c r="F62">
        <v>0</v>
      </c>
      <c r="G62" t="s">
        <v>33</v>
      </c>
      <c r="H62" t="s">
        <v>38</v>
      </c>
      <c r="J62" t="str">
        <f>IF(COUNT(I57:I62)&gt;3.5,ROUND(AVERAGE(I57:I62),2),"")</f>
        <v/>
      </c>
      <c r="K62" t="str">
        <f>IF(COUNT(, , , , , , , , , , , NA, NA, NA, NA, NA, NA, NA, NA, NA, NA, NA, NA, NA)&gt;17.5,ROUND(AVERAGE(, , , , , , , , , , , 0, 0, 0, 0, 0, 0, 0, 0, 0, 0, 0, 0, 0),2),"NO AVG")</f>
        <v>NO AVG</v>
      </c>
    </row>
    <row r="63" spans="1:11" x14ac:dyDescent="0.25">
      <c r="A63" s="1">
        <v>44784.424490740741</v>
      </c>
      <c r="B63" s="1">
        <v>44784.424340277779</v>
      </c>
      <c r="C63">
        <v>4.9000000000000004</v>
      </c>
      <c r="D63">
        <v>5.6</v>
      </c>
      <c r="E63">
        <v>0</v>
      </c>
      <c r="F63">
        <v>0</v>
      </c>
      <c r="G63" t="s">
        <v>33</v>
      </c>
      <c r="H63" t="s">
        <v>38</v>
      </c>
      <c r="J63" s="2"/>
      <c r="K63" s="2"/>
    </row>
    <row r="64" spans="1:11" x14ac:dyDescent="0.25">
      <c r="A64" s="1">
        <v>44784.431342592594</v>
      </c>
      <c r="B64" s="1">
        <v>44784.431284722225</v>
      </c>
      <c r="C64">
        <v>4.9000000000000004</v>
      </c>
      <c r="D64">
        <v>5.7</v>
      </c>
      <c r="E64">
        <v>0</v>
      </c>
      <c r="F64">
        <v>0</v>
      </c>
      <c r="G64" t="s">
        <v>33</v>
      </c>
      <c r="H64" t="s">
        <v>38</v>
      </c>
      <c r="J64" s="2"/>
      <c r="K64" s="2"/>
    </row>
    <row r="65" spans="1:11" x14ac:dyDescent="0.25">
      <c r="A65" s="1">
        <v>44784.438310185185</v>
      </c>
      <c r="B65" s="1">
        <v>44784.43822916667</v>
      </c>
      <c r="C65">
        <v>5</v>
      </c>
      <c r="D65">
        <v>5.6</v>
      </c>
      <c r="E65">
        <v>0</v>
      </c>
      <c r="F65">
        <v>0</v>
      </c>
      <c r="G65" t="s">
        <v>33</v>
      </c>
      <c r="H65" t="s">
        <v>38</v>
      </c>
      <c r="J65" s="2"/>
      <c r="K65" s="2"/>
    </row>
    <row r="66" spans="1:11" x14ac:dyDescent="0.25">
      <c r="A66" s="1">
        <v>44784.445243055554</v>
      </c>
      <c r="B66" s="1">
        <v>44784.445173611108</v>
      </c>
      <c r="C66">
        <v>4.9000000000000004</v>
      </c>
      <c r="D66">
        <v>5.6</v>
      </c>
      <c r="E66">
        <v>0</v>
      </c>
      <c r="F66">
        <v>0</v>
      </c>
      <c r="G66" t="s">
        <v>33</v>
      </c>
      <c r="H66" t="s">
        <v>38</v>
      </c>
      <c r="J66" s="2"/>
      <c r="K66" s="2"/>
    </row>
    <row r="67" spans="1:11" x14ac:dyDescent="0.25">
      <c r="A67" s="1">
        <v>44784.452187499999</v>
      </c>
      <c r="B67" s="1">
        <v>44784.452118055553</v>
      </c>
      <c r="C67">
        <v>4.7</v>
      </c>
      <c r="D67">
        <v>5.5</v>
      </c>
      <c r="E67">
        <v>0</v>
      </c>
      <c r="F67">
        <v>0</v>
      </c>
      <c r="G67" t="s">
        <v>33</v>
      </c>
      <c r="H67" t="s">
        <v>38</v>
      </c>
      <c r="J67" s="2"/>
      <c r="K67" s="2"/>
    </row>
    <row r="68" spans="1:11" x14ac:dyDescent="0.25">
      <c r="A68" s="1">
        <v>44784.459131944444</v>
      </c>
      <c r="B68" s="1">
        <v>44784.459062499998</v>
      </c>
      <c r="C68">
        <v>4.5</v>
      </c>
      <c r="D68">
        <v>5.0999999999999996</v>
      </c>
      <c r="E68">
        <v>0</v>
      </c>
      <c r="F68">
        <v>0</v>
      </c>
      <c r="G68" t="s">
        <v>33</v>
      </c>
      <c r="H68" t="s">
        <v>38</v>
      </c>
      <c r="J68" t="str">
        <f>IF(COUNT(I63:I68)&gt;3.5,ROUND(AVERAGE(I63:I68),2),"")</f>
        <v/>
      </c>
      <c r="K68" t="str">
        <f>IF(COUNT(, , , , , , , , , , , , NA, NA, NA, NA, NA, NA, NA, NA, NA, NA, NA, NA)&gt;17.5,ROUND(AVERAGE(, , , , , , , , , , , , 0, 0, 0, 0, 0, 0, 0, 0, 0, 0, 0, 0),2),"NO AVG")</f>
        <v>NO AVG</v>
      </c>
    </row>
    <row r="69" spans="1:11" x14ac:dyDescent="0.25">
      <c r="A69" s="1">
        <v>44784.466087962966</v>
      </c>
      <c r="B69" s="1">
        <v>44784.466006944444</v>
      </c>
      <c r="C69">
        <v>4.2</v>
      </c>
      <c r="D69">
        <v>4.8</v>
      </c>
      <c r="E69">
        <v>0</v>
      </c>
      <c r="F69">
        <v>0</v>
      </c>
      <c r="G69" t="s">
        <v>33</v>
      </c>
      <c r="H69" t="s">
        <v>38</v>
      </c>
      <c r="J69" s="2"/>
      <c r="K69" s="2"/>
    </row>
    <row r="70" spans="1:11" x14ac:dyDescent="0.25">
      <c r="A70" s="1">
        <v>44784.473020833335</v>
      </c>
      <c r="B70" s="1">
        <v>44784.472951388889</v>
      </c>
      <c r="C70">
        <v>4</v>
      </c>
      <c r="D70">
        <v>4.5999999999999996</v>
      </c>
      <c r="E70">
        <v>0</v>
      </c>
      <c r="F70">
        <v>0</v>
      </c>
      <c r="G70" t="s">
        <v>33</v>
      </c>
      <c r="H70" t="s">
        <v>38</v>
      </c>
      <c r="J70" s="2"/>
      <c r="K70" s="2"/>
    </row>
    <row r="71" spans="1:11" x14ac:dyDescent="0.25">
      <c r="A71" s="1">
        <v>44784.47996527778</v>
      </c>
      <c r="B71" s="1">
        <v>44784.479895833334</v>
      </c>
      <c r="C71">
        <v>3.6</v>
      </c>
      <c r="D71">
        <v>4.0999999999999996</v>
      </c>
      <c r="E71">
        <v>0</v>
      </c>
      <c r="F71">
        <v>0</v>
      </c>
      <c r="G71" t="s">
        <v>33</v>
      </c>
      <c r="H71" t="s">
        <v>38</v>
      </c>
      <c r="J71" s="2"/>
      <c r="K71" s="2"/>
    </row>
    <row r="72" spans="1:11" x14ac:dyDescent="0.25">
      <c r="A72" s="1">
        <v>44784.486932870372</v>
      </c>
      <c r="B72" s="1">
        <v>44784.486840277779</v>
      </c>
      <c r="C72">
        <v>3.3</v>
      </c>
      <c r="D72">
        <v>3.7</v>
      </c>
      <c r="E72">
        <v>0</v>
      </c>
      <c r="F72">
        <v>0</v>
      </c>
      <c r="G72" t="s">
        <v>33</v>
      </c>
      <c r="H72" t="s">
        <v>38</v>
      </c>
      <c r="J72" s="2"/>
      <c r="K72" s="2"/>
    </row>
    <row r="73" spans="1:11" x14ac:dyDescent="0.25">
      <c r="A73" s="1">
        <v>44784.49391203704</v>
      </c>
      <c r="B73" s="1">
        <v>44784.493784722225</v>
      </c>
      <c r="C73">
        <v>3.3</v>
      </c>
      <c r="D73">
        <v>3.7</v>
      </c>
      <c r="E73">
        <v>0</v>
      </c>
      <c r="F73">
        <v>0</v>
      </c>
      <c r="G73" t="s">
        <v>33</v>
      </c>
      <c r="H73" t="s">
        <v>38</v>
      </c>
      <c r="J73" s="2"/>
      <c r="K73" s="2"/>
    </row>
    <row r="74" spans="1:11" x14ac:dyDescent="0.25">
      <c r="A74" s="1">
        <v>44784.500798611109</v>
      </c>
      <c r="B74" s="1">
        <v>44784.50072916667</v>
      </c>
      <c r="C74">
        <v>2.8</v>
      </c>
      <c r="D74">
        <v>3.2</v>
      </c>
      <c r="E74">
        <v>0</v>
      </c>
      <c r="F74">
        <v>0</v>
      </c>
      <c r="G74" t="s">
        <v>33</v>
      </c>
      <c r="H74" t="s">
        <v>38</v>
      </c>
      <c r="J74" t="str">
        <f>IF(COUNT(I69:I74)&gt;3.5,ROUND(AVERAGE(I69:I74),2),"")</f>
        <v/>
      </c>
      <c r="K74" t="str">
        <f>IF(COUNT(, , , , , , , , , , , , , NA, NA, NA, NA, NA, NA, NA, NA, NA, NA, NA)&gt;17.5,ROUND(AVERAGE(, , , , , , , , , , , , , 0, 0, 0, 0, 0, 0, 0, 0, 0, 0, 0),2),"NO AVG")</f>
        <v>NO AVG</v>
      </c>
    </row>
    <row r="75" spans="1:11" x14ac:dyDescent="0.25">
      <c r="A75" s="1">
        <v>44784.507743055554</v>
      </c>
      <c r="B75" s="1">
        <v>44784.507673611108</v>
      </c>
      <c r="C75">
        <v>2.2999999999999998</v>
      </c>
      <c r="D75">
        <v>2.8</v>
      </c>
      <c r="E75">
        <v>0</v>
      </c>
      <c r="F75">
        <v>0</v>
      </c>
      <c r="G75" t="s">
        <v>33</v>
      </c>
      <c r="H75" t="s">
        <v>38</v>
      </c>
      <c r="J75" s="2"/>
      <c r="K75" s="2"/>
    </row>
    <row r="76" spans="1:11" x14ac:dyDescent="0.25">
      <c r="A76" s="1">
        <v>44784.514687499999</v>
      </c>
      <c r="B76" s="1">
        <v>44784.514618055553</v>
      </c>
      <c r="C76">
        <v>1.9</v>
      </c>
      <c r="D76">
        <v>2.2999999999999998</v>
      </c>
      <c r="E76">
        <v>0</v>
      </c>
      <c r="F76">
        <v>0</v>
      </c>
      <c r="G76" t="s">
        <v>33</v>
      </c>
      <c r="H76" t="s">
        <v>38</v>
      </c>
      <c r="J76" s="2"/>
      <c r="K76" s="2"/>
    </row>
    <row r="77" spans="1:11" x14ac:dyDescent="0.25">
      <c r="A77" s="1">
        <v>44784.521643518521</v>
      </c>
      <c r="B77" s="1">
        <v>44784.521562499998</v>
      </c>
      <c r="C77">
        <v>1.4</v>
      </c>
      <c r="D77">
        <v>1.8</v>
      </c>
      <c r="E77">
        <v>0</v>
      </c>
      <c r="F77">
        <v>0</v>
      </c>
      <c r="G77" t="s">
        <v>33</v>
      </c>
      <c r="H77" t="s">
        <v>38</v>
      </c>
      <c r="J77" s="2"/>
      <c r="K77" s="2"/>
    </row>
    <row r="78" spans="1:11" x14ac:dyDescent="0.25">
      <c r="A78" s="1">
        <v>44784.528611111113</v>
      </c>
      <c r="B78" s="1">
        <v>44784.528506944444</v>
      </c>
      <c r="C78">
        <v>1.3</v>
      </c>
      <c r="D78">
        <v>1.8</v>
      </c>
      <c r="E78">
        <v>0</v>
      </c>
      <c r="F78">
        <v>0</v>
      </c>
      <c r="G78" t="s">
        <v>33</v>
      </c>
      <c r="H78" t="s">
        <v>38</v>
      </c>
      <c r="J78" s="2"/>
      <c r="K78" s="2"/>
    </row>
    <row r="79" spans="1:11" x14ac:dyDescent="0.25">
      <c r="A79" s="1">
        <v>44784.535520833335</v>
      </c>
      <c r="B79" s="1">
        <v>44784.535451388889</v>
      </c>
      <c r="C79">
        <v>1.4</v>
      </c>
      <c r="D79">
        <v>1.9</v>
      </c>
      <c r="E79">
        <v>0</v>
      </c>
      <c r="F79">
        <v>0</v>
      </c>
      <c r="G79" t="s">
        <v>33</v>
      </c>
      <c r="H79" t="s">
        <v>38</v>
      </c>
      <c r="J79" s="2"/>
      <c r="K79" s="2"/>
    </row>
    <row r="80" spans="1:11" x14ac:dyDescent="0.25">
      <c r="A80" s="1">
        <v>44784.54246527778</v>
      </c>
      <c r="B80" s="1">
        <v>44784.542395833334</v>
      </c>
      <c r="C80">
        <v>1.3</v>
      </c>
      <c r="D80">
        <v>1.6</v>
      </c>
      <c r="E80">
        <v>0</v>
      </c>
      <c r="F80">
        <v>0</v>
      </c>
      <c r="G80" t="s">
        <v>33</v>
      </c>
      <c r="H80" t="s">
        <v>38</v>
      </c>
      <c r="J80" t="str">
        <f>IF(COUNT(I75:I80)&gt;3.5,ROUND(AVERAGE(I75:I80),2),"")</f>
        <v/>
      </c>
      <c r="K80" t="str">
        <f>IF(COUNT(, , , , , , , , , , , , , , NA, NA, NA, NA, NA, NA, NA, NA, NA, NA)&gt;17.5,ROUND(AVERAGE(, , , , , , , , , , , , , , 0, 0, 0, 0, 0, 0, 0, 0, 0, 0),2),"NO AVG")</f>
        <v>NO AVG</v>
      </c>
    </row>
    <row r="81" spans="1:11" x14ac:dyDescent="0.25">
      <c r="A81" s="1">
        <v>44784.549421296295</v>
      </c>
      <c r="B81" s="1">
        <v>44784.549340277779</v>
      </c>
      <c r="C81">
        <v>1.3</v>
      </c>
      <c r="D81">
        <v>1.5</v>
      </c>
      <c r="E81">
        <v>0</v>
      </c>
      <c r="F81">
        <v>0</v>
      </c>
      <c r="G81" t="s">
        <v>33</v>
      </c>
      <c r="H81" t="s">
        <v>38</v>
      </c>
      <c r="J81" s="2"/>
      <c r="K81" s="2"/>
    </row>
    <row r="82" spans="1:11" x14ac:dyDescent="0.25">
      <c r="A82" s="1">
        <v>44784.556851851848</v>
      </c>
      <c r="B82" s="1">
        <v>44784.556284722225</v>
      </c>
      <c r="C82">
        <v>1.5</v>
      </c>
      <c r="D82">
        <v>1.4</v>
      </c>
      <c r="E82">
        <v>0</v>
      </c>
      <c r="F82">
        <v>0</v>
      </c>
      <c r="G82" t="s">
        <v>33</v>
      </c>
      <c r="H82" t="s">
        <v>38</v>
      </c>
      <c r="J82" s="2"/>
      <c r="K82" s="2"/>
    </row>
    <row r="83" spans="1:11" x14ac:dyDescent="0.25">
      <c r="A83" s="1">
        <v>44784.563310185185</v>
      </c>
      <c r="B83" s="1">
        <v>44784.56322916667</v>
      </c>
      <c r="C83">
        <v>1.5</v>
      </c>
      <c r="D83">
        <v>1.4</v>
      </c>
      <c r="E83">
        <v>0</v>
      </c>
      <c r="F83">
        <v>0</v>
      </c>
      <c r="G83" t="s">
        <v>33</v>
      </c>
      <c r="H83" t="s">
        <v>38</v>
      </c>
      <c r="J83" s="2"/>
      <c r="K83" s="2"/>
    </row>
    <row r="84" spans="1:11" x14ac:dyDescent="0.25">
      <c r="A84" s="1">
        <v>44784.570300925923</v>
      </c>
      <c r="B84" s="1">
        <v>44784.570173611108</v>
      </c>
      <c r="C84">
        <v>1.5</v>
      </c>
      <c r="D84">
        <v>1.3</v>
      </c>
      <c r="E84">
        <v>0</v>
      </c>
      <c r="F84">
        <v>0</v>
      </c>
      <c r="G84" t="s">
        <v>33</v>
      </c>
      <c r="H84" t="s">
        <v>38</v>
      </c>
      <c r="J84" s="2"/>
      <c r="K84" s="2"/>
    </row>
    <row r="85" spans="1:11" x14ac:dyDescent="0.25">
      <c r="A85" s="1">
        <v>44784.577199074076</v>
      </c>
      <c r="B85" s="1">
        <v>44784.577118055553</v>
      </c>
      <c r="C85">
        <v>1.5</v>
      </c>
      <c r="D85">
        <v>1.3</v>
      </c>
      <c r="E85">
        <v>0</v>
      </c>
      <c r="F85">
        <v>0</v>
      </c>
      <c r="G85" t="s">
        <v>33</v>
      </c>
      <c r="H85" t="s">
        <v>38</v>
      </c>
      <c r="J85" s="2"/>
      <c r="K85" s="2"/>
    </row>
    <row r="86" spans="1:11" x14ac:dyDescent="0.25">
      <c r="A86" s="1">
        <v>44784.584143518521</v>
      </c>
      <c r="B86" s="1">
        <v>44784.584062499998</v>
      </c>
      <c r="C86">
        <v>1.6</v>
      </c>
      <c r="D86">
        <v>1.4</v>
      </c>
      <c r="E86">
        <v>0</v>
      </c>
      <c r="F86">
        <v>0</v>
      </c>
      <c r="G86" t="s">
        <v>33</v>
      </c>
      <c r="H86" t="s">
        <v>38</v>
      </c>
      <c r="J86" t="str">
        <f>IF(COUNT(I81:I86)&gt;3.5,ROUND(AVERAGE(I81:I86),2),"")</f>
        <v/>
      </c>
      <c r="K86" t="str">
        <f>IF(COUNT(, , , , , , , , , , , , , , , NA, NA, NA, NA, NA, NA, NA, NA, NA)&gt;17.5,ROUND(AVERAGE(, , , , , , , , , , , , , , , 0, 0, 0, 0, 0, 0, 0, 0, 0),2),"NO AVG")</f>
        <v>NO AVG</v>
      </c>
    </row>
    <row r="87" spans="1:11" x14ac:dyDescent="0.25">
      <c r="A87" s="1">
        <v>44784.591157407405</v>
      </c>
      <c r="B87" s="1">
        <v>44784.591006944444</v>
      </c>
      <c r="C87">
        <v>1.7</v>
      </c>
      <c r="D87">
        <v>1.4</v>
      </c>
      <c r="E87">
        <v>0</v>
      </c>
      <c r="F87">
        <v>0</v>
      </c>
      <c r="G87" t="s">
        <v>33</v>
      </c>
      <c r="H87" t="s">
        <v>38</v>
      </c>
      <c r="J87" s="2"/>
      <c r="K87" s="2"/>
    </row>
    <row r="88" spans="1:11" x14ac:dyDescent="0.25">
      <c r="A88" s="1">
        <v>44784.598032407404</v>
      </c>
      <c r="B88" s="1">
        <v>44784.597951388889</v>
      </c>
      <c r="C88">
        <v>1.9</v>
      </c>
      <c r="D88">
        <v>1.6</v>
      </c>
      <c r="E88">
        <v>0</v>
      </c>
      <c r="F88">
        <v>0</v>
      </c>
      <c r="G88" t="s">
        <v>33</v>
      </c>
      <c r="H88" t="s">
        <v>38</v>
      </c>
      <c r="J88" s="2"/>
      <c r="K88" s="2"/>
    </row>
    <row r="89" spans="1:11" x14ac:dyDescent="0.25">
      <c r="A89" s="1">
        <v>44784.60497685185</v>
      </c>
      <c r="B89" s="1">
        <v>44784.604895833334</v>
      </c>
      <c r="C89">
        <v>2</v>
      </c>
      <c r="D89">
        <v>1.8</v>
      </c>
      <c r="E89">
        <v>0</v>
      </c>
      <c r="F89">
        <v>0</v>
      </c>
      <c r="G89" t="s">
        <v>33</v>
      </c>
      <c r="H89" t="s">
        <v>38</v>
      </c>
      <c r="J89" s="2"/>
      <c r="K89" s="2"/>
    </row>
    <row r="90" spans="1:11" x14ac:dyDescent="0.25">
      <c r="A90" s="1">
        <v>44784.611979166664</v>
      </c>
      <c r="B90" s="1">
        <v>44784.611840277779</v>
      </c>
      <c r="C90">
        <v>1.8</v>
      </c>
      <c r="D90">
        <v>1.7</v>
      </c>
      <c r="E90">
        <v>0</v>
      </c>
      <c r="F90">
        <v>0</v>
      </c>
      <c r="G90" t="s">
        <v>33</v>
      </c>
      <c r="H90" t="s">
        <v>38</v>
      </c>
      <c r="J90" s="2"/>
      <c r="K90" s="2"/>
    </row>
    <row r="91" spans="1:11" x14ac:dyDescent="0.25">
      <c r="A91" s="1">
        <v>44784.61886574074</v>
      </c>
      <c r="B91" s="1">
        <v>44784.618784722225</v>
      </c>
      <c r="C91">
        <v>1.8</v>
      </c>
      <c r="D91">
        <v>1.7</v>
      </c>
      <c r="E91">
        <v>0</v>
      </c>
      <c r="F91">
        <v>0</v>
      </c>
      <c r="G91" t="s">
        <v>33</v>
      </c>
      <c r="H91" t="s">
        <v>38</v>
      </c>
      <c r="J91" s="2"/>
      <c r="K91" s="2"/>
    </row>
    <row r="92" spans="1:11" x14ac:dyDescent="0.25">
      <c r="A92" s="1">
        <v>44784.625856481478</v>
      </c>
      <c r="B92" s="1">
        <v>44784.62572916667</v>
      </c>
      <c r="C92">
        <v>1.7</v>
      </c>
      <c r="D92">
        <v>1.5</v>
      </c>
      <c r="E92">
        <v>0</v>
      </c>
      <c r="F92">
        <v>0</v>
      </c>
      <c r="G92" t="s">
        <v>33</v>
      </c>
      <c r="H92" t="s">
        <v>38</v>
      </c>
      <c r="J92" t="str">
        <f>IF(COUNT(I87:I92)&gt;3.5,ROUND(AVERAGE(I87:I92),2),"")</f>
        <v/>
      </c>
      <c r="K92" t="str">
        <f>IF(COUNT(, , , , , , , , , , , , , , , , NA, NA, NA, NA, NA, NA, NA, NA)&gt;17.5,ROUND(AVERAGE(, , , , , , , , , , , , , , , , 0, 0, 0, 0, 0, 0, 0, 0),2),"NO AVG")</f>
        <v>NO AVG</v>
      </c>
    </row>
    <row r="93" spans="1:11" x14ac:dyDescent="0.25">
      <c r="A93" s="1">
        <v>44784.632743055554</v>
      </c>
      <c r="B93" s="1">
        <v>44784.632673611108</v>
      </c>
      <c r="C93">
        <v>1.7</v>
      </c>
      <c r="D93">
        <v>1.3</v>
      </c>
      <c r="E93">
        <v>0</v>
      </c>
      <c r="F93">
        <v>0</v>
      </c>
      <c r="G93" t="s">
        <v>33</v>
      </c>
      <c r="H93" t="s">
        <v>38</v>
      </c>
      <c r="J93" s="2"/>
      <c r="K93" s="2"/>
    </row>
    <row r="94" spans="1:11" x14ac:dyDescent="0.25">
      <c r="A94" s="1">
        <v>44784.639675925922</v>
      </c>
      <c r="B94" s="1">
        <v>44784.639618055553</v>
      </c>
      <c r="C94">
        <v>1.6</v>
      </c>
      <c r="D94">
        <v>1.2</v>
      </c>
      <c r="E94">
        <v>0</v>
      </c>
      <c r="F94">
        <v>0</v>
      </c>
      <c r="G94" t="s">
        <v>33</v>
      </c>
      <c r="H94" t="s">
        <v>38</v>
      </c>
      <c r="J94" s="2"/>
      <c r="K94" s="2"/>
    </row>
    <row r="95" spans="1:11" x14ac:dyDescent="0.25">
      <c r="A95" s="1">
        <v>44784.646631944444</v>
      </c>
      <c r="B95" s="1">
        <v>44784.646562499998</v>
      </c>
      <c r="C95">
        <v>1.5</v>
      </c>
      <c r="D95">
        <v>1.1000000000000001</v>
      </c>
      <c r="E95">
        <v>0</v>
      </c>
      <c r="F95">
        <v>0</v>
      </c>
      <c r="G95" t="s">
        <v>33</v>
      </c>
      <c r="H95" t="s">
        <v>38</v>
      </c>
      <c r="J95" s="2"/>
      <c r="K95" s="2"/>
    </row>
    <row r="96" spans="1:11" x14ac:dyDescent="0.25">
      <c r="A96" s="1">
        <v>44784.65357638889</v>
      </c>
      <c r="B96" s="1">
        <v>44784.653506944444</v>
      </c>
      <c r="C96">
        <v>1.5</v>
      </c>
      <c r="D96">
        <v>1.1000000000000001</v>
      </c>
      <c r="E96">
        <v>0</v>
      </c>
      <c r="F96">
        <v>0</v>
      </c>
      <c r="G96" t="s">
        <v>33</v>
      </c>
      <c r="H96" t="s">
        <v>38</v>
      </c>
      <c r="J96" s="2"/>
      <c r="K96" s="2"/>
    </row>
    <row r="97" spans="1:11" x14ac:dyDescent="0.25">
      <c r="A97" s="1">
        <v>44784.660520833335</v>
      </c>
      <c r="B97" s="1">
        <v>44784.660451388889</v>
      </c>
      <c r="C97">
        <v>1.5</v>
      </c>
      <c r="D97">
        <v>1.1000000000000001</v>
      </c>
      <c r="E97">
        <v>0</v>
      </c>
      <c r="F97">
        <v>0</v>
      </c>
      <c r="G97" t="s">
        <v>33</v>
      </c>
      <c r="H97" t="s">
        <v>38</v>
      </c>
      <c r="J97" s="2"/>
      <c r="K97" s="2"/>
    </row>
    <row r="98" spans="1:11" x14ac:dyDescent="0.25">
      <c r="A98" s="1">
        <v>44784.66746527778</v>
      </c>
      <c r="B98" s="1">
        <v>44784.667395833334</v>
      </c>
      <c r="C98">
        <v>1.4</v>
      </c>
      <c r="D98">
        <v>1.1000000000000001</v>
      </c>
      <c r="E98">
        <v>0</v>
      </c>
      <c r="F98">
        <v>0</v>
      </c>
      <c r="G98" t="s">
        <v>33</v>
      </c>
      <c r="H98" t="s">
        <v>38</v>
      </c>
      <c r="J98" t="str">
        <f>IF(COUNT(I93:I98)&gt;3.5,ROUND(AVERAGE(I93:I98),2),"")</f>
        <v/>
      </c>
      <c r="K98" t="str">
        <f>IF(COUNT(, , , , , , , , , , , , , , , , , NA, NA, NA, NA, NA, NA, NA)&gt;17.5,ROUND(AVERAGE(, , , , , , , , , , , , , , , , , 0, 0, 0, 0, 0, 0, 0),2),"NO AVG")</f>
        <v>NO AVG</v>
      </c>
    </row>
    <row r="99" spans="1:11" x14ac:dyDescent="0.25">
      <c r="A99" s="1">
        <v>44784.674409722225</v>
      </c>
      <c r="B99" s="1">
        <v>44784.674328703702</v>
      </c>
      <c r="C99">
        <v>1.2</v>
      </c>
      <c r="D99">
        <v>1</v>
      </c>
      <c r="E99">
        <v>0</v>
      </c>
      <c r="F99">
        <v>0</v>
      </c>
      <c r="G99" t="s">
        <v>33</v>
      </c>
      <c r="H99" t="s">
        <v>38</v>
      </c>
      <c r="J99" s="2"/>
      <c r="K99" s="2"/>
    </row>
    <row r="100" spans="1:11" x14ac:dyDescent="0.25">
      <c r="A100" s="1">
        <v>44784.681342592594</v>
      </c>
      <c r="B100" s="1">
        <v>44784.681273148148</v>
      </c>
      <c r="C100">
        <v>1.1000000000000001</v>
      </c>
      <c r="D100">
        <v>1.3</v>
      </c>
      <c r="E100">
        <v>0</v>
      </c>
      <c r="F100">
        <v>0</v>
      </c>
      <c r="G100" t="s">
        <v>33</v>
      </c>
      <c r="H100" t="s">
        <v>38</v>
      </c>
      <c r="J100" s="2"/>
      <c r="K100" s="2"/>
    </row>
    <row r="101" spans="1:11" x14ac:dyDescent="0.25">
      <c r="A101" s="1">
        <v>44784.688333333332</v>
      </c>
      <c r="B101" s="1">
        <v>44784.688217592593</v>
      </c>
      <c r="C101">
        <v>1.2</v>
      </c>
      <c r="D101">
        <v>1.5</v>
      </c>
      <c r="E101">
        <v>0</v>
      </c>
      <c r="F101">
        <v>0</v>
      </c>
      <c r="G101" t="s">
        <v>33</v>
      </c>
      <c r="H101" t="s">
        <v>38</v>
      </c>
      <c r="J101" s="2"/>
      <c r="K101" s="2"/>
    </row>
    <row r="102" spans="1:11" x14ac:dyDescent="0.25">
      <c r="A102" s="1">
        <v>44784.695231481484</v>
      </c>
      <c r="B102" s="1">
        <v>44784.695162037038</v>
      </c>
      <c r="C102">
        <v>1.1000000000000001</v>
      </c>
      <c r="D102">
        <v>1.5</v>
      </c>
      <c r="E102">
        <v>0</v>
      </c>
      <c r="F102">
        <v>0</v>
      </c>
      <c r="G102" t="s">
        <v>33</v>
      </c>
      <c r="H102" t="s">
        <v>38</v>
      </c>
      <c r="J102" s="2"/>
      <c r="K102" s="2"/>
    </row>
    <row r="103" spans="1:11" x14ac:dyDescent="0.25">
      <c r="A103" s="1">
        <v>44784.702175925922</v>
      </c>
      <c r="B103" s="1">
        <v>44784.702106481483</v>
      </c>
      <c r="C103">
        <v>1.1000000000000001</v>
      </c>
      <c r="D103">
        <v>1.7</v>
      </c>
      <c r="E103">
        <v>0</v>
      </c>
      <c r="F103">
        <v>0</v>
      </c>
      <c r="G103" t="s">
        <v>33</v>
      </c>
      <c r="H103" t="s">
        <v>38</v>
      </c>
      <c r="J103" s="2"/>
      <c r="K103" s="2"/>
    </row>
    <row r="104" spans="1:11" x14ac:dyDescent="0.25">
      <c r="A104" s="1">
        <v>44784.709131944444</v>
      </c>
      <c r="B104" s="1">
        <v>44784.709050925929</v>
      </c>
      <c r="C104">
        <v>1.3</v>
      </c>
      <c r="D104">
        <v>1.9</v>
      </c>
      <c r="E104">
        <v>0</v>
      </c>
      <c r="F104">
        <v>0</v>
      </c>
      <c r="G104" t="s">
        <v>33</v>
      </c>
      <c r="H104" t="s">
        <v>38</v>
      </c>
      <c r="J104" t="str">
        <f>IF(COUNT(I99:I104)&gt;3.5,ROUND(AVERAGE(I99:I104),2),"")</f>
        <v/>
      </c>
      <c r="K104">
        <f>IF(COUNT(, , , , , , , , , , , , , , , , , , NA, NA, NA, NA, NA, NA)&gt;17.5,ROUND(AVERAGE(, , , , , , , , , , , , , , , , , , 0, 0, 0, 0, 0, 0),2),"NO AVG")</f>
        <v>0</v>
      </c>
    </row>
    <row r="105" spans="1:11" x14ac:dyDescent="0.25">
      <c r="A105" s="1">
        <v>44784.71607638889</v>
      </c>
      <c r="B105" s="1">
        <v>44784.715995370374</v>
      </c>
      <c r="C105">
        <v>1.5</v>
      </c>
      <c r="D105">
        <v>2</v>
      </c>
      <c r="E105">
        <v>0</v>
      </c>
      <c r="F105">
        <v>0</v>
      </c>
      <c r="G105" t="s">
        <v>33</v>
      </c>
      <c r="H105" t="s">
        <v>38</v>
      </c>
      <c r="J105" s="2"/>
      <c r="K105" s="2"/>
    </row>
    <row r="106" spans="1:11" x14ac:dyDescent="0.25">
      <c r="A106" s="1">
        <v>44784.723009259258</v>
      </c>
      <c r="B106" s="1">
        <v>44784.722939814812</v>
      </c>
      <c r="C106">
        <v>1.7</v>
      </c>
      <c r="D106">
        <v>2.1</v>
      </c>
      <c r="E106">
        <v>0</v>
      </c>
      <c r="F106">
        <v>0</v>
      </c>
      <c r="G106" t="s">
        <v>33</v>
      </c>
      <c r="H106" t="s">
        <v>38</v>
      </c>
      <c r="J106" s="2"/>
      <c r="K106" s="2"/>
    </row>
    <row r="107" spans="1:11" x14ac:dyDescent="0.25">
      <c r="A107" s="1">
        <v>44784.729953703703</v>
      </c>
      <c r="B107" s="1">
        <v>44784.729884259257</v>
      </c>
      <c r="C107">
        <v>1.7</v>
      </c>
      <c r="D107">
        <v>2.1</v>
      </c>
      <c r="E107">
        <v>0</v>
      </c>
      <c r="F107">
        <v>0</v>
      </c>
      <c r="G107" t="s">
        <v>33</v>
      </c>
      <c r="H107" t="s">
        <v>38</v>
      </c>
      <c r="J107" s="2"/>
      <c r="K107" s="2"/>
    </row>
    <row r="108" spans="1:11" x14ac:dyDescent="0.25">
      <c r="A108" s="1">
        <v>44784.736909722225</v>
      </c>
      <c r="B108" s="1">
        <v>44784.736828703702</v>
      </c>
      <c r="C108">
        <v>1.7</v>
      </c>
      <c r="D108">
        <v>2.2000000000000002</v>
      </c>
      <c r="E108">
        <v>0</v>
      </c>
      <c r="F108">
        <v>0</v>
      </c>
      <c r="G108" t="s">
        <v>33</v>
      </c>
      <c r="H108" t="s">
        <v>38</v>
      </c>
      <c r="J108" s="2"/>
      <c r="K108" s="2"/>
    </row>
    <row r="109" spans="1:11" x14ac:dyDescent="0.25">
      <c r="A109" s="1">
        <v>44784.743842592594</v>
      </c>
      <c r="B109" s="1">
        <v>44784.743773148148</v>
      </c>
      <c r="C109">
        <v>1.9</v>
      </c>
      <c r="D109">
        <v>2.1</v>
      </c>
      <c r="E109">
        <v>0</v>
      </c>
      <c r="F109">
        <v>0</v>
      </c>
      <c r="G109" t="s">
        <v>33</v>
      </c>
      <c r="H109" t="s">
        <v>38</v>
      </c>
      <c r="J109" s="2"/>
      <c r="K109" s="2"/>
    </row>
    <row r="110" spans="1:11" x14ac:dyDescent="0.25">
      <c r="A110" s="1">
        <v>44784.750856481478</v>
      </c>
      <c r="B110" s="1">
        <v>44784.750717592593</v>
      </c>
      <c r="C110">
        <v>1.8</v>
      </c>
      <c r="D110">
        <v>2.2999999999999998</v>
      </c>
      <c r="E110">
        <v>0</v>
      </c>
      <c r="F110">
        <v>0</v>
      </c>
      <c r="G110" t="s">
        <v>33</v>
      </c>
      <c r="H110" t="s">
        <v>38</v>
      </c>
      <c r="J110" t="str">
        <f>IF(COUNT(I105:I110)&gt;3.5,ROUND(AVERAGE(I105:I110),2),"")</f>
        <v/>
      </c>
      <c r="K110">
        <f>IF(COUNT(, , , , , , , , , , , , , , , , , , , NA, NA, NA, NA, NA)&gt;17.5,ROUND(AVERAGE(, , , , , , , , , , , , , , , , , , , 0, 0, 0, 0, 0),2),"NO AVG")</f>
        <v>0</v>
      </c>
    </row>
    <row r="111" spans="1:11" x14ac:dyDescent="0.25">
      <c r="A111" s="1">
        <v>44784.757743055554</v>
      </c>
      <c r="B111" s="1">
        <v>44784.757662037038</v>
      </c>
      <c r="C111">
        <v>1.8</v>
      </c>
      <c r="D111">
        <v>2.2000000000000002</v>
      </c>
      <c r="E111">
        <v>0</v>
      </c>
      <c r="F111">
        <v>0</v>
      </c>
      <c r="G111" t="s">
        <v>33</v>
      </c>
      <c r="H111" t="s">
        <v>38</v>
      </c>
      <c r="J111" s="2"/>
      <c r="K111" s="2"/>
    </row>
    <row r="112" spans="1:11" x14ac:dyDescent="0.25">
      <c r="A112" s="1">
        <v>44784.764675925922</v>
      </c>
      <c r="B112" s="1">
        <v>44784.764606481483</v>
      </c>
      <c r="C112">
        <v>1.7</v>
      </c>
      <c r="D112">
        <v>2.2000000000000002</v>
      </c>
      <c r="E112">
        <v>0</v>
      </c>
      <c r="F112">
        <v>0</v>
      </c>
      <c r="G112" t="s">
        <v>33</v>
      </c>
      <c r="H112" t="s">
        <v>38</v>
      </c>
      <c r="J112" s="2"/>
      <c r="K112" s="2"/>
    </row>
    <row r="113" spans="1:11" x14ac:dyDescent="0.25">
      <c r="A113" s="1">
        <v>44784.771620370368</v>
      </c>
      <c r="B113" s="1">
        <v>44784.771550925929</v>
      </c>
      <c r="C113">
        <v>1.8</v>
      </c>
      <c r="D113">
        <v>2.2999999999999998</v>
      </c>
      <c r="E113">
        <v>0</v>
      </c>
      <c r="F113">
        <v>0</v>
      </c>
      <c r="G113" t="s">
        <v>33</v>
      </c>
      <c r="H113" t="s">
        <v>38</v>
      </c>
      <c r="J113" s="2"/>
      <c r="K113" s="2"/>
    </row>
    <row r="114" spans="1:11" x14ac:dyDescent="0.25">
      <c r="A114" s="1">
        <v>44784.77857638889</v>
      </c>
      <c r="B114" s="1">
        <v>44784.778495370374</v>
      </c>
      <c r="C114">
        <v>1.8</v>
      </c>
      <c r="D114">
        <v>2.2999999999999998</v>
      </c>
      <c r="E114">
        <v>0</v>
      </c>
      <c r="F114">
        <v>0</v>
      </c>
      <c r="G114" t="s">
        <v>33</v>
      </c>
      <c r="H114" t="s">
        <v>38</v>
      </c>
      <c r="J114" s="2"/>
      <c r="K114" s="2"/>
    </row>
    <row r="115" spans="1:11" x14ac:dyDescent="0.25">
      <c r="A115" s="1">
        <v>44784.785532407404</v>
      </c>
      <c r="B115" s="1">
        <v>44784.785439814812</v>
      </c>
      <c r="C115">
        <v>1.8</v>
      </c>
      <c r="D115">
        <v>2.4</v>
      </c>
      <c r="E115">
        <v>0</v>
      </c>
      <c r="F115">
        <v>0</v>
      </c>
      <c r="G115" t="s">
        <v>33</v>
      </c>
      <c r="H115" t="s">
        <v>38</v>
      </c>
      <c r="J115" s="2"/>
      <c r="K115" s="2"/>
    </row>
    <row r="116" spans="1:11" x14ac:dyDescent="0.25">
      <c r="A116" s="1">
        <v>44784.792500000003</v>
      </c>
      <c r="B116" s="1">
        <v>44784.792384259257</v>
      </c>
      <c r="C116">
        <v>1.9</v>
      </c>
      <c r="D116">
        <v>2.2999999999999998</v>
      </c>
      <c r="E116">
        <v>0</v>
      </c>
      <c r="F116">
        <v>0</v>
      </c>
      <c r="G116" t="s">
        <v>33</v>
      </c>
      <c r="H116" t="s">
        <v>38</v>
      </c>
      <c r="J116" t="str">
        <f>IF(COUNT(I111:I116)&gt;3.5,ROUND(AVERAGE(I111:I116),2),"")</f>
        <v/>
      </c>
      <c r="K116">
        <f>IF(COUNT(, , , , , , , , , , , , , , , , , , , , NA, NA, NA, NA)&gt;17.5,ROUND(AVERAGE(, , , , , , , , , , , , , , , , , , , , 0, 0, 0, 0),2),"NO AVG")</f>
        <v>0</v>
      </c>
    </row>
    <row r="117" spans="1:11" x14ac:dyDescent="0.25">
      <c r="A117" s="1">
        <v>44784.799409722225</v>
      </c>
      <c r="B117" s="1">
        <v>44784.799328703702</v>
      </c>
      <c r="C117">
        <v>1.9</v>
      </c>
      <c r="D117">
        <v>2.4</v>
      </c>
      <c r="E117">
        <v>0</v>
      </c>
      <c r="F117">
        <v>0</v>
      </c>
      <c r="G117" t="s">
        <v>33</v>
      </c>
      <c r="H117" t="s">
        <v>38</v>
      </c>
      <c r="J117" s="2"/>
      <c r="K117" s="2"/>
    </row>
    <row r="118" spans="1:11" x14ac:dyDescent="0.25">
      <c r="A118" s="1">
        <v>44784.806400462963</v>
      </c>
      <c r="B118" s="1">
        <v>44784.806273148148</v>
      </c>
      <c r="C118">
        <v>1.9</v>
      </c>
      <c r="D118">
        <v>2.4</v>
      </c>
      <c r="E118">
        <v>0</v>
      </c>
      <c r="F118">
        <v>0</v>
      </c>
      <c r="G118" t="s">
        <v>33</v>
      </c>
      <c r="H118" t="s">
        <v>38</v>
      </c>
      <c r="J118" s="2"/>
      <c r="K118" s="2"/>
    </row>
    <row r="119" spans="1:11" x14ac:dyDescent="0.25">
      <c r="A119" s="1">
        <v>44784.813310185185</v>
      </c>
      <c r="B119" s="1">
        <v>44784.813217592593</v>
      </c>
      <c r="C119">
        <v>1.9</v>
      </c>
      <c r="D119">
        <v>2.4</v>
      </c>
      <c r="E119">
        <v>0</v>
      </c>
      <c r="F119">
        <v>0</v>
      </c>
      <c r="G119" t="s">
        <v>33</v>
      </c>
      <c r="H119" t="s">
        <v>38</v>
      </c>
      <c r="J119" s="2"/>
      <c r="K119" s="2"/>
    </row>
    <row r="120" spans="1:11" x14ac:dyDescent="0.25">
      <c r="A120" s="1">
        <v>44784.820254629631</v>
      </c>
      <c r="B120" s="1">
        <v>44784.820162037038</v>
      </c>
      <c r="C120">
        <v>1.9</v>
      </c>
      <c r="D120">
        <v>2.5</v>
      </c>
      <c r="E120">
        <v>0</v>
      </c>
      <c r="F120">
        <v>0</v>
      </c>
      <c r="G120" t="s">
        <v>33</v>
      </c>
      <c r="H120" t="s">
        <v>38</v>
      </c>
      <c r="J120" s="2"/>
      <c r="K120" s="2"/>
    </row>
    <row r="121" spans="1:11" x14ac:dyDescent="0.25">
      <c r="A121" s="1">
        <v>44784.827187499999</v>
      </c>
      <c r="B121" s="1">
        <v>44784.827106481483</v>
      </c>
      <c r="C121">
        <v>2</v>
      </c>
      <c r="D121">
        <v>2.5</v>
      </c>
      <c r="E121">
        <v>0</v>
      </c>
      <c r="F121">
        <v>0</v>
      </c>
      <c r="G121" t="s">
        <v>33</v>
      </c>
      <c r="H121" t="s">
        <v>38</v>
      </c>
      <c r="J121" s="2"/>
      <c r="K121" s="2"/>
    </row>
    <row r="122" spans="1:11" x14ac:dyDescent="0.25">
      <c r="A122" s="1">
        <v>44784.834131944444</v>
      </c>
      <c r="B122" s="1">
        <v>44784.834050925929</v>
      </c>
      <c r="C122">
        <v>2.1</v>
      </c>
      <c r="D122">
        <v>2.6</v>
      </c>
      <c r="E122">
        <v>0</v>
      </c>
      <c r="F122">
        <v>0</v>
      </c>
      <c r="G122" t="s">
        <v>33</v>
      </c>
      <c r="H122" t="s">
        <v>38</v>
      </c>
      <c r="J122" t="str">
        <f>IF(COUNT(I117:I122)&gt;3.5,ROUND(AVERAGE(I117:I122),2),"")</f>
        <v/>
      </c>
      <c r="K122">
        <f>IF(COUNT(, , , , , , , , , , , , , , , , , , , , , NA, NA, NA)&gt;17.5,ROUND(AVERAGE(, , , , , , , , , , , , , , , , , , , , , 0, 0, 0),2),"NO AVG")</f>
        <v>0</v>
      </c>
    </row>
    <row r="123" spans="1:11" x14ac:dyDescent="0.25">
      <c r="A123" s="1">
        <v>44784.841087962966</v>
      </c>
      <c r="B123" s="1">
        <v>44784.840995370374</v>
      </c>
      <c r="C123">
        <v>2.4</v>
      </c>
      <c r="D123">
        <v>3.1</v>
      </c>
      <c r="E123">
        <v>0</v>
      </c>
      <c r="F123">
        <v>0</v>
      </c>
      <c r="G123" t="s">
        <v>33</v>
      </c>
      <c r="H123" t="s">
        <v>38</v>
      </c>
      <c r="J123" s="2"/>
      <c r="K123" s="2"/>
    </row>
    <row r="124" spans="1:11" x14ac:dyDescent="0.25">
      <c r="A124" s="1">
        <v>44784.848020833335</v>
      </c>
      <c r="B124" s="1">
        <v>44784.847939814812</v>
      </c>
      <c r="C124">
        <v>3.1</v>
      </c>
      <c r="D124">
        <v>3.7</v>
      </c>
      <c r="E124">
        <v>0</v>
      </c>
      <c r="F124">
        <v>0</v>
      </c>
      <c r="G124" t="s">
        <v>33</v>
      </c>
      <c r="H124" t="s">
        <v>38</v>
      </c>
      <c r="J124" s="2"/>
      <c r="K124" s="2"/>
    </row>
    <row r="125" spans="1:11" x14ac:dyDescent="0.25">
      <c r="A125" s="1">
        <v>44784.85496527778</v>
      </c>
      <c r="B125" s="1">
        <v>44784.854884259257</v>
      </c>
      <c r="C125">
        <v>3.8</v>
      </c>
      <c r="D125">
        <v>4.4000000000000004</v>
      </c>
      <c r="E125">
        <v>0</v>
      </c>
      <c r="F125">
        <v>0</v>
      </c>
      <c r="G125" t="s">
        <v>33</v>
      </c>
      <c r="H125" t="s">
        <v>38</v>
      </c>
      <c r="J125" s="2"/>
      <c r="K125" s="2"/>
    </row>
    <row r="126" spans="1:11" x14ac:dyDescent="0.25">
      <c r="A126" s="1">
        <v>44784.861921296295</v>
      </c>
      <c r="B126" s="1">
        <v>44784.861828703702</v>
      </c>
      <c r="C126">
        <v>4.9000000000000004</v>
      </c>
      <c r="D126">
        <v>5.6</v>
      </c>
      <c r="E126">
        <v>0</v>
      </c>
      <c r="F126">
        <v>0</v>
      </c>
      <c r="G126" t="s">
        <v>33</v>
      </c>
      <c r="H126" t="s">
        <v>38</v>
      </c>
      <c r="J126" s="2"/>
      <c r="K126" s="2"/>
    </row>
    <row r="127" spans="1:11" x14ac:dyDescent="0.25">
      <c r="A127" s="1">
        <v>44784.868854166663</v>
      </c>
      <c r="B127" s="1">
        <v>44784.868773148148</v>
      </c>
      <c r="C127">
        <v>5.7</v>
      </c>
      <c r="D127">
        <v>6.3</v>
      </c>
      <c r="E127">
        <v>0</v>
      </c>
      <c r="F127">
        <v>0</v>
      </c>
      <c r="G127" t="s">
        <v>33</v>
      </c>
      <c r="H127" t="s">
        <v>38</v>
      </c>
      <c r="J127" s="2"/>
      <c r="K127" s="2"/>
    </row>
    <row r="128" spans="1:11" x14ac:dyDescent="0.25">
      <c r="A128" s="1">
        <v>44784.875798611109</v>
      </c>
      <c r="B128" s="1">
        <v>44784.875717592593</v>
      </c>
      <c r="C128">
        <v>6.6</v>
      </c>
      <c r="D128">
        <v>7.4</v>
      </c>
      <c r="E128">
        <v>0</v>
      </c>
      <c r="F128">
        <v>0</v>
      </c>
      <c r="G128" t="s">
        <v>33</v>
      </c>
      <c r="H128" t="s">
        <v>38</v>
      </c>
      <c r="J128" t="str">
        <f>IF(COUNT(I123:I128)&gt;3.5,ROUND(AVERAGE(I123:I128),2),"")</f>
        <v/>
      </c>
      <c r="K128">
        <f>IF(COUNT(, , , , , , , , , , , , , , , , , , , , , , NA, NA)&gt;17.5,ROUND(AVERAGE(, , , , , , , , , , , , , , , , , , , , , , 0, 0),2),"NO AVG")</f>
        <v>0</v>
      </c>
    </row>
    <row r="129" spans="1:11" x14ac:dyDescent="0.25">
      <c r="A129" s="1">
        <v>44784.882754629631</v>
      </c>
      <c r="B129" s="1">
        <v>44784.882662037038</v>
      </c>
      <c r="C129">
        <v>7.3</v>
      </c>
      <c r="D129">
        <v>7.9</v>
      </c>
      <c r="E129">
        <v>0</v>
      </c>
      <c r="F129">
        <v>0</v>
      </c>
      <c r="G129" t="s">
        <v>33</v>
      </c>
      <c r="H129" t="s">
        <v>38</v>
      </c>
      <c r="J129" s="2"/>
      <c r="K129" s="2"/>
    </row>
    <row r="130" spans="1:11" x14ac:dyDescent="0.25">
      <c r="A130" s="1">
        <v>44784.889745370368</v>
      </c>
      <c r="B130" s="1">
        <v>44784.889606481483</v>
      </c>
      <c r="C130">
        <v>7.8</v>
      </c>
      <c r="D130">
        <v>8.1999999999999993</v>
      </c>
      <c r="E130">
        <v>0</v>
      </c>
      <c r="F130">
        <v>0</v>
      </c>
      <c r="G130" t="s">
        <v>33</v>
      </c>
      <c r="H130" t="s">
        <v>38</v>
      </c>
      <c r="J130" s="2"/>
      <c r="K130" s="2"/>
    </row>
    <row r="131" spans="1:11" x14ac:dyDescent="0.25">
      <c r="A131" s="1">
        <v>44784.896643518521</v>
      </c>
      <c r="B131" s="1">
        <v>44784.896550925929</v>
      </c>
      <c r="C131">
        <v>7.8</v>
      </c>
      <c r="D131">
        <v>8.4</v>
      </c>
      <c r="E131">
        <v>0</v>
      </c>
      <c r="F131">
        <v>0</v>
      </c>
      <c r="G131" t="s">
        <v>33</v>
      </c>
      <c r="H131" t="s">
        <v>38</v>
      </c>
      <c r="J131" s="2"/>
      <c r="K131" s="2"/>
    </row>
    <row r="132" spans="1:11" x14ac:dyDescent="0.25">
      <c r="A132" s="1">
        <v>44784.903622685182</v>
      </c>
      <c r="B132" s="1">
        <v>44784.903495370374</v>
      </c>
      <c r="C132">
        <v>7.4</v>
      </c>
      <c r="D132">
        <v>8.1999999999999993</v>
      </c>
      <c r="E132">
        <v>0</v>
      </c>
      <c r="F132">
        <v>0</v>
      </c>
      <c r="G132" t="s">
        <v>33</v>
      </c>
      <c r="H132" t="s">
        <v>38</v>
      </c>
      <c r="J132" s="2"/>
      <c r="K132" s="2"/>
    </row>
    <row r="133" spans="1:11" x14ac:dyDescent="0.25">
      <c r="A133" s="1">
        <v>44784.910532407404</v>
      </c>
      <c r="B133" s="1">
        <v>44784.910439814812</v>
      </c>
      <c r="C133">
        <v>6.9</v>
      </c>
      <c r="D133">
        <v>7.6</v>
      </c>
      <c r="E133">
        <v>0</v>
      </c>
      <c r="F133">
        <v>0</v>
      </c>
      <c r="G133" t="s">
        <v>33</v>
      </c>
      <c r="H133" t="s">
        <v>38</v>
      </c>
      <c r="J133" s="2"/>
      <c r="K133" s="2"/>
    </row>
    <row r="134" spans="1:11" x14ac:dyDescent="0.25">
      <c r="A134" s="1">
        <v>44784.91747685185</v>
      </c>
      <c r="B134" s="1">
        <v>44784.917384259257</v>
      </c>
      <c r="C134">
        <v>6.3</v>
      </c>
      <c r="D134">
        <v>7.1</v>
      </c>
      <c r="E134">
        <v>0</v>
      </c>
      <c r="F134">
        <v>0</v>
      </c>
      <c r="G134" t="s">
        <v>33</v>
      </c>
      <c r="H134" t="s">
        <v>38</v>
      </c>
      <c r="J134" t="str">
        <f>IF(COUNT(I129:I134)&gt;3.5,ROUND(AVERAGE(I129:I134),2),"")</f>
        <v/>
      </c>
      <c r="K134">
        <f>IF(COUNT(, , , , , , , , , , , , , , , , , , , , , , , NA)&gt;17.5,ROUND(AVERAGE(, , , , , , , , , , , , , , , , , , , , , , , 0),2),"NO AVG")</f>
        <v>0</v>
      </c>
    </row>
    <row r="135" spans="1:11" x14ac:dyDescent="0.25">
      <c r="A135" s="1">
        <v>44784.924513888887</v>
      </c>
      <c r="B135" s="1">
        <v>44784.924328703702</v>
      </c>
      <c r="C135">
        <v>5.2</v>
      </c>
      <c r="D135">
        <v>6.2</v>
      </c>
      <c r="E135">
        <v>0</v>
      </c>
      <c r="F135">
        <v>0</v>
      </c>
      <c r="G135" t="s">
        <v>33</v>
      </c>
      <c r="H135" t="s">
        <v>38</v>
      </c>
      <c r="J135" s="2"/>
      <c r="K135" s="2"/>
    </row>
    <row r="136" spans="1:11" x14ac:dyDescent="0.25">
      <c r="A136" s="1">
        <v>44784.931354166663</v>
      </c>
      <c r="B136" s="1">
        <v>44784.931273148148</v>
      </c>
      <c r="C136">
        <v>4.5</v>
      </c>
      <c r="D136">
        <v>5.2</v>
      </c>
      <c r="E136">
        <v>0</v>
      </c>
      <c r="F136">
        <v>0</v>
      </c>
      <c r="G136" t="s">
        <v>33</v>
      </c>
      <c r="H136" t="s">
        <v>38</v>
      </c>
      <c r="J136" s="2"/>
      <c r="K136" s="2"/>
    </row>
    <row r="137" spans="1:11" x14ac:dyDescent="0.25">
      <c r="A137" s="1">
        <v>44784.938310185185</v>
      </c>
      <c r="B137" s="1">
        <v>44784.938217592593</v>
      </c>
      <c r="C137">
        <v>3.9</v>
      </c>
      <c r="D137">
        <v>4.5999999999999996</v>
      </c>
      <c r="E137">
        <v>0</v>
      </c>
      <c r="F137">
        <v>0</v>
      </c>
      <c r="G137" t="s">
        <v>33</v>
      </c>
      <c r="H137" t="s">
        <v>38</v>
      </c>
      <c r="J137" s="2"/>
      <c r="K137" s="2"/>
    </row>
    <row r="138" spans="1:11" x14ac:dyDescent="0.25">
      <c r="A138" s="1">
        <v>44784.945254629631</v>
      </c>
      <c r="B138" s="1">
        <v>44784.945162037038</v>
      </c>
      <c r="C138">
        <v>3.4</v>
      </c>
      <c r="D138">
        <v>4.2</v>
      </c>
      <c r="E138">
        <v>0</v>
      </c>
      <c r="F138">
        <v>0</v>
      </c>
      <c r="G138" t="s">
        <v>33</v>
      </c>
      <c r="H138" t="s">
        <v>38</v>
      </c>
      <c r="J138" s="2"/>
      <c r="K138" s="2"/>
    </row>
    <row r="139" spans="1:11" x14ac:dyDescent="0.25">
      <c r="A139" s="1">
        <v>44784.952245370368</v>
      </c>
      <c r="B139" s="1">
        <v>44784.952106481483</v>
      </c>
      <c r="C139">
        <v>3.3</v>
      </c>
      <c r="D139">
        <v>4</v>
      </c>
      <c r="E139">
        <v>0</v>
      </c>
      <c r="F139">
        <v>0</v>
      </c>
      <c r="G139" t="s">
        <v>33</v>
      </c>
      <c r="H139" t="s">
        <v>38</v>
      </c>
      <c r="J139" s="2"/>
      <c r="K139" s="2"/>
    </row>
    <row r="140" spans="1:11" x14ac:dyDescent="0.25">
      <c r="A140" s="1">
        <v>44784.959143518521</v>
      </c>
      <c r="B140" s="1">
        <v>44784.959050925929</v>
      </c>
      <c r="C140">
        <v>3.1</v>
      </c>
      <c r="D140">
        <v>3.9</v>
      </c>
      <c r="E140">
        <v>0</v>
      </c>
      <c r="F140">
        <v>0</v>
      </c>
      <c r="G140" t="s">
        <v>33</v>
      </c>
      <c r="H140" t="s">
        <v>38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</row>
    <row r="141" spans="1:11" x14ac:dyDescent="0.25">
      <c r="A141" s="1">
        <v>44784.966168981482</v>
      </c>
      <c r="B141" s="1">
        <v>44784.965995370374</v>
      </c>
      <c r="C141">
        <v>3.1</v>
      </c>
      <c r="D141">
        <v>3.7</v>
      </c>
      <c r="E141">
        <v>0</v>
      </c>
      <c r="F141">
        <v>0</v>
      </c>
      <c r="G141" t="s">
        <v>33</v>
      </c>
      <c r="H141" t="s">
        <v>38</v>
      </c>
      <c r="J141" s="2"/>
      <c r="K141" s="2"/>
    </row>
    <row r="142" spans="1:11" x14ac:dyDescent="0.25">
      <c r="A142" s="1">
        <v>44784.973032407404</v>
      </c>
      <c r="B142" s="1">
        <v>44784.972939814812</v>
      </c>
      <c r="C142">
        <v>3</v>
      </c>
      <c r="D142">
        <v>3.6</v>
      </c>
      <c r="E142">
        <v>0</v>
      </c>
      <c r="F142">
        <v>0</v>
      </c>
      <c r="G142" t="s">
        <v>33</v>
      </c>
      <c r="H142" t="s">
        <v>38</v>
      </c>
      <c r="J142" s="2"/>
      <c r="K142" s="2"/>
    </row>
    <row r="143" spans="1:11" x14ac:dyDescent="0.25">
      <c r="A143" s="1">
        <v>44784.97997685185</v>
      </c>
      <c r="B143" s="1">
        <v>44784.979884259257</v>
      </c>
      <c r="C143">
        <v>2.8</v>
      </c>
      <c r="D143">
        <v>3.5</v>
      </c>
      <c r="E143">
        <v>0</v>
      </c>
      <c r="F143">
        <v>0</v>
      </c>
      <c r="G143" t="s">
        <v>33</v>
      </c>
      <c r="H143" t="s">
        <v>38</v>
      </c>
      <c r="J143" s="2"/>
      <c r="K143" s="2"/>
    </row>
    <row r="144" spans="1:11" x14ac:dyDescent="0.25">
      <c r="A144" s="1">
        <v>44784.986921296295</v>
      </c>
      <c r="B144" s="1">
        <v>44784.986828703702</v>
      </c>
      <c r="C144">
        <v>2.7</v>
      </c>
      <c r="D144">
        <v>3.5</v>
      </c>
      <c r="E144">
        <v>0</v>
      </c>
      <c r="F144">
        <v>0</v>
      </c>
      <c r="G144" t="s">
        <v>33</v>
      </c>
      <c r="H144" t="s">
        <v>38</v>
      </c>
      <c r="J144" s="2"/>
      <c r="K144" s="2"/>
    </row>
    <row r="145" spans="1:12" x14ac:dyDescent="0.25">
      <c r="A145" s="1">
        <v>44784.99386574074</v>
      </c>
      <c r="B145" s="1">
        <v>44784.993773148148</v>
      </c>
      <c r="C145">
        <v>2.6</v>
      </c>
      <c r="D145">
        <v>3.4</v>
      </c>
      <c r="E145">
        <v>0</v>
      </c>
      <c r="F145">
        <v>0</v>
      </c>
      <c r="G145" t="s">
        <v>33</v>
      </c>
      <c r="H145" t="s">
        <v>38</v>
      </c>
      <c r="J145" s="2"/>
      <c r="K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AFC1F-D187-43D8-9C8A-EF8F9E54F867}">
  <sheetPr codeName="Sheet16"/>
  <dimension ref="A1:M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3" max="13" width="6" bestFit="1" customWidth="1"/>
  </cols>
  <sheetData>
    <row r="1" spans="1:13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M1" t="s">
        <v>3</v>
      </c>
    </row>
    <row r="2" spans="1:13" x14ac:dyDescent="0.25">
      <c r="A2" s="1">
        <v>44784.000775462962</v>
      </c>
      <c r="B2" s="1">
        <v>44784.000717592593</v>
      </c>
      <c r="C2">
        <v>5.5</v>
      </c>
      <c r="D2">
        <v>10.6</v>
      </c>
      <c r="E2">
        <v>70</v>
      </c>
      <c r="F2">
        <v>0</v>
      </c>
      <c r="G2" t="s">
        <v>33</v>
      </c>
      <c r="H2" t="s">
        <v>36</v>
      </c>
      <c r="I2">
        <v>2.17</v>
      </c>
      <c r="J2">
        <v>1.45</v>
      </c>
      <c r="K2">
        <f>IF(COUNT(1.45, -0.43, -0.45, -0.78, NA, NA, -0.37, -0.22, 0.72, 1.55, 2.25, 2.57, 1.62, 1.66, 1.77, NA, 2.16, 2.18, 1.87, 2.02, 1.43, 1.48, 1.74, 0.86)&gt;17.5,ROUND(AVERAGE(1.45, -0.43, -0.45, -0.78, 0, 0, -0.37, -0.22, 0.72, 1.55, 2.25, 2.57, 1.62, 1.66, 1.77, 0, 2.16, 2.18, 1.87, 2.02, 1.43, 1.48, 1.74, 0.86),2),"NO AVG")</f>
        <v>1.05</v>
      </c>
      <c r="M2" t="s">
        <v>51</v>
      </c>
    </row>
    <row r="3" spans="1:13" x14ac:dyDescent="0.25">
      <c r="A3" s="1">
        <v>44784.007731481484</v>
      </c>
      <c r="B3" s="1">
        <v>44784.007662037038</v>
      </c>
      <c r="C3">
        <v>6</v>
      </c>
      <c r="D3">
        <v>7.8</v>
      </c>
      <c r="E3">
        <v>71</v>
      </c>
      <c r="F3">
        <v>0</v>
      </c>
      <c r="G3" t="s">
        <v>33</v>
      </c>
      <c r="H3" t="s">
        <v>36</v>
      </c>
      <c r="I3">
        <v>1.4</v>
      </c>
      <c r="J3" s="2"/>
      <c r="K3" s="2"/>
    </row>
    <row r="4" spans="1:13" x14ac:dyDescent="0.25">
      <c r="A4" s="1">
        <v>44784.014652777776</v>
      </c>
      <c r="B4" s="1">
        <v>44784.014606481483</v>
      </c>
      <c r="C4">
        <v>6.3</v>
      </c>
      <c r="D4">
        <v>6.8</v>
      </c>
      <c r="E4">
        <v>70</v>
      </c>
      <c r="F4">
        <v>0</v>
      </c>
      <c r="G4" t="s">
        <v>33</v>
      </c>
      <c r="H4" t="s">
        <v>36</v>
      </c>
      <c r="I4">
        <v>1.26</v>
      </c>
      <c r="J4" s="2"/>
      <c r="K4" s="2"/>
    </row>
    <row r="5" spans="1:13" x14ac:dyDescent="0.25">
      <c r="A5" s="1">
        <v>44784.021597222221</v>
      </c>
      <c r="B5" s="1">
        <v>44784.021550925929</v>
      </c>
      <c r="C5">
        <v>6.5</v>
      </c>
      <c r="D5">
        <v>5.9</v>
      </c>
      <c r="E5">
        <v>71</v>
      </c>
      <c r="F5">
        <v>0</v>
      </c>
      <c r="G5" t="s">
        <v>33</v>
      </c>
      <c r="H5" t="s">
        <v>36</v>
      </c>
      <c r="I5">
        <v>0.97</v>
      </c>
      <c r="J5" s="2"/>
      <c r="K5" s="2"/>
    </row>
    <row r="6" spans="1:13" x14ac:dyDescent="0.25">
      <c r="A6" s="1">
        <v>44784.028541666667</v>
      </c>
      <c r="B6" s="1">
        <v>44784.028495370374</v>
      </c>
      <c r="C6">
        <v>6.8</v>
      </c>
      <c r="D6">
        <v>5.5</v>
      </c>
      <c r="E6">
        <v>71</v>
      </c>
      <c r="F6">
        <v>0</v>
      </c>
      <c r="G6" t="s">
        <v>33</v>
      </c>
      <c r="H6" t="s">
        <v>36</v>
      </c>
      <c r="I6">
        <v>0.94</v>
      </c>
      <c r="J6" s="2"/>
      <c r="K6" s="2"/>
    </row>
    <row r="7" spans="1:13" x14ac:dyDescent="0.25">
      <c r="A7" s="1">
        <v>44784.035486111112</v>
      </c>
      <c r="B7" s="1">
        <v>44784.035439814812</v>
      </c>
      <c r="C7">
        <v>6.9</v>
      </c>
      <c r="D7">
        <v>5.2</v>
      </c>
      <c r="E7">
        <v>71</v>
      </c>
      <c r="F7">
        <v>0</v>
      </c>
      <c r="G7" t="s">
        <v>33</v>
      </c>
      <c r="H7" t="s">
        <v>36</v>
      </c>
      <c r="I7">
        <v>0.88</v>
      </c>
      <c r="J7" s="2"/>
      <c r="K7" s="2"/>
    </row>
    <row r="8" spans="1:13" x14ac:dyDescent="0.25">
      <c r="A8" s="1">
        <v>44784.042442129627</v>
      </c>
      <c r="B8" s="1">
        <v>44784.042384259257</v>
      </c>
      <c r="C8">
        <v>7</v>
      </c>
      <c r="D8">
        <v>5.2</v>
      </c>
      <c r="E8">
        <v>71</v>
      </c>
      <c r="F8">
        <v>0</v>
      </c>
      <c r="G8" t="s">
        <v>33</v>
      </c>
      <c r="H8" t="s">
        <v>36</v>
      </c>
      <c r="I8">
        <v>0.91</v>
      </c>
      <c r="J8">
        <f>IF(COUNT(I3:I8)&gt;3.5,ROUND(AVERAGE(I3:I8),2),"")</f>
        <v>1.06</v>
      </c>
      <c r="K8">
        <f>IF(COUNT(1.45, 1.06, -0.45, -0.78, NA, NA, -0.37, -0.22, 0.72, 1.55, 2.25, 2.57, 1.62, 1.66, 1.77, NA, 2.16, 2.18, 1.87, 2.02, 1.43, 1.48, 1.74, 0.86)&gt;17.5,ROUND(AVERAGE(1.45, 1.06, -0.45, -0.78, 0, 0, -0.37, -0.22, 0.72, 1.55, 2.25, 2.57, 1.62, 1.66, 1.77, 0, 2.16, 2.18, 1.87, 2.02, 1.43, 1.48, 1.74, 0.86),2),"NO AVG")</f>
        <v>1.1100000000000001</v>
      </c>
    </row>
    <row r="9" spans="1:13" x14ac:dyDescent="0.25">
      <c r="A9" s="1">
        <v>44784.049386574072</v>
      </c>
      <c r="B9" s="1">
        <v>44784.049328703702</v>
      </c>
      <c r="C9">
        <v>7.1</v>
      </c>
      <c r="D9">
        <v>5.0999999999999996</v>
      </c>
      <c r="E9">
        <v>70</v>
      </c>
      <c r="F9">
        <v>0</v>
      </c>
      <c r="G9" t="s">
        <v>33</v>
      </c>
      <c r="H9" t="s">
        <v>36</v>
      </c>
      <c r="I9">
        <v>0.98</v>
      </c>
      <c r="J9" s="2"/>
      <c r="K9" s="2"/>
    </row>
    <row r="10" spans="1:13" x14ac:dyDescent="0.25">
      <c r="A10" s="1">
        <v>44784.056331018517</v>
      </c>
      <c r="B10" s="1">
        <v>44784.056273148148</v>
      </c>
      <c r="C10">
        <v>7</v>
      </c>
      <c r="D10">
        <v>4.8</v>
      </c>
      <c r="E10">
        <v>70</v>
      </c>
      <c r="F10">
        <v>0</v>
      </c>
      <c r="G10" t="s">
        <v>33</v>
      </c>
      <c r="H10" t="s">
        <v>36</v>
      </c>
      <c r="I10">
        <v>0.86</v>
      </c>
      <c r="J10" s="2"/>
      <c r="K10" s="2"/>
    </row>
    <row r="11" spans="1:13" x14ac:dyDescent="0.25">
      <c r="A11" s="1">
        <v>44784.063263888886</v>
      </c>
      <c r="B11" s="1">
        <v>44784.063217592593</v>
      </c>
      <c r="C11">
        <v>7.2</v>
      </c>
      <c r="D11">
        <v>4.8</v>
      </c>
      <c r="E11">
        <v>71</v>
      </c>
      <c r="F11">
        <v>0</v>
      </c>
      <c r="G11" t="s">
        <v>33</v>
      </c>
      <c r="H11" t="s">
        <v>36</v>
      </c>
      <c r="I11">
        <v>0.85</v>
      </c>
      <c r="J11" s="2"/>
      <c r="K11" s="2"/>
    </row>
    <row r="12" spans="1:13" x14ac:dyDescent="0.25">
      <c r="A12" s="1">
        <v>44784.070208333331</v>
      </c>
      <c r="B12" s="1">
        <v>44784.070162037038</v>
      </c>
      <c r="C12">
        <v>7.4</v>
      </c>
      <c r="D12">
        <v>4.8</v>
      </c>
      <c r="E12">
        <v>71</v>
      </c>
      <c r="F12">
        <v>0</v>
      </c>
      <c r="G12" t="s">
        <v>33</v>
      </c>
      <c r="H12" t="s">
        <v>36</v>
      </c>
      <c r="I12">
        <v>0.91</v>
      </c>
      <c r="J12" s="2"/>
      <c r="K12" s="2"/>
    </row>
    <row r="13" spans="1:13" x14ac:dyDescent="0.25">
      <c r="A13" s="1">
        <v>44784.077164351853</v>
      </c>
      <c r="B13" s="1">
        <v>44784.077106481483</v>
      </c>
      <c r="C13">
        <v>7.5</v>
      </c>
      <c r="D13">
        <v>5</v>
      </c>
      <c r="E13">
        <v>73</v>
      </c>
      <c r="F13">
        <v>0</v>
      </c>
      <c r="G13" t="s">
        <v>33</v>
      </c>
      <c r="H13" t="s">
        <v>36</v>
      </c>
      <c r="I13">
        <v>0.86</v>
      </c>
      <c r="J13" s="2"/>
      <c r="K13" s="2"/>
    </row>
    <row r="14" spans="1:13" x14ac:dyDescent="0.25">
      <c r="A14" s="1">
        <v>44784.084097222221</v>
      </c>
      <c r="B14" s="1">
        <v>44784.084050925929</v>
      </c>
      <c r="C14">
        <v>7.6</v>
      </c>
      <c r="D14">
        <v>5.0999999999999996</v>
      </c>
      <c r="E14">
        <v>72</v>
      </c>
      <c r="F14">
        <v>0</v>
      </c>
      <c r="G14" t="s">
        <v>33</v>
      </c>
      <c r="H14" t="s">
        <v>36</v>
      </c>
      <c r="I14">
        <v>0.99</v>
      </c>
      <c r="J14">
        <f>IF(COUNT(I9:I14)&gt;3.5,ROUND(AVERAGE(I9:I14),2),"")</f>
        <v>0.91</v>
      </c>
      <c r="K14">
        <f>IF(COUNT(1.45, 1.06, 0.91, -0.78, NA, NA, -0.37, -0.22, 0.72, 1.55, 2.25, 2.57, 1.62, 1.66, 1.77, NA, 2.16, 2.18, 1.87, 2.02, 1.43, 1.48, 1.74, 0.86)&gt;17.5,ROUND(AVERAGE(1.45, 1.06, 0.91, -0.78, 0, 0, -0.37, -0.22, 0.72, 1.55, 2.25, 2.57, 1.62, 1.66, 1.77, 0, 2.16, 2.18, 1.87, 2.02, 1.43, 1.48, 1.74, 0.86),2),"NO AVG")</f>
        <v>1.1599999999999999</v>
      </c>
    </row>
    <row r="15" spans="1:13" x14ac:dyDescent="0.25">
      <c r="A15" s="1">
        <v>44784.091053240743</v>
      </c>
      <c r="B15" s="1">
        <v>44784.090995370374</v>
      </c>
      <c r="C15">
        <v>7.8</v>
      </c>
      <c r="D15">
        <v>5.2</v>
      </c>
      <c r="E15">
        <v>72</v>
      </c>
      <c r="F15">
        <v>0</v>
      </c>
      <c r="G15" t="s">
        <v>33</v>
      </c>
      <c r="H15" t="s">
        <v>36</v>
      </c>
      <c r="I15">
        <v>1.08</v>
      </c>
      <c r="J15" s="2"/>
      <c r="K15" s="2"/>
    </row>
    <row r="16" spans="1:13" x14ac:dyDescent="0.25">
      <c r="A16" s="1">
        <v>44784.097997685189</v>
      </c>
      <c r="B16" s="1">
        <v>44784.097939814812</v>
      </c>
      <c r="C16">
        <v>7.6</v>
      </c>
      <c r="D16">
        <v>5.0999999999999996</v>
      </c>
      <c r="E16">
        <v>73</v>
      </c>
      <c r="F16">
        <v>0</v>
      </c>
      <c r="G16" t="s">
        <v>33</v>
      </c>
      <c r="H16" t="s">
        <v>36</v>
      </c>
      <c r="I16">
        <v>0.92</v>
      </c>
      <c r="J16" s="2"/>
      <c r="K16" s="2"/>
    </row>
    <row r="17" spans="1:11" x14ac:dyDescent="0.25">
      <c r="A17" s="1">
        <v>44784.104942129627</v>
      </c>
      <c r="B17" s="1">
        <v>44784.104884259257</v>
      </c>
      <c r="C17">
        <v>7.7</v>
      </c>
      <c r="D17">
        <v>5.2</v>
      </c>
      <c r="E17">
        <v>72</v>
      </c>
      <c r="F17">
        <v>0</v>
      </c>
      <c r="G17" t="s">
        <v>33</v>
      </c>
      <c r="H17" t="s">
        <v>36</v>
      </c>
      <c r="I17">
        <v>1.05</v>
      </c>
      <c r="J17" s="2"/>
      <c r="K17" s="2"/>
    </row>
    <row r="18" spans="1:11" x14ac:dyDescent="0.25">
      <c r="A18" s="1">
        <v>44784.111886574072</v>
      </c>
      <c r="B18" s="1">
        <v>44784.111828703702</v>
      </c>
      <c r="C18">
        <v>7.8</v>
      </c>
      <c r="D18">
        <v>5.2</v>
      </c>
      <c r="E18">
        <v>72</v>
      </c>
      <c r="F18">
        <v>0</v>
      </c>
      <c r="G18" t="s">
        <v>33</v>
      </c>
      <c r="H18" t="s">
        <v>36</v>
      </c>
      <c r="I18">
        <v>1.08</v>
      </c>
      <c r="J18" s="2"/>
      <c r="K18" s="2"/>
    </row>
    <row r="19" spans="1:11" x14ac:dyDescent="0.25">
      <c r="A19" s="1">
        <v>44784.118831018517</v>
      </c>
      <c r="B19" s="1">
        <v>44784.118773148148</v>
      </c>
      <c r="C19">
        <v>7.7</v>
      </c>
      <c r="D19">
        <v>5.3</v>
      </c>
      <c r="E19">
        <v>71</v>
      </c>
      <c r="F19">
        <v>0</v>
      </c>
      <c r="G19" t="s">
        <v>33</v>
      </c>
      <c r="H19" t="s">
        <v>36</v>
      </c>
      <c r="I19">
        <v>1.1499999999999999</v>
      </c>
      <c r="J19" s="2"/>
      <c r="K19" s="2"/>
    </row>
    <row r="20" spans="1:11" x14ac:dyDescent="0.25">
      <c r="A20" s="1">
        <v>44784.125775462962</v>
      </c>
      <c r="B20" s="1">
        <v>44784.125717592593</v>
      </c>
      <c r="C20">
        <v>7.7</v>
      </c>
      <c r="D20">
        <v>5.0999999999999996</v>
      </c>
      <c r="E20">
        <v>73</v>
      </c>
      <c r="F20">
        <v>0</v>
      </c>
      <c r="G20" t="s">
        <v>33</v>
      </c>
      <c r="H20" t="s">
        <v>36</v>
      </c>
      <c r="I20">
        <v>0.95</v>
      </c>
      <c r="J20">
        <f>IF(COUNT(I15:I20)&gt;3.5,ROUND(AVERAGE(I15:I20),2),"")</f>
        <v>1.04</v>
      </c>
      <c r="K20">
        <f>IF(COUNT(1.45, 1.06, 0.91, 1.04, NA, NA, -0.37, -0.22, 0.72, 1.55, 2.25, 2.57, 1.62, 1.66, 1.77, NA, 2.16, 2.18, 1.87, 2.02, 1.43, 1.48, 1.74, 0.86)&gt;17.5,ROUND(AVERAGE(1.45, 1.06, 0.91, 1.04, 0, 0, -0.37, -0.22, 0.72, 1.55, 2.25, 2.57, 1.62, 1.66, 1.77, 0, 2.16, 2.18, 1.87, 2.02, 1.43, 1.48, 1.74, 0.86),2),"NO AVG")</f>
        <v>1.24</v>
      </c>
    </row>
    <row r="21" spans="1:11" x14ac:dyDescent="0.25">
      <c r="A21" s="1">
        <v>44784.132719907408</v>
      </c>
      <c r="B21" s="1">
        <v>44784.132662037038</v>
      </c>
      <c r="C21">
        <v>7.6</v>
      </c>
      <c r="D21">
        <v>5</v>
      </c>
      <c r="E21">
        <v>71</v>
      </c>
      <c r="F21">
        <v>0</v>
      </c>
      <c r="G21" t="s">
        <v>33</v>
      </c>
      <c r="H21" t="s">
        <v>36</v>
      </c>
      <c r="I21">
        <v>1.03</v>
      </c>
      <c r="J21" s="2"/>
      <c r="K21" s="2"/>
    </row>
    <row r="22" spans="1:11" x14ac:dyDescent="0.25">
      <c r="A22" s="1">
        <v>44784.139664351853</v>
      </c>
      <c r="B22" s="1">
        <v>44784.139606481483</v>
      </c>
      <c r="C22">
        <v>7.5</v>
      </c>
      <c r="D22">
        <v>4.9000000000000004</v>
      </c>
      <c r="E22">
        <v>71</v>
      </c>
      <c r="F22">
        <v>0</v>
      </c>
      <c r="G22" t="s">
        <v>33</v>
      </c>
      <c r="H22" t="s">
        <v>36</v>
      </c>
      <c r="I22">
        <v>0.97</v>
      </c>
      <c r="J22" s="2"/>
      <c r="K22" s="2"/>
    </row>
    <row r="23" spans="1:11" x14ac:dyDescent="0.25">
      <c r="A23" s="1">
        <v>44784.146608796298</v>
      </c>
      <c r="B23" s="1">
        <v>44784.146550925929</v>
      </c>
      <c r="C23">
        <v>7.5</v>
      </c>
      <c r="D23">
        <v>5.0999999999999996</v>
      </c>
      <c r="E23">
        <v>72</v>
      </c>
      <c r="F23">
        <v>0</v>
      </c>
      <c r="G23" t="s">
        <v>33</v>
      </c>
      <c r="H23" t="s">
        <v>36</v>
      </c>
      <c r="I23">
        <v>0.96</v>
      </c>
      <c r="J23" s="2"/>
      <c r="K23" s="2"/>
    </row>
    <row r="24" spans="1:11" x14ac:dyDescent="0.25">
      <c r="A24" s="1">
        <v>44784.153553240743</v>
      </c>
      <c r="B24" s="1">
        <v>44784.153495370374</v>
      </c>
      <c r="C24">
        <v>7.5</v>
      </c>
      <c r="D24">
        <v>5.2</v>
      </c>
      <c r="E24">
        <v>73</v>
      </c>
      <c r="F24">
        <v>0</v>
      </c>
      <c r="G24" t="s">
        <v>33</v>
      </c>
      <c r="H24" t="s">
        <v>36</v>
      </c>
      <c r="I24">
        <v>0.92</v>
      </c>
      <c r="J24" s="2"/>
      <c r="K24" s="2"/>
    </row>
    <row r="25" spans="1:11" x14ac:dyDescent="0.25">
      <c r="A25" s="1">
        <v>44784.160497685189</v>
      </c>
      <c r="B25" s="1">
        <v>44784.160439814812</v>
      </c>
      <c r="C25">
        <v>7.6</v>
      </c>
      <c r="D25">
        <v>5.2</v>
      </c>
      <c r="E25">
        <v>72</v>
      </c>
      <c r="F25">
        <v>0</v>
      </c>
      <c r="G25" t="s">
        <v>33</v>
      </c>
      <c r="H25" t="s">
        <v>36</v>
      </c>
      <c r="I25">
        <v>1.02</v>
      </c>
      <c r="J25" s="2"/>
      <c r="K25" s="2"/>
    </row>
    <row r="26" spans="1:11" x14ac:dyDescent="0.25">
      <c r="A26" s="1">
        <v>44784.167442129627</v>
      </c>
      <c r="B26" s="1">
        <v>44784.167384259257</v>
      </c>
      <c r="C26">
        <v>8</v>
      </c>
      <c r="D26">
        <v>5.2</v>
      </c>
      <c r="E26">
        <v>72</v>
      </c>
      <c r="F26">
        <v>0</v>
      </c>
      <c r="G26" t="s">
        <v>33</v>
      </c>
      <c r="H26" t="s">
        <v>36</v>
      </c>
      <c r="I26">
        <v>1.1499999999999999</v>
      </c>
      <c r="J26">
        <f>IF(COUNT(I21:I26)&gt;3.5,ROUND(AVERAGE(I21:I26),2),"")</f>
        <v>1.01</v>
      </c>
      <c r="K26">
        <f>IF(COUNT(1.45, 1.06, 0.91, 1.04, 1.01, NA, -0.37, -0.22, 0.72, 1.55, 2.25, 2.57, 1.62, 1.66, 1.77, NA, 2.16, 2.18, 1.87, 2.02, 1.43, 1.48, 1.74, 0.86)&gt;17.5,ROUND(AVERAGE(1.45, 1.06, 0.91, 1.04, 1.01, 0, -0.37, -0.22, 0.72, 1.55, 2.25, 2.57, 1.62, 1.66, 1.77, 0, 2.16, 2.18, 1.87, 2.02, 1.43, 1.48, 1.74, 0.86),2),"NO AVG")</f>
        <v>1.28</v>
      </c>
    </row>
    <row r="27" spans="1:11" x14ac:dyDescent="0.25">
      <c r="A27" s="1">
        <v>44784.174398148149</v>
      </c>
      <c r="B27" s="1">
        <v>44784.174328703702</v>
      </c>
      <c r="C27">
        <v>8</v>
      </c>
      <c r="D27">
        <v>5.3</v>
      </c>
      <c r="E27">
        <v>72</v>
      </c>
      <c r="F27">
        <v>0</v>
      </c>
      <c r="G27" t="s">
        <v>33</v>
      </c>
      <c r="H27" t="s">
        <v>36</v>
      </c>
      <c r="I27">
        <v>1.18</v>
      </c>
      <c r="J27" s="2"/>
      <c r="K27" s="2"/>
    </row>
    <row r="28" spans="1:11" x14ac:dyDescent="0.25">
      <c r="A28" s="1"/>
      <c r="B28" s="1">
        <v>44784.180555555555</v>
      </c>
      <c r="J28" s="2"/>
      <c r="K28" s="2"/>
    </row>
    <row r="29" spans="1:11" x14ac:dyDescent="0.25">
      <c r="A29" s="1">
        <v>44784.188275462962</v>
      </c>
      <c r="B29" s="1">
        <v>44784.188217592593</v>
      </c>
      <c r="C29">
        <v>8.1999999999999993</v>
      </c>
      <c r="D29">
        <v>5.5</v>
      </c>
      <c r="E29">
        <v>72</v>
      </c>
      <c r="F29">
        <v>0</v>
      </c>
      <c r="G29" t="s">
        <v>33</v>
      </c>
      <c r="H29" t="s">
        <v>36</v>
      </c>
      <c r="I29">
        <v>1.3</v>
      </c>
      <c r="J29" s="2"/>
      <c r="K29" s="2"/>
    </row>
    <row r="30" spans="1:11" x14ac:dyDescent="0.25">
      <c r="A30" s="1">
        <v>44784.195219907408</v>
      </c>
      <c r="B30" s="1">
        <v>44784.195162037038</v>
      </c>
      <c r="C30">
        <v>8.1</v>
      </c>
      <c r="D30">
        <v>5.4</v>
      </c>
      <c r="E30">
        <v>72</v>
      </c>
      <c r="F30">
        <v>0</v>
      </c>
      <c r="G30" t="s">
        <v>33</v>
      </c>
      <c r="H30" t="s">
        <v>36</v>
      </c>
      <c r="I30">
        <v>1.24</v>
      </c>
      <c r="J30" s="2"/>
      <c r="K30" s="2"/>
    </row>
    <row r="31" spans="1:11" x14ac:dyDescent="0.25">
      <c r="A31" s="1">
        <v>44784.202175925922</v>
      </c>
      <c r="B31" s="1">
        <v>44784.20212962963</v>
      </c>
      <c r="C31">
        <v>8.3000000000000007</v>
      </c>
      <c r="D31">
        <v>5.5</v>
      </c>
      <c r="E31">
        <v>73</v>
      </c>
      <c r="F31">
        <v>0</v>
      </c>
      <c r="G31" t="s">
        <v>33</v>
      </c>
      <c r="H31" t="s">
        <v>36</v>
      </c>
      <c r="I31">
        <v>1.26</v>
      </c>
      <c r="J31" s="2"/>
      <c r="K31" s="2"/>
    </row>
    <row r="32" spans="1:11" x14ac:dyDescent="0.25">
      <c r="A32" s="1">
        <v>44784.209108796298</v>
      </c>
      <c r="B32" s="1">
        <v>44784.209050925929</v>
      </c>
      <c r="C32">
        <v>8.5</v>
      </c>
      <c r="D32">
        <v>5.7</v>
      </c>
      <c r="E32">
        <v>73</v>
      </c>
      <c r="F32">
        <v>0</v>
      </c>
      <c r="G32" t="s">
        <v>33</v>
      </c>
      <c r="H32" t="s">
        <v>36</v>
      </c>
      <c r="I32">
        <v>1.38</v>
      </c>
      <c r="J32">
        <f>IF(COUNT(I27:I32)&gt;3.5,ROUND(AVERAGE(I27:I32),2),"")</f>
        <v>1.27</v>
      </c>
      <c r="K32">
        <f>IF(COUNT(1.45, 1.06, 0.91, 1.04, 1.01, 1.27, -0.37, -0.22, 0.72, 1.55, 2.25, 2.57, 1.62, 1.66, 1.77, NA, 2.16, 2.18, 1.87, 2.02, 1.43, 1.48, 1.74, 0.86)&gt;17.5,ROUND(AVERAGE(1.45, 1.06, 0.91, 1.04, 1.01, 1.27, -0.37, -0.22, 0.72, 1.55, 2.25, 2.57, 1.62, 1.66, 1.77, 0, 2.16, 2.18, 1.87, 2.02, 1.43, 1.48, 1.74, 0.86),2),"NO AVG")</f>
        <v>1.33</v>
      </c>
    </row>
    <row r="33" spans="1:11" x14ac:dyDescent="0.25">
      <c r="A33" s="1">
        <v>44784.216145833336</v>
      </c>
      <c r="B33" s="1">
        <v>44784.215995370374</v>
      </c>
      <c r="C33">
        <v>8.6</v>
      </c>
      <c r="D33">
        <v>5.9</v>
      </c>
      <c r="E33">
        <v>73</v>
      </c>
      <c r="F33">
        <v>0</v>
      </c>
      <c r="G33" t="s">
        <v>33</v>
      </c>
      <c r="H33" t="s">
        <v>36</v>
      </c>
      <c r="I33">
        <v>1.47</v>
      </c>
      <c r="J33" s="2"/>
      <c r="K33" s="2"/>
    </row>
    <row r="34" spans="1:11" x14ac:dyDescent="0.25">
      <c r="A34" s="1">
        <v>44784.223009259258</v>
      </c>
      <c r="B34" s="1">
        <v>44784.222939814812</v>
      </c>
      <c r="C34">
        <v>9</v>
      </c>
      <c r="D34">
        <v>5.9</v>
      </c>
      <c r="E34">
        <v>74</v>
      </c>
      <c r="F34">
        <v>0</v>
      </c>
      <c r="G34" t="s">
        <v>33</v>
      </c>
      <c r="H34" t="s">
        <v>36</v>
      </c>
      <c r="I34">
        <v>1.52</v>
      </c>
      <c r="J34" s="2"/>
      <c r="K34" s="2"/>
    </row>
    <row r="35" spans="1:11" x14ac:dyDescent="0.25">
      <c r="A35" s="1">
        <v>44784.229942129627</v>
      </c>
      <c r="B35" s="1">
        <v>44784.229884259257</v>
      </c>
      <c r="C35">
        <v>9.1999999999999993</v>
      </c>
      <c r="D35">
        <v>6</v>
      </c>
      <c r="E35">
        <v>73</v>
      </c>
      <c r="F35">
        <v>0</v>
      </c>
      <c r="G35" t="s">
        <v>33</v>
      </c>
      <c r="H35" t="s">
        <v>36</v>
      </c>
      <c r="I35">
        <v>1.69</v>
      </c>
      <c r="J35" s="2"/>
      <c r="K35" s="2"/>
    </row>
    <row r="36" spans="1:11" x14ac:dyDescent="0.25">
      <c r="A36" s="1">
        <v>44784.236898148149</v>
      </c>
      <c r="B36" s="1">
        <v>44784.236840277779</v>
      </c>
      <c r="C36">
        <v>9.5</v>
      </c>
      <c r="D36">
        <v>6.1</v>
      </c>
      <c r="E36">
        <v>73</v>
      </c>
      <c r="F36">
        <v>0</v>
      </c>
      <c r="G36" t="s">
        <v>33</v>
      </c>
      <c r="H36" t="s">
        <v>36</v>
      </c>
      <c r="I36">
        <v>1.81</v>
      </c>
      <c r="J36" s="2"/>
      <c r="K36" s="2"/>
    </row>
    <row r="37" spans="1:11" x14ac:dyDescent="0.25">
      <c r="A37" s="1">
        <v>44784.243831018517</v>
      </c>
      <c r="B37" s="1">
        <v>44784.243773148148</v>
      </c>
      <c r="C37">
        <v>9.6</v>
      </c>
      <c r="D37">
        <v>6.2</v>
      </c>
      <c r="E37">
        <v>73</v>
      </c>
      <c r="F37">
        <v>0</v>
      </c>
      <c r="G37" t="s">
        <v>33</v>
      </c>
      <c r="H37" t="s">
        <v>36</v>
      </c>
      <c r="I37">
        <v>1.87</v>
      </c>
      <c r="J37" s="2"/>
      <c r="K37" s="2"/>
    </row>
    <row r="38" spans="1:11" x14ac:dyDescent="0.25">
      <c r="A38" s="1">
        <v>44784.250787037039</v>
      </c>
      <c r="B38" s="1">
        <v>44784.25072916667</v>
      </c>
      <c r="C38">
        <v>9.1999999999999993</v>
      </c>
      <c r="D38">
        <v>6</v>
      </c>
      <c r="E38">
        <v>72</v>
      </c>
      <c r="F38">
        <v>0</v>
      </c>
      <c r="G38" t="s">
        <v>33</v>
      </c>
      <c r="H38" t="s">
        <v>36</v>
      </c>
      <c r="I38">
        <v>1.76</v>
      </c>
      <c r="J38">
        <f>IF(COUNT(I33:I38)&gt;3.5,ROUND(AVERAGE(I33:I38),2),"")</f>
        <v>1.69</v>
      </c>
      <c r="K38">
        <f>IF(COUNT(1.45, 1.06, 0.91, 1.04, 1.01, 1.27, 1.69, -0.22, 0.72, 1.55, 2.25, 2.57, 1.62, 1.66, 1.77, NA, 2.16, 2.18, 1.87, 2.02, 1.43, 1.48, 1.74, 0.86)&gt;17.5,ROUND(AVERAGE(1.45, 1.06, 0.91, 1.04, 1.01, 1.27, 1.69, -0.22, 0.72, 1.55, 2.25, 2.57, 1.62, 1.66, 1.77, 0, 2.16, 2.18, 1.87, 2.02, 1.43, 1.48, 1.74, 0.86),2),"NO AVG")</f>
        <v>1.42</v>
      </c>
    </row>
    <row r="39" spans="1:11" x14ac:dyDescent="0.25">
      <c r="A39" s="1">
        <v>44784.257731481484</v>
      </c>
      <c r="B39" s="1">
        <v>44784.257662037038</v>
      </c>
      <c r="C39">
        <v>9.1999999999999993</v>
      </c>
      <c r="D39">
        <v>5.8</v>
      </c>
      <c r="E39">
        <v>73</v>
      </c>
      <c r="F39">
        <v>0</v>
      </c>
      <c r="G39" t="s">
        <v>33</v>
      </c>
      <c r="H39" t="s">
        <v>36</v>
      </c>
      <c r="I39">
        <v>1.62</v>
      </c>
      <c r="J39" s="2"/>
      <c r="K39" s="2"/>
    </row>
    <row r="40" spans="1:11" x14ac:dyDescent="0.25">
      <c r="A40" s="1">
        <v>44784.264675925922</v>
      </c>
      <c r="B40" s="1">
        <v>44784.264606481483</v>
      </c>
      <c r="C40">
        <v>9</v>
      </c>
      <c r="D40">
        <v>5.8</v>
      </c>
      <c r="E40">
        <v>72</v>
      </c>
      <c r="F40">
        <v>0</v>
      </c>
      <c r="G40" t="s">
        <v>33</v>
      </c>
      <c r="H40" t="s">
        <v>36</v>
      </c>
      <c r="I40">
        <v>1.63</v>
      </c>
      <c r="J40" s="2"/>
      <c r="K40" s="2"/>
    </row>
    <row r="41" spans="1:11" x14ac:dyDescent="0.25">
      <c r="A41" s="1">
        <v>44784.271620370368</v>
      </c>
      <c r="B41" s="1">
        <v>44784.271550925929</v>
      </c>
      <c r="C41">
        <v>8.9</v>
      </c>
      <c r="D41">
        <v>5.6</v>
      </c>
      <c r="E41">
        <v>73</v>
      </c>
      <c r="F41">
        <v>0</v>
      </c>
      <c r="G41" t="s">
        <v>33</v>
      </c>
      <c r="H41" t="s">
        <v>36</v>
      </c>
      <c r="I41">
        <v>1.47</v>
      </c>
      <c r="J41" s="2"/>
      <c r="K41" s="2"/>
    </row>
    <row r="42" spans="1:11" x14ac:dyDescent="0.25">
      <c r="A42" s="1">
        <v>44784.278564814813</v>
      </c>
      <c r="B42" s="1">
        <v>44784.278495370374</v>
      </c>
      <c r="C42">
        <v>8.6999999999999993</v>
      </c>
      <c r="D42">
        <v>5.6</v>
      </c>
      <c r="E42">
        <v>73</v>
      </c>
      <c r="F42">
        <v>0</v>
      </c>
      <c r="G42" t="s">
        <v>33</v>
      </c>
      <c r="H42" t="s">
        <v>36</v>
      </c>
      <c r="I42">
        <v>1.41</v>
      </c>
      <c r="J42" s="2"/>
      <c r="K42" s="2"/>
    </row>
    <row r="43" spans="1:11" x14ac:dyDescent="0.25">
      <c r="A43" s="1">
        <v>44784.285509259258</v>
      </c>
      <c r="B43" s="1">
        <v>44784.285439814812</v>
      </c>
      <c r="C43">
        <v>8.4</v>
      </c>
      <c r="D43">
        <v>5.5</v>
      </c>
      <c r="E43">
        <v>72</v>
      </c>
      <c r="F43">
        <v>0</v>
      </c>
      <c r="G43" t="s">
        <v>33</v>
      </c>
      <c r="H43" t="s">
        <v>36</v>
      </c>
      <c r="I43">
        <v>1.36</v>
      </c>
      <c r="J43" s="2"/>
      <c r="K43" s="2"/>
    </row>
    <row r="44" spans="1:11" x14ac:dyDescent="0.25">
      <c r="A44" s="1">
        <v>44784.292453703703</v>
      </c>
      <c r="B44" s="1">
        <v>44784.292384259257</v>
      </c>
      <c r="C44">
        <v>8.5</v>
      </c>
      <c r="D44">
        <v>5.6</v>
      </c>
      <c r="E44">
        <v>71</v>
      </c>
      <c r="F44">
        <v>0</v>
      </c>
      <c r="G44" t="s">
        <v>33</v>
      </c>
      <c r="H44" t="s">
        <v>36</v>
      </c>
      <c r="I44">
        <v>1.49</v>
      </c>
      <c r="J44">
        <f>IF(COUNT(I39:I44)&gt;3.5,ROUND(AVERAGE(I39:I44),2),"")</f>
        <v>1.5</v>
      </c>
      <c r="K44">
        <f>IF(COUNT(1.45, 1.06, 0.91, 1.04, 1.01, 1.27, 1.69, 1.5, 0.72, 1.55, 2.25, 2.57, 1.62, 1.66, 1.77, NA, 2.16, 2.18, 1.87, 2.02, 1.43, 1.48, 1.74, 0.86)&gt;17.5,ROUND(AVERAGE(1.45, 1.06, 0.91, 1.04, 1.01, 1.27, 1.69, 1.5, 0.72, 1.55, 2.25, 2.57, 1.62, 1.66, 1.77, 0, 2.16, 2.18, 1.87, 2.02, 1.43, 1.48, 1.74, 0.86),2),"NO AVG")</f>
        <v>1.49</v>
      </c>
    </row>
    <row r="45" spans="1:11" x14ac:dyDescent="0.25">
      <c r="A45" s="1">
        <v>44784.299398148149</v>
      </c>
      <c r="B45" s="1">
        <v>44784.299340277779</v>
      </c>
      <c r="C45">
        <v>8.6999999999999993</v>
      </c>
      <c r="D45">
        <v>5.6</v>
      </c>
      <c r="E45">
        <v>70</v>
      </c>
      <c r="F45">
        <v>0</v>
      </c>
      <c r="G45" t="s">
        <v>33</v>
      </c>
      <c r="H45" t="s">
        <v>36</v>
      </c>
      <c r="I45">
        <v>1.62</v>
      </c>
      <c r="J45" s="2"/>
      <c r="K45" s="2"/>
    </row>
    <row r="46" spans="1:11" x14ac:dyDescent="0.25">
      <c r="A46" s="1">
        <v>44784.306342592594</v>
      </c>
      <c r="B46" s="1">
        <v>44784.306273148148</v>
      </c>
      <c r="C46">
        <v>8.6</v>
      </c>
      <c r="D46">
        <v>5.7</v>
      </c>
      <c r="E46">
        <v>69</v>
      </c>
      <c r="F46">
        <v>0</v>
      </c>
      <c r="G46" t="s">
        <v>33</v>
      </c>
      <c r="H46" t="s">
        <v>36</v>
      </c>
      <c r="I46">
        <v>1.69</v>
      </c>
      <c r="J46" s="2"/>
      <c r="K46" s="2"/>
    </row>
    <row r="47" spans="1:11" x14ac:dyDescent="0.25">
      <c r="A47" s="1">
        <v>44784.313275462962</v>
      </c>
      <c r="B47" s="1">
        <v>44784.313217592593</v>
      </c>
      <c r="C47">
        <v>8.6999999999999993</v>
      </c>
      <c r="D47">
        <v>6.7</v>
      </c>
      <c r="E47">
        <v>69</v>
      </c>
      <c r="F47">
        <v>0</v>
      </c>
      <c r="G47" t="s">
        <v>33</v>
      </c>
      <c r="H47" t="s">
        <v>36</v>
      </c>
      <c r="I47">
        <v>2.0299999999999998</v>
      </c>
      <c r="J47" s="2"/>
      <c r="K47" s="2"/>
    </row>
    <row r="48" spans="1:11" x14ac:dyDescent="0.25">
      <c r="A48" s="1">
        <v>44784.320231481484</v>
      </c>
      <c r="B48" s="1">
        <v>44784.320162037038</v>
      </c>
      <c r="C48">
        <v>8.6999999999999993</v>
      </c>
      <c r="D48">
        <v>14.8</v>
      </c>
      <c r="E48">
        <v>68</v>
      </c>
      <c r="F48">
        <v>0</v>
      </c>
      <c r="G48" t="s">
        <v>33</v>
      </c>
      <c r="H48" t="s">
        <v>36</v>
      </c>
      <c r="I48">
        <v>4.57</v>
      </c>
      <c r="J48" s="2"/>
      <c r="K48" s="2"/>
    </row>
    <row r="49" spans="1:11" x14ac:dyDescent="0.25">
      <c r="A49" s="1">
        <v>44784.327175925922</v>
      </c>
      <c r="B49" s="1">
        <v>44784.327106481483</v>
      </c>
      <c r="C49">
        <v>8.9</v>
      </c>
      <c r="D49">
        <v>24.7</v>
      </c>
      <c r="E49">
        <v>68</v>
      </c>
      <c r="F49">
        <v>0</v>
      </c>
      <c r="G49" t="s">
        <v>60</v>
      </c>
      <c r="H49" t="s">
        <v>36</v>
      </c>
      <c r="J49" s="2"/>
      <c r="K49" s="2"/>
    </row>
    <row r="50" spans="1:11" x14ac:dyDescent="0.25">
      <c r="A50" s="1">
        <v>44784.334120370368</v>
      </c>
      <c r="B50" s="1">
        <v>44784.334050925929</v>
      </c>
      <c r="C50">
        <v>8.8000000000000007</v>
      </c>
      <c r="D50">
        <v>26.5</v>
      </c>
      <c r="E50">
        <v>67</v>
      </c>
      <c r="F50">
        <v>0</v>
      </c>
      <c r="G50" t="s">
        <v>60</v>
      </c>
      <c r="H50" t="s">
        <v>36</v>
      </c>
      <c r="J50">
        <f>IF(COUNT(I45:I50)&gt;3.5,ROUND(AVERAGE(I45:I50),2),"")</f>
        <v>2.48</v>
      </c>
      <c r="K50">
        <f>IF(COUNT(1.45, 1.06, 0.91, 1.04, 1.01, 1.27, 1.69, 1.5, 2.48, 1.55, 2.25, 2.57, 1.62, 1.66, 1.77, NA, 2.16, 2.18, 1.87, 2.02, 1.43, 1.48, 1.74, 0.86)&gt;17.5,ROUND(AVERAGE(1.45, 1.06, 0.91, 1.04, 1.01, 1.27, 1.69, 1.5, 2.48, 1.55, 2.25, 2.57, 1.62, 1.66, 1.77, 0, 2.16, 2.18, 1.87, 2.02, 1.43, 1.48, 1.74, 0.86),2),"NO AVG")</f>
        <v>1.57</v>
      </c>
    </row>
    <row r="51" spans="1:11" x14ac:dyDescent="0.25">
      <c r="A51" s="1">
        <v>44784.341064814813</v>
      </c>
      <c r="B51" s="1">
        <v>44784.340995370374</v>
      </c>
      <c r="C51">
        <v>8.6999999999999993</v>
      </c>
      <c r="D51">
        <v>30.3</v>
      </c>
      <c r="E51">
        <v>67</v>
      </c>
      <c r="F51">
        <v>0</v>
      </c>
      <c r="G51" t="s">
        <v>60</v>
      </c>
      <c r="H51" t="s">
        <v>36</v>
      </c>
      <c r="J51" s="2"/>
      <c r="K51" s="2"/>
    </row>
    <row r="52" spans="1:11" x14ac:dyDescent="0.25">
      <c r="A52" s="1">
        <v>44784.348009259258</v>
      </c>
      <c r="B52" s="1">
        <v>44784.347951388889</v>
      </c>
      <c r="C52">
        <v>8.4</v>
      </c>
      <c r="D52">
        <v>29.2</v>
      </c>
      <c r="E52">
        <v>67</v>
      </c>
      <c r="F52">
        <v>0</v>
      </c>
      <c r="G52" t="s">
        <v>60</v>
      </c>
      <c r="H52" t="s">
        <v>36</v>
      </c>
      <c r="J52" s="2"/>
      <c r="K52" s="2"/>
    </row>
    <row r="53" spans="1:11" x14ac:dyDescent="0.25">
      <c r="A53" s="1">
        <v>44784.354953703703</v>
      </c>
      <c r="B53" s="1">
        <v>44784.354884259257</v>
      </c>
      <c r="C53">
        <v>7.9</v>
      </c>
      <c r="D53">
        <v>26.4</v>
      </c>
      <c r="E53">
        <v>63</v>
      </c>
      <c r="F53">
        <v>0</v>
      </c>
      <c r="G53" t="s">
        <v>60</v>
      </c>
      <c r="H53" t="s">
        <v>36</v>
      </c>
      <c r="J53" s="2"/>
      <c r="K53" s="2"/>
    </row>
    <row r="54" spans="1:11" x14ac:dyDescent="0.25">
      <c r="A54" s="1">
        <v>44784.361898148149</v>
      </c>
      <c r="B54" s="1">
        <v>44784.361828703702</v>
      </c>
      <c r="C54">
        <v>7.3</v>
      </c>
      <c r="D54">
        <v>17.2</v>
      </c>
      <c r="E54">
        <v>60</v>
      </c>
      <c r="F54">
        <v>0</v>
      </c>
      <c r="G54" t="s">
        <v>33</v>
      </c>
      <c r="H54" t="s">
        <v>36</v>
      </c>
      <c r="I54">
        <v>5.43</v>
      </c>
      <c r="J54" s="2"/>
      <c r="K54" s="2"/>
    </row>
    <row r="55" spans="1:11" x14ac:dyDescent="0.25">
      <c r="A55" s="1">
        <v>44784.368842592594</v>
      </c>
      <c r="B55" s="1">
        <v>44784.368784722225</v>
      </c>
      <c r="C55">
        <v>6.8</v>
      </c>
      <c r="D55">
        <v>11.6</v>
      </c>
      <c r="E55">
        <v>58</v>
      </c>
      <c r="F55">
        <v>0</v>
      </c>
      <c r="G55" t="s">
        <v>33</v>
      </c>
      <c r="H55" t="s">
        <v>36</v>
      </c>
      <c r="I55">
        <v>3.71</v>
      </c>
      <c r="J55" s="2"/>
      <c r="K55" s="2"/>
    </row>
    <row r="56" spans="1:11" x14ac:dyDescent="0.25">
      <c r="A56" s="1">
        <v>44784.375787037039</v>
      </c>
      <c r="B56" s="1">
        <v>44784.375717592593</v>
      </c>
      <c r="C56">
        <v>6.2</v>
      </c>
      <c r="D56">
        <v>8.1999999999999993</v>
      </c>
      <c r="E56">
        <v>53</v>
      </c>
      <c r="F56">
        <v>0</v>
      </c>
      <c r="G56" t="s">
        <v>33</v>
      </c>
      <c r="H56" t="s">
        <v>36</v>
      </c>
      <c r="I56">
        <v>2.84</v>
      </c>
      <c r="J56" t="str">
        <f>IF(COUNT(I51:I56)&gt;3.5,ROUND(AVERAGE(I51:I56),2),"")</f>
        <v/>
      </c>
      <c r="K56">
        <f>IF(COUNT(1.45, 1.06, 0.91, 1.04, 1.01, 1.27, 1.69, 1.5, 2.48, , 2.25, 2.57, 1.62, 1.66, 1.77, NA, 2.16, 2.18, 1.87, 2.02, 1.43, 1.48, 1.74, 0.86)&gt;17.5,ROUND(AVERAGE(1.45, 1.06, 0.91, 1.04, 1.01, 1.27, 1.69, 1.5, 2.48, , 2.25, 2.57, 1.62, 1.66, 1.77, 0, 2.16, 2.18, 1.87, 2.02, 1.43, 1.48, 1.74, 0.86),2),"NO AVG")</f>
        <v>1.5</v>
      </c>
    </row>
    <row r="57" spans="1:11" x14ac:dyDescent="0.25">
      <c r="A57" s="1">
        <v>44784.382731481484</v>
      </c>
      <c r="B57" s="1">
        <v>44784.382662037038</v>
      </c>
      <c r="C57">
        <v>5.7</v>
      </c>
      <c r="D57">
        <v>6</v>
      </c>
      <c r="E57">
        <v>51</v>
      </c>
      <c r="F57">
        <v>0</v>
      </c>
      <c r="G57" t="s">
        <v>33</v>
      </c>
      <c r="H57" t="s">
        <v>36</v>
      </c>
      <c r="I57">
        <v>2.16</v>
      </c>
      <c r="J57" s="2"/>
      <c r="K57" s="2"/>
    </row>
    <row r="58" spans="1:11" x14ac:dyDescent="0.25">
      <c r="A58" s="1">
        <v>44784.389675925922</v>
      </c>
      <c r="B58" s="1">
        <v>44784.389618055553</v>
      </c>
      <c r="C58">
        <v>5.2</v>
      </c>
      <c r="D58">
        <v>4.5999999999999996</v>
      </c>
      <c r="E58">
        <v>49</v>
      </c>
      <c r="F58">
        <v>0</v>
      </c>
      <c r="G58" t="s">
        <v>33</v>
      </c>
      <c r="H58" t="s">
        <v>36</v>
      </c>
      <c r="I58">
        <v>1.72</v>
      </c>
      <c r="J58" s="2"/>
      <c r="K58" s="2"/>
    </row>
    <row r="59" spans="1:11" x14ac:dyDescent="0.25">
      <c r="A59" s="1">
        <v>44784.396631944444</v>
      </c>
      <c r="B59" s="1">
        <v>44784.396562499998</v>
      </c>
      <c r="C59">
        <v>4.7</v>
      </c>
      <c r="D59">
        <v>3.8</v>
      </c>
      <c r="E59">
        <v>49</v>
      </c>
      <c r="F59">
        <v>0</v>
      </c>
      <c r="G59" t="s">
        <v>33</v>
      </c>
      <c r="H59" t="s">
        <v>36</v>
      </c>
      <c r="I59">
        <v>1.32</v>
      </c>
      <c r="J59" s="2"/>
      <c r="K59" s="2"/>
    </row>
    <row r="60" spans="1:11" x14ac:dyDescent="0.25">
      <c r="A60" s="1">
        <v>44784.403564814813</v>
      </c>
      <c r="B60" s="1">
        <v>44784.403506944444</v>
      </c>
      <c r="C60">
        <v>4.5</v>
      </c>
      <c r="D60">
        <v>3.3</v>
      </c>
      <c r="E60">
        <v>50</v>
      </c>
      <c r="F60">
        <v>0</v>
      </c>
      <c r="G60" t="s">
        <v>33</v>
      </c>
      <c r="H60" t="s">
        <v>36</v>
      </c>
      <c r="I60">
        <v>1.04</v>
      </c>
      <c r="J60" s="2"/>
      <c r="K60" s="2"/>
    </row>
    <row r="61" spans="1:11" x14ac:dyDescent="0.25">
      <c r="A61" s="1">
        <v>44784.410567129627</v>
      </c>
      <c r="B61" s="1">
        <v>44784.410451388889</v>
      </c>
      <c r="C61">
        <v>4.5</v>
      </c>
      <c r="D61">
        <v>3</v>
      </c>
      <c r="E61">
        <v>49</v>
      </c>
      <c r="F61">
        <v>0</v>
      </c>
      <c r="G61" t="s">
        <v>33</v>
      </c>
      <c r="H61" t="s">
        <v>36</v>
      </c>
      <c r="I61">
        <v>1.02</v>
      </c>
      <c r="J61" s="2"/>
      <c r="K61" s="2"/>
    </row>
    <row r="62" spans="1:11" x14ac:dyDescent="0.25">
      <c r="A62" s="1">
        <v>44784.417453703703</v>
      </c>
      <c r="B62" s="1">
        <v>44784.417395833334</v>
      </c>
      <c r="C62">
        <v>4.5999999999999996</v>
      </c>
      <c r="D62">
        <v>3</v>
      </c>
      <c r="E62">
        <v>48</v>
      </c>
      <c r="F62">
        <v>0</v>
      </c>
      <c r="G62" t="s">
        <v>33</v>
      </c>
      <c r="H62" t="s">
        <v>36</v>
      </c>
      <c r="I62">
        <v>1.1200000000000001</v>
      </c>
      <c r="J62">
        <f>IF(COUNT(I57:I62)&gt;3.5,ROUND(AVERAGE(I57:I62),2),"")</f>
        <v>1.4</v>
      </c>
      <c r="K62">
        <f>IF(COUNT(1.45, 1.06, 0.91, 1.04, 1.01, 1.27, 1.69, 1.5, 2.48, , 1.4, 2.57, 1.62, 1.66, 1.77, NA, 2.16, 2.18, 1.87, 2.02, 1.43, 1.48, 1.74, 0.86)&gt;17.5,ROUND(AVERAGE(1.45, 1.06, 0.91, 1.04, 1.01, 1.27, 1.69, 1.5, 2.48, , 1.4, 2.57, 1.62, 1.66, 1.77, 0, 2.16, 2.18, 1.87, 2.02, 1.43, 1.48, 1.74, 0.86),2),"NO AVG")</f>
        <v>1.47</v>
      </c>
    </row>
    <row r="63" spans="1:11" x14ac:dyDescent="0.25">
      <c r="A63" s="1">
        <v>44784.424409722225</v>
      </c>
      <c r="B63" s="1">
        <v>44784.424340277779</v>
      </c>
      <c r="C63">
        <v>4.3</v>
      </c>
      <c r="D63">
        <v>2.7</v>
      </c>
      <c r="E63">
        <v>46</v>
      </c>
      <c r="F63">
        <v>0</v>
      </c>
      <c r="G63" t="s">
        <v>33</v>
      </c>
      <c r="H63" t="s">
        <v>36</v>
      </c>
      <c r="I63">
        <v>1.07</v>
      </c>
      <c r="J63" s="2"/>
      <c r="K63" s="2"/>
    </row>
    <row r="64" spans="1:11" x14ac:dyDescent="0.25">
      <c r="A64" s="1">
        <v>44784.431342592594</v>
      </c>
      <c r="B64" s="1">
        <v>44784.431284722225</v>
      </c>
      <c r="C64">
        <v>4</v>
      </c>
      <c r="D64">
        <v>2.5</v>
      </c>
      <c r="E64">
        <v>45</v>
      </c>
      <c r="F64">
        <v>0</v>
      </c>
      <c r="G64" t="s">
        <v>33</v>
      </c>
      <c r="H64" t="s">
        <v>36</v>
      </c>
      <c r="I64">
        <v>0.99</v>
      </c>
      <c r="J64" s="2"/>
      <c r="K64" s="2"/>
    </row>
    <row r="65" spans="1:11" x14ac:dyDescent="0.25">
      <c r="A65" s="1">
        <v>44784.438298611109</v>
      </c>
      <c r="B65" s="1">
        <v>44784.43822916667</v>
      </c>
      <c r="C65">
        <v>3.8</v>
      </c>
      <c r="D65">
        <v>2.4</v>
      </c>
      <c r="E65">
        <v>47</v>
      </c>
      <c r="F65">
        <v>0</v>
      </c>
      <c r="G65" t="s">
        <v>33</v>
      </c>
      <c r="H65" t="s">
        <v>36</v>
      </c>
      <c r="I65">
        <v>0.76</v>
      </c>
      <c r="J65" s="2"/>
      <c r="K65" s="2"/>
    </row>
    <row r="66" spans="1:11" x14ac:dyDescent="0.25">
      <c r="A66" s="1">
        <v>44784.445231481484</v>
      </c>
      <c r="B66" s="1">
        <v>44784.445173611108</v>
      </c>
      <c r="C66">
        <v>3.7</v>
      </c>
      <c r="D66">
        <v>2.2999999999999998</v>
      </c>
      <c r="E66">
        <v>46</v>
      </c>
      <c r="F66">
        <v>0</v>
      </c>
      <c r="G66" t="s">
        <v>33</v>
      </c>
      <c r="H66" t="s">
        <v>36</v>
      </c>
      <c r="I66">
        <v>0.77</v>
      </c>
      <c r="J66" s="2"/>
      <c r="K66" s="2"/>
    </row>
    <row r="67" spans="1:11" x14ac:dyDescent="0.25">
      <c r="A67" s="1">
        <v>44784.452187499999</v>
      </c>
      <c r="B67" s="1">
        <v>44784.452118055553</v>
      </c>
      <c r="C67">
        <v>3.5</v>
      </c>
      <c r="D67">
        <v>2.2999999999999998</v>
      </c>
      <c r="E67">
        <v>45</v>
      </c>
      <c r="F67">
        <v>0</v>
      </c>
      <c r="G67" t="s">
        <v>33</v>
      </c>
      <c r="H67" t="s">
        <v>36</v>
      </c>
      <c r="I67">
        <v>0.78</v>
      </c>
      <c r="J67" s="2"/>
      <c r="K67" s="2"/>
    </row>
    <row r="68" spans="1:11" x14ac:dyDescent="0.25">
      <c r="A68" s="1">
        <v>44784.459131944444</v>
      </c>
      <c r="B68" s="1">
        <v>44784.459062499998</v>
      </c>
      <c r="C68">
        <v>3.1</v>
      </c>
      <c r="D68">
        <v>2.1</v>
      </c>
      <c r="E68">
        <v>43</v>
      </c>
      <c r="F68">
        <v>0</v>
      </c>
      <c r="G68" t="s">
        <v>33</v>
      </c>
      <c r="H68" t="s">
        <v>36</v>
      </c>
      <c r="I68">
        <v>0.74</v>
      </c>
      <c r="J68">
        <f>IF(COUNT(I63:I68)&gt;3.5,ROUND(AVERAGE(I63:I68),2),"")</f>
        <v>0.85</v>
      </c>
      <c r="K68">
        <f>IF(COUNT(1.45, 1.06, 0.91, 1.04, 1.01, 1.27, 1.69, 1.5, 2.48, , 1.4, 0.85, 1.62, 1.66, 1.77, NA, 2.16, 2.18, 1.87, 2.02, 1.43, 1.48, 1.74, 0.86)&gt;17.5,ROUND(AVERAGE(1.45, 1.06, 0.91, 1.04, 1.01, 1.27, 1.69, 1.5, 2.48, , 1.4, 0.85, 1.62, 1.66, 1.77, 0, 2.16, 2.18, 1.87, 2.02, 1.43, 1.48, 1.74, 0.86),2),"NO AVG")</f>
        <v>1.39</v>
      </c>
    </row>
    <row r="69" spans="1:11" x14ac:dyDescent="0.25">
      <c r="A69" s="1">
        <v>44784.46607638889</v>
      </c>
      <c r="B69" s="1">
        <v>44784.466006944444</v>
      </c>
      <c r="C69">
        <v>3.1</v>
      </c>
      <c r="D69">
        <v>2</v>
      </c>
      <c r="E69">
        <v>42</v>
      </c>
      <c r="F69">
        <v>0</v>
      </c>
      <c r="G69" t="s">
        <v>33</v>
      </c>
      <c r="H69" t="s">
        <v>36</v>
      </c>
      <c r="I69">
        <v>0.78</v>
      </c>
      <c r="J69" s="2"/>
      <c r="K69" s="2"/>
    </row>
    <row r="70" spans="1:11" x14ac:dyDescent="0.25">
      <c r="A70" s="1">
        <v>44784.473020833335</v>
      </c>
      <c r="B70" s="1">
        <v>44784.472951388889</v>
      </c>
      <c r="C70">
        <v>3</v>
      </c>
      <c r="D70">
        <v>1.9</v>
      </c>
      <c r="E70">
        <v>43</v>
      </c>
      <c r="F70">
        <v>0</v>
      </c>
      <c r="G70" t="s">
        <v>33</v>
      </c>
      <c r="H70" t="s">
        <v>36</v>
      </c>
      <c r="I70">
        <v>0.64</v>
      </c>
      <c r="J70" s="2"/>
      <c r="K70" s="2"/>
    </row>
    <row r="71" spans="1:11" x14ac:dyDescent="0.25">
      <c r="A71" s="1">
        <v>44784.47996527778</v>
      </c>
      <c r="B71" s="1">
        <v>44784.479895833334</v>
      </c>
      <c r="C71">
        <v>2.9</v>
      </c>
      <c r="D71">
        <v>1.8</v>
      </c>
      <c r="E71">
        <v>43</v>
      </c>
      <c r="F71">
        <v>0</v>
      </c>
      <c r="G71" t="s">
        <v>33</v>
      </c>
      <c r="H71" t="s">
        <v>36</v>
      </c>
      <c r="I71">
        <v>0.57999999999999996</v>
      </c>
      <c r="J71" s="2"/>
      <c r="K71" s="2"/>
    </row>
    <row r="72" spans="1:11" x14ac:dyDescent="0.25">
      <c r="A72" s="1">
        <v>44784.486932870372</v>
      </c>
      <c r="B72" s="1">
        <v>44784.486840277779</v>
      </c>
      <c r="C72">
        <v>2.8</v>
      </c>
      <c r="D72">
        <v>1.9</v>
      </c>
      <c r="E72">
        <v>40</v>
      </c>
      <c r="F72">
        <v>0</v>
      </c>
      <c r="G72" t="s">
        <v>33</v>
      </c>
      <c r="H72" t="s">
        <v>36</v>
      </c>
      <c r="I72">
        <v>0.79</v>
      </c>
      <c r="J72" s="2"/>
      <c r="K72" s="2"/>
    </row>
    <row r="73" spans="1:11" x14ac:dyDescent="0.25">
      <c r="A73" s="1">
        <v>44784.493900462963</v>
      </c>
      <c r="B73" s="1">
        <v>44784.493784722225</v>
      </c>
      <c r="C73">
        <v>2.9</v>
      </c>
      <c r="D73">
        <v>1.8</v>
      </c>
      <c r="E73">
        <v>39</v>
      </c>
      <c r="F73">
        <v>0</v>
      </c>
      <c r="G73" t="s">
        <v>33</v>
      </c>
      <c r="H73" t="s">
        <v>36</v>
      </c>
      <c r="I73">
        <v>0.86</v>
      </c>
      <c r="J73" s="2"/>
      <c r="K73" s="2"/>
    </row>
    <row r="74" spans="1:11" x14ac:dyDescent="0.25">
      <c r="A74" s="1">
        <v>44784.500798611109</v>
      </c>
      <c r="B74" s="1">
        <v>44784.50072916667</v>
      </c>
      <c r="C74">
        <v>2.8</v>
      </c>
      <c r="D74">
        <v>1.7</v>
      </c>
      <c r="E74">
        <v>38</v>
      </c>
      <c r="F74">
        <v>0</v>
      </c>
      <c r="G74" t="s">
        <v>33</v>
      </c>
      <c r="H74" t="s">
        <v>36</v>
      </c>
      <c r="I74">
        <v>0.87</v>
      </c>
      <c r="J74">
        <f>IF(COUNT(I69:I74)&gt;3.5,ROUND(AVERAGE(I69:I74),2),"")</f>
        <v>0.75</v>
      </c>
      <c r="K74">
        <f>IF(COUNT(1.45, 1.06, 0.91, 1.04, 1.01, 1.27, 1.69, 1.5, 2.48, , 1.4, 0.85, 0.75, 1.66, 1.77, NA, 2.16, 2.18, 1.87, 2.02, 1.43, 1.48, 1.74, 0.86)&gt;17.5,ROUND(AVERAGE(1.45, 1.06, 0.91, 1.04, 1.01, 1.27, 1.69, 1.5, 2.48, , 1.4, 0.85, 0.75, 1.66, 1.77, 0, 2.16, 2.18, 1.87, 2.02, 1.43, 1.48, 1.74, 0.86),2),"NO AVG")</f>
        <v>1.36</v>
      </c>
    </row>
    <row r="75" spans="1:11" x14ac:dyDescent="0.25">
      <c r="A75" s="1">
        <v>44784.507743055554</v>
      </c>
      <c r="B75" s="1">
        <v>44784.507673611108</v>
      </c>
      <c r="C75">
        <v>2.7</v>
      </c>
      <c r="D75">
        <v>1.8</v>
      </c>
      <c r="E75">
        <v>37</v>
      </c>
      <c r="F75">
        <v>0</v>
      </c>
      <c r="G75" t="s">
        <v>33</v>
      </c>
      <c r="H75" t="s">
        <v>36</v>
      </c>
      <c r="I75">
        <v>0.94</v>
      </c>
      <c r="J75" s="2"/>
      <c r="K75" s="2"/>
    </row>
    <row r="76" spans="1:11" x14ac:dyDescent="0.25">
      <c r="A76" s="1">
        <v>44784.514687499999</v>
      </c>
      <c r="B76" s="1">
        <v>44784.514618055553</v>
      </c>
      <c r="C76">
        <v>2.7</v>
      </c>
      <c r="D76">
        <v>1.9</v>
      </c>
      <c r="E76">
        <v>36</v>
      </c>
      <c r="F76">
        <v>0</v>
      </c>
      <c r="G76" t="s">
        <v>33</v>
      </c>
      <c r="H76" t="s">
        <v>36</v>
      </c>
      <c r="I76">
        <v>1.04</v>
      </c>
      <c r="J76" s="2"/>
      <c r="K76" s="2"/>
    </row>
    <row r="77" spans="1:11" x14ac:dyDescent="0.25">
      <c r="A77" s="1">
        <v>44784.521631944444</v>
      </c>
      <c r="B77" s="1">
        <v>44784.521562499998</v>
      </c>
      <c r="C77">
        <v>2.6</v>
      </c>
      <c r="D77">
        <v>1.8</v>
      </c>
      <c r="E77">
        <v>35</v>
      </c>
      <c r="F77">
        <v>0</v>
      </c>
      <c r="G77" t="s">
        <v>33</v>
      </c>
      <c r="H77" t="s">
        <v>36</v>
      </c>
      <c r="I77">
        <v>1.05</v>
      </c>
      <c r="J77" s="2"/>
      <c r="K77" s="2"/>
    </row>
    <row r="78" spans="1:11" x14ac:dyDescent="0.25">
      <c r="A78" s="1">
        <v>44784.528611111113</v>
      </c>
      <c r="B78" s="1">
        <v>44784.528506944444</v>
      </c>
      <c r="C78">
        <v>2.7</v>
      </c>
      <c r="D78">
        <v>1.8</v>
      </c>
      <c r="E78">
        <v>35</v>
      </c>
      <c r="F78">
        <v>0</v>
      </c>
      <c r="G78" t="s">
        <v>33</v>
      </c>
      <c r="H78" t="s">
        <v>36</v>
      </c>
      <c r="I78">
        <v>1.08</v>
      </c>
      <c r="J78" s="2"/>
      <c r="K78" s="2"/>
    </row>
    <row r="79" spans="1:11" x14ac:dyDescent="0.25">
      <c r="A79" s="1">
        <v>44784.535520833335</v>
      </c>
      <c r="B79" s="1">
        <v>44784.535451388889</v>
      </c>
      <c r="C79">
        <v>2.8</v>
      </c>
      <c r="D79">
        <v>1.8</v>
      </c>
      <c r="E79">
        <v>38</v>
      </c>
      <c r="F79">
        <v>0</v>
      </c>
      <c r="G79" t="s">
        <v>33</v>
      </c>
      <c r="H79" t="s">
        <v>36</v>
      </c>
      <c r="I79">
        <v>0.9</v>
      </c>
      <c r="J79" s="2"/>
      <c r="K79" s="2"/>
    </row>
    <row r="80" spans="1:11" x14ac:dyDescent="0.25">
      <c r="A80" s="1">
        <v>44784.54246527778</v>
      </c>
      <c r="B80" s="1">
        <v>44784.542395833334</v>
      </c>
      <c r="C80">
        <v>2.9</v>
      </c>
      <c r="D80">
        <v>1.9</v>
      </c>
      <c r="E80">
        <v>36</v>
      </c>
      <c r="F80">
        <v>0</v>
      </c>
      <c r="G80" t="s">
        <v>33</v>
      </c>
      <c r="H80" t="s">
        <v>36</v>
      </c>
      <c r="I80">
        <v>1.1000000000000001</v>
      </c>
      <c r="J80">
        <f>IF(COUNT(I75:I80)&gt;3.5,ROUND(AVERAGE(I75:I80),2),"")</f>
        <v>1.02</v>
      </c>
      <c r="K80">
        <f>IF(COUNT(1.45, 1.06, 0.91, 1.04, 1.01, 1.27, 1.69, 1.5, 2.48, , 1.4, 0.85, 0.75, 1.02, 1.77, NA, 2.16, 2.18, 1.87, 2.02, 1.43, 1.48, 1.74, 0.86)&gt;17.5,ROUND(AVERAGE(1.45, 1.06, 0.91, 1.04, 1.01, 1.27, 1.69, 1.5, 2.48, , 1.4, 0.85, 0.75, 1.02, 1.77, 0, 2.16, 2.18, 1.87, 2.02, 1.43, 1.48, 1.74, 0.86),2),"NO AVG")</f>
        <v>1.33</v>
      </c>
    </row>
    <row r="81" spans="1:11" x14ac:dyDescent="0.25">
      <c r="A81" s="1">
        <v>44784.549409722225</v>
      </c>
      <c r="B81" s="1">
        <v>44784.549340277779</v>
      </c>
      <c r="C81">
        <v>3.1</v>
      </c>
      <c r="D81">
        <v>2.1</v>
      </c>
      <c r="E81">
        <v>36</v>
      </c>
      <c r="F81">
        <v>0</v>
      </c>
      <c r="G81" t="s">
        <v>33</v>
      </c>
      <c r="H81" t="s">
        <v>36</v>
      </c>
      <c r="I81">
        <v>1.23</v>
      </c>
      <c r="J81" s="2"/>
      <c r="K81" s="2"/>
    </row>
    <row r="82" spans="1:11" x14ac:dyDescent="0.25">
      <c r="A82" s="1">
        <v>44784.556851851848</v>
      </c>
      <c r="B82" s="1">
        <v>44784.556284722225</v>
      </c>
      <c r="C82">
        <v>3.1</v>
      </c>
      <c r="D82">
        <v>2</v>
      </c>
      <c r="E82">
        <v>35</v>
      </c>
      <c r="F82">
        <v>0</v>
      </c>
      <c r="G82" t="s">
        <v>33</v>
      </c>
      <c r="H82" t="s">
        <v>36</v>
      </c>
      <c r="I82">
        <v>1.27</v>
      </c>
      <c r="J82" s="2"/>
      <c r="K82" s="2"/>
    </row>
    <row r="83" spans="1:11" x14ac:dyDescent="0.25">
      <c r="A83" s="1">
        <v>44784.563298611109</v>
      </c>
      <c r="B83" s="1">
        <v>44784.56322916667</v>
      </c>
      <c r="C83">
        <v>3.1</v>
      </c>
      <c r="D83">
        <v>2</v>
      </c>
      <c r="E83">
        <v>36</v>
      </c>
      <c r="F83">
        <v>0</v>
      </c>
      <c r="G83" t="s">
        <v>33</v>
      </c>
      <c r="H83" t="s">
        <v>36</v>
      </c>
      <c r="I83">
        <v>1.2</v>
      </c>
      <c r="J83" s="2"/>
      <c r="K83" s="2"/>
    </row>
    <row r="84" spans="1:11" x14ac:dyDescent="0.25">
      <c r="A84" s="1">
        <v>44784.570300925923</v>
      </c>
      <c r="B84" s="1">
        <v>44784.570173611108</v>
      </c>
      <c r="C84">
        <v>3</v>
      </c>
      <c r="D84">
        <v>2</v>
      </c>
      <c r="E84">
        <v>34</v>
      </c>
      <c r="F84">
        <v>0</v>
      </c>
      <c r="G84" t="s">
        <v>33</v>
      </c>
      <c r="H84" t="s">
        <v>36</v>
      </c>
      <c r="I84">
        <v>1.3</v>
      </c>
      <c r="J84" s="2"/>
      <c r="K84" s="2"/>
    </row>
    <row r="85" spans="1:11" x14ac:dyDescent="0.25">
      <c r="A85" s="1">
        <v>44784.577199074076</v>
      </c>
      <c r="B85" s="1">
        <v>44784.577118055553</v>
      </c>
      <c r="C85">
        <v>3.1</v>
      </c>
      <c r="D85">
        <v>1.9</v>
      </c>
      <c r="E85">
        <v>35</v>
      </c>
      <c r="F85">
        <v>0</v>
      </c>
      <c r="G85" t="s">
        <v>33</v>
      </c>
      <c r="H85" t="s">
        <v>36</v>
      </c>
      <c r="I85">
        <v>1.23</v>
      </c>
      <c r="J85" s="2"/>
      <c r="K85" s="2"/>
    </row>
    <row r="86" spans="1:11" x14ac:dyDescent="0.25">
      <c r="A86" s="1">
        <v>44784.584143518521</v>
      </c>
      <c r="B86" s="1">
        <v>44784.584062499998</v>
      </c>
      <c r="C86">
        <v>3.5</v>
      </c>
      <c r="D86">
        <v>2.2000000000000002</v>
      </c>
      <c r="E86">
        <v>38</v>
      </c>
      <c r="F86">
        <v>0</v>
      </c>
      <c r="G86" t="s">
        <v>33</v>
      </c>
      <c r="H86" t="s">
        <v>36</v>
      </c>
      <c r="I86">
        <v>1.24</v>
      </c>
      <c r="J86">
        <f>IF(COUNT(I81:I86)&gt;3.5,ROUND(AVERAGE(I81:I86),2),"")</f>
        <v>1.25</v>
      </c>
      <c r="K86">
        <f>IF(COUNT(1.45, 1.06, 0.91, 1.04, 1.01, 1.27, 1.69, 1.5, 2.48, , 1.4, 0.85, 0.75, 1.02, 1.25, NA, 2.16, 2.18, 1.87, 2.02, 1.43, 1.48, 1.74, 0.86)&gt;17.5,ROUND(AVERAGE(1.45, 1.06, 0.91, 1.04, 1.01, 1.27, 1.69, 1.5, 2.48, , 1.4, 0.85, 0.75, 1.02, 1.25, 0, 2.16, 2.18, 1.87, 2.02, 1.43, 1.48, 1.74, 0.86),2),"NO AVG")</f>
        <v>1.31</v>
      </c>
    </row>
    <row r="87" spans="1:11" x14ac:dyDescent="0.25">
      <c r="A87" s="1">
        <v>44784.591145833336</v>
      </c>
      <c r="B87" s="1">
        <v>44784.591006944444</v>
      </c>
      <c r="C87">
        <v>3.9</v>
      </c>
      <c r="D87">
        <v>2.5</v>
      </c>
      <c r="E87">
        <v>36</v>
      </c>
      <c r="F87">
        <v>0</v>
      </c>
      <c r="G87" t="s">
        <v>33</v>
      </c>
      <c r="H87" t="s">
        <v>36</v>
      </c>
      <c r="I87">
        <v>1.59</v>
      </c>
      <c r="J87" s="2"/>
      <c r="K87" s="2"/>
    </row>
    <row r="88" spans="1:11" x14ac:dyDescent="0.25">
      <c r="A88" s="1">
        <v>44784.598020833335</v>
      </c>
      <c r="B88" s="1">
        <v>44784.597951388889</v>
      </c>
      <c r="C88">
        <v>4.2</v>
      </c>
      <c r="D88">
        <v>2.6</v>
      </c>
      <c r="E88">
        <v>34</v>
      </c>
      <c r="F88">
        <v>0</v>
      </c>
      <c r="G88" t="s">
        <v>33</v>
      </c>
      <c r="H88" t="s">
        <v>36</v>
      </c>
      <c r="I88">
        <v>1.85</v>
      </c>
      <c r="J88" s="2"/>
      <c r="K88" s="2"/>
    </row>
    <row r="89" spans="1:11" x14ac:dyDescent="0.25">
      <c r="A89" s="1">
        <v>44784.60497685185</v>
      </c>
      <c r="B89" s="1">
        <v>44784.604895833334</v>
      </c>
      <c r="C89">
        <v>4.3</v>
      </c>
      <c r="D89">
        <v>2.7</v>
      </c>
      <c r="E89">
        <v>35</v>
      </c>
      <c r="F89">
        <v>0</v>
      </c>
      <c r="G89" t="s">
        <v>33</v>
      </c>
      <c r="H89" t="s">
        <v>36</v>
      </c>
      <c r="I89">
        <v>1.84</v>
      </c>
      <c r="J89" s="2"/>
      <c r="K89" s="2"/>
    </row>
    <row r="90" spans="1:11" x14ac:dyDescent="0.25">
      <c r="A90" s="1">
        <v>44784.611967592595</v>
      </c>
      <c r="B90" s="1">
        <v>44784.611840277779</v>
      </c>
      <c r="C90">
        <v>4.4000000000000004</v>
      </c>
      <c r="D90">
        <v>2.8</v>
      </c>
      <c r="E90">
        <v>35</v>
      </c>
      <c r="F90">
        <v>0</v>
      </c>
      <c r="G90" t="s">
        <v>33</v>
      </c>
      <c r="H90" t="s">
        <v>36</v>
      </c>
      <c r="I90">
        <v>1.91</v>
      </c>
      <c r="J90" s="2"/>
      <c r="K90" s="2"/>
    </row>
    <row r="91" spans="1:11" x14ac:dyDescent="0.25">
      <c r="A91" s="1">
        <v>44784.61886574074</v>
      </c>
      <c r="B91" s="1">
        <v>44784.618784722225</v>
      </c>
      <c r="C91">
        <v>4.4000000000000004</v>
      </c>
      <c r="D91">
        <v>2.7</v>
      </c>
      <c r="E91">
        <v>33</v>
      </c>
      <c r="F91">
        <v>0</v>
      </c>
      <c r="G91" t="s">
        <v>33</v>
      </c>
      <c r="H91" t="s">
        <v>36</v>
      </c>
      <c r="I91">
        <v>2.02</v>
      </c>
      <c r="J91" s="2"/>
      <c r="K91" s="2"/>
    </row>
    <row r="92" spans="1:11" x14ac:dyDescent="0.25">
      <c r="A92" s="1">
        <v>44784.625856481478</v>
      </c>
      <c r="B92" s="1">
        <v>44784.62572916667</v>
      </c>
      <c r="C92">
        <v>4.2</v>
      </c>
      <c r="D92">
        <v>2.5</v>
      </c>
      <c r="E92">
        <v>31</v>
      </c>
      <c r="F92">
        <v>0</v>
      </c>
      <c r="G92" t="s">
        <v>33</v>
      </c>
      <c r="H92" t="s">
        <v>36</v>
      </c>
      <c r="I92">
        <v>2.0299999999999998</v>
      </c>
      <c r="J92">
        <f>IF(COUNT(I87:I92)&gt;3.5,ROUND(AVERAGE(I87:I92),2),"")</f>
        <v>1.87</v>
      </c>
      <c r="K92">
        <f>IF(COUNT(1.45, 1.06, 0.91, 1.04, 1.01, 1.27, 1.69, 1.5, 2.48, , 1.4, 0.85, 0.75, 1.02, 1.25, 1.87, 2.16, 2.18, 1.87, 2.02, 1.43, 1.48, 1.74, 0.86)&gt;17.5,ROUND(AVERAGE(1.45, 1.06, 0.91, 1.04, 1.01, 1.27, 1.69, 1.5, 2.48, , 1.4, 0.85, 0.75, 1.02, 1.25, 1.87, 2.16, 2.18, 1.87, 2.02, 1.43, 1.48, 1.74, 0.86),2),"NO AVG")</f>
        <v>1.39</v>
      </c>
    </row>
    <row r="93" spans="1:11" x14ac:dyDescent="0.25">
      <c r="A93" s="1">
        <v>44784.632743055554</v>
      </c>
      <c r="B93" s="1">
        <v>44784.632673611108</v>
      </c>
      <c r="C93">
        <v>4.2</v>
      </c>
      <c r="D93">
        <v>2.6</v>
      </c>
      <c r="E93">
        <v>33</v>
      </c>
      <c r="F93">
        <v>0</v>
      </c>
      <c r="G93" t="s">
        <v>33</v>
      </c>
      <c r="H93" t="s">
        <v>36</v>
      </c>
      <c r="I93">
        <v>1.92</v>
      </c>
      <c r="J93" s="2"/>
      <c r="K93" s="2"/>
    </row>
    <row r="94" spans="1:11" x14ac:dyDescent="0.25">
      <c r="A94" s="1">
        <v>44784.639675925922</v>
      </c>
      <c r="B94" s="1">
        <v>44784.639618055553</v>
      </c>
      <c r="C94">
        <v>4.2</v>
      </c>
      <c r="D94">
        <v>2.6</v>
      </c>
      <c r="E94">
        <v>34</v>
      </c>
      <c r="F94">
        <v>0</v>
      </c>
      <c r="G94" t="s">
        <v>33</v>
      </c>
      <c r="H94" t="s">
        <v>36</v>
      </c>
      <c r="I94">
        <v>1.85</v>
      </c>
      <c r="J94" s="2"/>
      <c r="K94" s="2"/>
    </row>
    <row r="95" spans="1:11" x14ac:dyDescent="0.25">
      <c r="A95" s="1">
        <v>44784.646631944444</v>
      </c>
      <c r="B95" s="1">
        <v>44784.646562499998</v>
      </c>
      <c r="C95">
        <v>4.4000000000000004</v>
      </c>
      <c r="D95">
        <v>2.7</v>
      </c>
      <c r="E95">
        <v>33</v>
      </c>
      <c r="F95">
        <v>0</v>
      </c>
      <c r="G95" t="s">
        <v>33</v>
      </c>
      <c r="H95" t="s">
        <v>36</v>
      </c>
      <c r="I95">
        <v>2.02</v>
      </c>
      <c r="J95" s="2"/>
      <c r="K95" s="2"/>
    </row>
    <row r="96" spans="1:11" x14ac:dyDescent="0.25">
      <c r="A96" s="1">
        <v>44784.653564814813</v>
      </c>
      <c r="B96" s="1">
        <v>44784.653506944444</v>
      </c>
      <c r="C96">
        <v>4.4000000000000004</v>
      </c>
      <c r="D96">
        <v>2.7</v>
      </c>
      <c r="E96">
        <v>34</v>
      </c>
      <c r="F96">
        <v>0</v>
      </c>
      <c r="G96" t="s">
        <v>33</v>
      </c>
      <c r="H96" t="s">
        <v>36</v>
      </c>
      <c r="I96">
        <v>1.95</v>
      </c>
      <c r="J96" s="2"/>
      <c r="K96" s="2"/>
    </row>
    <row r="97" spans="1:11" x14ac:dyDescent="0.25">
      <c r="A97" s="1">
        <v>44784.660509259258</v>
      </c>
      <c r="B97" s="1">
        <v>44784.660451388889</v>
      </c>
      <c r="C97">
        <v>4.4000000000000004</v>
      </c>
      <c r="D97">
        <v>2.8</v>
      </c>
      <c r="E97">
        <v>33</v>
      </c>
      <c r="F97">
        <v>0</v>
      </c>
      <c r="G97" t="s">
        <v>33</v>
      </c>
      <c r="H97" t="s">
        <v>36</v>
      </c>
      <c r="I97">
        <v>2.0499999999999998</v>
      </c>
      <c r="J97" s="2"/>
      <c r="K97" s="2"/>
    </row>
    <row r="98" spans="1:11" x14ac:dyDescent="0.25">
      <c r="A98" s="1">
        <v>44784.66746527778</v>
      </c>
      <c r="B98" s="1">
        <v>44784.667395833334</v>
      </c>
      <c r="C98">
        <v>4.5999999999999996</v>
      </c>
      <c r="D98">
        <v>2.9</v>
      </c>
      <c r="E98">
        <v>33</v>
      </c>
      <c r="F98">
        <v>0</v>
      </c>
      <c r="G98" t="s">
        <v>33</v>
      </c>
      <c r="H98" t="s">
        <v>36</v>
      </c>
      <c r="I98">
        <v>2.14</v>
      </c>
      <c r="J98">
        <f>IF(COUNT(I93:I98)&gt;3.5,ROUND(AVERAGE(I93:I98),2),"")</f>
        <v>1.99</v>
      </c>
      <c r="K98">
        <f>IF(COUNT(1.45, 1.06, 0.91, 1.04, 1.01, 1.27, 1.69, 1.5, 2.48, , 1.4, 0.85, 0.75, 1.02, 1.25, 1.87, 1.99, 2.18, 1.87, 2.02, 1.43, 1.48, 1.74, 0.86)&gt;17.5,ROUND(AVERAGE(1.45, 1.06, 0.91, 1.04, 1.01, 1.27, 1.69, 1.5, 2.48, , 1.4, 0.85, 0.75, 1.02, 1.25, 1.87, 1.99, 2.18, 1.87, 2.02, 1.43, 1.48, 1.74, 0.86),2),"NO AVG")</f>
        <v>1.38</v>
      </c>
    </row>
    <row r="99" spans="1:11" x14ac:dyDescent="0.25">
      <c r="A99" s="1">
        <v>44784.674398148149</v>
      </c>
      <c r="B99" s="1">
        <v>44784.674328703702</v>
      </c>
      <c r="C99">
        <v>4.5999999999999996</v>
      </c>
      <c r="D99">
        <v>2.9</v>
      </c>
      <c r="E99">
        <v>34</v>
      </c>
      <c r="F99">
        <v>0</v>
      </c>
      <c r="G99" t="s">
        <v>33</v>
      </c>
      <c r="H99" t="s">
        <v>36</v>
      </c>
      <c r="I99">
        <v>2.0699999999999998</v>
      </c>
      <c r="J99" s="2"/>
      <c r="K99" s="2"/>
    </row>
    <row r="100" spans="1:11" x14ac:dyDescent="0.25">
      <c r="A100" s="1">
        <v>44784.681342592594</v>
      </c>
      <c r="B100" s="1">
        <v>44784.681273148148</v>
      </c>
      <c r="C100">
        <v>4.7</v>
      </c>
      <c r="D100">
        <v>3</v>
      </c>
      <c r="E100">
        <v>34</v>
      </c>
      <c r="F100">
        <v>0</v>
      </c>
      <c r="G100" t="s">
        <v>33</v>
      </c>
      <c r="H100" t="s">
        <v>36</v>
      </c>
      <c r="I100">
        <v>2.13</v>
      </c>
      <c r="J100" s="2"/>
      <c r="K100" s="2"/>
    </row>
    <row r="101" spans="1:11" x14ac:dyDescent="0.25">
      <c r="A101" s="1">
        <v>44784.688321759262</v>
      </c>
      <c r="B101" s="1">
        <v>44784.688217592593</v>
      </c>
      <c r="C101">
        <v>4.9000000000000004</v>
      </c>
      <c r="D101">
        <v>3.1</v>
      </c>
      <c r="E101">
        <v>35</v>
      </c>
      <c r="F101">
        <v>0</v>
      </c>
      <c r="G101" t="s">
        <v>33</v>
      </c>
      <c r="H101" t="s">
        <v>36</v>
      </c>
      <c r="I101">
        <v>2.15</v>
      </c>
      <c r="J101" s="2"/>
      <c r="K101" s="2"/>
    </row>
    <row r="102" spans="1:11" x14ac:dyDescent="0.25">
      <c r="A102" s="1">
        <v>44784.695231481484</v>
      </c>
      <c r="B102" s="1">
        <v>44784.695162037038</v>
      </c>
      <c r="C102">
        <v>4.9000000000000004</v>
      </c>
      <c r="D102">
        <v>3.1</v>
      </c>
      <c r="E102">
        <v>35</v>
      </c>
      <c r="F102">
        <v>0</v>
      </c>
      <c r="G102" t="s">
        <v>33</v>
      </c>
      <c r="H102" t="s">
        <v>36</v>
      </c>
      <c r="I102">
        <v>2.15</v>
      </c>
      <c r="J102" s="2"/>
      <c r="K102" s="2"/>
    </row>
    <row r="103" spans="1:11" x14ac:dyDescent="0.25">
      <c r="A103" s="1">
        <v>44784.702175925922</v>
      </c>
      <c r="B103" s="1">
        <v>44784.702106481483</v>
      </c>
      <c r="C103">
        <v>5.0999999999999996</v>
      </c>
      <c r="D103">
        <v>3.1</v>
      </c>
      <c r="E103">
        <v>35</v>
      </c>
      <c r="F103">
        <v>0</v>
      </c>
      <c r="G103" t="s">
        <v>33</v>
      </c>
      <c r="H103" t="s">
        <v>36</v>
      </c>
      <c r="I103">
        <v>2.21</v>
      </c>
      <c r="J103" s="2"/>
      <c r="K103" s="2"/>
    </row>
    <row r="104" spans="1:11" x14ac:dyDescent="0.25">
      <c r="A104" s="1">
        <v>44784.709131944444</v>
      </c>
      <c r="B104" s="1">
        <v>44784.709050925929</v>
      </c>
      <c r="C104">
        <v>5.0999999999999996</v>
      </c>
      <c r="D104">
        <v>3.2</v>
      </c>
      <c r="E104">
        <v>36</v>
      </c>
      <c r="F104">
        <v>0</v>
      </c>
      <c r="G104" t="s">
        <v>33</v>
      </c>
      <c r="H104" t="s">
        <v>36</v>
      </c>
      <c r="I104">
        <v>2.17</v>
      </c>
      <c r="J104">
        <f>IF(COUNT(I99:I104)&gt;3.5,ROUND(AVERAGE(I99:I104),2),"")</f>
        <v>2.15</v>
      </c>
      <c r="K104">
        <f>IF(COUNT(1.45, 1.06, 0.91, 1.04, 1.01, 1.27, 1.69, 1.5, 2.48, , 1.4, 0.85, 0.75, 1.02, 1.25, 1.87, 1.99, 2.15, 1.87, 2.02, 1.43, 1.48, 1.74, 0.86)&gt;17.5,ROUND(AVERAGE(1.45, 1.06, 0.91, 1.04, 1.01, 1.27, 1.69, 1.5, 2.48, , 1.4, 0.85, 0.75, 1.02, 1.25, 1.87, 1.99, 2.15, 1.87, 2.02, 1.43, 1.48, 1.74, 0.86),2),"NO AVG")</f>
        <v>1.38</v>
      </c>
    </row>
    <row r="105" spans="1:11" x14ac:dyDescent="0.25">
      <c r="A105" s="1">
        <v>44784.716064814813</v>
      </c>
      <c r="B105" s="1">
        <v>44784.715995370374</v>
      </c>
      <c r="C105">
        <v>5</v>
      </c>
      <c r="D105">
        <v>3.2</v>
      </c>
      <c r="E105">
        <v>36</v>
      </c>
      <c r="F105">
        <v>0</v>
      </c>
      <c r="G105" t="s">
        <v>33</v>
      </c>
      <c r="H105" t="s">
        <v>36</v>
      </c>
      <c r="I105">
        <v>2.14</v>
      </c>
      <c r="J105" s="2"/>
      <c r="K105" s="2"/>
    </row>
    <row r="106" spans="1:11" x14ac:dyDescent="0.25">
      <c r="A106" s="1">
        <v>44784.723009259258</v>
      </c>
      <c r="B106" s="1">
        <v>44784.722939814812</v>
      </c>
      <c r="C106">
        <v>4.9000000000000004</v>
      </c>
      <c r="D106">
        <v>3.2</v>
      </c>
      <c r="E106">
        <v>35</v>
      </c>
      <c r="F106">
        <v>0</v>
      </c>
      <c r="G106" t="s">
        <v>33</v>
      </c>
      <c r="H106" t="s">
        <v>36</v>
      </c>
      <c r="I106">
        <v>2.1800000000000002</v>
      </c>
      <c r="J106" s="2"/>
      <c r="K106" s="2"/>
    </row>
    <row r="107" spans="1:11" x14ac:dyDescent="0.25">
      <c r="A107" s="1">
        <v>44784.729953703703</v>
      </c>
      <c r="B107" s="1">
        <v>44784.729884259257</v>
      </c>
      <c r="C107">
        <v>5</v>
      </c>
      <c r="D107">
        <v>3.1</v>
      </c>
      <c r="E107">
        <v>35</v>
      </c>
      <c r="F107">
        <v>0</v>
      </c>
      <c r="G107" t="s">
        <v>33</v>
      </c>
      <c r="H107" t="s">
        <v>36</v>
      </c>
      <c r="I107">
        <v>2.1800000000000002</v>
      </c>
      <c r="J107" s="2"/>
      <c r="K107" s="2"/>
    </row>
    <row r="108" spans="1:11" x14ac:dyDescent="0.25">
      <c r="A108" s="1">
        <v>44784.736898148149</v>
      </c>
      <c r="B108" s="1">
        <v>44784.736828703702</v>
      </c>
      <c r="C108">
        <v>5</v>
      </c>
      <c r="D108">
        <v>3.2</v>
      </c>
      <c r="E108">
        <v>35</v>
      </c>
      <c r="F108">
        <v>0</v>
      </c>
      <c r="G108" t="s">
        <v>33</v>
      </c>
      <c r="H108" t="s">
        <v>36</v>
      </c>
      <c r="I108">
        <v>2.21</v>
      </c>
      <c r="J108" s="2"/>
      <c r="K108" s="2"/>
    </row>
    <row r="109" spans="1:11" x14ac:dyDescent="0.25">
      <c r="A109" s="1">
        <v>44784.743842592594</v>
      </c>
      <c r="B109" s="1">
        <v>44784.743773148148</v>
      </c>
      <c r="C109">
        <v>5.0999999999999996</v>
      </c>
      <c r="D109">
        <v>3.2</v>
      </c>
      <c r="E109">
        <v>38</v>
      </c>
      <c r="F109">
        <v>0</v>
      </c>
      <c r="G109" t="s">
        <v>33</v>
      </c>
      <c r="H109" t="s">
        <v>36</v>
      </c>
      <c r="I109">
        <v>2.0299999999999998</v>
      </c>
      <c r="J109" s="2"/>
      <c r="K109" s="2"/>
    </row>
    <row r="110" spans="1:11" x14ac:dyDescent="0.25">
      <c r="A110" s="1">
        <v>44784.750798611109</v>
      </c>
      <c r="B110" s="1">
        <v>44784.750717592593</v>
      </c>
      <c r="C110">
        <v>5.5</v>
      </c>
      <c r="D110">
        <v>3.7</v>
      </c>
      <c r="E110">
        <v>37</v>
      </c>
      <c r="F110">
        <v>0</v>
      </c>
      <c r="G110" t="s">
        <v>33</v>
      </c>
      <c r="H110" t="s">
        <v>36</v>
      </c>
      <c r="I110">
        <v>2.38</v>
      </c>
      <c r="J110">
        <f>IF(COUNT(I105:I110)&gt;3.5,ROUND(AVERAGE(I105:I110),2),"")</f>
        <v>2.19</v>
      </c>
      <c r="K110">
        <f>IF(COUNT(1.45, 1.06, 0.91, 1.04, 1.01, 1.27, 1.69, 1.5, 2.48, , 1.4, 0.85, 0.75, 1.02, 1.25, 1.87, 1.99, 2.15, 2.19, 2.02, 1.43, 1.48, 1.74, 0.86)&gt;17.5,ROUND(AVERAGE(1.45, 1.06, 0.91, 1.04, 1.01, 1.27, 1.69, 1.5, 2.48, , 1.4, 0.85, 0.75, 1.02, 1.25, 1.87, 1.99, 2.15, 2.19, 2.02, 1.43, 1.48, 1.74, 0.86),2),"NO AVG")</f>
        <v>1.39</v>
      </c>
    </row>
    <row r="111" spans="1:11" x14ac:dyDescent="0.25">
      <c r="A111" s="1">
        <v>44784.757731481484</v>
      </c>
      <c r="B111" s="1">
        <v>44784.757662037038</v>
      </c>
      <c r="C111">
        <v>5.2</v>
      </c>
      <c r="D111">
        <v>3.5</v>
      </c>
      <c r="E111">
        <v>36</v>
      </c>
      <c r="F111">
        <v>0</v>
      </c>
      <c r="G111" t="s">
        <v>33</v>
      </c>
      <c r="H111" t="s">
        <v>36</v>
      </c>
      <c r="I111">
        <v>2.29</v>
      </c>
      <c r="J111" s="2"/>
      <c r="K111" s="2"/>
    </row>
    <row r="112" spans="1:11" x14ac:dyDescent="0.25">
      <c r="A112" s="1">
        <v>44784.764675925922</v>
      </c>
      <c r="B112" s="1">
        <v>44784.764606481483</v>
      </c>
      <c r="C112">
        <v>5.0999999999999996</v>
      </c>
      <c r="D112">
        <v>3.4</v>
      </c>
      <c r="E112">
        <v>42</v>
      </c>
      <c r="F112">
        <v>0</v>
      </c>
      <c r="G112" t="s">
        <v>33</v>
      </c>
      <c r="H112" t="s">
        <v>36</v>
      </c>
      <c r="I112">
        <v>1.81</v>
      </c>
      <c r="J112" s="2"/>
      <c r="K112" s="2"/>
    </row>
    <row r="113" spans="1:11" x14ac:dyDescent="0.25">
      <c r="A113" s="1">
        <v>44784.771620370368</v>
      </c>
      <c r="B113" s="1">
        <v>44784.771550925929</v>
      </c>
      <c r="C113">
        <v>5</v>
      </c>
      <c r="D113">
        <v>3.5</v>
      </c>
      <c r="E113">
        <v>42</v>
      </c>
      <c r="F113">
        <v>0</v>
      </c>
      <c r="G113" t="s">
        <v>33</v>
      </c>
      <c r="H113" t="s">
        <v>36</v>
      </c>
      <c r="I113">
        <v>1.81</v>
      </c>
      <c r="J113" s="2"/>
      <c r="K113" s="2"/>
    </row>
    <row r="114" spans="1:11" x14ac:dyDescent="0.25">
      <c r="A114" s="1">
        <v>44784.778564814813</v>
      </c>
      <c r="B114" s="1">
        <v>44784.778495370374</v>
      </c>
      <c r="C114">
        <v>5</v>
      </c>
      <c r="D114">
        <v>3.4</v>
      </c>
      <c r="E114">
        <v>46</v>
      </c>
      <c r="F114">
        <v>0</v>
      </c>
      <c r="G114" t="s">
        <v>33</v>
      </c>
      <c r="H114" t="s">
        <v>36</v>
      </c>
      <c r="I114">
        <v>1.5</v>
      </c>
      <c r="J114" s="2"/>
      <c r="K114" s="2"/>
    </row>
    <row r="115" spans="1:11" x14ac:dyDescent="0.25">
      <c r="A115" s="1">
        <v>44784.785520833335</v>
      </c>
      <c r="B115" s="1">
        <v>44784.785439814812</v>
      </c>
      <c r="C115">
        <v>4.9000000000000004</v>
      </c>
      <c r="D115">
        <v>3.3</v>
      </c>
      <c r="E115">
        <v>48</v>
      </c>
      <c r="F115">
        <v>0</v>
      </c>
      <c r="G115" t="s">
        <v>33</v>
      </c>
      <c r="H115" t="s">
        <v>36</v>
      </c>
      <c r="I115">
        <v>1.3</v>
      </c>
      <c r="J115" s="2"/>
      <c r="K115" s="2"/>
    </row>
    <row r="116" spans="1:11" x14ac:dyDescent="0.25">
      <c r="A116" s="1">
        <v>44784.792488425926</v>
      </c>
      <c r="B116" s="1">
        <v>44784.792384259257</v>
      </c>
      <c r="C116">
        <v>5.2</v>
      </c>
      <c r="D116">
        <v>3.4</v>
      </c>
      <c r="E116">
        <v>52</v>
      </c>
      <c r="F116">
        <v>0</v>
      </c>
      <c r="G116" t="s">
        <v>33</v>
      </c>
      <c r="H116" t="s">
        <v>36</v>
      </c>
      <c r="I116">
        <v>1.1399999999999999</v>
      </c>
      <c r="J116">
        <f>IF(COUNT(I111:I116)&gt;3.5,ROUND(AVERAGE(I111:I116),2),"")</f>
        <v>1.64</v>
      </c>
      <c r="K116">
        <f>IF(COUNT(1.45, 1.06, 0.91, 1.04, 1.01, 1.27, 1.69, 1.5, 2.48, , 1.4, 0.85, 0.75, 1.02, 1.25, 1.87, 1.99, 2.15, 2.19, 1.64, 1.43, 1.48, 1.74, 0.86)&gt;17.5,ROUND(AVERAGE(1.45, 1.06, 0.91, 1.04, 1.01, 1.27, 1.69, 1.5, 2.48, , 1.4, 0.85, 0.75, 1.02, 1.25, 1.87, 1.99, 2.15, 2.19, 1.64, 1.43, 1.48, 1.74, 0.86),2),"NO AVG")</f>
        <v>1.38</v>
      </c>
    </row>
    <row r="117" spans="1:11" x14ac:dyDescent="0.25">
      <c r="A117" s="1">
        <v>44784.799409722225</v>
      </c>
      <c r="B117" s="1">
        <v>44784.799328703702</v>
      </c>
      <c r="C117">
        <v>5.3</v>
      </c>
      <c r="D117">
        <v>3.5</v>
      </c>
      <c r="E117">
        <v>54</v>
      </c>
      <c r="F117">
        <v>0</v>
      </c>
      <c r="G117" t="s">
        <v>33</v>
      </c>
      <c r="H117" t="s">
        <v>36</v>
      </c>
      <c r="I117">
        <v>1.06</v>
      </c>
      <c r="J117" s="2"/>
      <c r="K117" s="2"/>
    </row>
    <row r="118" spans="1:11" x14ac:dyDescent="0.25">
      <c r="A118" s="1">
        <v>44784.806400462963</v>
      </c>
      <c r="B118" s="1">
        <v>44784.806273148148</v>
      </c>
      <c r="C118">
        <v>5.5</v>
      </c>
      <c r="D118">
        <v>3.8</v>
      </c>
      <c r="E118">
        <v>58</v>
      </c>
      <c r="F118">
        <v>0</v>
      </c>
      <c r="G118" t="s">
        <v>33</v>
      </c>
      <c r="H118" t="s">
        <v>36</v>
      </c>
      <c r="I118">
        <v>0.94</v>
      </c>
      <c r="J118" s="2"/>
      <c r="K118" s="2"/>
    </row>
    <row r="119" spans="1:11" x14ac:dyDescent="0.25">
      <c r="A119" s="1">
        <v>44784.813298611109</v>
      </c>
      <c r="B119" s="1">
        <v>44784.813217592593</v>
      </c>
      <c r="C119">
        <v>5.5</v>
      </c>
      <c r="D119">
        <v>4</v>
      </c>
      <c r="E119">
        <v>58</v>
      </c>
      <c r="F119">
        <v>0</v>
      </c>
      <c r="G119" t="s">
        <v>33</v>
      </c>
      <c r="H119" t="s">
        <v>36</v>
      </c>
      <c r="I119">
        <v>1</v>
      </c>
      <c r="J119" s="2"/>
      <c r="K119" s="2"/>
    </row>
    <row r="120" spans="1:11" x14ac:dyDescent="0.25">
      <c r="A120" s="1">
        <v>44784.820243055554</v>
      </c>
      <c r="B120" s="1">
        <v>44784.820162037038</v>
      </c>
      <c r="C120">
        <v>5.4</v>
      </c>
      <c r="D120">
        <v>3.9</v>
      </c>
      <c r="E120">
        <v>59</v>
      </c>
      <c r="F120">
        <v>0</v>
      </c>
      <c r="G120" t="s">
        <v>33</v>
      </c>
      <c r="H120" t="s">
        <v>36</v>
      </c>
      <c r="I120">
        <v>0.87</v>
      </c>
      <c r="J120" s="2"/>
      <c r="K120" s="2"/>
    </row>
    <row r="121" spans="1:11" x14ac:dyDescent="0.25">
      <c r="A121" s="1">
        <v>44784.827187499999</v>
      </c>
      <c r="B121" s="1">
        <v>44784.827106481483</v>
      </c>
      <c r="C121">
        <v>5.7</v>
      </c>
      <c r="D121">
        <v>3.8</v>
      </c>
      <c r="E121">
        <v>60</v>
      </c>
      <c r="F121">
        <v>0</v>
      </c>
      <c r="G121" t="s">
        <v>33</v>
      </c>
      <c r="H121" t="s">
        <v>36</v>
      </c>
      <c r="I121">
        <v>0.86</v>
      </c>
      <c r="J121" s="2"/>
      <c r="K121" s="2"/>
    </row>
    <row r="122" spans="1:11" x14ac:dyDescent="0.25">
      <c r="A122" s="1">
        <v>44784.834120370368</v>
      </c>
      <c r="B122" s="1">
        <v>44784.834050925929</v>
      </c>
      <c r="C122">
        <v>5.8</v>
      </c>
      <c r="D122">
        <v>4</v>
      </c>
      <c r="E122">
        <v>61</v>
      </c>
      <c r="F122">
        <v>0</v>
      </c>
      <c r="G122" t="s">
        <v>33</v>
      </c>
      <c r="H122" t="s">
        <v>36</v>
      </c>
      <c r="I122">
        <v>0.88</v>
      </c>
      <c r="J122">
        <f>IF(COUNT(I117:I122)&gt;3.5,ROUND(AVERAGE(I117:I122),2),"")</f>
        <v>0.94</v>
      </c>
      <c r="K122">
        <f>IF(COUNT(1.45, 1.06, 0.91, 1.04, 1.01, 1.27, 1.69, 1.5, 2.48, , 1.4, 0.85, 0.75, 1.02, 1.25, 1.87, 1.99, 2.15, 2.19, 1.64, 0.94, 1.48, 1.74, 0.86)&gt;17.5,ROUND(AVERAGE(1.45, 1.06, 0.91, 1.04, 1.01, 1.27, 1.69, 1.5, 2.48, , 1.4, 0.85, 0.75, 1.02, 1.25, 1.87, 1.99, 2.15, 2.19, 1.64, 0.94, 1.48, 1.74, 0.86),2),"NO AVG")</f>
        <v>1.36</v>
      </c>
    </row>
    <row r="123" spans="1:11" x14ac:dyDescent="0.25">
      <c r="A123" s="1">
        <v>44784.84107638889</v>
      </c>
      <c r="B123" s="1">
        <v>44784.840995370374</v>
      </c>
      <c r="C123">
        <v>6.2</v>
      </c>
      <c r="D123">
        <v>4.4000000000000004</v>
      </c>
      <c r="E123">
        <v>62</v>
      </c>
      <c r="F123">
        <v>0</v>
      </c>
      <c r="G123" t="s">
        <v>33</v>
      </c>
      <c r="H123" t="s">
        <v>36</v>
      </c>
      <c r="I123">
        <v>1.05</v>
      </c>
      <c r="J123" s="2"/>
      <c r="K123" s="2"/>
    </row>
    <row r="124" spans="1:11" x14ac:dyDescent="0.25">
      <c r="A124" s="1">
        <v>44784.848020833335</v>
      </c>
      <c r="B124" s="1">
        <v>44784.847939814812</v>
      </c>
      <c r="C124">
        <v>6.3</v>
      </c>
      <c r="D124">
        <v>4.5</v>
      </c>
      <c r="E124">
        <v>62</v>
      </c>
      <c r="F124">
        <v>0</v>
      </c>
      <c r="G124" t="s">
        <v>33</v>
      </c>
      <c r="H124" t="s">
        <v>36</v>
      </c>
      <c r="I124">
        <v>1.1100000000000001</v>
      </c>
      <c r="J124" s="2"/>
      <c r="K124" s="2"/>
    </row>
    <row r="125" spans="1:11" x14ac:dyDescent="0.25">
      <c r="A125" s="1">
        <v>44784.854953703703</v>
      </c>
      <c r="B125" s="1">
        <v>44784.854884259257</v>
      </c>
      <c r="C125">
        <v>6.6</v>
      </c>
      <c r="D125">
        <v>4.7</v>
      </c>
      <c r="E125">
        <v>59</v>
      </c>
      <c r="F125">
        <v>0</v>
      </c>
      <c r="G125" t="s">
        <v>33</v>
      </c>
      <c r="H125" t="s">
        <v>36</v>
      </c>
      <c r="I125">
        <v>1.48</v>
      </c>
      <c r="J125" s="2"/>
      <c r="K125" s="2"/>
    </row>
    <row r="126" spans="1:11" x14ac:dyDescent="0.25">
      <c r="A126" s="1">
        <v>44784.861909722225</v>
      </c>
      <c r="B126" s="1">
        <v>44784.861828703702</v>
      </c>
      <c r="C126">
        <v>6.3</v>
      </c>
      <c r="D126">
        <v>4.3</v>
      </c>
      <c r="E126">
        <v>55</v>
      </c>
      <c r="F126">
        <v>0</v>
      </c>
      <c r="G126" t="s">
        <v>33</v>
      </c>
      <c r="H126" t="s">
        <v>36</v>
      </c>
      <c r="I126">
        <v>1.54</v>
      </c>
      <c r="J126" s="2"/>
      <c r="K126" s="2"/>
    </row>
    <row r="127" spans="1:11" x14ac:dyDescent="0.25">
      <c r="A127" s="1">
        <v>44784.868854166663</v>
      </c>
      <c r="B127" s="1">
        <v>44784.868773148148</v>
      </c>
      <c r="C127">
        <v>6.1</v>
      </c>
      <c r="D127">
        <v>5.0999999999999996</v>
      </c>
      <c r="E127">
        <v>54</v>
      </c>
      <c r="F127">
        <v>0</v>
      </c>
      <c r="G127" t="s">
        <v>33</v>
      </c>
      <c r="H127" t="s">
        <v>36</v>
      </c>
      <c r="I127">
        <v>1.8</v>
      </c>
      <c r="J127" s="2"/>
      <c r="K127" s="2"/>
    </row>
    <row r="128" spans="1:11" x14ac:dyDescent="0.25">
      <c r="A128" s="1">
        <v>44784.875798611109</v>
      </c>
      <c r="B128" s="1">
        <v>44784.875717592593</v>
      </c>
      <c r="C128">
        <v>5.9</v>
      </c>
      <c r="D128">
        <v>6.2</v>
      </c>
      <c r="E128">
        <v>54</v>
      </c>
      <c r="F128">
        <v>0</v>
      </c>
      <c r="G128" t="s">
        <v>33</v>
      </c>
      <c r="H128" t="s">
        <v>36</v>
      </c>
      <c r="I128">
        <v>2.0699999999999998</v>
      </c>
      <c r="J128">
        <f>IF(COUNT(I123:I128)&gt;3.5,ROUND(AVERAGE(I123:I128),2),"")</f>
        <v>1.51</v>
      </c>
      <c r="K128">
        <f>IF(COUNT(1.45, 1.06, 0.91, 1.04, 1.01, 1.27, 1.69, 1.5, 2.48, , 1.4, 0.85, 0.75, 1.02, 1.25, 1.87, 1.99, 2.15, 2.19, 1.64, 0.94, 1.51, 1.74, 0.86)&gt;17.5,ROUND(AVERAGE(1.45, 1.06, 0.91, 1.04, 1.01, 1.27, 1.69, 1.5, 2.48, , 1.4, 0.85, 0.75, 1.02, 1.25, 1.87, 1.99, 2.15, 2.19, 1.64, 0.94, 1.51, 1.74, 0.86),2),"NO AVG")</f>
        <v>1.36</v>
      </c>
    </row>
    <row r="129" spans="1:11" x14ac:dyDescent="0.25">
      <c r="A129" s="1">
        <v>44784.882754629631</v>
      </c>
      <c r="B129" s="1">
        <v>44784.882662037038</v>
      </c>
      <c r="C129">
        <v>5.8</v>
      </c>
      <c r="D129">
        <v>5.3</v>
      </c>
      <c r="E129">
        <v>57</v>
      </c>
      <c r="F129">
        <v>0</v>
      </c>
      <c r="G129" t="s">
        <v>33</v>
      </c>
      <c r="H129" t="s">
        <v>36</v>
      </c>
      <c r="I129">
        <v>1.56</v>
      </c>
      <c r="J129" s="2"/>
      <c r="K129" s="2"/>
    </row>
    <row r="130" spans="1:11" x14ac:dyDescent="0.25">
      <c r="A130" s="1">
        <v>44784.889687499999</v>
      </c>
      <c r="B130" s="1">
        <v>44784.889606481483</v>
      </c>
      <c r="C130">
        <v>5.6</v>
      </c>
      <c r="D130">
        <v>4.8</v>
      </c>
      <c r="E130">
        <v>59</v>
      </c>
      <c r="F130">
        <v>0</v>
      </c>
      <c r="G130" t="s">
        <v>33</v>
      </c>
      <c r="H130" t="s">
        <v>36</v>
      </c>
      <c r="I130">
        <v>1.2</v>
      </c>
      <c r="J130" s="2"/>
      <c r="K130" s="2"/>
    </row>
    <row r="131" spans="1:11" x14ac:dyDescent="0.25">
      <c r="A131" s="1">
        <v>44784.896631944444</v>
      </c>
      <c r="B131" s="1">
        <v>44784.896550925929</v>
      </c>
      <c r="C131">
        <v>5.5</v>
      </c>
      <c r="D131">
        <v>4.4000000000000004</v>
      </c>
      <c r="E131">
        <v>61</v>
      </c>
      <c r="F131">
        <v>0</v>
      </c>
      <c r="G131" t="s">
        <v>33</v>
      </c>
      <c r="H131" t="s">
        <v>36</v>
      </c>
      <c r="I131">
        <v>0.91</v>
      </c>
      <c r="J131" s="2"/>
      <c r="K131" s="2"/>
    </row>
    <row r="132" spans="1:11" x14ac:dyDescent="0.25">
      <c r="A132" s="1">
        <v>44784.90357638889</v>
      </c>
      <c r="B132" s="1">
        <v>44784.903495370374</v>
      </c>
      <c r="C132">
        <v>5.5</v>
      </c>
      <c r="D132">
        <v>4.0999999999999996</v>
      </c>
      <c r="E132">
        <v>61</v>
      </c>
      <c r="F132">
        <v>0</v>
      </c>
      <c r="G132" t="s">
        <v>33</v>
      </c>
      <c r="H132" t="s">
        <v>36</v>
      </c>
      <c r="I132">
        <v>0.82</v>
      </c>
      <c r="J132" s="2"/>
      <c r="K132" s="2"/>
    </row>
    <row r="133" spans="1:11" x14ac:dyDescent="0.25">
      <c r="A133" s="1">
        <v>44784.910520833335</v>
      </c>
      <c r="B133" s="1">
        <v>44784.910439814812</v>
      </c>
      <c r="C133">
        <v>5.5</v>
      </c>
      <c r="D133">
        <v>4.3</v>
      </c>
      <c r="E133">
        <v>60</v>
      </c>
      <c r="F133">
        <v>0</v>
      </c>
      <c r="G133" t="s">
        <v>33</v>
      </c>
      <c r="H133" t="s">
        <v>36</v>
      </c>
      <c r="I133">
        <v>0.95</v>
      </c>
      <c r="J133" s="2"/>
      <c r="K133" s="2"/>
    </row>
    <row r="134" spans="1:11" x14ac:dyDescent="0.25">
      <c r="A134" s="1">
        <v>44784.91746527778</v>
      </c>
      <c r="B134" s="1">
        <v>44784.917384259257</v>
      </c>
      <c r="C134">
        <v>5.5</v>
      </c>
      <c r="D134">
        <v>5.4</v>
      </c>
      <c r="E134">
        <v>60</v>
      </c>
      <c r="F134">
        <v>0</v>
      </c>
      <c r="G134" t="s">
        <v>33</v>
      </c>
      <c r="H134" t="s">
        <v>36</v>
      </c>
      <c r="I134">
        <v>1.28</v>
      </c>
      <c r="J134">
        <f>IF(COUNT(I129:I134)&gt;3.5,ROUND(AVERAGE(I129:I134),2),"")</f>
        <v>1.1200000000000001</v>
      </c>
      <c r="K134">
        <f>IF(COUNT(1.45, 1.06, 0.91, 1.04, 1.01, 1.27, 1.69, 1.5, 2.48, , 1.4, 0.85, 0.75, 1.02, 1.25, 1.87, 1.99, 2.15, 2.19, 1.64, 0.94, 1.51, 1.12, 0.86)&gt;17.5,ROUND(AVERAGE(1.45, 1.06, 0.91, 1.04, 1.01, 1.27, 1.69, 1.5, 2.48, , 1.4, 0.85, 0.75, 1.02, 1.25, 1.87, 1.99, 2.15, 2.19, 1.64, 0.94, 1.51, 1.12, 0.86),2),"NO AVG")</f>
        <v>1.33</v>
      </c>
    </row>
    <row r="135" spans="1:11" x14ac:dyDescent="0.25">
      <c r="A135" s="1">
        <v>44784.924513888887</v>
      </c>
      <c r="B135" s="1">
        <v>44784.924328703702</v>
      </c>
      <c r="C135">
        <v>5.3</v>
      </c>
      <c r="D135">
        <v>13</v>
      </c>
      <c r="E135">
        <v>61</v>
      </c>
      <c r="F135">
        <v>0</v>
      </c>
      <c r="G135" t="s">
        <v>33</v>
      </c>
      <c r="H135" t="s">
        <v>36</v>
      </c>
      <c r="I135">
        <v>3.47</v>
      </c>
      <c r="J135" s="2"/>
      <c r="K135" s="2"/>
    </row>
    <row r="136" spans="1:11" x14ac:dyDescent="0.25">
      <c r="A136" s="1">
        <v>44784.931354166663</v>
      </c>
      <c r="B136" s="1">
        <v>44784.931273148148</v>
      </c>
      <c r="C136">
        <v>5.3</v>
      </c>
      <c r="D136">
        <v>12.3</v>
      </c>
      <c r="E136">
        <v>61</v>
      </c>
      <c r="F136">
        <v>0</v>
      </c>
      <c r="G136" t="s">
        <v>33</v>
      </c>
      <c r="H136" t="s">
        <v>36</v>
      </c>
      <c r="I136">
        <v>3.26</v>
      </c>
      <c r="J136" s="2"/>
      <c r="K136" s="2"/>
    </row>
    <row r="137" spans="1:11" x14ac:dyDescent="0.25">
      <c r="A137" s="1">
        <v>44784.938298611109</v>
      </c>
      <c r="B137" s="1">
        <v>44784.938217592593</v>
      </c>
      <c r="C137">
        <v>5.4</v>
      </c>
      <c r="D137">
        <v>8.6999999999999993</v>
      </c>
      <c r="E137">
        <v>61</v>
      </c>
      <c r="F137">
        <v>0</v>
      </c>
      <c r="G137" t="s">
        <v>33</v>
      </c>
      <c r="H137" t="s">
        <v>36</v>
      </c>
      <c r="I137">
        <v>2.19</v>
      </c>
      <c r="J137" s="2"/>
      <c r="K137" s="2"/>
    </row>
    <row r="138" spans="1:11" x14ac:dyDescent="0.25">
      <c r="A138" s="1">
        <v>44784.945243055554</v>
      </c>
      <c r="B138" s="1">
        <v>44784.945162037038</v>
      </c>
      <c r="C138">
        <v>5.6</v>
      </c>
      <c r="D138">
        <v>7.1</v>
      </c>
      <c r="E138">
        <v>60</v>
      </c>
      <c r="F138">
        <v>0</v>
      </c>
      <c r="G138" t="s">
        <v>32</v>
      </c>
      <c r="H138" t="s">
        <v>36</v>
      </c>
      <c r="J138" s="2"/>
      <c r="K138" s="2"/>
    </row>
    <row r="139" spans="1:11" x14ac:dyDescent="0.25">
      <c r="A139" s="1">
        <v>44784.952233796299</v>
      </c>
      <c r="B139" s="1">
        <v>44784.952106481483</v>
      </c>
      <c r="C139">
        <v>5.6</v>
      </c>
      <c r="D139">
        <v>5.6</v>
      </c>
      <c r="E139">
        <v>61</v>
      </c>
      <c r="F139">
        <v>0</v>
      </c>
      <c r="G139" t="s">
        <v>33</v>
      </c>
      <c r="H139" t="s">
        <v>36</v>
      </c>
      <c r="I139">
        <v>1.31</v>
      </c>
      <c r="J139" s="2"/>
      <c r="K139" s="2"/>
    </row>
    <row r="140" spans="1:11" x14ac:dyDescent="0.25">
      <c r="A140" s="1">
        <v>44784.959131944444</v>
      </c>
      <c r="B140" s="1">
        <v>44784.959050925929</v>
      </c>
      <c r="C140">
        <v>5.6</v>
      </c>
      <c r="D140">
        <v>5.2</v>
      </c>
      <c r="E140">
        <v>62</v>
      </c>
      <c r="F140">
        <v>0</v>
      </c>
      <c r="G140" t="s">
        <v>33</v>
      </c>
      <c r="H140" t="s">
        <v>36</v>
      </c>
      <c r="I140">
        <v>1.1100000000000001</v>
      </c>
      <c r="J140">
        <f>IF(COUNT(I135:I140)&gt;3.5,ROUND(AVERAGE(I135:I140),2),"")</f>
        <v>2.27</v>
      </c>
      <c r="K140">
        <f>IF(COUNT(1.45, 1.06, 0.91, 1.04, 1.01, 1.27, 1.69, 1.5, 2.48, , 1.4, 0.85, 0.75, 1.02, 1.25, 1.87, 1.99, 2.15, 2.19, 1.64, 0.94, 1.51, 1.12, 2.27)&gt;17.5,ROUND(AVERAGE(1.45, 1.06, 0.91, 1.04, 1.01, 1.27, 1.69, 1.5, 2.48, , 1.4, 0.85, 0.75, 1.02, 1.25, 1.87, 1.99, 2.15, 2.19, 1.64, 0.94, 1.51, 1.12, 2.27),2),"NO AVG")</f>
        <v>1.39</v>
      </c>
    </row>
    <row r="141" spans="1:11" x14ac:dyDescent="0.25">
      <c r="A141" s="1">
        <v>44784.966157407405</v>
      </c>
      <c r="B141" s="1">
        <v>44784.965995370374</v>
      </c>
      <c r="C141">
        <v>5.7</v>
      </c>
      <c r="D141">
        <v>4.7</v>
      </c>
      <c r="E141">
        <v>61</v>
      </c>
      <c r="F141">
        <v>0</v>
      </c>
      <c r="G141" t="s">
        <v>33</v>
      </c>
      <c r="H141" t="s">
        <v>36</v>
      </c>
      <c r="I141">
        <v>1.06</v>
      </c>
      <c r="J141" s="2"/>
      <c r="K141" s="2"/>
    </row>
    <row r="142" spans="1:11" x14ac:dyDescent="0.25">
      <c r="A142" s="1">
        <v>44784.973020833335</v>
      </c>
      <c r="B142" s="1">
        <v>44784.972939814812</v>
      </c>
      <c r="C142">
        <v>6</v>
      </c>
      <c r="D142">
        <v>4.5999999999999996</v>
      </c>
      <c r="E142">
        <v>60</v>
      </c>
      <c r="F142">
        <v>0</v>
      </c>
      <c r="G142" t="s">
        <v>33</v>
      </c>
      <c r="H142" t="s">
        <v>36</v>
      </c>
      <c r="I142">
        <v>1.19</v>
      </c>
      <c r="J142" s="2"/>
      <c r="K142" s="2"/>
    </row>
    <row r="143" spans="1:11" x14ac:dyDescent="0.25">
      <c r="A143" s="1">
        <v>44784.97996527778</v>
      </c>
      <c r="B143" s="1">
        <v>44784.979884259257</v>
      </c>
      <c r="C143">
        <v>6.2</v>
      </c>
      <c r="D143">
        <v>4.4000000000000004</v>
      </c>
      <c r="E143">
        <v>61</v>
      </c>
      <c r="F143">
        <v>0</v>
      </c>
      <c r="G143" t="s">
        <v>33</v>
      </c>
      <c r="H143" t="s">
        <v>36</v>
      </c>
      <c r="I143">
        <v>1.1200000000000001</v>
      </c>
      <c r="J143" s="2"/>
      <c r="K143" s="2"/>
    </row>
    <row r="144" spans="1:11" x14ac:dyDescent="0.25">
      <c r="A144" s="1">
        <v>44784.986909722225</v>
      </c>
      <c r="B144" s="1">
        <v>44784.986828703702</v>
      </c>
      <c r="C144">
        <v>6.1</v>
      </c>
      <c r="D144">
        <v>4.4000000000000004</v>
      </c>
      <c r="E144">
        <v>63</v>
      </c>
      <c r="F144">
        <v>0</v>
      </c>
      <c r="G144" t="s">
        <v>33</v>
      </c>
      <c r="H144" t="s">
        <v>36</v>
      </c>
      <c r="I144">
        <v>0.95</v>
      </c>
      <c r="J144" s="2"/>
      <c r="K144" s="2"/>
    </row>
    <row r="145" spans="1:12" x14ac:dyDescent="0.25">
      <c r="A145" s="1">
        <v>44784.993854166663</v>
      </c>
      <c r="B145" s="1">
        <v>44784.993773148148</v>
      </c>
      <c r="C145">
        <v>6.2</v>
      </c>
      <c r="D145">
        <v>4.3</v>
      </c>
      <c r="E145">
        <v>62</v>
      </c>
      <c r="F145">
        <v>0</v>
      </c>
      <c r="G145" t="s">
        <v>33</v>
      </c>
      <c r="H145" t="s">
        <v>36</v>
      </c>
      <c r="I145">
        <v>1.02</v>
      </c>
      <c r="J145" s="2"/>
      <c r="K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E46CC-AA0E-488B-96BB-D224BAEFCFC2}">
  <sheetPr codeName="Sheet15"/>
  <dimension ref="A1:M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3" max="13" width="12.140625" bestFit="1" customWidth="1"/>
  </cols>
  <sheetData>
    <row r="1" spans="1:13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M1" t="s">
        <v>3</v>
      </c>
    </row>
    <row r="2" spans="1:13" x14ac:dyDescent="0.25">
      <c r="A2" s="1">
        <v>44784.000763888886</v>
      </c>
      <c r="B2" s="1">
        <v>44784.000717592593</v>
      </c>
      <c r="C2">
        <v>2.9</v>
      </c>
      <c r="D2">
        <v>2.5</v>
      </c>
      <c r="E2">
        <v>64</v>
      </c>
      <c r="F2">
        <v>0</v>
      </c>
      <c r="G2" t="s">
        <v>33</v>
      </c>
      <c r="H2" t="s">
        <v>36</v>
      </c>
      <c r="I2">
        <v>-0.67</v>
      </c>
      <c r="J2">
        <v>0.61</v>
      </c>
      <c r="K2">
        <f>IF(COUNT(0.61, -0.12, 0, 0.01, 0.73, 0.72, 0.77, 0.91, 3.37, 2.46, 1.75, 2.25, 2.74, 2.74, 2.71, 2.75, 2.93, 2.72, 1.87, 1.27, 0.92, 1.04, 1.1, 0.96)&gt;17.5,ROUND(AVERAGE(0.61, -0.12, 0, 0.01, 0.73, 0.72, 0.77, 0.91, 3.37, 2.46, 1.75, 2.25, 2.74, 2.74, 2.71, 2.75, 2.93, 2.72, 1.87, 1.27, 0.92, 1.04, 1.1, 0.96),2),"NO AVG")</f>
        <v>1.55</v>
      </c>
      <c r="M2" t="s">
        <v>50</v>
      </c>
    </row>
    <row r="3" spans="1:13" x14ac:dyDescent="0.25">
      <c r="A3" s="1">
        <v>44784.007731481484</v>
      </c>
      <c r="B3" s="1">
        <v>44784.007662037038</v>
      </c>
      <c r="C3">
        <v>3</v>
      </c>
      <c r="D3">
        <v>2.5</v>
      </c>
      <c r="E3">
        <v>63</v>
      </c>
      <c r="F3">
        <v>0</v>
      </c>
      <c r="G3" t="s">
        <v>33</v>
      </c>
      <c r="H3" t="s">
        <v>36</v>
      </c>
      <c r="I3">
        <v>-0.56999999999999995</v>
      </c>
      <c r="J3" s="2"/>
      <c r="K3" s="2"/>
    </row>
    <row r="4" spans="1:13" x14ac:dyDescent="0.25">
      <c r="A4" s="1">
        <v>44784.014652777776</v>
      </c>
      <c r="B4" s="1">
        <v>44784.014606481483</v>
      </c>
      <c r="C4">
        <v>3</v>
      </c>
      <c r="D4">
        <v>2.5</v>
      </c>
      <c r="E4">
        <v>64</v>
      </c>
      <c r="F4">
        <v>0</v>
      </c>
      <c r="G4" t="s">
        <v>33</v>
      </c>
      <c r="H4" t="s">
        <v>36</v>
      </c>
      <c r="I4">
        <v>-0.64</v>
      </c>
      <c r="J4" s="2"/>
      <c r="K4" s="2"/>
    </row>
    <row r="5" spans="1:13" x14ac:dyDescent="0.25">
      <c r="A5" s="1">
        <v>44784.021597222221</v>
      </c>
      <c r="B5" s="1">
        <v>44784.021550925929</v>
      </c>
      <c r="C5">
        <v>3.1</v>
      </c>
      <c r="D5">
        <v>2.5</v>
      </c>
      <c r="E5">
        <v>63</v>
      </c>
      <c r="F5">
        <v>0</v>
      </c>
      <c r="G5" t="s">
        <v>33</v>
      </c>
      <c r="H5" t="s">
        <v>36</v>
      </c>
      <c r="I5">
        <v>-0.54</v>
      </c>
      <c r="J5" s="2"/>
      <c r="K5" s="2"/>
    </row>
    <row r="6" spans="1:13" x14ac:dyDescent="0.25">
      <c r="A6" s="1">
        <v>44784.028541666667</v>
      </c>
      <c r="B6" s="1">
        <v>44784.028495370374</v>
      </c>
      <c r="C6">
        <v>3.1</v>
      </c>
      <c r="D6">
        <v>2.6</v>
      </c>
      <c r="E6">
        <v>64</v>
      </c>
      <c r="F6">
        <v>0</v>
      </c>
      <c r="G6" t="s">
        <v>33</v>
      </c>
      <c r="H6" t="s">
        <v>36</v>
      </c>
      <c r="I6">
        <v>-0.57999999999999996</v>
      </c>
      <c r="J6" s="2"/>
      <c r="K6" s="2"/>
    </row>
    <row r="7" spans="1:13" x14ac:dyDescent="0.25">
      <c r="A7" s="1">
        <v>44784.035486111112</v>
      </c>
      <c r="B7" s="1">
        <v>44784.035439814812</v>
      </c>
      <c r="C7">
        <v>3.2</v>
      </c>
      <c r="D7">
        <v>2.6</v>
      </c>
      <c r="E7">
        <v>64</v>
      </c>
      <c r="F7">
        <v>0</v>
      </c>
      <c r="G7" t="s">
        <v>33</v>
      </c>
      <c r="H7" t="s">
        <v>36</v>
      </c>
      <c r="I7">
        <v>-0.55000000000000004</v>
      </c>
      <c r="J7" s="2"/>
      <c r="K7" s="2"/>
    </row>
    <row r="8" spans="1:13" x14ac:dyDescent="0.25">
      <c r="A8" s="1">
        <v>44784.042430555557</v>
      </c>
      <c r="B8" s="1">
        <v>44784.042384259257</v>
      </c>
      <c r="C8">
        <v>3.2</v>
      </c>
      <c r="D8">
        <v>2.6</v>
      </c>
      <c r="E8">
        <v>64</v>
      </c>
      <c r="F8">
        <v>0</v>
      </c>
      <c r="G8" t="s">
        <v>33</v>
      </c>
      <c r="H8" t="s">
        <v>36</v>
      </c>
      <c r="I8">
        <v>-0.55000000000000004</v>
      </c>
      <c r="J8">
        <f>IF(COUNT(I3:I8)&gt;3.5,ROUND(AVERAGE(I3:I8),2),"")</f>
        <v>-0.56999999999999995</v>
      </c>
      <c r="K8">
        <f>IF(COUNT(0.61, -0.57, 0, 0.01, 0.73, 0.72, 0.77, 0.91, 3.37, 2.46, 1.75, 2.25, 2.74, 2.74, 2.71, 2.75, 2.93, 2.72, 1.87, 1.27, 0.92, 1.04, 1.1, 0.96)&gt;17.5,ROUND(AVERAGE(0.61, -0.57, 0, 0.01, 0.73, 0.72, 0.77, 0.91, 3.37, 2.46, 1.75, 2.25, 2.74, 2.74, 2.71, 2.75, 2.93, 2.72, 1.87, 1.27, 0.92, 1.04, 1.1, 0.96),2),"NO AVG")</f>
        <v>1.53</v>
      </c>
    </row>
    <row r="9" spans="1:13" x14ac:dyDescent="0.25">
      <c r="A9" s="1">
        <v>44784.049375000002</v>
      </c>
      <c r="B9" s="1">
        <v>44784.049328703702</v>
      </c>
      <c r="C9">
        <v>3.2</v>
      </c>
      <c r="D9">
        <v>2.8</v>
      </c>
      <c r="E9">
        <v>65</v>
      </c>
      <c r="F9">
        <v>0</v>
      </c>
      <c r="G9" t="s">
        <v>33</v>
      </c>
      <c r="H9" t="s">
        <v>36</v>
      </c>
      <c r="I9">
        <v>-0.56000000000000005</v>
      </c>
      <c r="J9" s="2"/>
      <c r="K9" s="2"/>
    </row>
    <row r="10" spans="1:13" x14ac:dyDescent="0.25">
      <c r="A10" s="1">
        <v>44784.056331018517</v>
      </c>
      <c r="B10" s="1">
        <v>44784.056273148148</v>
      </c>
      <c r="C10">
        <v>3.3</v>
      </c>
      <c r="D10">
        <v>2.7</v>
      </c>
      <c r="E10">
        <v>65</v>
      </c>
      <c r="F10">
        <v>0</v>
      </c>
      <c r="G10" t="s">
        <v>33</v>
      </c>
      <c r="H10" t="s">
        <v>36</v>
      </c>
      <c r="I10">
        <v>-0.56000000000000005</v>
      </c>
      <c r="J10" s="2"/>
      <c r="K10" s="2"/>
    </row>
    <row r="11" spans="1:13" x14ac:dyDescent="0.25">
      <c r="A11" s="1">
        <v>44784.063263888886</v>
      </c>
      <c r="B11" s="1">
        <v>44784.063217592593</v>
      </c>
      <c r="C11">
        <v>3.3</v>
      </c>
      <c r="D11">
        <v>2.8</v>
      </c>
      <c r="E11">
        <v>65</v>
      </c>
      <c r="F11">
        <v>0</v>
      </c>
      <c r="G11" t="s">
        <v>33</v>
      </c>
      <c r="H11" t="s">
        <v>36</v>
      </c>
      <c r="I11">
        <v>-0.53</v>
      </c>
      <c r="J11" s="2"/>
      <c r="K11" s="2"/>
    </row>
    <row r="12" spans="1:13" x14ac:dyDescent="0.25">
      <c r="A12" s="1">
        <v>44784.070208333331</v>
      </c>
      <c r="B12" s="1">
        <v>44784.070162037038</v>
      </c>
      <c r="C12">
        <v>3.4</v>
      </c>
      <c r="D12">
        <v>2.9</v>
      </c>
      <c r="E12">
        <v>65</v>
      </c>
      <c r="F12">
        <v>0</v>
      </c>
      <c r="G12" t="s">
        <v>33</v>
      </c>
      <c r="H12" t="s">
        <v>36</v>
      </c>
      <c r="I12">
        <v>-0.47</v>
      </c>
      <c r="J12" s="2"/>
      <c r="K12" s="2"/>
    </row>
    <row r="13" spans="1:13" x14ac:dyDescent="0.25">
      <c r="A13" s="1">
        <v>44784.077164351853</v>
      </c>
      <c r="B13" s="1">
        <v>44784.077106481483</v>
      </c>
      <c r="C13">
        <v>3.5</v>
      </c>
      <c r="D13">
        <v>3</v>
      </c>
      <c r="E13">
        <v>66</v>
      </c>
      <c r="F13">
        <v>0</v>
      </c>
      <c r="G13" t="s">
        <v>33</v>
      </c>
      <c r="H13" t="s">
        <v>36</v>
      </c>
      <c r="I13">
        <v>-0.48</v>
      </c>
      <c r="J13" s="2"/>
      <c r="K13" s="2"/>
    </row>
    <row r="14" spans="1:13" x14ac:dyDescent="0.25">
      <c r="A14" s="1">
        <v>44784.084097222221</v>
      </c>
      <c r="B14" s="1">
        <v>44784.084050925929</v>
      </c>
      <c r="C14">
        <v>3.6</v>
      </c>
      <c r="D14">
        <v>3</v>
      </c>
      <c r="E14">
        <v>66</v>
      </c>
      <c r="F14">
        <v>0</v>
      </c>
      <c r="G14" t="s">
        <v>33</v>
      </c>
      <c r="H14" t="s">
        <v>36</v>
      </c>
      <c r="I14">
        <v>-0.45</v>
      </c>
      <c r="J14">
        <f>IF(COUNT(I9:I14)&gt;3.5,ROUND(AVERAGE(I9:I14),2),"")</f>
        <v>-0.51</v>
      </c>
      <c r="K14">
        <f>IF(COUNT(0.61, -0.57, -0.51, 0.01, 0.73, 0.72, 0.77, 0.91, 3.37, 2.46, 1.75, 2.25, 2.74, 2.74, 2.71, 2.75, 2.93, 2.72, 1.87, 1.27, 0.92, 1.04, 1.1, 0.96)&gt;17.5,ROUND(AVERAGE(0.61, -0.57, -0.51, 0.01, 0.73, 0.72, 0.77, 0.91, 3.37, 2.46, 1.75, 2.25, 2.74, 2.74, 2.71, 2.75, 2.93, 2.72, 1.87, 1.27, 0.92, 1.04, 1.1, 0.96),2),"NO AVG")</f>
        <v>1.51</v>
      </c>
    </row>
    <row r="15" spans="1:13" x14ac:dyDescent="0.25">
      <c r="A15" s="1">
        <v>44784.091041666667</v>
      </c>
      <c r="B15" s="1">
        <v>44784.090995370374</v>
      </c>
      <c r="C15">
        <v>3.4</v>
      </c>
      <c r="D15">
        <v>3</v>
      </c>
      <c r="E15">
        <v>66</v>
      </c>
      <c r="F15">
        <v>0</v>
      </c>
      <c r="G15" t="s">
        <v>33</v>
      </c>
      <c r="H15" t="s">
        <v>36</v>
      </c>
      <c r="I15">
        <v>-0.51</v>
      </c>
      <c r="J15" s="2"/>
      <c r="K15" s="2"/>
    </row>
    <row r="16" spans="1:13" x14ac:dyDescent="0.25">
      <c r="A16" s="1">
        <v>44784.097997685189</v>
      </c>
      <c r="B16" s="1">
        <v>44784.097939814812</v>
      </c>
      <c r="C16">
        <v>3.4</v>
      </c>
      <c r="D16">
        <v>3</v>
      </c>
      <c r="E16">
        <v>66</v>
      </c>
      <c r="F16">
        <v>0</v>
      </c>
      <c r="G16" t="s">
        <v>33</v>
      </c>
      <c r="H16" t="s">
        <v>36</v>
      </c>
      <c r="I16">
        <v>-0.51</v>
      </c>
      <c r="J16" s="2"/>
      <c r="K16" s="2"/>
    </row>
    <row r="17" spans="1:11" x14ac:dyDescent="0.25">
      <c r="A17" s="1">
        <v>44784.104930555557</v>
      </c>
      <c r="B17" s="1">
        <v>44784.104884259257</v>
      </c>
      <c r="C17">
        <v>3.5</v>
      </c>
      <c r="D17">
        <v>2.9</v>
      </c>
      <c r="E17">
        <v>66</v>
      </c>
      <c r="F17">
        <v>0</v>
      </c>
      <c r="G17" t="s">
        <v>33</v>
      </c>
      <c r="H17" t="s">
        <v>36</v>
      </c>
      <c r="I17">
        <v>-0.51</v>
      </c>
      <c r="J17" s="2"/>
      <c r="K17" s="2"/>
    </row>
    <row r="18" spans="1:11" x14ac:dyDescent="0.25">
      <c r="A18" s="1">
        <v>44784.111875000002</v>
      </c>
      <c r="B18" s="1">
        <v>44784.111828703702</v>
      </c>
      <c r="C18">
        <v>3.4</v>
      </c>
      <c r="D18">
        <v>3</v>
      </c>
      <c r="E18">
        <v>66</v>
      </c>
      <c r="F18">
        <v>0</v>
      </c>
      <c r="G18" t="s">
        <v>33</v>
      </c>
      <c r="H18" t="s">
        <v>36</v>
      </c>
      <c r="I18">
        <v>-0.51</v>
      </c>
      <c r="J18" s="2"/>
      <c r="K18" s="2"/>
    </row>
    <row r="19" spans="1:11" x14ac:dyDescent="0.25">
      <c r="A19" s="1">
        <v>44784.118831018517</v>
      </c>
      <c r="B19" s="1">
        <v>44784.118773148148</v>
      </c>
      <c r="C19">
        <v>3.5</v>
      </c>
      <c r="D19">
        <v>3.1</v>
      </c>
      <c r="E19">
        <v>66</v>
      </c>
      <c r="F19">
        <v>0</v>
      </c>
      <c r="G19" t="s">
        <v>33</v>
      </c>
      <c r="H19" t="s">
        <v>36</v>
      </c>
      <c r="I19">
        <v>-0.45</v>
      </c>
      <c r="J19" s="2"/>
      <c r="K19" s="2"/>
    </row>
    <row r="20" spans="1:11" x14ac:dyDescent="0.25">
      <c r="A20" s="1">
        <v>44784.125775462962</v>
      </c>
      <c r="B20" s="1">
        <v>44784.125717592593</v>
      </c>
      <c r="C20">
        <v>3.7</v>
      </c>
      <c r="D20">
        <v>3.2</v>
      </c>
      <c r="E20">
        <v>66</v>
      </c>
      <c r="F20">
        <v>0</v>
      </c>
      <c r="G20" t="s">
        <v>33</v>
      </c>
      <c r="H20" t="s">
        <v>36</v>
      </c>
      <c r="I20">
        <v>-0.36</v>
      </c>
      <c r="J20">
        <f>IF(COUNT(I15:I20)&gt;3.5,ROUND(AVERAGE(I15:I20),2),"")</f>
        <v>-0.48</v>
      </c>
      <c r="K20">
        <f>IF(COUNT(0.61, -0.57, -0.51, -0.48, 0.73, 0.72, 0.77, 0.91, 3.37, 2.46, 1.75, 2.25, 2.74, 2.74, 2.71, 2.75, 2.93, 2.72, 1.87, 1.27, 0.92, 1.04, 1.1, 0.96)&gt;17.5,ROUND(AVERAGE(0.61, -0.57, -0.51, -0.48, 0.73, 0.72, 0.77, 0.91, 3.37, 2.46, 1.75, 2.25, 2.74, 2.74, 2.71, 2.75, 2.93, 2.72, 1.87, 1.27, 0.92, 1.04, 1.1, 0.96),2),"NO AVG")</f>
        <v>1.49</v>
      </c>
    </row>
    <row r="21" spans="1:11" x14ac:dyDescent="0.25">
      <c r="A21" s="1">
        <v>44784.132719907408</v>
      </c>
      <c r="B21" s="1">
        <v>44784.132662037038</v>
      </c>
      <c r="C21">
        <v>3.6</v>
      </c>
      <c r="D21">
        <v>3.1</v>
      </c>
      <c r="E21">
        <v>66</v>
      </c>
      <c r="F21">
        <v>0</v>
      </c>
      <c r="G21" t="s">
        <v>33</v>
      </c>
      <c r="H21" t="s">
        <v>36</v>
      </c>
      <c r="I21">
        <v>-0.42</v>
      </c>
      <c r="J21" s="2"/>
      <c r="K21" s="2"/>
    </row>
    <row r="22" spans="1:11" x14ac:dyDescent="0.25">
      <c r="A22" s="1">
        <v>44784.139664351853</v>
      </c>
      <c r="B22" s="1">
        <v>44784.139606481483</v>
      </c>
      <c r="C22">
        <v>3.5</v>
      </c>
      <c r="D22">
        <v>3.1</v>
      </c>
      <c r="E22">
        <v>66</v>
      </c>
      <c r="F22">
        <v>0</v>
      </c>
      <c r="G22" t="s">
        <v>33</v>
      </c>
      <c r="H22" t="s">
        <v>36</v>
      </c>
      <c r="I22">
        <v>-0.45</v>
      </c>
      <c r="J22" s="2"/>
      <c r="K22" s="2"/>
    </row>
    <row r="23" spans="1:11" x14ac:dyDescent="0.25">
      <c r="A23" s="1">
        <v>44784.146608796298</v>
      </c>
      <c r="B23" s="1">
        <v>44784.146550925929</v>
      </c>
      <c r="C23">
        <v>3.7</v>
      </c>
      <c r="D23">
        <v>3.3</v>
      </c>
      <c r="E23">
        <v>66</v>
      </c>
      <c r="F23">
        <v>0</v>
      </c>
      <c r="G23" t="s">
        <v>33</v>
      </c>
      <c r="H23" t="s">
        <v>36</v>
      </c>
      <c r="I23">
        <v>-0.33</v>
      </c>
      <c r="J23" s="2"/>
      <c r="K23" s="2"/>
    </row>
    <row r="24" spans="1:11" x14ac:dyDescent="0.25">
      <c r="A24" s="1">
        <v>44784.153553240743</v>
      </c>
      <c r="B24" s="1">
        <v>44784.153495370374</v>
      </c>
      <c r="C24">
        <v>3.7</v>
      </c>
      <c r="D24">
        <v>3.2</v>
      </c>
      <c r="E24">
        <v>66</v>
      </c>
      <c r="F24">
        <v>0</v>
      </c>
      <c r="G24" t="s">
        <v>33</v>
      </c>
      <c r="H24" t="s">
        <v>36</v>
      </c>
      <c r="I24">
        <v>-0.36</v>
      </c>
      <c r="J24" s="2"/>
      <c r="K24" s="2"/>
    </row>
    <row r="25" spans="1:11" x14ac:dyDescent="0.25">
      <c r="A25" s="1">
        <v>44784.160497685189</v>
      </c>
      <c r="B25" s="1">
        <v>44784.160439814812</v>
      </c>
      <c r="C25">
        <v>3.8</v>
      </c>
      <c r="D25">
        <v>3.3</v>
      </c>
      <c r="E25">
        <v>66</v>
      </c>
      <c r="F25">
        <v>0</v>
      </c>
      <c r="G25" t="s">
        <v>33</v>
      </c>
      <c r="H25" t="s">
        <v>36</v>
      </c>
      <c r="I25">
        <v>-0.28999999999999998</v>
      </c>
      <c r="J25" s="2"/>
      <c r="K25" s="2"/>
    </row>
    <row r="26" spans="1:11" x14ac:dyDescent="0.25">
      <c r="A26" s="1">
        <v>44784.167442129627</v>
      </c>
      <c r="B26" s="1">
        <v>44784.167384259257</v>
      </c>
      <c r="C26">
        <v>3.9</v>
      </c>
      <c r="D26">
        <v>3.5</v>
      </c>
      <c r="E26">
        <v>67</v>
      </c>
      <c r="F26">
        <v>0</v>
      </c>
      <c r="G26" t="s">
        <v>33</v>
      </c>
      <c r="H26" t="s">
        <v>36</v>
      </c>
      <c r="I26">
        <v>-0.27</v>
      </c>
      <c r="J26">
        <f>IF(COUNT(I21:I26)&gt;3.5,ROUND(AVERAGE(I21:I26),2),"")</f>
        <v>-0.35</v>
      </c>
      <c r="K26">
        <f>IF(COUNT(0.61, -0.57, -0.51, -0.48, -0.35, 0.72, 0.77, 0.91, 3.37, 2.46, 1.75, 2.25, 2.74, 2.74, 2.71, 2.75, 2.93, 2.72, 1.87, 1.27, 0.92, 1.04, 1.1, 0.96)&gt;17.5,ROUND(AVERAGE(0.61, -0.57, -0.51, -0.48, -0.35, 0.72, 0.77, 0.91, 3.37, 2.46, 1.75, 2.25, 2.74, 2.74, 2.71, 2.75, 2.93, 2.72, 1.87, 1.27, 0.92, 1.04, 1.1, 0.96),2),"NO AVG")</f>
        <v>1.45</v>
      </c>
    </row>
    <row r="27" spans="1:11" x14ac:dyDescent="0.25">
      <c r="A27" s="1">
        <v>44784.174398148149</v>
      </c>
      <c r="B27" s="1">
        <v>44784.174328703702</v>
      </c>
      <c r="C27">
        <v>3.9</v>
      </c>
      <c r="D27">
        <v>3.5</v>
      </c>
      <c r="E27">
        <v>67</v>
      </c>
      <c r="F27">
        <v>0</v>
      </c>
      <c r="G27" t="s">
        <v>33</v>
      </c>
      <c r="H27" t="s">
        <v>36</v>
      </c>
      <c r="I27">
        <v>-0.27</v>
      </c>
      <c r="J27" s="2"/>
      <c r="K27" s="2"/>
    </row>
    <row r="28" spans="1:11" x14ac:dyDescent="0.25">
      <c r="A28" s="1"/>
      <c r="B28" s="1">
        <v>44784.180555555555</v>
      </c>
      <c r="J28" s="2"/>
      <c r="K28" s="2"/>
    </row>
    <row r="29" spans="1:11" x14ac:dyDescent="0.25">
      <c r="A29" s="1">
        <v>44784.188275462962</v>
      </c>
      <c r="B29" s="1">
        <v>44784.188217592593</v>
      </c>
      <c r="C29">
        <v>4.3</v>
      </c>
      <c r="D29">
        <v>3.7</v>
      </c>
      <c r="E29">
        <v>67</v>
      </c>
      <c r="F29">
        <v>0</v>
      </c>
      <c r="G29" t="s">
        <v>33</v>
      </c>
      <c r="H29" t="s">
        <v>36</v>
      </c>
      <c r="I29">
        <v>-0.09</v>
      </c>
      <c r="J29" s="2"/>
      <c r="K29" s="2"/>
    </row>
    <row r="30" spans="1:11" x14ac:dyDescent="0.25">
      <c r="A30" s="1">
        <v>44784.195219907408</v>
      </c>
      <c r="B30" s="1">
        <v>44784.195162037038</v>
      </c>
      <c r="C30">
        <v>4.2</v>
      </c>
      <c r="D30">
        <v>3.7</v>
      </c>
      <c r="E30">
        <v>67</v>
      </c>
      <c r="F30">
        <v>0</v>
      </c>
      <c r="G30" t="s">
        <v>33</v>
      </c>
      <c r="H30" t="s">
        <v>36</v>
      </c>
      <c r="I30">
        <v>-0.12</v>
      </c>
      <c r="J30" s="2"/>
      <c r="K30" s="2"/>
    </row>
    <row r="31" spans="1:11" x14ac:dyDescent="0.25">
      <c r="A31" s="1">
        <v>44784.202175925922</v>
      </c>
      <c r="B31" s="1">
        <v>44784.20212962963</v>
      </c>
      <c r="C31">
        <v>4.3</v>
      </c>
      <c r="D31">
        <v>3.6</v>
      </c>
      <c r="E31">
        <v>67</v>
      </c>
      <c r="F31">
        <v>0</v>
      </c>
      <c r="G31" t="s">
        <v>33</v>
      </c>
      <c r="H31" t="s">
        <v>36</v>
      </c>
      <c r="I31">
        <v>-0.12</v>
      </c>
      <c r="J31" s="2"/>
      <c r="K31" s="2"/>
    </row>
    <row r="32" spans="1:11" x14ac:dyDescent="0.25">
      <c r="A32" s="1">
        <v>44784.209108796298</v>
      </c>
      <c r="B32" s="1">
        <v>44784.209050925929</v>
      </c>
      <c r="C32">
        <v>4.3</v>
      </c>
      <c r="D32">
        <v>3.6</v>
      </c>
      <c r="E32">
        <v>67</v>
      </c>
      <c r="F32">
        <v>0</v>
      </c>
      <c r="G32" t="s">
        <v>33</v>
      </c>
      <c r="H32" t="s">
        <v>36</v>
      </c>
      <c r="I32">
        <v>-0.12</v>
      </c>
      <c r="J32">
        <f>IF(COUNT(I27:I32)&gt;3.5,ROUND(AVERAGE(I27:I32),2),"")</f>
        <v>-0.14000000000000001</v>
      </c>
      <c r="K32">
        <f>IF(COUNT(0.61, -0.57, -0.51, -0.48, -0.35, -0.14, 0.77, 0.91, 3.37, 2.46, 1.75, 2.25, 2.74, 2.74, 2.71, 2.75, 2.93, 2.72, 1.87, 1.27, 0.92, 1.04, 1.1, 0.96)&gt;17.5,ROUND(AVERAGE(0.61, -0.57, -0.51, -0.48, -0.35, -0.14, 0.77, 0.91, 3.37, 2.46, 1.75, 2.25, 2.74, 2.74, 2.71, 2.75, 2.93, 2.72, 1.87, 1.27, 0.92, 1.04, 1.1, 0.96),2),"NO AVG")</f>
        <v>1.41</v>
      </c>
    </row>
    <row r="33" spans="1:11" x14ac:dyDescent="0.25">
      <c r="A33" s="1">
        <v>44784.216145833336</v>
      </c>
      <c r="B33" s="1">
        <v>44784.215995370374</v>
      </c>
      <c r="C33">
        <v>4.2</v>
      </c>
      <c r="D33">
        <v>3.7</v>
      </c>
      <c r="E33">
        <v>67</v>
      </c>
      <c r="F33">
        <v>0</v>
      </c>
      <c r="G33" t="s">
        <v>33</v>
      </c>
      <c r="H33" t="s">
        <v>36</v>
      </c>
      <c r="I33">
        <v>-0.12</v>
      </c>
      <c r="J33" s="2"/>
      <c r="K33" s="2"/>
    </row>
    <row r="34" spans="1:11" x14ac:dyDescent="0.25">
      <c r="A34" s="1">
        <v>44784.223009259258</v>
      </c>
      <c r="B34" s="1">
        <v>44784.222939814812</v>
      </c>
      <c r="C34">
        <v>4.2</v>
      </c>
      <c r="D34">
        <v>3.6</v>
      </c>
      <c r="E34">
        <v>67</v>
      </c>
      <c r="F34">
        <v>0</v>
      </c>
      <c r="G34" t="s">
        <v>33</v>
      </c>
      <c r="H34" t="s">
        <v>36</v>
      </c>
      <c r="I34">
        <v>-0.15</v>
      </c>
      <c r="J34" s="2"/>
      <c r="K34" s="2"/>
    </row>
    <row r="35" spans="1:11" x14ac:dyDescent="0.25">
      <c r="A35" s="1">
        <v>44784.229942129627</v>
      </c>
      <c r="B35" s="1">
        <v>44784.229884259257</v>
      </c>
      <c r="C35">
        <v>4.2</v>
      </c>
      <c r="D35">
        <v>3.5</v>
      </c>
      <c r="E35">
        <v>67</v>
      </c>
      <c r="F35">
        <v>0</v>
      </c>
      <c r="G35" t="s">
        <v>33</v>
      </c>
      <c r="H35" t="s">
        <v>36</v>
      </c>
      <c r="I35">
        <v>-0.18</v>
      </c>
      <c r="J35" s="2"/>
      <c r="K35" s="2"/>
    </row>
    <row r="36" spans="1:11" x14ac:dyDescent="0.25">
      <c r="A36" s="1">
        <v>44784.236886574072</v>
      </c>
      <c r="B36" s="1">
        <v>44784.236840277779</v>
      </c>
      <c r="C36">
        <v>4.3</v>
      </c>
      <c r="D36">
        <v>3.4</v>
      </c>
      <c r="E36">
        <v>67</v>
      </c>
      <c r="F36">
        <v>0</v>
      </c>
      <c r="G36" t="s">
        <v>33</v>
      </c>
      <c r="H36" t="s">
        <v>36</v>
      </c>
      <c r="I36">
        <v>-0.18</v>
      </c>
      <c r="J36" s="2"/>
      <c r="K36" s="2"/>
    </row>
    <row r="37" spans="1:11" x14ac:dyDescent="0.25">
      <c r="A37" s="1">
        <v>44784.243831018517</v>
      </c>
      <c r="B37" s="1">
        <v>44784.243773148148</v>
      </c>
      <c r="C37">
        <v>4.3</v>
      </c>
      <c r="D37">
        <v>3.5</v>
      </c>
      <c r="E37">
        <v>66</v>
      </c>
      <c r="F37">
        <v>0</v>
      </c>
      <c r="G37" t="s">
        <v>33</v>
      </c>
      <c r="H37" t="s">
        <v>36</v>
      </c>
      <c r="I37">
        <v>-0.08</v>
      </c>
      <c r="J37" s="2"/>
      <c r="K37" s="2"/>
    </row>
    <row r="38" spans="1:11" x14ac:dyDescent="0.25">
      <c r="A38" s="1">
        <v>44784.250787037039</v>
      </c>
      <c r="B38" s="1">
        <v>44784.25072916667</v>
      </c>
      <c r="C38">
        <v>4.2</v>
      </c>
      <c r="D38">
        <v>3.6</v>
      </c>
      <c r="E38">
        <v>66</v>
      </c>
      <c r="F38">
        <v>0</v>
      </c>
      <c r="G38" t="s">
        <v>33</v>
      </c>
      <c r="H38" t="s">
        <v>36</v>
      </c>
      <c r="I38">
        <v>-0.08</v>
      </c>
      <c r="J38">
        <f>IF(COUNT(I33:I38)&gt;3.5,ROUND(AVERAGE(I33:I38),2),"")</f>
        <v>-0.13</v>
      </c>
      <c r="K38">
        <f>IF(COUNT(0.61, -0.57, -0.51, -0.48, -0.35, -0.14, -0.13, 0.91, 3.37, 2.46, 1.75, 2.25, 2.74, 2.74, 2.71, 2.75, 2.93, 2.72, 1.87, 1.27, 0.92, 1.04, 1.1, 0.96)&gt;17.5,ROUND(AVERAGE(0.61, -0.57, -0.51, -0.48, -0.35, -0.14, -0.13, 0.91, 3.37, 2.46, 1.75, 2.25, 2.74, 2.74, 2.71, 2.75, 2.93, 2.72, 1.87, 1.27, 0.92, 1.04, 1.1, 0.96),2),"NO AVG")</f>
        <v>1.37</v>
      </c>
    </row>
    <row r="39" spans="1:11" x14ac:dyDescent="0.25">
      <c r="A39" s="1">
        <v>44784.257731481484</v>
      </c>
      <c r="B39" s="1">
        <v>44784.257662037038</v>
      </c>
      <c r="C39">
        <v>4.3</v>
      </c>
      <c r="D39">
        <v>3.6</v>
      </c>
      <c r="E39">
        <v>67</v>
      </c>
      <c r="F39">
        <v>0</v>
      </c>
      <c r="G39" t="s">
        <v>33</v>
      </c>
      <c r="H39" t="s">
        <v>36</v>
      </c>
      <c r="I39">
        <v>-0.12</v>
      </c>
      <c r="J39" s="2"/>
      <c r="K39" s="2"/>
    </row>
    <row r="40" spans="1:11" x14ac:dyDescent="0.25">
      <c r="A40" s="1">
        <v>44784.264675925922</v>
      </c>
      <c r="B40" s="1">
        <v>44784.264606481483</v>
      </c>
      <c r="C40">
        <v>4.4000000000000004</v>
      </c>
      <c r="D40">
        <v>3.6</v>
      </c>
      <c r="E40">
        <v>67</v>
      </c>
      <c r="F40">
        <v>0</v>
      </c>
      <c r="G40" t="s">
        <v>33</v>
      </c>
      <c r="H40" t="s">
        <v>36</v>
      </c>
      <c r="I40">
        <v>-0.09</v>
      </c>
      <c r="J40" s="2"/>
      <c r="K40" s="2"/>
    </row>
    <row r="41" spans="1:11" x14ac:dyDescent="0.25">
      <c r="A41" s="1">
        <v>44784.271620370368</v>
      </c>
      <c r="B41" s="1">
        <v>44784.271550925929</v>
      </c>
      <c r="C41">
        <v>4.4000000000000004</v>
      </c>
      <c r="D41">
        <v>3.7</v>
      </c>
      <c r="E41">
        <v>67</v>
      </c>
      <c r="F41">
        <v>0</v>
      </c>
      <c r="G41" t="s">
        <v>33</v>
      </c>
      <c r="H41" t="s">
        <v>36</v>
      </c>
      <c r="I41">
        <v>-0.06</v>
      </c>
      <c r="J41" s="2"/>
      <c r="K41" s="2"/>
    </row>
    <row r="42" spans="1:11" x14ac:dyDescent="0.25">
      <c r="A42" s="1">
        <v>44784.278553240743</v>
      </c>
      <c r="B42" s="1">
        <v>44784.278495370374</v>
      </c>
      <c r="C42">
        <v>4.5999999999999996</v>
      </c>
      <c r="D42">
        <v>3.9</v>
      </c>
      <c r="E42">
        <v>67</v>
      </c>
      <c r="F42">
        <v>0</v>
      </c>
      <c r="G42" t="s">
        <v>33</v>
      </c>
      <c r="H42" t="s">
        <v>36</v>
      </c>
      <c r="I42">
        <v>0.06</v>
      </c>
      <c r="J42" s="2"/>
      <c r="K42" s="2"/>
    </row>
    <row r="43" spans="1:11" x14ac:dyDescent="0.25">
      <c r="A43" s="1">
        <v>44784.285497685189</v>
      </c>
      <c r="B43" s="1">
        <v>44784.285439814812</v>
      </c>
      <c r="C43">
        <v>5.6</v>
      </c>
      <c r="D43">
        <v>4.9000000000000004</v>
      </c>
      <c r="E43">
        <v>67</v>
      </c>
      <c r="F43">
        <v>0</v>
      </c>
      <c r="G43" t="s">
        <v>33</v>
      </c>
      <c r="H43" t="s">
        <v>36</v>
      </c>
      <c r="I43">
        <v>0.67</v>
      </c>
      <c r="J43" s="2"/>
      <c r="K43" s="2"/>
    </row>
    <row r="44" spans="1:11" x14ac:dyDescent="0.25">
      <c r="A44" s="1">
        <v>44784.292442129627</v>
      </c>
      <c r="B44" s="1">
        <v>44784.292384259257</v>
      </c>
      <c r="C44">
        <v>5.8</v>
      </c>
      <c r="D44">
        <v>5</v>
      </c>
      <c r="E44">
        <v>66</v>
      </c>
      <c r="F44">
        <v>0</v>
      </c>
      <c r="G44" t="s">
        <v>33</v>
      </c>
      <c r="H44" t="s">
        <v>36</v>
      </c>
      <c r="I44">
        <v>0.83</v>
      </c>
      <c r="J44">
        <f>IF(COUNT(I39:I44)&gt;3.5,ROUND(AVERAGE(I39:I44),2),"")</f>
        <v>0.22</v>
      </c>
      <c r="K44">
        <f>IF(COUNT(0.61, -0.57, -0.51, -0.48, -0.35, -0.14, -0.13, 0.22, 3.37, 2.46, 1.75, 2.25, 2.74, 2.74, 2.71, 2.75, 2.93, 2.72, 1.87, 1.27, 0.92, 1.04, 1.1, 0.96)&gt;17.5,ROUND(AVERAGE(0.61, -0.57, -0.51, -0.48, -0.35, -0.14, -0.13, 0.22, 3.37, 2.46, 1.75, 2.25, 2.74, 2.74, 2.71, 2.75, 2.93, 2.72, 1.87, 1.27, 0.92, 1.04, 1.1, 0.96),2),"NO AVG")</f>
        <v>1.34</v>
      </c>
    </row>
    <row r="45" spans="1:11" x14ac:dyDescent="0.25">
      <c r="A45" s="1">
        <v>44784.299398148149</v>
      </c>
      <c r="B45" s="1">
        <v>44784.299340277779</v>
      </c>
      <c r="C45">
        <v>5.7</v>
      </c>
      <c r="D45">
        <v>5</v>
      </c>
      <c r="E45">
        <v>65</v>
      </c>
      <c r="F45">
        <v>0</v>
      </c>
      <c r="G45" t="s">
        <v>33</v>
      </c>
      <c r="H45" t="s">
        <v>36</v>
      </c>
      <c r="I45">
        <v>0.87</v>
      </c>
      <c r="J45" s="2"/>
      <c r="K45" s="2"/>
    </row>
    <row r="46" spans="1:11" x14ac:dyDescent="0.25">
      <c r="A46" s="1">
        <v>44784.306331018517</v>
      </c>
      <c r="B46" s="1">
        <v>44784.306273148148</v>
      </c>
      <c r="C46">
        <v>5.5</v>
      </c>
      <c r="D46">
        <v>5</v>
      </c>
      <c r="E46">
        <v>65</v>
      </c>
      <c r="F46">
        <v>0</v>
      </c>
      <c r="G46" t="s">
        <v>33</v>
      </c>
      <c r="H46" t="s">
        <v>36</v>
      </c>
      <c r="I46">
        <v>0.81</v>
      </c>
      <c r="J46" s="2"/>
      <c r="K46" s="2"/>
    </row>
    <row r="47" spans="1:11" x14ac:dyDescent="0.25">
      <c r="A47" s="1">
        <v>44784.313275462962</v>
      </c>
      <c r="B47" s="1">
        <v>44784.313217592593</v>
      </c>
      <c r="C47">
        <v>5.6</v>
      </c>
      <c r="D47">
        <v>5</v>
      </c>
      <c r="E47">
        <v>64</v>
      </c>
      <c r="F47">
        <v>0</v>
      </c>
      <c r="G47" t="s">
        <v>33</v>
      </c>
      <c r="H47" t="s">
        <v>36</v>
      </c>
      <c r="I47">
        <v>0.91</v>
      </c>
      <c r="J47" s="2"/>
      <c r="K47" s="2"/>
    </row>
    <row r="48" spans="1:11" x14ac:dyDescent="0.25">
      <c r="A48" s="1">
        <v>44784.320231481484</v>
      </c>
      <c r="B48" s="1">
        <v>44784.320162037038</v>
      </c>
      <c r="C48">
        <v>5.6</v>
      </c>
      <c r="D48">
        <v>5</v>
      </c>
      <c r="E48">
        <v>64</v>
      </c>
      <c r="F48">
        <v>0</v>
      </c>
      <c r="G48" t="s">
        <v>33</v>
      </c>
      <c r="H48" t="s">
        <v>36</v>
      </c>
      <c r="I48">
        <v>0.91</v>
      </c>
      <c r="J48" s="2"/>
      <c r="K48" s="2"/>
    </row>
    <row r="49" spans="1:11" x14ac:dyDescent="0.25">
      <c r="A49" s="1">
        <v>44784.327175925922</v>
      </c>
      <c r="B49" s="1">
        <v>44784.327106481483</v>
      </c>
      <c r="C49">
        <v>5.8</v>
      </c>
      <c r="D49">
        <v>5.0999999999999996</v>
      </c>
      <c r="E49">
        <v>64</v>
      </c>
      <c r="F49">
        <v>0</v>
      </c>
      <c r="G49" t="s">
        <v>33</v>
      </c>
      <c r="H49" t="s">
        <v>36</v>
      </c>
      <c r="I49">
        <v>1</v>
      </c>
      <c r="J49" s="2"/>
      <c r="K49" s="2"/>
    </row>
    <row r="50" spans="1:11" x14ac:dyDescent="0.25">
      <c r="A50" s="1">
        <v>44784.334120370368</v>
      </c>
      <c r="B50" s="1">
        <v>44784.334050925929</v>
      </c>
      <c r="C50">
        <v>6</v>
      </c>
      <c r="D50">
        <v>5.2</v>
      </c>
      <c r="E50">
        <v>62</v>
      </c>
      <c r="F50">
        <v>0</v>
      </c>
      <c r="G50" t="s">
        <v>33</v>
      </c>
      <c r="H50" t="s">
        <v>36</v>
      </c>
      <c r="I50">
        <v>1.24</v>
      </c>
      <c r="J50">
        <f>IF(COUNT(I45:I50)&gt;3.5,ROUND(AVERAGE(I45:I50),2),"")</f>
        <v>0.96</v>
      </c>
      <c r="K50">
        <f>IF(COUNT(0.61, -0.57, -0.51, -0.48, -0.35, -0.14, -0.13, 0.22, 0.96, 2.46, 1.75, 2.25, 2.74, 2.74, 2.71, 2.75, 2.93, 2.72, 1.87, 1.27, 0.92, 1.04, 1.1, 0.96)&gt;17.5,ROUND(AVERAGE(0.61, -0.57, -0.51, -0.48, -0.35, -0.14, -0.13, 0.22, 0.96, 2.46, 1.75, 2.25, 2.74, 2.74, 2.71, 2.75, 2.93, 2.72, 1.87, 1.27, 0.92, 1.04, 1.1, 0.96),2),"NO AVG")</f>
        <v>1.24</v>
      </c>
    </row>
    <row r="51" spans="1:11" x14ac:dyDescent="0.25">
      <c r="A51" s="1">
        <v>44784.341064814813</v>
      </c>
      <c r="B51" s="1">
        <v>44784.340995370374</v>
      </c>
      <c r="C51">
        <v>5.9</v>
      </c>
      <c r="D51">
        <v>5.3</v>
      </c>
      <c r="E51">
        <v>62</v>
      </c>
      <c r="F51">
        <v>0</v>
      </c>
      <c r="G51" t="s">
        <v>33</v>
      </c>
      <c r="H51" t="s">
        <v>36</v>
      </c>
      <c r="I51">
        <v>1.24</v>
      </c>
      <c r="J51" s="2"/>
      <c r="K51" s="2"/>
    </row>
    <row r="52" spans="1:11" x14ac:dyDescent="0.25">
      <c r="A52" s="1">
        <v>44784.348009259258</v>
      </c>
      <c r="B52" s="1">
        <v>44784.347951388889</v>
      </c>
      <c r="C52">
        <v>6</v>
      </c>
      <c r="D52">
        <v>5</v>
      </c>
      <c r="E52">
        <v>59</v>
      </c>
      <c r="F52">
        <v>0</v>
      </c>
      <c r="G52" t="s">
        <v>33</v>
      </c>
      <c r="H52" t="s">
        <v>36</v>
      </c>
      <c r="I52">
        <v>1.38</v>
      </c>
      <c r="J52" s="2"/>
      <c r="K52" s="2"/>
    </row>
    <row r="53" spans="1:11" x14ac:dyDescent="0.25">
      <c r="A53" s="1">
        <v>44784.354953703703</v>
      </c>
      <c r="B53" s="1">
        <v>44784.354884259257</v>
      </c>
      <c r="C53">
        <v>5.9</v>
      </c>
      <c r="D53">
        <v>5</v>
      </c>
      <c r="E53">
        <v>58</v>
      </c>
      <c r="F53">
        <v>0</v>
      </c>
      <c r="G53" t="s">
        <v>33</v>
      </c>
      <c r="H53" t="s">
        <v>36</v>
      </c>
      <c r="I53">
        <v>1.42</v>
      </c>
      <c r="J53" s="2"/>
      <c r="K53" s="2"/>
    </row>
    <row r="54" spans="1:11" x14ac:dyDescent="0.25">
      <c r="A54" s="1">
        <v>44784.361898148149</v>
      </c>
      <c r="B54" s="1">
        <v>44784.361828703702</v>
      </c>
      <c r="C54">
        <v>5.9</v>
      </c>
      <c r="D54">
        <v>5.0999999999999996</v>
      </c>
      <c r="E54">
        <v>57</v>
      </c>
      <c r="F54">
        <v>0</v>
      </c>
      <c r="G54" t="s">
        <v>33</v>
      </c>
      <c r="H54" t="s">
        <v>36</v>
      </c>
      <c r="I54">
        <v>1.52</v>
      </c>
      <c r="J54" s="2"/>
      <c r="K54" s="2"/>
    </row>
    <row r="55" spans="1:11" x14ac:dyDescent="0.25">
      <c r="A55" s="1">
        <v>44784.368842592594</v>
      </c>
      <c r="B55" s="1">
        <v>44784.368784722225</v>
      </c>
      <c r="C55">
        <v>5.9</v>
      </c>
      <c r="D55">
        <v>5.2</v>
      </c>
      <c r="E55">
        <v>57</v>
      </c>
      <c r="F55">
        <v>0</v>
      </c>
      <c r="G55" t="s">
        <v>33</v>
      </c>
      <c r="H55" t="s">
        <v>36</v>
      </c>
      <c r="I55">
        <v>1.56</v>
      </c>
      <c r="J55" s="2"/>
      <c r="K55" s="2"/>
    </row>
    <row r="56" spans="1:11" x14ac:dyDescent="0.25">
      <c r="A56" s="1">
        <v>44784.375787037039</v>
      </c>
      <c r="B56" s="1">
        <v>44784.375717592593</v>
      </c>
      <c r="C56">
        <v>5.9</v>
      </c>
      <c r="D56">
        <v>5.2</v>
      </c>
      <c r="E56">
        <v>55</v>
      </c>
      <c r="F56">
        <v>0</v>
      </c>
      <c r="G56" t="s">
        <v>33</v>
      </c>
      <c r="H56" t="s">
        <v>36</v>
      </c>
      <c r="I56">
        <v>1.7</v>
      </c>
      <c r="J56">
        <f>IF(COUNT(I51:I56)&gt;3.5,ROUND(AVERAGE(I51:I56),2),"")</f>
        <v>1.47</v>
      </c>
      <c r="K56">
        <f>IF(COUNT(0.61, -0.57, -0.51, -0.48, -0.35, -0.14, -0.13, 0.22, 0.96, 1.47, 1.75, 2.25, 2.74, 2.74, 2.71, 2.75, 2.93, 2.72, 1.87, 1.27, 0.92, 1.04, 1.1, 0.96)&gt;17.5,ROUND(AVERAGE(0.61, -0.57, -0.51, -0.48, -0.35, -0.14, -0.13, 0.22, 0.96, 1.47, 1.75, 2.25, 2.74, 2.74, 2.71, 2.75, 2.93, 2.72, 1.87, 1.27, 0.92, 1.04, 1.1, 0.96),2),"NO AVG")</f>
        <v>1.2</v>
      </c>
    </row>
    <row r="57" spans="1:11" x14ac:dyDescent="0.25">
      <c r="A57" s="1">
        <v>44784.382731481484</v>
      </c>
      <c r="B57" s="1">
        <v>44784.382662037038</v>
      </c>
      <c r="C57">
        <v>5.8</v>
      </c>
      <c r="D57">
        <v>5.2</v>
      </c>
      <c r="E57">
        <v>54</v>
      </c>
      <c r="F57">
        <v>0</v>
      </c>
      <c r="G57" t="s">
        <v>33</v>
      </c>
      <c r="H57" t="s">
        <v>36</v>
      </c>
      <c r="I57">
        <v>1.73</v>
      </c>
      <c r="J57" s="2"/>
      <c r="K57" s="2"/>
    </row>
    <row r="58" spans="1:11" x14ac:dyDescent="0.25">
      <c r="A58" s="1">
        <v>44784.389675925922</v>
      </c>
      <c r="B58" s="1">
        <v>44784.389618055553</v>
      </c>
      <c r="C58">
        <v>5.8</v>
      </c>
      <c r="D58">
        <v>5.0999999999999996</v>
      </c>
      <c r="E58">
        <v>54</v>
      </c>
      <c r="F58">
        <v>0</v>
      </c>
      <c r="G58" t="s">
        <v>33</v>
      </c>
      <c r="H58" t="s">
        <v>36</v>
      </c>
      <c r="I58">
        <v>1.7</v>
      </c>
      <c r="J58" s="2"/>
      <c r="K58" s="2"/>
    </row>
    <row r="59" spans="1:11" x14ac:dyDescent="0.25">
      <c r="A59" s="1">
        <v>44784.396620370368</v>
      </c>
      <c r="B59" s="1">
        <v>44784.396562499998</v>
      </c>
      <c r="C59">
        <v>6</v>
      </c>
      <c r="D59">
        <v>5.0999999999999996</v>
      </c>
      <c r="E59">
        <v>53</v>
      </c>
      <c r="F59">
        <v>0</v>
      </c>
      <c r="G59" t="s">
        <v>33</v>
      </c>
      <c r="H59" t="s">
        <v>36</v>
      </c>
      <c r="I59">
        <v>1.84</v>
      </c>
      <c r="J59" s="2"/>
      <c r="K59" s="2"/>
    </row>
    <row r="60" spans="1:11" x14ac:dyDescent="0.25">
      <c r="A60" s="1">
        <v>44784.403564814813</v>
      </c>
      <c r="B60" s="1">
        <v>44784.403506944444</v>
      </c>
      <c r="C60">
        <v>5.8</v>
      </c>
      <c r="D60">
        <v>5.0999999999999996</v>
      </c>
      <c r="E60">
        <v>51</v>
      </c>
      <c r="F60">
        <v>0</v>
      </c>
      <c r="G60" t="s">
        <v>33</v>
      </c>
      <c r="H60" t="s">
        <v>36</v>
      </c>
      <c r="I60">
        <v>1.91</v>
      </c>
      <c r="J60" s="2"/>
      <c r="K60" s="2"/>
    </row>
    <row r="61" spans="1:11" x14ac:dyDescent="0.25">
      <c r="A61" s="1">
        <v>44784.410567129627</v>
      </c>
      <c r="B61" s="1">
        <v>44784.410451388889</v>
      </c>
      <c r="C61">
        <v>5.5</v>
      </c>
      <c r="D61">
        <v>5</v>
      </c>
      <c r="E61">
        <v>49</v>
      </c>
      <c r="F61">
        <v>0</v>
      </c>
      <c r="G61" t="s">
        <v>33</v>
      </c>
      <c r="H61" t="s">
        <v>36</v>
      </c>
      <c r="I61">
        <v>1.93</v>
      </c>
      <c r="J61" s="2"/>
      <c r="K61" s="2"/>
    </row>
    <row r="62" spans="1:11" x14ac:dyDescent="0.25">
      <c r="A62" s="1">
        <v>44784.417453703703</v>
      </c>
      <c r="B62" s="1">
        <v>44784.417395833334</v>
      </c>
      <c r="C62">
        <v>5.3</v>
      </c>
      <c r="D62">
        <v>4.8</v>
      </c>
      <c r="E62">
        <v>48</v>
      </c>
      <c r="F62">
        <v>0</v>
      </c>
      <c r="G62" t="s">
        <v>33</v>
      </c>
      <c r="H62" t="s">
        <v>36</v>
      </c>
      <c r="I62">
        <v>1.88</v>
      </c>
      <c r="J62">
        <f>IF(COUNT(I57:I62)&gt;3.5,ROUND(AVERAGE(I57:I62),2),"")</f>
        <v>1.83</v>
      </c>
      <c r="K62">
        <f>IF(COUNT(0.61, -0.57, -0.51, -0.48, -0.35, -0.14, -0.13, 0.22, 0.96, 1.47, 1.83, 2.25, 2.74, 2.74, 2.71, 2.75, 2.93, 2.72, 1.87, 1.27, 0.92, 1.04, 1.1, 0.96)&gt;17.5,ROUND(AVERAGE(0.61, -0.57, -0.51, -0.48, -0.35, -0.14, -0.13, 0.22, 0.96, 1.47, 1.83, 2.25, 2.74, 2.74, 2.71, 2.75, 2.93, 2.72, 1.87, 1.27, 0.92, 1.04, 1.1, 0.96),2),"NO AVG")</f>
        <v>1.2</v>
      </c>
    </row>
    <row r="63" spans="1:11" x14ac:dyDescent="0.25">
      <c r="A63" s="1">
        <v>44784.424398148149</v>
      </c>
      <c r="B63" s="1">
        <v>44784.424340277779</v>
      </c>
      <c r="C63">
        <v>5</v>
      </c>
      <c r="D63">
        <v>4.5</v>
      </c>
      <c r="E63">
        <v>47</v>
      </c>
      <c r="F63">
        <v>0</v>
      </c>
      <c r="G63" t="s">
        <v>33</v>
      </c>
      <c r="H63" t="s">
        <v>36</v>
      </c>
      <c r="I63">
        <v>1.77</v>
      </c>
      <c r="J63" s="2"/>
      <c r="K63" s="2"/>
    </row>
    <row r="64" spans="1:11" x14ac:dyDescent="0.25">
      <c r="A64" s="1">
        <v>44784.431342592594</v>
      </c>
      <c r="B64" s="1">
        <v>44784.431284722225</v>
      </c>
      <c r="C64">
        <v>4.9000000000000004</v>
      </c>
      <c r="D64">
        <v>4.3</v>
      </c>
      <c r="E64">
        <v>45</v>
      </c>
      <c r="F64">
        <v>0</v>
      </c>
      <c r="G64" t="s">
        <v>33</v>
      </c>
      <c r="H64" t="s">
        <v>36</v>
      </c>
      <c r="I64">
        <v>1.82</v>
      </c>
      <c r="J64" s="2"/>
      <c r="K64" s="2"/>
    </row>
    <row r="65" spans="1:11" x14ac:dyDescent="0.25">
      <c r="A65" s="1">
        <v>44784.438298611109</v>
      </c>
      <c r="B65" s="1">
        <v>44784.43822916667</v>
      </c>
      <c r="C65">
        <v>4.9000000000000004</v>
      </c>
      <c r="D65">
        <v>4.2</v>
      </c>
      <c r="E65">
        <v>43</v>
      </c>
      <c r="F65">
        <v>0</v>
      </c>
      <c r="G65" t="s">
        <v>33</v>
      </c>
      <c r="H65" t="s">
        <v>36</v>
      </c>
      <c r="I65">
        <v>1.93</v>
      </c>
      <c r="J65" s="2"/>
      <c r="K65" s="2"/>
    </row>
    <row r="66" spans="1:11" x14ac:dyDescent="0.25">
      <c r="A66" s="1">
        <v>44784.445231481484</v>
      </c>
      <c r="B66" s="1">
        <v>44784.445173611108</v>
      </c>
      <c r="C66">
        <v>4.8</v>
      </c>
      <c r="D66">
        <v>4</v>
      </c>
      <c r="E66">
        <v>40</v>
      </c>
      <c r="F66">
        <v>0</v>
      </c>
      <c r="G66" t="s">
        <v>33</v>
      </c>
      <c r="H66" t="s">
        <v>36</v>
      </c>
      <c r="I66">
        <v>2.04</v>
      </c>
      <c r="J66" s="2"/>
      <c r="K66" s="2"/>
    </row>
    <row r="67" spans="1:11" x14ac:dyDescent="0.25">
      <c r="A67" s="1">
        <v>44784.452175925922</v>
      </c>
      <c r="B67" s="1">
        <v>44784.452118055553</v>
      </c>
      <c r="C67">
        <v>4.7</v>
      </c>
      <c r="D67">
        <v>4</v>
      </c>
      <c r="E67">
        <v>39</v>
      </c>
      <c r="F67">
        <v>0</v>
      </c>
      <c r="G67" t="s">
        <v>33</v>
      </c>
      <c r="H67" t="s">
        <v>36</v>
      </c>
      <c r="I67">
        <v>2.08</v>
      </c>
      <c r="J67" s="2"/>
      <c r="K67" s="2"/>
    </row>
    <row r="68" spans="1:11" x14ac:dyDescent="0.25">
      <c r="A68" s="1">
        <v>44784.459120370368</v>
      </c>
      <c r="B68" s="1">
        <v>44784.459062499998</v>
      </c>
      <c r="C68">
        <v>4.5999999999999996</v>
      </c>
      <c r="D68">
        <v>3.9</v>
      </c>
      <c r="E68">
        <v>37</v>
      </c>
      <c r="F68">
        <v>0</v>
      </c>
      <c r="G68" t="s">
        <v>33</v>
      </c>
      <c r="H68" t="s">
        <v>36</v>
      </c>
      <c r="I68">
        <v>2.16</v>
      </c>
      <c r="J68">
        <f>IF(COUNT(I63:I68)&gt;3.5,ROUND(AVERAGE(I63:I68),2),"")</f>
        <v>1.97</v>
      </c>
      <c r="K68">
        <f>IF(COUNT(0.61, -0.57, -0.51, -0.48, -0.35, -0.14, -0.13, 0.22, 0.96, 1.47, 1.83, 1.97, 2.74, 2.74, 2.71, 2.75, 2.93, 2.72, 1.87, 1.27, 0.92, 1.04, 1.1, 0.96)&gt;17.5,ROUND(AVERAGE(0.61, -0.57, -0.51, -0.48, -0.35, -0.14, -0.13, 0.22, 0.96, 1.47, 1.83, 1.97, 2.74, 2.74, 2.71, 2.75, 2.93, 2.72, 1.87, 1.27, 0.92, 1.04, 1.1, 0.96),2),"NO AVG")</f>
        <v>1.19</v>
      </c>
    </row>
    <row r="69" spans="1:11" x14ac:dyDescent="0.25">
      <c r="A69" s="1">
        <v>44784.46607638889</v>
      </c>
      <c r="B69" s="1">
        <v>44784.466006944444</v>
      </c>
      <c r="C69">
        <v>4.4000000000000004</v>
      </c>
      <c r="D69">
        <v>3.8</v>
      </c>
      <c r="E69">
        <v>34</v>
      </c>
      <c r="F69">
        <v>0</v>
      </c>
      <c r="G69" t="s">
        <v>33</v>
      </c>
      <c r="H69" t="s">
        <v>36</v>
      </c>
      <c r="I69">
        <v>2.2799999999999998</v>
      </c>
      <c r="J69" s="2"/>
      <c r="K69" s="2"/>
    </row>
    <row r="70" spans="1:11" x14ac:dyDescent="0.25">
      <c r="A70" s="1">
        <v>44784.473009259258</v>
      </c>
      <c r="B70" s="1">
        <v>44784.472951388889</v>
      </c>
      <c r="C70">
        <v>4.0999999999999996</v>
      </c>
      <c r="D70">
        <v>3.5</v>
      </c>
      <c r="E70">
        <v>32</v>
      </c>
      <c r="F70">
        <v>0</v>
      </c>
      <c r="G70" t="s">
        <v>33</v>
      </c>
      <c r="H70" t="s">
        <v>36</v>
      </c>
      <c r="I70">
        <v>2.2400000000000002</v>
      </c>
      <c r="J70" s="2"/>
      <c r="K70" s="2"/>
    </row>
    <row r="71" spans="1:11" x14ac:dyDescent="0.25">
      <c r="A71" s="1">
        <v>44784.479953703703</v>
      </c>
      <c r="B71" s="1">
        <v>44784.479895833334</v>
      </c>
      <c r="C71">
        <v>3.6</v>
      </c>
      <c r="D71">
        <v>3.3</v>
      </c>
      <c r="E71">
        <v>32</v>
      </c>
      <c r="F71">
        <v>0</v>
      </c>
      <c r="G71" t="s">
        <v>33</v>
      </c>
      <c r="H71" t="s">
        <v>36</v>
      </c>
      <c r="I71">
        <v>2.02</v>
      </c>
      <c r="J71" s="2"/>
      <c r="K71" s="2"/>
    </row>
    <row r="72" spans="1:11" x14ac:dyDescent="0.25">
      <c r="A72" s="1">
        <v>44784.486932870372</v>
      </c>
      <c r="B72" s="1">
        <v>44784.486840277779</v>
      </c>
      <c r="C72">
        <v>3.3</v>
      </c>
      <c r="D72">
        <v>3</v>
      </c>
      <c r="E72">
        <v>29</v>
      </c>
      <c r="F72">
        <v>0</v>
      </c>
      <c r="G72" t="s">
        <v>33</v>
      </c>
      <c r="H72" t="s">
        <v>36</v>
      </c>
      <c r="I72">
        <v>2.0499999999999998</v>
      </c>
      <c r="J72" s="2"/>
      <c r="K72" s="2"/>
    </row>
    <row r="73" spans="1:11" x14ac:dyDescent="0.25">
      <c r="A73" s="1">
        <v>44784.493900462963</v>
      </c>
      <c r="B73" s="1">
        <v>44784.493784722225</v>
      </c>
      <c r="C73">
        <v>3</v>
      </c>
      <c r="D73">
        <v>2.5</v>
      </c>
      <c r="E73">
        <v>26</v>
      </c>
      <c r="F73">
        <v>0</v>
      </c>
      <c r="G73" t="s">
        <v>33</v>
      </c>
      <c r="H73" t="s">
        <v>36</v>
      </c>
      <c r="I73">
        <v>2.02</v>
      </c>
      <c r="J73" s="2"/>
      <c r="K73" s="2"/>
    </row>
    <row r="74" spans="1:11" x14ac:dyDescent="0.25">
      <c r="A74" s="1">
        <v>44784.500798611109</v>
      </c>
      <c r="B74" s="1">
        <v>44784.50072916667</v>
      </c>
      <c r="C74">
        <v>2.9</v>
      </c>
      <c r="D74">
        <v>2.4</v>
      </c>
      <c r="E74">
        <v>24</v>
      </c>
      <c r="F74">
        <v>0</v>
      </c>
      <c r="G74" t="s">
        <v>33</v>
      </c>
      <c r="H74" t="s">
        <v>36</v>
      </c>
      <c r="I74">
        <v>2.1</v>
      </c>
      <c r="J74">
        <f>IF(COUNT(I69:I74)&gt;3.5,ROUND(AVERAGE(I69:I74),2),"")</f>
        <v>2.12</v>
      </c>
      <c r="K74">
        <f>IF(COUNT(0.61, -0.57, -0.51, -0.48, -0.35, -0.14, -0.13, 0.22, 0.96, 1.47, 1.83, 1.97, 2.12, 2.74, 2.71, 2.75, 2.93, 2.72, 1.87, 1.27, 0.92, 1.04, 1.1, 0.96)&gt;17.5,ROUND(AVERAGE(0.61, -0.57, -0.51, -0.48, -0.35, -0.14, -0.13, 0.22, 0.96, 1.47, 1.83, 1.97, 2.12, 2.74, 2.71, 2.75, 2.93, 2.72, 1.87, 1.27, 0.92, 1.04, 1.1, 0.96),2),"NO AVG")</f>
        <v>1.17</v>
      </c>
    </row>
    <row r="75" spans="1:11" x14ac:dyDescent="0.25">
      <c r="A75" s="1">
        <v>44784.507743055554</v>
      </c>
      <c r="B75" s="1">
        <v>44784.507673611108</v>
      </c>
      <c r="C75">
        <v>2.6</v>
      </c>
      <c r="D75">
        <v>2.2000000000000002</v>
      </c>
      <c r="E75">
        <v>23</v>
      </c>
      <c r="F75">
        <v>0</v>
      </c>
      <c r="G75" t="s">
        <v>33</v>
      </c>
      <c r="H75" t="s">
        <v>36</v>
      </c>
      <c r="I75">
        <v>2.0099999999999998</v>
      </c>
      <c r="J75" s="2"/>
      <c r="K75" s="2"/>
    </row>
    <row r="76" spans="1:11" x14ac:dyDescent="0.25">
      <c r="A76" s="1">
        <v>44784.514687499999</v>
      </c>
      <c r="B76" s="1">
        <v>44784.514618055553</v>
      </c>
      <c r="C76">
        <v>2.5</v>
      </c>
      <c r="D76">
        <v>2.2000000000000002</v>
      </c>
      <c r="E76">
        <v>22</v>
      </c>
      <c r="F76">
        <v>0</v>
      </c>
      <c r="G76" t="s">
        <v>33</v>
      </c>
      <c r="H76" t="s">
        <v>36</v>
      </c>
      <c r="I76">
        <v>2.0499999999999998</v>
      </c>
      <c r="J76" s="2"/>
      <c r="K76" s="2"/>
    </row>
    <row r="77" spans="1:11" x14ac:dyDescent="0.25">
      <c r="A77" s="1">
        <v>44784.521631944444</v>
      </c>
      <c r="B77" s="1">
        <v>44784.521562499998</v>
      </c>
      <c r="C77">
        <v>2.4</v>
      </c>
      <c r="D77">
        <v>2.1</v>
      </c>
      <c r="E77">
        <v>23</v>
      </c>
      <c r="F77">
        <v>0</v>
      </c>
      <c r="G77" t="s">
        <v>33</v>
      </c>
      <c r="H77" t="s">
        <v>36</v>
      </c>
      <c r="I77">
        <v>1.92</v>
      </c>
      <c r="J77" s="2"/>
      <c r="K77" s="2"/>
    </row>
    <row r="78" spans="1:11" x14ac:dyDescent="0.25">
      <c r="A78" s="1">
        <v>44784.528599537036</v>
      </c>
      <c r="B78" s="1">
        <v>44784.528506944444</v>
      </c>
      <c r="C78">
        <v>2.2999999999999998</v>
      </c>
      <c r="D78">
        <v>2.1</v>
      </c>
      <c r="E78">
        <v>22</v>
      </c>
      <c r="F78">
        <v>0</v>
      </c>
      <c r="G78" t="s">
        <v>33</v>
      </c>
      <c r="H78" t="s">
        <v>36</v>
      </c>
      <c r="I78">
        <v>1.96</v>
      </c>
      <c r="J78" s="2"/>
      <c r="K78" s="2"/>
    </row>
    <row r="79" spans="1:11" x14ac:dyDescent="0.25">
      <c r="A79" s="1">
        <v>44784.535520833335</v>
      </c>
      <c r="B79" s="1">
        <v>44784.535451388889</v>
      </c>
      <c r="C79">
        <v>2.4</v>
      </c>
      <c r="D79">
        <v>2.2000000000000002</v>
      </c>
      <c r="E79">
        <v>23</v>
      </c>
      <c r="F79">
        <v>0</v>
      </c>
      <c r="G79" t="s">
        <v>33</v>
      </c>
      <c r="H79" t="s">
        <v>36</v>
      </c>
      <c r="I79">
        <v>1.95</v>
      </c>
      <c r="J79" s="2"/>
      <c r="K79" s="2"/>
    </row>
    <row r="80" spans="1:11" x14ac:dyDescent="0.25">
      <c r="A80" s="1">
        <v>44784.54246527778</v>
      </c>
      <c r="B80" s="1">
        <v>44784.542395833334</v>
      </c>
      <c r="C80">
        <v>2.4</v>
      </c>
      <c r="D80">
        <v>2.1</v>
      </c>
      <c r="E80">
        <v>24</v>
      </c>
      <c r="F80">
        <v>0</v>
      </c>
      <c r="G80" t="s">
        <v>33</v>
      </c>
      <c r="H80" t="s">
        <v>36</v>
      </c>
      <c r="I80">
        <v>1.85</v>
      </c>
      <c r="J80">
        <f>IF(COUNT(I75:I80)&gt;3.5,ROUND(AVERAGE(I75:I80),2),"")</f>
        <v>1.96</v>
      </c>
      <c r="K80">
        <f>IF(COUNT(0.61, -0.57, -0.51, -0.48, -0.35, -0.14, -0.13, 0.22, 0.96, 1.47, 1.83, 1.97, 2.12, 1.96, 2.71, 2.75, 2.93, 2.72, 1.87, 1.27, 0.92, 1.04, 1.1, 0.96)&gt;17.5,ROUND(AVERAGE(0.61, -0.57, -0.51, -0.48, -0.35, -0.14, -0.13, 0.22, 0.96, 1.47, 1.83, 1.97, 2.12, 1.96, 2.71, 2.75, 2.93, 2.72, 1.87, 1.27, 0.92, 1.04, 1.1, 0.96),2),"NO AVG")</f>
        <v>1.1299999999999999</v>
      </c>
    </row>
    <row r="81" spans="1:11" x14ac:dyDescent="0.25">
      <c r="A81" s="1">
        <v>44784.549409722225</v>
      </c>
      <c r="B81" s="1">
        <v>44784.549340277779</v>
      </c>
      <c r="C81">
        <v>2.5</v>
      </c>
      <c r="D81">
        <v>2.2000000000000002</v>
      </c>
      <c r="E81">
        <v>23</v>
      </c>
      <c r="F81">
        <v>0</v>
      </c>
      <c r="G81" t="s">
        <v>33</v>
      </c>
      <c r="H81" t="s">
        <v>36</v>
      </c>
      <c r="I81">
        <v>1.98</v>
      </c>
      <c r="J81" s="2"/>
      <c r="K81" s="2"/>
    </row>
    <row r="82" spans="1:11" x14ac:dyDescent="0.25">
      <c r="A82" s="1">
        <v>44784.556851851848</v>
      </c>
      <c r="B82" s="1">
        <v>44784.556284722225</v>
      </c>
      <c r="C82">
        <v>2.5</v>
      </c>
      <c r="D82">
        <v>2.2999999999999998</v>
      </c>
      <c r="E82">
        <v>26</v>
      </c>
      <c r="F82">
        <v>0</v>
      </c>
      <c r="G82" t="s">
        <v>33</v>
      </c>
      <c r="H82" t="s">
        <v>36</v>
      </c>
      <c r="I82">
        <v>1.8</v>
      </c>
      <c r="J82" s="2"/>
      <c r="K82" s="2"/>
    </row>
    <row r="83" spans="1:11" x14ac:dyDescent="0.25">
      <c r="A83" s="1">
        <v>44784.563298611109</v>
      </c>
      <c r="B83" s="1">
        <v>44784.56322916667</v>
      </c>
      <c r="C83">
        <v>2.5</v>
      </c>
      <c r="D83">
        <v>2.2999999999999998</v>
      </c>
      <c r="E83">
        <v>26</v>
      </c>
      <c r="F83">
        <v>0</v>
      </c>
      <c r="G83" t="s">
        <v>33</v>
      </c>
      <c r="H83" t="s">
        <v>36</v>
      </c>
      <c r="I83">
        <v>1.8</v>
      </c>
      <c r="J83" s="2"/>
      <c r="K83" s="2"/>
    </row>
    <row r="84" spans="1:11" x14ac:dyDescent="0.25">
      <c r="A84" s="1">
        <v>44784.570300925923</v>
      </c>
      <c r="B84" s="1">
        <v>44784.570173611108</v>
      </c>
      <c r="C84">
        <v>2.7</v>
      </c>
      <c r="D84">
        <v>2.2999999999999998</v>
      </c>
      <c r="E84">
        <v>24</v>
      </c>
      <c r="F84">
        <v>0</v>
      </c>
      <c r="G84" t="s">
        <v>33</v>
      </c>
      <c r="H84" t="s">
        <v>36</v>
      </c>
      <c r="I84">
        <v>2</v>
      </c>
      <c r="J84" s="2"/>
      <c r="K84" s="2"/>
    </row>
    <row r="85" spans="1:11" x14ac:dyDescent="0.25">
      <c r="A85" s="1">
        <v>44784.577187499999</v>
      </c>
      <c r="B85" s="1">
        <v>44784.577118055553</v>
      </c>
      <c r="C85">
        <v>2.7</v>
      </c>
      <c r="D85">
        <v>2.4</v>
      </c>
      <c r="E85">
        <v>24</v>
      </c>
      <c r="F85">
        <v>0</v>
      </c>
      <c r="G85" t="s">
        <v>33</v>
      </c>
      <c r="H85" t="s">
        <v>36</v>
      </c>
      <c r="I85">
        <v>2.04</v>
      </c>
      <c r="J85" s="2"/>
      <c r="K85" s="2"/>
    </row>
    <row r="86" spans="1:11" x14ac:dyDescent="0.25">
      <c r="A86" s="1">
        <v>44784.584131944444</v>
      </c>
      <c r="B86" s="1">
        <v>44784.584062499998</v>
      </c>
      <c r="C86">
        <v>2.7</v>
      </c>
      <c r="D86">
        <v>2.5</v>
      </c>
      <c r="E86">
        <v>23</v>
      </c>
      <c r="F86">
        <v>0</v>
      </c>
      <c r="G86" t="s">
        <v>33</v>
      </c>
      <c r="H86" t="s">
        <v>36</v>
      </c>
      <c r="I86">
        <v>2.14</v>
      </c>
      <c r="J86">
        <f>IF(COUNT(I81:I86)&gt;3.5,ROUND(AVERAGE(I81:I86),2),"")</f>
        <v>1.96</v>
      </c>
      <c r="K86">
        <f>IF(COUNT(0.61, -0.57, -0.51, -0.48, -0.35, -0.14, -0.13, 0.22, 0.96, 1.47, 1.83, 1.97, 2.12, 1.96, 1.96, 2.75, 2.93, 2.72, 1.87, 1.27, 0.92, 1.04, 1.1, 0.96)&gt;17.5,ROUND(AVERAGE(0.61, -0.57, -0.51, -0.48, -0.35, -0.14, -0.13, 0.22, 0.96, 1.47, 1.83, 1.97, 2.12, 1.96, 1.96, 2.75, 2.93, 2.72, 1.87, 1.27, 0.92, 1.04, 1.1, 0.96),2),"NO AVG")</f>
        <v>1.1000000000000001</v>
      </c>
    </row>
    <row r="87" spans="1:11" x14ac:dyDescent="0.25">
      <c r="A87" s="1">
        <v>44784.591145833336</v>
      </c>
      <c r="B87" s="1">
        <v>44784.591006944444</v>
      </c>
      <c r="C87">
        <v>2.9</v>
      </c>
      <c r="D87">
        <v>2.5</v>
      </c>
      <c r="E87">
        <v>23</v>
      </c>
      <c r="F87">
        <v>0</v>
      </c>
      <c r="G87" t="s">
        <v>33</v>
      </c>
      <c r="H87" t="s">
        <v>36</v>
      </c>
      <c r="I87">
        <v>2.2000000000000002</v>
      </c>
      <c r="J87" s="2"/>
      <c r="K87" s="2"/>
    </row>
    <row r="88" spans="1:11" x14ac:dyDescent="0.25">
      <c r="A88" s="1">
        <v>44784.598020833335</v>
      </c>
      <c r="B88" s="1">
        <v>44784.597951388889</v>
      </c>
      <c r="C88">
        <v>2.9</v>
      </c>
      <c r="D88">
        <v>2.6</v>
      </c>
      <c r="E88">
        <v>23</v>
      </c>
      <c r="F88">
        <v>0</v>
      </c>
      <c r="G88" t="s">
        <v>33</v>
      </c>
      <c r="H88" t="s">
        <v>36</v>
      </c>
      <c r="I88">
        <v>2.23</v>
      </c>
      <c r="J88" s="2"/>
      <c r="K88" s="2"/>
    </row>
    <row r="89" spans="1:11" x14ac:dyDescent="0.25">
      <c r="A89" s="1">
        <v>44784.60497685185</v>
      </c>
      <c r="B89" s="1">
        <v>44784.604895833334</v>
      </c>
      <c r="C89">
        <v>3</v>
      </c>
      <c r="D89">
        <v>2.6</v>
      </c>
      <c r="E89">
        <v>23</v>
      </c>
      <c r="F89">
        <v>0</v>
      </c>
      <c r="G89" t="s">
        <v>33</v>
      </c>
      <c r="H89" t="s">
        <v>36</v>
      </c>
      <c r="I89">
        <v>2.2599999999999998</v>
      </c>
      <c r="J89" s="2"/>
      <c r="K89" s="2"/>
    </row>
    <row r="90" spans="1:11" x14ac:dyDescent="0.25">
      <c r="A90" s="1">
        <v>44784.611967592595</v>
      </c>
      <c r="B90" s="1">
        <v>44784.611840277779</v>
      </c>
      <c r="C90">
        <v>3</v>
      </c>
      <c r="D90">
        <v>2.6</v>
      </c>
      <c r="E90">
        <v>21</v>
      </c>
      <c r="F90">
        <v>0</v>
      </c>
      <c r="G90" t="s">
        <v>33</v>
      </c>
      <c r="H90" t="s">
        <v>36</v>
      </c>
      <c r="I90">
        <v>2.4</v>
      </c>
      <c r="J90" s="2"/>
      <c r="K90" s="2"/>
    </row>
    <row r="91" spans="1:11" x14ac:dyDescent="0.25">
      <c r="A91" s="1">
        <v>44784.618854166663</v>
      </c>
      <c r="B91" s="1">
        <v>44784.618784722225</v>
      </c>
      <c r="C91">
        <v>3</v>
      </c>
      <c r="D91">
        <v>2.5</v>
      </c>
      <c r="E91">
        <v>20</v>
      </c>
      <c r="F91">
        <v>0</v>
      </c>
      <c r="G91" t="s">
        <v>33</v>
      </c>
      <c r="H91" t="s">
        <v>36</v>
      </c>
      <c r="I91">
        <v>2.44</v>
      </c>
      <c r="J91" s="2"/>
      <c r="K91" s="2"/>
    </row>
    <row r="92" spans="1:11" x14ac:dyDescent="0.25">
      <c r="A92" s="1">
        <v>44784.625844907408</v>
      </c>
      <c r="B92" s="1">
        <v>44784.62572916667</v>
      </c>
      <c r="C92">
        <v>3</v>
      </c>
      <c r="D92">
        <v>2.6</v>
      </c>
      <c r="E92">
        <v>19</v>
      </c>
      <c r="F92">
        <v>0</v>
      </c>
      <c r="G92" t="s">
        <v>33</v>
      </c>
      <c r="H92" t="s">
        <v>36</v>
      </c>
      <c r="I92">
        <v>2.54</v>
      </c>
      <c r="J92">
        <f>IF(COUNT(I87:I92)&gt;3.5,ROUND(AVERAGE(I87:I92),2),"")</f>
        <v>2.35</v>
      </c>
      <c r="K92">
        <f>IF(COUNT(0.61, -0.57, -0.51, -0.48, -0.35, -0.14, -0.13, 0.22, 0.96, 1.47, 1.83, 1.97, 2.12, 1.96, 1.96, 2.35, 2.93, 2.72, 1.87, 1.27, 0.92, 1.04, 1.1, 0.96)&gt;17.5,ROUND(AVERAGE(0.61, -0.57, -0.51, -0.48, -0.35, -0.14, -0.13, 0.22, 0.96, 1.47, 1.83, 1.97, 2.12, 1.96, 1.96, 2.35, 2.93, 2.72, 1.87, 1.27, 0.92, 1.04, 1.1, 0.96),2),"NO AVG")</f>
        <v>1.0900000000000001</v>
      </c>
    </row>
    <row r="93" spans="1:11" x14ac:dyDescent="0.25">
      <c r="A93" s="1">
        <v>44784.632743055554</v>
      </c>
      <c r="B93" s="1">
        <v>44784.632673611108</v>
      </c>
      <c r="C93">
        <v>3</v>
      </c>
      <c r="D93">
        <v>2.7</v>
      </c>
      <c r="E93">
        <v>19</v>
      </c>
      <c r="F93">
        <v>0</v>
      </c>
      <c r="G93" t="s">
        <v>33</v>
      </c>
      <c r="H93" t="s">
        <v>36</v>
      </c>
      <c r="I93">
        <v>2.57</v>
      </c>
      <c r="J93" s="2"/>
      <c r="K93" s="2"/>
    </row>
    <row r="94" spans="1:11" x14ac:dyDescent="0.25">
      <c r="A94" s="1">
        <v>44784.639664351853</v>
      </c>
      <c r="B94" s="1">
        <v>44784.639618055553</v>
      </c>
      <c r="C94">
        <v>3</v>
      </c>
      <c r="D94">
        <v>2.7</v>
      </c>
      <c r="E94">
        <v>19</v>
      </c>
      <c r="F94">
        <v>0</v>
      </c>
      <c r="G94" t="s">
        <v>33</v>
      </c>
      <c r="H94" t="s">
        <v>36</v>
      </c>
      <c r="I94">
        <v>2.57</v>
      </c>
      <c r="J94" s="2"/>
      <c r="K94" s="2"/>
    </row>
    <row r="95" spans="1:11" x14ac:dyDescent="0.25">
      <c r="A95" s="1">
        <v>44784.646620370368</v>
      </c>
      <c r="B95" s="1">
        <v>44784.646562499998</v>
      </c>
      <c r="C95">
        <v>3</v>
      </c>
      <c r="D95">
        <v>2.6</v>
      </c>
      <c r="E95">
        <v>19</v>
      </c>
      <c r="F95">
        <v>0</v>
      </c>
      <c r="G95" t="s">
        <v>33</v>
      </c>
      <c r="H95" t="s">
        <v>36</v>
      </c>
      <c r="I95">
        <v>2.54</v>
      </c>
      <c r="J95" s="2"/>
      <c r="K95" s="2"/>
    </row>
    <row r="96" spans="1:11" x14ac:dyDescent="0.25">
      <c r="A96" s="1">
        <v>44784.653564814813</v>
      </c>
      <c r="B96" s="1">
        <v>44784.653506944444</v>
      </c>
      <c r="C96">
        <v>3</v>
      </c>
      <c r="D96">
        <v>2.7</v>
      </c>
      <c r="E96">
        <v>20</v>
      </c>
      <c r="F96">
        <v>0</v>
      </c>
      <c r="G96" t="s">
        <v>33</v>
      </c>
      <c r="H96" t="s">
        <v>36</v>
      </c>
      <c r="I96">
        <v>2.5</v>
      </c>
      <c r="J96" s="2"/>
      <c r="K96" s="2"/>
    </row>
    <row r="97" spans="1:11" x14ac:dyDescent="0.25">
      <c r="A97" s="1">
        <v>44784.660509259258</v>
      </c>
      <c r="B97" s="1">
        <v>44784.660451388889</v>
      </c>
      <c r="C97">
        <v>2.9</v>
      </c>
      <c r="D97">
        <v>2.7</v>
      </c>
      <c r="E97">
        <v>21</v>
      </c>
      <c r="F97">
        <v>0</v>
      </c>
      <c r="G97" t="s">
        <v>33</v>
      </c>
      <c r="H97" t="s">
        <v>36</v>
      </c>
      <c r="I97">
        <v>2.4</v>
      </c>
      <c r="J97" s="2"/>
      <c r="K97" s="2"/>
    </row>
    <row r="98" spans="1:11" x14ac:dyDescent="0.25">
      <c r="A98" s="1">
        <v>44784.667453703703</v>
      </c>
      <c r="B98" s="1">
        <v>44784.667395833334</v>
      </c>
      <c r="C98">
        <v>2.9</v>
      </c>
      <c r="D98">
        <v>2.7</v>
      </c>
      <c r="E98">
        <v>20</v>
      </c>
      <c r="F98">
        <v>0</v>
      </c>
      <c r="G98" t="s">
        <v>33</v>
      </c>
      <c r="H98" t="s">
        <v>36</v>
      </c>
      <c r="I98">
        <v>2.4700000000000002</v>
      </c>
      <c r="J98">
        <f>IF(COUNT(I93:I98)&gt;3.5,ROUND(AVERAGE(I93:I98),2),"")</f>
        <v>2.5099999999999998</v>
      </c>
      <c r="K98">
        <f>IF(COUNT(0.61, -0.57, -0.51, -0.48, -0.35, -0.14, -0.13, 0.22, 0.96, 1.47, 1.83, 1.97, 2.12, 1.96, 1.96, 2.35, 2.51, 2.72, 1.87, 1.27, 0.92, 1.04, 1.1, 0.96)&gt;17.5,ROUND(AVERAGE(0.61, -0.57, -0.51, -0.48, -0.35, -0.14, -0.13, 0.22, 0.96, 1.47, 1.83, 1.97, 2.12, 1.96, 1.96, 2.35, 2.51, 2.72, 1.87, 1.27, 0.92, 1.04, 1.1, 0.96),2),"NO AVG")</f>
        <v>1.07</v>
      </c>
    </row>
    <row r="99" spans="1:11" x14ac:dyDescent="0.25">
      <c r="A99" s="1">
        <v>44784.674398148149</v>
      </c>
      <c r="B99" s="1">
        <v>44784.674328703702</v>
      </c>
      <c r="C99">
        <v>3.1</v>
      </c>
      <c r="D99">
        <v>2.8</v>
      </c>
      <c r="E99">
        <v>20</v>
      </c>
      <c r="F99">
        <v>0</v>
      </c>
      <c r="G99" t="s">
        <v>33</v>
      </c>
      <c r="H99" t="s">
        <v>36</v>
      </c>
      <c r="I99">
        <v>2.56</v>
      </c>
      <c r="J99" s="2"/>
      <c r="K99" s="2"/>
    </row>
    <row r="100" spans="1:11" x14ac:dyDescent="0.25">
      <c r="A100" s="1">
        <v>44784.681331018517</v>
      </c>
      <c r="B100" s="1">
        <v>44784.681273148148</v>
      </c>
      <c r="C100">
        <v>3</v>
      </c>
      <c r="D100">
        <v>2.8</v>
      </c>
      <c r="E100">
        <v>20</v>
      </c>
      <c r="F100">
        <v>0</v>
      </c>
      <c r="G100" t="s">
        <v>33</v>
      </c>
      <c r="H100" t="s">
        <v>36</v>
      </c>
      <c r="I100">
        <v>2.5299999999999998</v>
      </c>
      <c r="J100" s="2"/>
      <c r="K100" s="2"/>
    </row>
    <row r="101" spans="1:11" x14ac:dyDescent="0.25">
      <c r="A101" s="1">
        <v>44784.688321759262</v>
      </c>
      <c r="B101" s="1">
        <v>44784.688217592593</v>
      </c>
      <c r="C101">
        <v>3.1</v>
      </c>
      <c r="D101">
        <v>2.9</v>
      </c>
      <c r="E101">
        <v>21</v>
      </c>
      <c r="F101">
        <v>0</v>
      </c>
      <c r="G101" t="s">
        <v>33</v>
      </c>
      <c r="H101" t="s">
        <v>36</v>
      </c>
      <c r="I101">
        <v>2.52</v>
      </c>
      <c r="J101" s="2"/>
      <c r="K101" s="2"/>
    </row>
    <row r="102" spans="1:11" x14ac:dyDescent="0.25">
      <c r="A102" s="1">
        <v>44784.695219907408</v>
      </c>
      <c r="B102" s="1">
        <v>44784.695162037038</v>
      </c>
      <c r="C102">
        <v>3.1</v>
      </c>
      <c r="D102">
        <v>2.9</v>
      </c>
      <c r="E102">
        <v>23</v>
      </c>
      <c r="F102">
        <v>0</v>
      </c>
      <c r="G102" t="s">
        <v>33</v>
      </c>
      <c r="H102" t="s">
        <v>36</v>
      </c>
      <c r="I102">
        <v>2.38</v>
      </c>
      <c r="J102" s="2"/>
      <c r="K102" s="2"/>
    </row>
    <row r="103" spans="1:11" x14ac:dyDescent="0.25">
      <c r="A103" s="1">
        <v>44784.702164351853</v>
      </c>
      <c r="B103" s="1">
        <v>44784.702106481483</v>
      </c>
      <c r="C103">
        <v>3.3</v>
      </c>
      <c r="D103">
        <v>2.8</v>
      </c>
      <c r="E103">
        <v>25</v>
      </c>
      <c r="F103">
        <v>0</v>
      </c>
      <c r="G103" t="s">
        <v>33</v>
      </c>
      <c r="H103" t="s">
        <v>36</v>
      </c>
      <c r="I103">
        <v>2.27</v>
      </c>
      <c r="J103" s="2"/>
      <c r="K103" s="2"/>
    </row>
    <row r="104" spans="1:11" x14ac:dyDescent="0.25">
      <c r="A104" s="1">
        <v>44784.709120370368</v>
      </c>
      <c r="B104" s="1">
        <v>44784.709050925929</v>
      </c>
      <c r="C104">
        <v>3.3</v>
      </c>
      <c r="D104">
        <v>2.8</v>
      </c>
      <c r="E104">
        <v>26</v>
      </c>
      <c r="F104">
        <v>0</v>
      </c>
      <c r="G104" t="s">
        <v>33</v>
      </c>
      <c r="H104" t="s">
        <v>36</v>
      </c>
      <c r="I104">
        <v>2.2000000000000002</v>
      </c>
      <c r="J104">
        <f>IF(COUNT(I99:I104)&gt;3.5,ROUND(AVERAGE(I99:I104),2),"")</f>
        <v>2.41</v>
      </c>
      <c r="K104">
        <f>IF(COUNT(0.61, -0.57, -0.51, -0.48, -0.35, -0.14, -0.13, 0.22, 0.96, 1.47, 1.83, 1.97, 2.12, 1.96, 1.96, 2.35, 2.51, 2.41, 1.87, 1.27, 0.92, 1.04, 1.1, 0.96)&gt;17.5,ROUND(AVERAGE(0.61, -0.57, -0.51, -0.48, -0.35, -0.14, -0.13, 0.22, 0.96, 1.47, 1.83, 1.97, 2.12, 1.96, 1.96, 2.35, 2.51, 2.41, 1.87, 1.27, 0.92, 1.04, 1.1, 0.96),2),"NO AVG")</f>
        <v>1.06</v>
      </c>
    </row>
    <row r="105" spans="1:11" x14ac:dyDescent="0.25">
      <c r="A105" s="1">
        <v>44784.716064814813</v>
      </c>
      <c r="B105" s="1">
        <v>44784.715995370374</v>
      </c>
      <c r="C105">
        <v>3.4</v>
      </c>
      <c r="D105">
        <v>3</v>
      </c>
      <c r="E105">
        <v>29</v>
      </c>
      <c r="F105">
        <v>0</v>
      </c>
      <c r="G105" t="s">
        <v>33</v>
      </c>
      <c r="H105" t="s">
        <v>36</v>
      </c>
      <c r="I105">
        <v>2.08</v>
      </c>
      <c r="J105" s="2"/>
      <c r="K105" s="2"/>
    </row>
    <row r="106" spans="1:11" x14ac:dyDescent="0.25">
      <c r="A106" s="1">
        <v>44784.722997685189</v>
      </c>
      <c r="B106" s="1">
        <v>44784.722939814812</v>
      </c>
      <c r="C106">
        <v>3.5</v>
      </c>
      <c r="D106">
        <v>3.1</v>
      </c>
      <c r="E106">
        <v>34</v>
      </c>
      <c r="F106">
        <v>0</v>
      </c>
      <c r="G106" t="s">
        <v>33</v>
      </c>
      <c r="H106" t="s">
        <v>36</v>
      </c>
      <c r="I106">
        <v>1.79</v>
      </c>
      <c r="J106" s="2"/>
      <c r="K106" s="2"/>
    </row>
    <row r="107" spans="1:11" x14ac:dyDescent="0.25">
      <c r="A107" s="1">
        <v>44784.729942129627</v>
      </c>
      <c r="B107" s="1">
        <v>44784.729884259257</v>
      </c>
      <c r="C107">
        <v>3.6</v>
      </c>
      <c r="D107">
        <v>3.1</v>
      </c>
      <c r="E107">
        <v>30</v>
      </c>
      <c r="F107">
        <v>0</v>
      </c>
      <c r="G107" t="s">
        <v>33</v>
      </c>
      <c r="H107" t="s">
        <v>36</v>
      </c>
      <c r="I107">
        <v>2.1</v>
      </c>
      <c r="J107" s="2"/>
      <c r="K107" s="2"/>
    </row>
    <row r="108" spans="1:11" x14ac:dyDescent="0.25">
      <c r="A108" s="1">
        <v>44784.736898148149</v>
      </c>
      <c r="B108" s="1">
        <v>44784.736828703702</v>
      </c>
      <c r="C108">
        <v>3.7</v>
      </c>
      <c r="D108">
        <v>3.3</v>
      </c>
      <c r="E108">
        <v>31</v>
      </c>
      <c r="F108">
        <v>0</v>
      </c>
      <c r="G108" t="s">
        <v>33</v>
      </c>
      <c r="H108" t="s">
        <v>36</v>
      </c>
      <c r="I108">
        <v>2.12</v>
      </c>
      <c r="J108" s="2"/>
      <c r="K108" s="2"/>
    </row>
    <row r="109" spans="1:11" x14ac:dyDescent="0.25">
      <c r="A109" s="1">
        <v>44784.743831018517</v>
      </c>
      <c r="B109" s="1">
        <v>44784.743773148148</v>
      </c>
      <c r="C109">
        <v>3.6</v>
      </c>
      <c r="D109">
        <v>3.1</v>
      </c>
      <c r="E109">
        <v>40</v>
      </c>
      <c r="F109">
        <v>0</v>
      </c>
      <c r="G109" t="s">
        <v>33</v>
      </c>
      <c r="H109" t="s">
        <v>36</v>
      </c>
      <c r="I109">
        <v>1.4</v>
      </c>
      <c r="J109" s="2"/>
      <c r="K109" s="2"/>
    </row>
    <row r="110" spans="1:11" x14ac:dyDescent="0.25">
      <c r="A110" s="1">
        <v>44784.750787037039</v>
      </c>
      <c r="B110" s="1">
        <v>44784.750717592593</v>
      </c>
      <c r="C110">
        <v>3.4</v>
      </c>
      <c r="D110">
        <v>3</v>
      </c>
      <c r="E110">
        <v>38</v>
      </c>
      <c r="F110">
        <v>0</v>
      </c>
      <c r="G110" t="s">
        <v>33</v>
      </c>
      <c r="H110" t="s">
        <v>36</v>
      </c>
      <c r="I110">
        <v>1.45</v>
      </c>
      <c r="J110">
        <f>IF(COUNT(I105:I110)&gt;3.5,ROUND(AVERAGE(I105:I110),2),"")</f>
        <v>1.82</v>
      </c>
      <c r="K110">
        <f>IF(COUNT(0.61, -0.57, -0.51, -0.48, -0.35, -0.14, -0.13, 0.22, 0.96, 1.47, 1.83, 1.97, 2.12, 1.96, 1.96, 2.35, 2.51, 2.41, 1.82, 1.27, 0.92, 1.04, 1.1, 0.96)&gt;17.5,ROUND(AVERAGE(0.61, -0.57, -0.51, -0.48, -0.35, -0.14, -0.13, 0.22, 0.96, 1.47, 1.83, 1.97, 2.12, 1.96, 1.96, 2.35, 2.51, 2.41, 1.82, 1.27, 0.92, 1.04, 1.1, 0.96),2),"NO AVG")</f>
        <v>1.05</v>
      </c>
    </row>
    <row r="111" spans="1:11" x14ac:dyDescent="0.25">
      <c r="A111" s="1">
        <v>44784.757731481484</v>
      </c>
      <c r="B111" s="1">
        <v>44784.757662037038</v>
      </c>
      <c r="C111">
        <v>3.3</v>
      </c>
      <c r="D111">
        <v>2.9</v>
      </c>
      <c r="E111">
        <v>35</v>
      </c>
      <c r="F111">
        <v>0</v>
      </c>
      <c r="G111" t="s">
        <v>33</v>
      </c>
      <c r="H111" t="s">
        <v>36</v>
      </c>
      <c r="I111">
        <v>1.6</v>
      </c>
      <c r="J111" s="2"/>
      <c r="K111" s="2"/>
    </row>
    <row r="112" spans="1:11" x14ac:dyDescent="0.25">
      <c r="A112" s="1">
        <v>44784.764664351853</v>
      </c>
      <c r="B112" s="1">
        <v>44784.764606481483</v>
      </c>
      <c r="C112">
        <v>3</v>
      </c>
      <c r="D112">
        <v>2.6</v>
      </c>
      <c r="E112">
        <v>35</v>
      </c>
      <c r="F112">
        <v>0</v>
      </c>
      <c r="G112" t="s">
        <v>33</v>
      </c>
      <c r="H112" t="s">
        <v>36</v>
      </c>
      <c r="I112">
        <v>1.42</v>
      </c>
      <c r="J112" s="2"/>
      <c r="K112" s="2"/>
    </row>
    <row r="113" spans="1:11" x14ac:dyDescent="0.25">
      <c r="A113" s="1">
        <v>44784.771608796298</v>
      </c>
      <c r="B113" s="1">
        <v>44784.771550925929</v>
      </c>
      <c r="C113">
        <v>2.8</v>
      </c>
      <c r="D113">
        <v>2.2000000000000002</v>
      </c>
      <c r="E113">
        <v>38</v>
      </c>
      <c r="F113">
        <v>0</v>
      </c>
      <c r="G113" t="s">
        <v>33</v>
      </c>
      <c r="H113" t="s">
        <v>36</v>
      </c>
      <c r="I113">
        <v>1.02</v>
      </c>
      <c r="J113" s="2"/>
      <c r="K113" s="2"/>
    </row>
    <row r="114" spans="1:11" x14ac:dyDescent="0.25">
      <c r="A114" s="1">
        <v>44784.778564814813</v>
      </c>
      <c r="B114" s="1">
        <v>44784.778495370374</v>
      </c>
      <c r="C114">
        <v>3.2</v>
      </c>
      <c r="D114">
        <v>2.5</v>
      </c>
      <c r="E114">
        <v>45</v>
      </c>
      <c r="F114">
        <v>0</v>
      </c>
      <c r="G114" t="s">
        <v>33</v>
      </c>
      <c r="H114" t="s">
        <v>36</v>
      </c>
      <c r="I114">
        <v>0.75</v>
      </c>
      <c r="J114" s="2"/>
      <c r="K114" s="2"/>
    </row>
    <row r="115" spans="1:11" x14ac:dyDescent="0.25">
      <c r="A115" s="1">
        <v>44784.785520833335</v>
      </c>
      <c r="B115" s="1">
        <v>44784.785439814812</v>
      </c>
      <c r="C115">
        <v>3.8</v>
      </c>
      <c r="D115">
        <v>3.3</v>
      </c>
      <c r="E115">
        <v>53</v>
      </c>
      <c r="F115">
        <v>0</v>
      </c>
      <c r="G115" t="s">
        <v>33</v>
      </c>
      <c r="H115" t="s">
        <v>36</v>
      </c>
      <c r="I115">
        <v>0.62</v>
      </c>
      <c r="J115" s="2"/>
      <c r="K115" s="2"/>
    </row>
    <row r="116" spans="1:11" x14ac:dyDescent="0.25">
      <c r="A116" s="1">
        <v>44784.792488425926</v>
      </c>
      <c r="B116" s="1">
        <v>44784.792384259257</v>
      </c>
      <c r="C116">
        <v>4.5</v>
      </c>
      <c r="D116">
        <v>4</v>
      </c>
      <c r="E116">
        <v>57</v>
      </c>
      <c r="F116">
        <v>0</v>
      </c>
      <c r="G116" t="s">
        <v>33</v>
      </c>
      <c r="H116" t="s">
        <v>36</v>
      </c>
      <c r="I116">
        <v>0.76</v>
      </c>
      <c r="J116">
        <f>IF(COUNT(I111:I116)&gt;3.5,ROUND(AVERAGE(I111:I116),2),"")</f>
        <v>1.03</v>
      </c>
      <c r="K116">
        <f>IF(COUNT(0.61, -0.57, -0.51, -0.48, -0.35, -0.14, -0.13, 0.22, 0.96, 1.47, 1.83, 1.97, 2.12, 1.96, 1.96, 2.35, 2.51, 2.41, 1.82, 1.03, 0.92, 1.04, 1.1, 0.96)&gt;17.5,ROUND(AVERAGE(0.61, -0.57, -0.51, -0.48, -0.35, -0.14, -0.13, 0.22, 0.96, 1.47, 1.83, 1.97, 2.12, 1.96, 1.96, 2.35, 2.51, 2.41, 1.82, 1.03, 0.92, 1.04, 1.1, 0.96),2),"NO AVG")</f>
        <v>1.04</v>
      </c>
    </row>
    <row r="117" spans="1:11" x14ac:dyDescent="0.25">
      <c r="A117" s="1">
        <v>44784.799398148149</v>
      </c>
      <c r="B117" s="1">
        <v>44784.799328703702</v>
      </c>
      <c r="C117">
        <v>5.2</v>
      </c>
      <c r="D117">
        <v>4.5</v>
      </c>
      <c r="E117">
        <v>61</v>
      </c>
      <c r="F117">
        <v>0</v>
      </c>
      <c r="G117" t="s">
        <v>33</v>
      </c>
      <c r="H117" t="s">
        <v>36</v>
      </c>
      <c r="I117">
        <v>0.85</v>
      </c>
      <c r="J117" s="2"/>
      <c r="K117" s="2"/>
    </row>
    <row r="118" spans="1:11" x14ac:dyDescent="0.25">
      <c r="A118" s="1">
        <v>44784.806388888886</v>
      </c>
      <c r="B118" s="1">
        <v>44784.806273148148</v>
      </c>
      <c r="C118">
        <v>5.5</v>
      </c>
      <c r="D118">
        <v>5.2</v>
      </c>
      <c r="E118">
        <v>62</v>
      </c>
      <c r="F118">
        <v>0</v>
      </c>
      <c r="G118" t="s">
        <v>33</v>
      </c>
      <c r="H118" t="s">
        <v>36</v>
      </c>
      <c r="I118">
        <v>1.08</v>
      </c>
      <c r="J118" s="2"/>
      <c r="K118" s="2"/>
    </row>
    <row r="119" spans="1:11" x14ac:dyDescent="0.25">
      <c r="A119" s="1">
        <v>44784.813298611109</v>
      </c>
      <c r="B119" s="1">
        <v>44784.813217592593</v>
      </c>
      <c r="C119">
        <v>6.1</v>
      </c>
      <c r="D119">
        <v>5.3</v>
      </c>
      <c r="E119">
        <v>64</v>
      </c>
      <c r="F119">
        <v>0</v>
      </c>
      <c r="G119" t="s">
        <v>33</v>
      </c>
      <c r="H119" t="s">
        <v>36</v>
      </c>
      <c r="I119">
        <v>1.1599999999999999</v>
      </c>
      <c r="J119" s="2"/>
      <c r="K119" s="2"/>
    </row>
    <row r="120" spans="1:11" x14ac:dyDescent="0.25">
      <c r="A120" s="1">
        <v>44784.820243055554</v>
      </c>
      <c r="B120" s="1">
        <v>44784.820162037038</v>
      </c>
      <c r="C120">
        <v>6.1</v>
      </c>
      <c r="D120">
        <v>5.4</v>
      </c>
      <c r="E120">
        <v>63</v>
      </c>
      <c r="F120">
        <v>0</v>
      </c>
      <c r="G120" t="s">
        <v>33</v>
      </c>
      <c r="H120" t="s">
        <v>36</v>
      </c>
      <c r="I120">
        <v>1.26</v>
      </c>
      <c r="J120" s="2"/>
      <c r="K120" s="2"/>
    </row>
    <row r="121" spans="1:11" x14ac:dyDescent="0.25">
      <c r="A121" s="1">
        <v>44784.827175925922</v>
      </c>
      <c r="B121" s="1">
        <v>44784.827106481483</v>
      </c>
      <c r="C121">
        <v>6.1</v>
      </c>
      <c r="D121">
        <v>5.5</v>
      </c>
      <c r="E121">
        <v>64</v>
      </c>
      <c r="F121">
        <v>0</v>
      </c>
      <c r="G121" t="s">
        <v>33</v>
      </c>
      <c r="H121" t="s">
        <v>36</v>
      </c>
      <c r="I121">
        <v>1.22</v>
      </c>
      <c r="J121" s="2"/>
      <c r="K121" s="2"/>
    </row>
    <row r="122" spans="1:11" x14ac:dyDescent="0.25">
      <c r="A122" s="1">
        <v>44784.834120370368</v>
      </c>
      <c r="B122" s="1">
        <v>44784.834050925929</v>
      </c>
      <c r="C122">
        <v>6.2</v>
      </c>
      <c r="D122">
        <v>5.4</v>
      </c>
      <c r="E122">
        <v>65</v>
      </c>
      <c r="F122">
        <v>0</v>
      </c>
      <c r="G122" t="s">
        <v>33</v>
      </c>
      <c r="H122" t="s">
        <v>36</v>
      </c>
      <c r="I122">
        <v>1.1499999999999999</v>
      </c>
      <c r="J122">
        <f>IF(COUNT(I117:I122)&gt;3.5,ROUND(AVERAGE(I117:I122),2),"")</f>
        <v>1.1200000000000001</v>
      </c>
      <c r="K122">
        <f>IF(COUNT(0.61, -0.57, -0.51, -0.48, -0.35, -0.14, -0.13, 0.22, 0.96, 1.47, 1.83, 1.97, 2.12, 1.96, 1.96, 2.35, 2.51, 2.41, 1.82, 1.03, 1.12, 1.04, 1.1, 0.96)&gt;17.5,ROUND(AVERAGE(0.61, -0.57, -0.51, -0.48, -0.35, -0.14, -0.13, 0.22, 0.96, 1.47, 1.83, 1.97, 2.12, 1.96, 1.96, 2.35, 2.51, 2.41, 1.82, 1.03, 1.12, 1.04, 1.1, 0.96),2),"NO AVG")</f>
        <v>1.05</v>
      </c>
    </row>
    <row r="123" spans="1:11" x14ac:dyDescent="0.25">
      <c r="A123" s="1">
        <v>44784.84107638889</v>
      </c>
      <c r="B123" s="1">
        <v>44784.840995370374</v>
      </c>
      <c r="C123">
        <v>6.4</v>
      </c>
      <c r="D123">
        <v>5.7</v>
      </c>
      <c r="E123">
        <v>65</v>
      </c>
      <c r="F123">
        <v>0</v>
      </c>
      <c r="G123" t="s">
        <v>33</v>
      </c>
      <c r="H123" t="s">
        <v>36</v>
      </c>
      <c r="I123">
        <v>1.3</v>
      </c>
      <c r="J123" s="2"/>
      <c r="K123" s="2"/>
    </row>
    <row r="124" spans="1:11" x14ac:dyDescent="0.25">
      <c r="A124" s="1">
        <v>44784.848009259258</v>
      </c>
      <c r="B124" s="1">
        <v>44784.847939814812</v>
      </c>
      <c r="C124">
        <v>6.4</v>
      </c>
      <c r="D124">
        <v>5.9</v>
      </c>
      <c r="E124">
        <v>65</v>
      </c>
      <c r="F124">
        <v>0</v>
      </c>
      <c r="G124" t="s">
        <v>33</v>
      </c>
      <c r="H124" t="s">
        <v>36</v>
      </c>
      <c r="I124">
        <v>1.36</v>
      </c>
      <c r="J124" s="2"/>
      <c r="K124" s="2"/>
    </row>
    <row r="125" spans="1:11" x14ac:dyDescent="0.25">
      <c r="A125" s="1">
        <v>44784.854953703703</v>
      </c>
      <c r="B125" s="1">
        <v>44784.854884259257</v>
      </c>
      <c r="C125">
        <v>6.3</v>
      </c>
      <c r="D125">
        <v>5.7</v>
      </c>
      <c r="E125">
        <v>66</v>
      </c>
      <c r="F125">
        <v>0</v>
      </c>
      <c r="G125" t="s">
        <v>33</v>
      </c>
      <c r="H125" t="s">
        <v>36</v>
      </c>
      <c r="I125">
        <v>1.2</v>
      </c>
      <c r="J125" s="2"/>
      <c r="K125" s="2"/>
    </row>
    <row r="126" spans="1:11" x14ac:dyDescent="0.25">
      <c r="A126" s="1">
        <v>44784.861909722225</v>
      </c>
      <c r="B126" s="1">
        <v>44784.861828703702</v>
      </c>
      <c r="C126">
        <v>6.3</v>
      </c>
      <c r="D126">
        <v>5.8</v>
      </c>
      <c r="E126">
        <v>66</v>
      </c>
      <c r="F126">
        <v>0</v>
      </c>
      <c r="G126" t="s">
        <v>33</v>
      </c>
      <c r="H126" t="s">
        <v>36</v>
      </c>
      <c r="I126">
        <v>1.23</v>
      </c>
      <c r="J126" s="2"/>
      <c r="K126" s="2"/>
    </row>
    <row r="127" spans="1:11" x14ac:dyDescent="0.25">
      <c r="A127" s="1">
        <v>44784.868842592594</v>
      </c>
      <c r="B127" s="1">
        <v>44784.868773148148</v>
      </c>
      <c r="C127">
        <v>6.4</v>
      </c>
      <c r="D127">
        <v>5.8</v>
      </c>
      <c r="E127">
        <v>66</v>
      </c>
      <c r="F127">
        <v>0</v>
      </c>
      <c r="G127" t="s">
        <v>33</v>
      </c>
      <c r="H127" t="s">
        <v>36</v>
      </c>
      <c r="I127">
        <v>1.26</v>
      </c>
      <c r="J127" s="2"/>
      <c r="K127" s="2"/>
    </row>
    <row r="128" spans="1:11" x14ac:dyDescent="0.25">
      <c r="A128" s="1">
        <v>44784.875787037039</v>
      </c>
      <c r="B128" s="1">
        <v>44784.875717592593</v>
      </c>
      <c r="C128">
        <v>6.6</v>
      </c>
      <c r="D128">
        <v>5.9</v>
      </c>
      <c r="E128">
        <v>66</v>
      </c>
      <c r="F128">
        <v>0</v>
      </c>
      <c r="G128" t="s">
        <v>33</v>
      </c>
      <c r="H128" t="s">
        <v>36</v>
      </c>
      <c r="I128">
        <v>1.35</v>
      </c>
      <c r="J128">
        <f>IF(COUNT(I123:I128)&gt;3.5,ROUND(AVERAGE(I123:I128),2),"")</f>
        <v>1.28</v>
      </c>
      <c r="K128">
        <f>IF(COUNT(0.61, -0.57, -0.51, -0.48, -0.35, -0.14, -0.13, 0.22, 0.96, 1.47, 1.83, 1.97, 2.12, 1.96, 1.96, 2.35, 2.51, 2.41, 1.82, 1.03, 1.12, 1.28, 1.1, 0.96)&gt;17.5,ROUND(AVERAGE(0.61, -0.57, -0.51, -0.48, -0.35, -0.14, -0.13, 0.22, 0.96, 1.47, 1.83, 1.97, 2.12, 1.96, 1.96, 2.35, 2.51, 2.41, 1.82, 1.03, 1.12, 1.28, 1.1, 0.96),2),"NO AVG")</f>
        <v>1.06</v>
      </c>
    </row>
    <row r="129" spans="1:11" x14ac:dyDescent="0.25">
      <c r="A129" s="1">
        <v>44784.882743055554</v>
      </c>
      <c r="B129" s="1">
        <v>44784.882662037038</v>
      </c>
      <c r="C129">
        <v>6.6</v>
      </c>
      <c r="D129">
        <v>5.9</v>
      </c>
      <c r="E129">
        <v>66</v>
      </c>
      <c r="F129">
        <v>0</v>
      </c>
      <c r="G129" t="s">
        <v>33</v>
      </c>
      <c r="H129" t="s">
        <v>36</v>
      </c>
      <c r="I129">
        <v>1.35</v>
      </c>
      <c r="J129" s="2"/>
      <c r="K129" s="2"/>
    </row>
    <row r="130" spans="1:11" x14ac:dyDescent="0.25">
      <c r="A130" s="1">
        <v>44784.889675925922</v>
      </c>
      <c r="B130" s="1">
        <v>44784.889606481483</v>
      </c>
      <c r="C130">
        <v>6.5</v>
      </c>
      <c r="D130">
        <v>6</v>
      </c>
      <c r="E130">
        <v>66</v>
      </c>
      <c r="F130">
        <v>0</v>
      </c>
      <c r="G130" t="s">
        <v>33</v>
      </c>
      <c r="H130" t="s">
        <v>36</v>
      </c>
      <c r="I130">
        <v>1.35</v>
      </c>
      <c r="J130" s="2"/>
      <c r="K130" s="2"/>
    </row>
    <row r="131" spans="1:11" x14ac:dyDescent="0.25">
      <c r="A131" s="1">
        <v>44784.896631944444</v>
      </c>
      <c r="B131" s="1">
        <v>44784.896550925929</v>
      </c>
      <c r="C131">
        <v>6.5</v>
      </c>
      <c r="D131">
        <v>6</v>
      </c>
      <c r="E131">
        <v>66</v>
      </c>
      <c r="F131">
        <v>0</v>
      </c>
      <c r="G131" t="s">
        <v>33</v>
      </c>
      <c r="H131" t="s">
        <v>36</v>
      </c>
      <c r="I131">
        <v>1.35</v>
      </c>
      <c r="J131" s="2"/>
      <c r="K131" s="2"/>
    </row>
    <row r="132" spans="1:11" x14ac:dyDescent="0.25">
      <c r="A132" s="1">
        <v>44784.903564814813</v>
      </c>
      <c r="B132" s="1">
        <v>44784.903495370374</v>
      </c>
      <c r="C132">
        <v>6.6</v>
      </c>
      <c r="D132">
        <v>6</v>
      </c>
      <c r="E132">
        <v>67</v>
      </c>
      <c r="F132">
        <v>0</v>
      </c>
      <c r="G132" t="s">
        <v>33</v>
      </c>
      <c r="H132" t="s">
        <v>36</v>
      </c>
      <c r="I132">
        <v>1.31</v>
      </c>
      <c r="J132" s="2"/>
      <c r="K132" s="2"/>
    </row>
    <row r="133" spans="1:11" x14ac:dyDescent="0.25">
      <c r="A133" s="1">
        <v>44784.910520833335</v>
      </c>
      <c r="B133" s="1">
        <v>44784.910439814812</v>
      </c>
      <c r="C133">
        <v>6.7</v>
      </c>
      <c r="D133">
        <v>6</v>
      </c>
      <c r="E133">
        <v>67</v>
      </c>
      <c r="F133">
        <v>0</v>
      </c>
      <c r="G133" t="s">
        <v>33</v>
      </c>
      <c r="H133" t="s">
        <v>36</v>
      </c>
      <c r="I133">
        <v>1.34</v>
      </c>
      <c r="J133" s="2"/>
      <c r="K133" s="2"/>
    </row>
    <row r="134" spans="1:11" x14ac:dyDescent="0.25">
      <c r="A134" s="1">
        <v>44784.91746527778</v>
      </c>
      <c r="B134" s="1">
        <v>44784.917384259257</v>
      </c>
      <c r="C134">
        <v>6.7</v>
      </c>
      <c r="D134">
        <v>6.1</v>
      </c>
      <c r="E134">
        <v>67</v>
      </c>
      <c r="F134">
        <v>0</v>
      </c>
      <c r="G134" t="s">
        <v>33</v>
      </c>
      <c r="H134" t="s">
        <v>36</v>
      </c>
      <c r="I134">
        <v>1.37</v>
      </c>
      <c r="J134">
        <f>IF(COUNT(I129:I134)&gt;3.5,ROUND(AVERAGE(I129:I134),2),"")</f>
        <v>1.35</v>
      </c>
      <c r="K134">
        <f>IF(COUNT(0.61, -0.57, -0.51, -0.48, -0.35, -0.14, -0.13, 0.22, 0.96, 1.47, 1.83, 1.97, 2.12, 1.96, 1.96, 2.35, 2.51, 2.41, 1.82, 1.03, 1.12, 1.28, 1.35, 0.96)&gt;17.5,ROUND(AVERAGE(0.61, -0.57, -0.51, -0.48, -0.35, -0.14, -0.13, 0.22, 0.96, 1.47, 1.83, 1.97, 2.12, 1.96, 1.96, 2.35, 2.51, 2.41, 1.82, 1.03, 1.12, 1.28, 1.35, 0.96),2),"NO AVG")</f>
        <v>1.07</v>
      </c>
    </row>
    <row r="135" spans="1:11" x14ac:dyDescent="0.25">
      <c r="A135" s="1">
        <v>44784.924502314818</v>
      </c>
      <c r="B135" s="1">
        <v>44784.924328703702</v>
      </c>
      <c r="C135">
        <v>6.9</v>
      </c>
      <c r="D135">
        <v>6.3</v>
      </c>
      <c r="E135">
        <v>68</v>
      </c>
      <c r="F135">
        <v>0</v>
      </c>
      <c r="G135" t="s">
        <v>33</v>
      </c>
      <c r="H135" t="s">
        <v>36</v>
      </c>
      <c r="I135">
        <v>1.43</v>
      </c>
      <c r="J135" s="2"/>
      <c r="K135" s="2"/>
    </row>
    <row r="136" spans="1:11" x14ac:dyDescent="0.25">
      <c r="A136" s="1">
        <v>44784.931342592594</v>
      </c>
      <c r="B136" s="1">
        <v>44784.931273148148</v>
      </c>
      <c r="C136">
        <v>6.9</v>
      </c>
      <c r="D136">
        <v>6.2</v>
      </c>
      <c r="E136">
        <v>68</v>
      </c>
      <c r="F136">
        <v>0</v>
      </c>
      <c r="G136" t="s">
        <v>33</v>
      </c>
      <c r="H136" t="s">
        <v>36</v>
      </c>
      <c r="I136">
        <v>1.4</v>
      </c>
      <c r="J136" s="2"/>
      <c r="K136" s="2"/>
    </row>
    <row r="137" spans="1:11" x14ac:dyDescent="0.25">
      <c r="A137" s="1">
        <v>44784.938298611109</v>
      </c>
      <c r="B137" s="1">
        <v>44784.938217592593</v>
      </c>
      <c r="C137">
        <v>7.2</v>
      </c>
      <c r="D137">
        <v>6.3</v>
      </c>
      <c r="E137">
        <v>68</v>
      </c>
      <c r="F137">
        <v>0</v>
      </c>
      <c r="G137" t="s">
        <v>33</v>
      </c>
      <c r="H137" t="s">
        <v>36</v>
      </c>
      <c r="I137">
        <v>1.52</v>
      </c>
      <c r="J137" s="2"/>
      <c r="K137" s="2"/>
    </row>
    <row r="138" spans="1:11" x14ac:dyDescent="0.25">
      <c r="A138" s="1">
        <v>44784.945243055554</v>
      </c>
      <c r="B138" s="1">
        <v>44784.945162037038</v>
      </c>
      <c r="C138">
        <v>7.5</v>
      </c>
      <c r="D138">
        <v>6.6</v>
      </c>
      <c r="E138">
        <v>68</v>
      </c>
      <c r="F138">
        <v>0</v>
      </c>
      <c r="G138" t="s">
        <v>33</v>
      </c>
      <c r="H138" t="s">
        <v>36</v>
      </c>
      <c r="I138">
        <v>1.7</v>
      </c>
      <c r="J138" s="2"/>
      <c r="K138" s="2"/>
    </row>
    <row r="139" spans="1:11" x14ac:dyDescent="0.25">
      <c r="A139" s="1">
        <v>44784.952233796299</v>
      </c>
      <c r="B139" s="1">
        <v>44784.952106481483</v>
      </c>
      <c r="C139">
        <v>7.6</v>
      </c>
      <c r="D139">
        <v>6.5</v>
      </c>
      <c r="E139">
        <v>68</v>
      </c>
      <c r="F139">
        <v>0</v>
      </c>
      <c r="G139" t="s">
        <v>33</v>
      </c>
      <c r="H139" t="s">
        <v>36</v>
      </c>
      <c r="I139">
        <v>1.7</v>
      </c>
      <c r="J139" s="2"/>
      <c r="K139" s="2"/>
    </row>
    <row r="140" spans="1:11" x14ac:dyDescent="0.25">
      <c r="A140" s="1">
        <v>44784.959131944444</v>
      </c>
      <c r="B140" s="1">
        <v>44784.959050925929</v>
      </c>
      <c r="C140">
        <v>7.2</v>
      </c>
      <c r="D140">
        <v>6.7</v>
      </c>
      <c r="E140">
        <v>67</v>
      </c>
      <c r="F140">
        <v>0</v>
      </c>
      <c r="G140" t="s">
        <v>33</v>
      </c>
      <c r="H140" t="s">
        <v>36</v>
      </c>
      <c r="I140">
        <v>1.71</v>
      </c>
      <c r="J140">
        <f>IF(COUNT(I135:I140)&gt;3.5,ROUND(AVERAGE(I135:I140),2),"")</f>
        <v>1.58</v>
      </c>
      <c r="K140">
        <f>IF(COUNT(0.61, -0.57, -0.51, -0.48, -0.35, -0.14, -0.13, 0.22, 0.96, 1.47, 1.83, 1.97, 2.12, 1.96, 1.96, 2.35, 2.51, 2.41, 1.82, 1.03, 1.12, 1.28, 1.35, 1.58)&gt;17.5,ROUND(AVERAGE(0.61, -0.57, -0.51, -0.48, -0.35, -0.14, -0.13, 0.22, 0.96, 1.47, 1.83, 1.97, 2.12, 1.96, 1.96, 2.35, 2.51, 2.41, 1.82, 1.03, 1.12, 1.28, 1.35, 1.58),2),"NO AVG")</f>
        <v>1.1000000000000001</v>
      </c>
    </row>
    <row r="141" spans="1:11" x14ac:dyDescent="0.25">
      <c r="A141" s="1">
        <v>44784.966157407405</v>
      </c>
      <c r="B141" s="1">
        <v>44784.965995370374</v>
      </c>
      <c r="C141">
        <v>7.3</v>
      </c>
      <c r="D141">
        <v>6.5</v>
      </c>
      <c r="E141">
        <v>67</v>
      </c>
      <c r="F141">
        <v>0</v>
      </c>
      <c r="G141" t="s">
        <v>33</v>
      </c>
      <c r="H141" t="s">
        <v>36</v>
      </c>
      <c r="I141">
        <v>1.68</v>
      </c>
      <c r="J141" s="2"/>
      <c r="K141" s="2"/>
    </row>
    <row r="142" spans="1:11" x14ac:dyDescent="0.25">
      <c r="A142" s="1">
        <v>44784.973020833335</v>
      </c>
      <c r="B142" s="1">
        <v>44784.972939814812</v>
      </c>
      <c r="C142">
        <v>7.2</v>
      </c>
      <c r="D142">
        <v>6.4</v>
      </c>
      <c r="E142">
        <v>67</v>
      </c>
      <c r="F142">
        <v>0</v>
      </c>
      <c r="G142" t="s">
        <v>33</v>
      </c>
      <c r="H142" t="s">
        <v>36</v>
      </c>
      <c r="I142">
        <v>1.62</v>
      </c>
      <c r="J142" s="2"/>
      <c r="K142" s="2"/>
    </row>
    <row r="143" spans="1:11" x14ac:dyDescent="0.25">
      <c r="A143" s="1">
        <v>44784.97996527778</v>
      </c>
      <c r="B143" s="1">
        <v>44784.979884259257</v>
      </c>
      <c r="C143">
        <v>6.9</v>
      </c>
      <c r="D143">
        <v>6.2</v>
      </c>
      <c r="E143">
        <v>68</v>
      </c>
      <c r="F143">
        <v>0</v>
      </c>
      <c r="G143" t="s">
        <v>33</v>
      </c>
      <c r="H143" t="s">
        <v>36</v>
      </c>
      <c r="I143">
        <v>1.4</v>
      </c>
      <c r="J143" s="2"/>
      <c r="K143" s="2"/>
    </row>
    <row r="144" spans="1:11" x14ac:dyDescent="0.25">
      <c r="A144" s="1">
        <v>44784.986909722225</v>
      </c>
      <c r="B144" s="1">
        <v>44784.986828703702</v>
      </c>
      <c r="C144">
        <v>6.8</v>
      </c>
      <c r="D144">
        <v>6.1</v>
      </c>
      <c r="E144">
        <v>68</v>
      </c>
      <c r="F144">
        <v>0</v>
      </c>
      <c r="G144" t="s">
        <v>33</v>
      </c>
      <c r="H144" t="s">
        <v>36</v>
      </c>
      <c r="I144">
        <v>1.33</v>
      </c>
      <c r="J144" s="2"/>
      <c r="K144" s="2"/>
    </row>
    <row r="145" spans="1:12" x14ac:dyDescent="0.25">
      <c r="A145" s="1">
        <v>44784.993854166663</v>
      </c>
      <c r="B145" s="1">
        <v>44784.993773148148</v>
      </c>
      <c r="C145">
        <v>7.1</v>
      </c>
      <c r="D145">
        <v>6.3</v>
      </c>
      <c r="E145">
        <v>68</v>
      </c>
      <c r="F145">
        <v>0</v>
      </c>
      <c r="G145" t="s">
        <v>33</v>
      </c>
      <c r="H145" t="s">
        <v>36</v>
      </c>
      <c r="I145">
        <v>1.49</v>
      </c>
      <c r="J145" s="2"/>
      <c r="K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C3F29-9690-4D38-9EF9-170369F81626}">
  <sheetPr codeName="Sheet14"/>
  <dimension ref="A1:M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3" max="13" width="9.5703125" bestFit="1" customWidth="1"/>
  </cols>
  <sheetData>
    <row r="1" spans="1:13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M1" t="s">
        <v>3</v>
      </c>
    </row>
    <row r="2" spans="1:13" x14ac:dyDescent="0.25">
      <c r="A2" s="1">
        <v>44784.000763888886</v>
      </c>
      <c r="B2" s="1">
        <v>44784.000717592593</v>
      </c>
      <c r="C2">
        <v>5.6</v>
      </c>
      <c r="D2">
        <v>5.4</v>
      </c>
      <c r="E2">
        <v>57</v>
      </c>
      <c r="F2">
        <v>0</v>
      </c>
      <c r="G2" t="s">
        <v>33</v>
      </c>
      <c r="H2" t="s">
        <v>36</v>
      </c>
      <c r="I2">
        <v>1.52</v>
      </c>
      <c r="J2">
        <v>2.11</v>
      </c>
      <c r="K2">
        <f>IF(COUNT(2.11, 3.7, 0.87, 0.43, 0.02, -0.09, -0.13, -0.16, 0.07, 0.73, 1.71, 2.09, 2.31, 1.93, 2.26, 2.52, 2.52, 2.31, 2.22, 2.13, 3.22, 5.87, 1.72, 1.25)&gt;17.5,ROUND(AVERAGE(2.11, 3.7, 0.87, 0.43, 0.02, -0.09, -0.13, -0.16, 0.07, 0.73, 1.71, 2.09, 2.31, 1.93, 2.26, 2.52, 2.52, 2.31, 2.22, 2.13, 3.22, 5.87, 1.72, 1.25),2),"NO AVG")</f>
        <v>1.73</v>
      </c>
      <c r="M2" t="s">
        <v>49</v>
      </c>
    </row>
    <row r="3" spans="1:13" x14ac:dyDescent="0.25">
      <c r="A3" s="1">
        <v>44784.007719907408</v>
      </c>
      <c r="B3" s="1">
        <v>44784.007662037038</v>
      </c>
      <c r="C3">
        <v>4.3</v>
      </c>
      <c r="D3">
        <v>4.0999999999999996</v>
      </c>
      <c r="E3">
        <v>57</v>
      </c>
      <c r="F3">
        <v>0</v>
      </c>
      <c r="G3" t="s">
        <v>33</v>
      </c>
      <c r="H3" t="s">
        <v>36</v>
      </c>
      <c r="I3">
        <v>0.73</v>
      </c>
      <c r="J3" s="2"/>
      <c r="K3" s="2"/>
    </row>
    <row r="4" spans="1:13" x14ac:dyDescent="0.25">
      <c r="A4" s="1">
        <v>44784.014641203707</v>
      </c>
      <c r="B4" s="1">
        <v>44784.014606481483</v>
      </c>
      <c r="C4">
        <v>3.5</v>
      </c>
      <c r="D4">
        <v>3.4</v>
      </c>
      <c r="E4">
        <v>57</v>
      </c>
      <c r="F4">
        <v>0</v>
      </c>
      <c r="G4" t="s">
        <v>33</v>
      </c>
      <c r="H4" t="s">
        <v>36</v>
      </c>
      <c r="I4">
        <v>0.27</v>
      </c>
      <c r="J4" s="2"/>
      <c r="K4" s="2"/>
    </row>
    <row r="5" spans="1:13" x14ac:dyDescent="0.25">
      <c r="A5" s="1">
        <v>44784.021597222221</v>
      </c>
      <c r="B5" s="1">
        <v>44784.021550925929</v>
      </c>
      <c r="C5">
        <v>3</v>
      </c>
      <c r="D5">
        <v>2.9</v>
      </c>
      <c r="E5">
        <v>57</v>
      </c>
      <c r="F5">
        <v>0</v>
      </c>
      <c r="G5" t="s">
        <v>33</v>
      </c>
      <c r="H5" t="s">
        <v>36</v>
      </c>
      <c r="I5">
        <v>-0.03</v>
      </c>
      <c r="J5" s="2"/>
      <c r="K5" s="2"/>
    </row>
    <row r="6" spans="1:13" x14ac:dyDescent="0.25">
      <c r="A6" s="1">
        <v>44784.028541666667</v>
      </c>
      <c r="B6" s="1">
        <v>44784.028495370374</v>
      </c>
      <c r="C6">
        <v>2.7</v>
      </c>
      <c r="D6">
        <v>2.7</v>
      </c>
      <c r="E6">
        <v>57</v>
      </c>
      <c r="F6">
        <v>0</v>
      </c>
      <c r="G6" t="s">
        <v>33</v>
      </c>
      <c r="H6" t="s">
        <v>36</v>
      </c>
      <c r="I6">
        <v>-0.18</v>
      </c>
      <c r="J6" s="2"/>
      <c r="K6" s="2"/>
    </row>
    <row r="7" spans="1:13" x14ac:dyDescent="0.25">
      <c r="A7" s="1">
        <v>44784.035486111112</v>
      </c>
      <c r="B7" s="1">
        <v>44784.035439814812</v>
      </c>
      <c r="C7">
        <v>2.5</v>
      </c>
      <c r="D7">
        <v>2.4</v>
      </c>
      <c r="E7">
        <v>57</v>
      </c>
      <c r="F7">
        <v>0</v>
      </c>
      <c r="G7" t="s">
        <v>33</v>
      </c>
      <c r="H7" t="s">
        <v>36</v>
      </c>
      <c r="I7">
        <v>-0.34</v>
      </c>
      <c r="J7" s="2"/>
      <c r="K7" s="2"/>
    </row>
    <row r="8" spans="1:13" x14ac:dyDescent="0.25">
      <c r="A8" s="1">
        <v>44784.042430555557</v>
      </c>
      <c r="B8" s="1">
        <v>44784.042384259257</v>
      </c>
      <c r="C8">
        <v>2.6</v>
      </c>
      <c r="D8">
        <v>2.4</v>
      </c>
      <c r="E8">
        <v>57</v>
      </c>
      <c r="F8">
        <v>0</v>
      </c>
      <c r="G8" t="s">
        <v>33</v>
      </c>
      <c r="H8" t="s">
        <v>36</v>
      </c>
      <c r="I8">
        <v>-0.31</v>
      </c>
      <c r="J8">
        <f>IF(COUNT(I3:I8)&gt;3.5,ROUND(AVERAGE(I3:I8),2),"")</f>
        <v>0.02</v>
      </c>
      <c r="K8">
        <f>IF(COUNT(2.11, 0.02, 0.87, 0.43, 0.02, -0.09, -0.13, -0.16, 0.07, 0.73, 1.71, 2.09, 2.31, 1.93, 2.26, 2.52, 2.52, 2.31, 2.22, 2.13, 3.22, 5.87, 1.72, 1.25)&gt;17.5,ROUND(AVERAGE(2.11, 0.02, 0.87, 0.43, 0.02, -0.09, -0.13, -0.16, 0.07, 0.73, 1.71, 2.09, 2.31, 1.93, 2.26, 2.52, 2.52, 2.31, 2.22, 2.13, 3.22, 5.87, 1.72, 1.25),2),"NO AVG")</f>
        <v>1.58</v>
      </c>
    </row>
    <row r="9" spans="1:13" x14ac:dyDescent="0.25">
      <c r="A9" s="1">
        <v>44784.049375000002</v>
      </c>
      <c r="B9" s="1">
        <v>44784.049328703702</v>
      </c>
      <c r="C9">
        <v>2.7</v>
      </c>
      <c r="D9">
        <v>2.6</v>
      </c>
      <c r="E9">
        <v>58</v>
      </c>
      <c r="F9">
        <v>0</v>
      </c>
      <c r="G9" t="s">
        <v>33</v>
      </c>
      <c r="H9" t="s">
        <v>36</v>
      </c>
      <c r="I9">
        <v>-0.28000000000000003</v>
      </c>
      <c r="J9" s="2"/>
      <c r="K9" s="2"/>
    </row>
    <row r="10" spans="1:13" x14ac:dyDescent="0.25">
      <c r="A10" s="1">
        <v>44784.056319444448</v>
      </c>
      <c r="B10" s="1">
        <v>44784.056273148148</v>
      </c>
      <c r="C10">
        <v>3</v>
      </c>
      <c r="D10">
        <v>2.8</v>
      </c>
      <c r="E10">
        <v>57</v>
      </c>
      <c r="F10">
        <v>0</v>
      </c>
      <c r="G10" t="s">
        <v>33</v>
      </c>
      <c r="H10" t="s">
        <v>36</v>
      </c>
      <c r="I10">
        <v>-0.06</v>
      </c>
      <c r="J10" s="2"/>
      <c r="K10" s="2"/>
    </row>
    <row r="11" spans="1:13" x14ac:dyDescent="0.25">
      <c r="A11" s="1">
        <v>44784.063263888886</v>
      </c>
      <c r="B11" s="1">
        <v>44784.063217592593</v>
      </c>
      <c r="C11">
        <v>3</v>
      </c>
      <c r="D11">
        <v>2.9</v>
      </c>
      <c r="E11">
        <v>57</v>
      </c>
      <c r="F11">
        <v>0</v>
      </c>
      <c r="G11" t="s">
        <v>33</v>
      </c>
      <c r="H11" t="s">
        <v>36</v>
      </c>
      <c r="I11">
        <v>-0.03</v>
      </c>
      <c r="J11" s="2"/>
      <c r="K11" s="2"/>
    </row>
    <row r="12" spans="1:13" x14ac:dyDescent="0.25">
      <c r="A12" s="1">
        <v>44784.070208333331</v>
      </c>
      <c r="B12" s="1">
        <v>44784.070162037038</v>
      </c>
      <c r="C12">
        <v>3.1</v>
      </c>
      <c r="D12">
        <v>3</v>
      </c>
      <c r="E12">
        <v>57</v>
      </c>
      <c r="F12">
        <v>0</v>
      </c>
      <c r="G12" t="s">
        <v>33</v>
      </c>
      <c r="H12" t="s">
        <v>36</v>
      </c>
      <c r="I12">
        <v>0.03</v>
      </c>
      <c r="J12" s="2"/>
      <c r="K12" s="2"/>
    </row>
    <row r="13" spans="1:13" x14ac:dyDescent="0.25">
      <c r="A13" s="1">
        <v>44784.077152777776</v>
      </c>
      <c r="B13" s="1">
        <v>44784.077106481483</v>
      </c>
      <c r="C13">
        <v>3</v>
      </c>
      <c r="D13">
        <v>3</v>
      </c>
      <c r="E13">
        <v>57</v>
      </c>
      <c r="F13">
        <v>0</v>
      </c>
      <c r="G13" t="s">
        <v>33</v>
      </c>
      <c r="H13" t="s">
        <v>36</v>
      </c>
      <c r="I13">
        <v>0</v>
      </c>
      <c r="J13" s="2"/>
      <c r="K13" s="2"/>
    </row>
    <row r="14" spans="1:13" x14ac:dyDescent="0.25">
      <c r="A14" s="1">
        <v>44784.084097222221</v>
      </c>
      <c r="B14" s="1">
        <v>44784.084050925929</v>
      </c>
      <c r="C14">
        <v>3</v>
      </c>
      <c r="D14">
        <v>3</v>
      </c>
      <c r="E14">
        <v>57</v>
      </c>
      <c r="F14">
        <v>0</v>
      </c>
      <c r="G14" t="s">
        <v>33</v>
      </c>
      <c r="H14" t="s">
        <v>36</v>
      </c>
      <c r="I14">
        <v>0</v>
      </c>
      <c r="J14">
        <f>IF(COUNT(I9:I14)&gt;3.5,ROUND(AVERAGE(I9:I14),2),"")</f>
        <v>-0.06</v>
      </c>
      <c r="K14">
        <f>IF(COUNT(2.11, 0.02, -0.06, 0.43, 0.02, -0.09, -0.13, -0.16, 0.07, 0.73, 1.71, 2.09, 2.31, 1.93, 2.26, 2.52, 2.52, 2.31, 2.22, 2.13, 3.22, 5.87, 1.72, 1.25)&gt;17.5,ROUND(AVERAGE(2.11, 0.02, -0.06, 0.43, 0.02, -0.09, -0.13, -0.16, 0.07, 0.73, 1.71, 2.09, 2.31, 1.93, 2.26, 2.52, 2.52, 2.31, 2.22, 2.13, 3.22, 5.87, 1.72, 1.25),2),"NO AVG")</f>
        <v>1.54</v>
      </c>
    </row>
    <row r="15" spans="1:13" x14ac:dyDescent="0.25">
      <c r="A15" s="1">
        <v>44784.091041666667</v>
      </c>
      <c r="B15" s="1">
        <v>44784.090995370374</v>
      </c>
      <c r="C15">
        <v>2.9</v>
      </c>
      <c r="D15">
        <v>2.9</v>
      </c>
      <c r="E15">
        <v>57</v>
      </c>
      <c r="F15">
        <v>0</v>
      </c>
      <c r="G15" t="s">
        <v>33</v>
      </c>
      <c r="H15" t="s">
        <v>36</v>
      </c>
      <c r="I15">
        <v>-0.06</v>
      </c>
      <c r="J15" s="2"/>
      <c r="K15" s="2"/>
    </row>
    <row r="16" spans="1:13" x14ac:dyDescent="0.25">
      <c r="A16" s="1">
        <v>44784.097997685189</v>
      </c>
      <c r="B16" s="1">
        <v>44784.097939814812</v>
      </c>
      <c r="C16">
        <v>2.9</v>
      </c>
      <c r="D16">
        <v>2.9</v>
      </c>
      <c r="E16">
        <v>58</v>
      </c>
      <c r="F16">
        <v>0</v>
      </c>
      <c r="G16" t="s">
        <v>33</v>
      </c>
      <c r="H16" t="s">
        <v>36</v>
      </c>
      <c r="I16">
        <v>-0.13</v>
      </c>
      <c r="J16" s="2"/>
      <c r="K16" s="2"/>
    </row>
    <row r="17" spans="1:11" x14ac:dyDescent="0.25">
      <c r="A17" s="1">
        <v>44784.104930555557</v>
      </c>
      <c r="B17" s="1">
        <v>44784.104884259257</v>
      </c>
      <c r="C17">
        <v>2.9</v>
      </c>
      <c r="D17">
        <v>2.9</v>
      </c>
      <c r="E17">
        <v>58</v>
      </c>
      <c r="F17">
        <v>0</v>
      </c>
      <c r="G17" t="s">
        <v>33</v>
      </c>
      <c r="H17" t="s">
        <v>36</v>
      </c>
      <c r="I17">
        <v>-0.13</v>
      </c>
      <c r="J17" s="2"/>
      <c r="K17" s="2"/>
    </row>
    <row r="18" spans="1:11" x14ac:dyDescent="0.25">
      <c r="A18" s="1">
        <v>44784.111875000002</v>
      </c>
      <c r="B18" s="1">
        <v>44784.111828703702</v>
      </c>
      <c r="C18">
        <v>2.8</v>
      </c>
      <c r="D18">
        <v>2.8</v>
      </c>
      <c r="E18">
        <v>58</v>
      </c>
      <c r="F18">
        <v>0</v>
      </c>
      <c r="G18" t="s">
        <v>33</v>
      </c>
      <c r="H18" t="s">
        <v>36</v>
      </c>
      <c r="I18">
        <v>-0.19</v>
      </c>
      <c r="J18" s="2"/>
      <c r="K18" s="2"/>
    </row>
    <row r="19" spans="1:11" x14ac:dyDescent="0.25">
      <c r="A19" s="1">
        <v>44784.118819444448</v>
      </c>
      <c r="B19" s="1">
        <v>44784.118773148148</v>
      </c>
      <c r="C19">
        <v>2.8</v>
      </c>
      <c r="D19">
        <v>2.8</v>
      </c>
      <c r="E19">
        <v>58</v>
      </c>
      <c r="F19">
        <v>0</v>
      </c>
      <c r="G19" t="s">
        <v>33</v>
      </c>
      <c r="H19" t="s">
        <v>36</v>
      </c>
      <c r="I19">
        <v>-0.19</v>
      </c>
      <c r="J19" s="2"/>
      <c r="K19" s="2"/>
    </row>
    <row r="20" spans="1:11" x14ac:dyDescent="0.25">
      <c r="A20" s="1">
        <v>44784.125775462962</v>
      </c>
      <c r="B20" s="1">
        <v>44784.125717592593</v>
      </c>
      <c r="C20">
        <v>2.8</v>
      </c>
      <c r="D20">
        <v>2.8</v>
      </c>
      <c r="E20">
        <v>58</v>
      </c>
      <c r="F20">
        <v>0</v>
      </c>
      <c r="G20" t="s">
        <v>33</v>
      </c>
      <c r="H20" t="s">
        <v>36</v>
      </c>
      <c r="I20">
        <v>-0.19</v>
      </c>
      <c r="J20">
        <f>IF(COUNT(I15:I20)&gt;3.5,ROUND(AVERAGE(I15:I20),2),"")</f>
        <v>-0.15</v>
      </c>
      <c r="K20">
        <f>IF(COUNT(2.11, 0.02, -0.06, -0.15, 0.02, -0.09, -0.13, -0.16, 0.07, 0.73, 1.71, 2.09, 2.31, 1.93, 2.26, 2.52, 2.52, 2.31, 2.22, 2.13, 3.22, 5.87, 1.72, 1.25)&gt;17.5,ROUND(AVERAGE(2.11, 0.02, -0.06, -0.15, 0.02, -0.09, -0.13, -0.16, 0.07, 0.73, 1.71, 2.09, 2.31, 1.93, 2.26, 2.52, 2.52, 2.31, 2.22, 2.13, 3.22, 5.87, 1.72, 1.25),2),"NO AVG")</f>
        <v>1.52</v>
      </c>
    </row>
    <row r="21" spans="1:11" x14ac:dyDescent="0.25">
      <c r="A21" s="1">
        <v>44784.132708333331</v>
      </c>
      <c r="B21" s="1">
        <v>44784.132662037038</v>
      </c>
      <c r="C21">
        <v>2.6</v>
      </c>
      <c r="D21">
        <v>2.8</v>
      </c>
      <c r="E21">
        <v>58</v>
      </c>
      <c r="F21">
        <v>0</v>
      </c>
      <c r="G21" t="s">
        <v>33</v>
      </c>
      <c r="H21" t="s">
        <v>36</v>
      </c>
      <c r="I21">
        <v>-0.25</v>
      </c>
      <c r="J21" s="2"/>
      <c r="K21" s="2"/>
    </row>
    <row r="22" spans="1:11" x14ac:dyDescent="0.25">
      <c r="A22" s="1">
        <v>44784.139664351853</v>
      </c>
      <c r="B22" s="1">
        <v>44784.139606481483</v>
      </c>
      <c r="C22">
        <v>2.7</v>
      </c>
      <c r="D22">
        <v>2.9</v>
      </c>
      <c r="E22">
        <v>58</v>
      </c>
      <c r="F22">
        <v>0</v>
      </c>
      <c r="G22" t="s">
        <v>33</v>
      </c>
      <c r="H22" t="s">
        <v>36</v>
      </c>
      <c r="I22">
        <v>-0.19</v>
      </c>
      <c r="J22" s="2"/>
      <c r="K22" s="2"/>
    </row>
    <row r="23" spans="1:11" x14ac:dyDescent="0.25">
      <c r="A23" s="1">
        <v>44784.146608796298</v>
      </c>
      <c r="B23" s="1">
        <v>44784.146550925929</v>
      </c>
      <c r="C23">
        <v>2.8</v>
      </c>
      <c r="D23">
        <v>2.9</v>
      </c>
      <c r="E23">
        <v>58</v>
      </c>
      <c r="F23">
        <v>0</v>
      </c>
      <c r="G23" t="s">
        <v>33</v>
      </c>
      <c r="H23" t="s">
        <v>36</v>
      </c>
      <c r="I23">
        <v>-0.16</v>
      </c>
      <c r="J23" s="2"/>
      <c r="K23" s="2"/>
    </row>
    <row r="24" spans="1:11" x14ac:dyDescent="0.25">
      <c r="A24" s="1">
        <v>44784.153553240743</v>
      </c>
      <c r="B24" s="1">
        <v>44784.153495370374</v>
      </c>
      <c r="C24">
        <v>2.8</v>
      </c>
      <c r="D24">
        <v>2.9</v>
      </c>
      <c r="E24">
        <v>58</v>
      </c>
      <c r="F24">
        <v>0</v>
      </c>
      <c r="G24" t="s">
        <v>33</v>
      </c>
      <c r="H24" t="s">
        <v>36</v>
      </c>
      <c r="I24">
        <v>-0.16</v>
      </c>
      <c r="J24" s="2"/>
      <c r="K24" s="2"/>
    </row>
    <row r="25" spans="1:11" x14ac:dyDescent="0.25">
      <c r="A25" s="1">
        <v>44784.160497685189</v>
      </c>
      <c r="B25" s="1">
        <v>44784.160439814812</v>
      </c>
      <c r="C25">
        <v>2.7</v>
      </c>
      <c r="D25">
        <v>2.8</v>
      </c>
      <c r="E25">
        <v>58</v>
      </c>
      <c r="F25">
        <v>0</v>
      </c>
      <c r="G25" t="s">
        <v>33</v>
      </c>
      <c r="H25" t="s">
        <v>36</v>
      </c>
      <c r="I25">
        <v>-0.22</v>
      </c>
      <c r="J25" s="2"/>
      <c r="K25" s="2"/>
    </row>
    <row r="26" spans="1:11" x14ac:dyDescent="0.25">
      <c r="A26" s="1">
        <v>44784.167442129627</v>
      </c>
      <c r="B26" s="1">
        <v>44784.167384259257</v>
      </c>
      <c r="C26">
        <v>2.7</v>
      </c>
      <c r="D26">
        <v>2.8</v>
      </c>
      <c r="E26">
        <v>58</v>
      </c>
      <c r="F26">
        <v>0</v>
      </c>
      <c r="G26" t="s">
        <v>33</v>
      </c>
      <c r="H26" t="s">
        <v>36</v>
      </c>
      <c r="I26">
        <v>-0.22</v>
      </c>
      <c r="J26">
        <f>IF(COUNT(I21:I26)&gt;3.5,ROUND(AVERAGE(I21:I26),2),"")</f>
        <v>-0.2</v>
      </c>
      <c r="K26">
        <f>IF(COUNT(2.11, 0.02, -0.06, -0.15, -0.2, -0.09, -0.13, -0.16, 0.07, 0.73, 1.71, 2.09, 2.31, 1.93, 2.26, 2.52, 2.52, 2.31, 2.22, 2.13, 3.22, 5.87, 1.72, 1.25)&gt;17.5,ROUND(AVERAGE(2.11, 0.02, -0.06, -0.15, -0.2, -0.09, -0.13, -0.16, 0.07, 0.73, 1.71, 2.09, 2.31, 1.93, 2.26, 2.52, 2.52, 2.31, 2.22, 2.13, 3.22, 5.87, 1.72, 1.25),2),"NO AVG")</f>
        <v>1.51</v>
      </c>
    </row>
    <row r="27" spans="1:11" x14ac:dyDescent="0.25">
      <c r="A27" s="1">
        <v>44784.174386574072</v>
      </c>
      <c r="B27" s="1">
        <v>44784.174328703702</v>
      </c>
      <c r="C27">
        <v>2.8</v>
      </c>
      <c r="D27">
        <v>2.8</v>
      </c>
      <c r="E27">
        <v>58</v>
      </c>
      <c r="F27">
        <v>0</v>
      </c>
      <c r="G27" t="s">
        <v>33</v>
      </c>
      <c r="H27" t="s">
        <v>36</v>
      </c>
      <c r="I27">
        <v>-0.19</v>
      </c>
      <c r="J27" s="2"/>
      <c r="K27" s="2"/>
    </row>
    <row r="28" spans="1:11" x14ac:dyDescent="0.25">
      <c r="A28" s="1"/>
      <c r="B28" s="1">
        <v>44784.180555555555</v>
      </c>
      <c r="J28" s="2"/>
      <c r="K28" s="2"/>
    </row>
    <row r="29" spans="1:11" x14ac:dyDescent="0.25">
      <c r="A29" s="1">
        <v>44784.188263888886</v>
      </c>
      <c r="B29" s="1">
        <v>44784.188217592593</v>
      </c>
      <c r="C29">
        <v>2.7</v>
      </c>
      <c r="D29">
        <v>2.9</v>
      </c>
      <c r="E29">
        <v>59</v>
      </c>
      <c r="F29">
        <v>0</v>
      </c>
      <c r="G29" t="s">
        <v>33</v>
      </c>
      <c r="H29" t="s">
        <v>36</v>
      </c>
      <c r="I29">
        <v>-0.26</v>
      </c>
      <c r="J29" s="2"/>
      <c r="K29" s="2"/>
    </row>
    <row r="30" spans="1:11" x14ac:dyDescent="0.25">
      <c r="A30" s="1">
        <v>44784.195219907408</v>
      </c>
      <c r="B30" s="1">
        <v>44784.195162037038</v>
      </c>
      <c r="C30">
        <v>2.8</v>
      </c>
      <c r="D30">
        <v>3</v>
      </c>
      <c r="E30">
        <v>58</v>
      </c>
      <c r="F30">
        <v>0</v>
      </c>
      <c r="G30" t="s">
        <v>33</v>
      </c>
      <c r="H30" t="s">
        <v>36</v>
      </c>
      <c r="I30">
        <v>-0.13</v>
      </c>
      <c r="J30" s="2"/>
      <c r="K30" s="2"/>
    </row>
    <row r="31" spans="1:11" x14ac:dyDescent="0.25">
      <c r="A31" s="1">
        <v>44784.202175925922</v>
      </c>
      <c r="B31" s="1">
        <v>44784.20212962963</v>
      </c>
      <c r="C31">
        <v>2.9</v>
      </c>
      <c r="D31">
        <v>2.9</v>
      </c>
      <c r="E31">
        <v>58</v>
      </c>
      <c r="F31">
        <v>0</v>
      </c>
      <c r="G31" t="s">
        <v>33</v>
      </c>
      <c r="H31" t="s">
        <v>36</v>
      </c>
      <c r="I31">
        <v>-0.13</v>
      </c>
      <c r="J31" s="2"/>
      <c r="K31" s="2"/>
    </row>
    <row r="32" spans="1:11" x14ac:dyDescent="0.25">
      <c r="A32" s="1">
        <v>44784.209097222221</v>
      </c>
      <c r="B32" s="1">
        <v>44784.209050925929</v>
      </c>
      <c r="C32">
        <v>2.9</v>
      </c>
      <c r="D32">
        <v>3</v>
      </c>
      <c r="E32">
        <v>58</v>
      </c>
      <c r="F32">
        <v>0</v>
      </c>
      <c r="G32" t="s">
        <v>33</v>
      </c>
      <c r="H32" t="s">
        <v>36</v>
      </c>
      <c r="I32">
        <v>-0.1</v>
      </c>
      <c r="J32">
        <f>IF(COUNT(I27:I32)&gt;3.5,ROUND(AVERAGE(I27:I32),2),"")</f>
        <v>-0.16</v>
      </c>
      <c r="K32">
        <f>IF(COUNT(2.11, 0.02, -0.06, -0.15, -0.2, -0.16, -0.13, -0.16, 0.07, 0.73, 1.71, 2.09, 2.31, 1.93, 2.26, 2.52, 2.52, 2.31, 2.22, 2.13, 3.22, 5.87, 1.72, 1.25)&gt;17.5,ROUND(AVERAGE(2.11, 0.02, -0.06, -0.15, -0.2, -0.16, -0.13, -0.16, 0.07, 0.73, 1.71, 2.09, 2.31, 1.93, 2.26, 2.52, 2.52, 2.31, 2.22, 2.13, 3.22, 5.87, 1.72, 1.25),2),"NO AVG")</f>
        <v>1.51</v>
      </c>
    </row>
    <row r="33" spans="1:11" x14ac:dyDescent="0.25">
      <c r="A33" s="1">
        <v>44784.216134259259</v>
      </c>
      <c r="B33" s="1">
        <v>44784.215995370374</v>
      </c>
      <c r="C33">
        <v>2.9</v>
      </c>
      <c r="D33">
        <v>3.1</v>
      </c>
      <c r="E33">
        <v>58</v>
      </c>
      <c r="F33">
        <v>0</v>
      </c>
      <c r="G33" t="s">
        <v>33</v>
      </c>
      <c r="H33" t="s">
        <v>36</v>
      </c>
      <c r="I33">
        <v>-7.0000000000000007E-2</v>
      </c>
      <c r="J33" s="2"/>
      <c r="K33" s="2"/>
    </row>
    <row r="34" spans="1:11" x14ac:dyDescent="0.25">
      <c r="A34" s="1">
        <v>44784.222997685189</v>
      </c>
      <c r="B34" s="1">
        <v>44784.222939814812</v>
      </c>
      <c r="C34">
        <v>2.9</v>
      </c>
      <c r="D34">
        <v>3.1</v>
      </c>
      <c r="E34">
        <v>58</v>
      </c>
      <c r="F34">
        <v>0</v>
      </c>
      <c r="G34" t="s">
        <v>33</v>
      </c>
      <c r="H34" t="s">
        <v>36</v>
      </c>
      <c r="I34">
        <v>-7.0000000000000007E-2</v>
      </c>
      <c r="J34" s="2"/>
      <c r="K34" s="2"/>
    </row>
    <row r="35" spans="1:11" x14ac:dyDescent="0.25">
      <c r="A35" s="1">
        <v>44784.229942129627</v>
      </c>
      <c r="B35" s="1">
        <v>44784.229884259257</v>
      </c>
      <c r="C35">
        <v>2.9</v>
      </c>
      <c r="D35">
        <v>3.1</v>
      </c>
      <c r="E35">
        <v>58</v>
      </c>
      <c r="F35">
        <v>0</v>
      </c>
      <c r="G35" t="s">
        <v>33</v>
      </c>
      <c r="H35" t="s">
        <v>36</v>
      </c>
      <c r="I35">
        <v>-7.0000000000000007E-2</v>
      </c>
      <c r="J35" s="2"/>
      <c r="K35" s="2"/>
    </row>
    <row r="36" spans="1:11" x14ac:dyDescent="0.25">
      <c r="A36" s="1">
        <v>44784.236886574072</v>
      </c>
      <c r="B36" s="1">
        <v>44784.236840277779</v>
      </c>
      <c r="C36">
        <v>2.9</v>
      </c>
      <c r="D36">
        <v>3</v>
      </c>
      <c r="E36">
        <v>58</v>
      </c>
      <c r="F36">
        <v>0</v>
      </c>
      <c r="G36" t="s">
        <v>33</v>
      </c>
      <c r="H36" t="s">
        <v>36</v>
      </c>
      <c r="I36">
        <v>-0.1</v>
      </c>
      <c r="J36" s="2"/>
      <c r="K36" s="2"/>
    </row>
    <row r="37" spans="1:11" x14ac:dyDescent="0.25">
      <c r="A37" s="1">
        <v>44784.243831018517</v>
      </c>
      <c r="B37" s="1">
        <v>44784.243773148148</v>
      </c>
      <c r="C37">
        <v>2.9</v>
      </c>
      <c r="D37">
        <v>2.9</v>
      </c>
      <c r="E37">
        <v>58</v>
      </c>
      <c r="F37">
        <v>0</v>
      </c>
      <c r="G37" t="s">
        <v>33</v>
      </c>
      <c r="H37" t="s">
        <v>36</v>
      </c>
      <c r="I37">
        <v>-0.13</v>
      </c>
      <c r="J37" s="2"/>
      <c r="K37" s="2"/>
    </row>
    <row r="38" spans="1:11" x14ac:dyDescent="0.25">
      <c r="A38" s="1">
        <v>44784.250787037039</v>
      </c>
      <c r="B38" s="1">
        <v>44784.25072916667</v>
      </c>
      <c r="C38">
        <v>2.9</v>
      </c>
      <c r="D38">
        <v>2.9</v>
      </c>
      <c r="E38">
        <v>59</v>
      </c>
      <c r="F38">
        <v>0</v>
      </c>
      <c r="G38" t="s">
        <v>33</v>
      </c>
      <c r="H38" t="s">
        <v>36</v>
      </c>
      <c r="I38">
        <v>-0.2</v>
      </c>
      <c r="J38">
        <f>IF(COUNT(I33:I38)&gt;3.5,ROUND(AVERAGE(I33:I38),2),"")</f>
        <v>-0.11</v>
      </c>
      <c r="K38">
        <f>IF(COUNT(2.11, 0.02, -0.06, -0.15, -0.2, -0.16, -0.11, -0.16, 0.07, 0.73, 1.71, 2.09, 2.31, 1.93, 2.26, 2.52, 2.52, 2.31, 2.22, 2.13, 3.22, 5.87, 1.72, 1.25)&gt;17.5,ROUND(AVERAGE(2.11, 0.02, -0.06, -0.15, -0.2, -0.16, -0.11, -0.16, 0.07, 0.73, 1.71, 2.09, 2.31, 1.93, 2.26, 2.52, 2.52, 2.31, 2.22, 2.13, 3.22, 5.87, 1.72, 1.25),2),"NO AVG")</f>
        <v>1.51</v>
      </c>
    </row>
    <row r="39" spans="1:11" x14ac:dyDescent="0.25">
      <c r="A39" s="1">
        <v>44784.257731481484</v>
      </c>
      <c r="B39" s="1">
        <v>44784.257662037038</v>
      </c>
      <c r="C39">
        <v>2.9</v>
      </c>
      <c r="D39">
        <v>2.9</v>
      </c>
      <c r="E39">
        <v>58</v>
      </c>
      <c r="F39">
        <v>0</v>
      </c>
      <c r="G39" t="s">
        <v>33</v>
      </c>
      <c r="H39" t="s">
        <v>36</v>
      </c>
      <c r="I39">
        <v>-0.13</v>
      </c>
      <c r="J39" s="2"/>
      <c r="K39" s="2"/>
    </row>
    <row r="40" spans="1:11" x14ac:dyDescent="0.25">
      <c r="A40" s="1">
        <v>44784.264664351853</v>
      </c>
      <c r="B40" s="1">
        <v>44784.264606481483</v>
      </c>
      <c r="C40">
        <v>2.9</v>
      </c>
      <c r="D40">
        <v>3</v>
      </c>
      <c r="E40">
        <v>59</v>
      </c>
      <c r="F40">
        <v>0</v>
      </c>
      <c r="G40" t="s">
        <v>33</v>
      </c>
      <c r="H40" t="s">
        <v>36</v>
      </c>
      <c r="I40">
        <v>-0.17</v>
      </c>
      <c r="J40" s="2"/>
      <c r="K40" s="2"/>
    </row>
    <row r="41" spans="1:11" x14ac:dyDescent="0.25">
      <c r="A41" s="1">
        <v>44784.271608796298</v>
      </c>
      <c r="B41" s="1">
        <v>44784.271550925929</v>
      </c>
      <c r="C41">
        <v>2.9</v>
      </c>
      <c r="D41">
        <v>2.9</v>
      </c>
      <c r="E41">
        <v>58</v>
      </c>
      <c r="F41">
        <v>0</v>
      </c>
      <c r="G41" t="s">
        <v>33</v>
      </c>
      <c r="H41" t="s">
        <v>36</v>
      </c>
      <c r="I41">
        <v>-0.13</v>
      </c>
      <c r="J41" s="2"/>
      <c r="K41" s="2"/>
    </row>
    <row r="42" spans="1:11" x14ac:dyDescent="0.25">
      <c r="A42" s="1">
        <v>44784.278553240743</v>
      </c>
      <c r="B42" s="1">
        <v>44784.278495370374</v>
      </c>
      <c r="C42">
        <v>2.9</v>
      </c>
      <c r="D42">
        <v>3</v>
      </c>
      <c r="E42">
        <v>59</v>
      </c>
      <c r="F42">
        <v>0</v>
      </c>
      <c r="G42" t="s">
        <v>33</v>
      </c>
      <c r="H42" t="s">
        <v>36</v>
      </c>
      <c r="I42">
        <v>-0.17</v>
      </c>
      <c r="J42" s="2"/>
      <c r="K42" s="2"/>
    </row>
    <row r="43" spans="1:11" x14ac:dyDescent="0.25">
      <c r="A43" s="1">
        <v>44784.285497685189</v>
      </c>
      <c r="B43" s="1">
        <v>44784.285439814812</v>
      </c>
      <c r="C43">
        <v>3</v>
      </c>
      <c r="D43">
        <v>3</v>
      </c>
      <c r="E43">
        <v>59</v>
      </c>
      <c r="F43">
        <v>0</v>
      </c>
      <c r="G43" t="s">
        <v>33</v>
      </c>
      <c r="H43" t="s">
        <v>36</v>
      </c>
      <c r="I43">
        <v>-0.14000000000000001</v>
      </c>
      <c r="J43" s="2"/>
      <c r="K43" s="2"/>
    </row>
    <row r="44" spans="1:11" x14ac:dyDescent="0.25">
      <c r="A44" s="1">
        <v>44784.292442129627</v>
      </c>
      <c r="B44" s="1">
        <v>44784.292384259257</v>
      </c>
      <c r="C44">
        <v>3.1</v>
      </c>
      <c r="D44">
        <v>2.9</v>
      </c>
      <c r="E44">
        <v>58</v>
      </c>
      <c r="F44">
        <v>0</v>
      </c>
      <c r="G44" t="s">
        <v>33</v>
      </c>
      <c r="H44" t="s">
        <v>36</v>
      </c>
      <c r="I44">
        <v>-7.0000000000000007E-2</v>
      </c>
      <c r="J44">
        <f>IF(COUNT(I39:I44)&gt;3.5,ROUND(AVERAGE(I39:I44),2),"")</f>
        <v>-0.14000000000000001</v>
      </c>
      <c r="K44">
        <f>IF(COUNT(2.11, 0.02, -0.06, -0.15, -0.2, -0.16, -0.11, -0.14, 0.07, 0.73, 1.71, 2.09, 2.31, 1.93, 2.26, 2.52, 2.52, 2.31, 2.22, 2.13, 3.22, 5.87, 1.72, 1.25)&gt;17.5,ROUND(AVERAGE(2.11, 0.02, -0.06, -0.15, -0.2, -0.16, -0.11, -0.14, 0.07, 0.73, 1.71, 2.09, 2.31, 1.93, 2.26, 2.52, 2.52, 2.31, 2.22, 2.13, 3.22, 5.87, 1.72, 1.25),2),"NO AVG")</f>
        <v>1.51</v>
      </c>
    </row>
    <row r="45" spans="1:11" x14ac:dyDescent="0.25">
      <c r="A45" s="1">
        <v>44784.299386574072</v>
      </c>
      <c r="B45" s="1">
        <v>44784.299340277779</v>
      </c>
      <c r="C45">
        <v>3.1</v>
      </c>
      <c r="D45">
        <v>2.9</v>
      </c>
      <c r="E45">
        <v>58</v>
      </c>
      <c r="F45">
        <v>0</v>
      </c>
      <c r="G45" t="s">
        <v>33</v>
      </c>
      <c r="H45" t="s">
        <v>36</v>
      </c>
      <c r="I45">
        <v>-7.0000000000000007E-2</v>
      </c>
      <c r="J45" s="2"/>
      <c r="K45" s="2"/>
    </row>
    <row r="46" spans="1:11" x14ac:dyDescent="0.25">
      <c r="A46" s="1">
        <v>44784.306331018517</v>
      </c>
      <c r="B46" s="1">
        <v>44784.306273148148</v>
      </c>
      <c r="C46">
        <v>3.2</v>
      </c>
      <c r="D46">
        <v>3.1</v>
      </c>
      <c r="E46">
        <v>58</v>
      </c>
      <c r="F46">
        <v>0</v>
      </c>
      <c r="G46" t="s">
        <v>33</v>
      </c>
      <c r="H46" t="s">
        <v>36</v>
      </c>
      <c r="I46">
        <v>0.02</v>
      </c>
      <c r="J46" s="2"/>
      <c r="K46" s="2"/>
    </row>
    <row r="47" spans="1:11" x14ac:dyDescent="0.25">
      <c r="A47" s="1">
        <v>44784.313275462962</v>
      </c>
      <c r="B47" s="1">
        <v>44784.313217592593</v>
      </c>
      <c r="C47">
        <v>3.2</v>
      </c>
      <c r="D47">
        <v>3.2</v>
      </c>
      <c r="E47">
        <v>58</v>
      </c>
      <c r="F47">
        <v>0</v>
      </c>
      <c r="G47" t="s">
        <v>33</v>
      </c>
      <c r="H47" t="s">
        <v>36</v>
      </c>
      <c r="I47">
        <v>0.05</v>
      </c>
      <c r="J47" s="2"/>
      <c r="K47" s="2"/>
    </row>
    <row r="48" spans="1:11" x14ac:dyDescent="0.25">
      <c r="A48" s="1">
        <v>44784.320219907408</v>
      </c>
      <c r="B48" s="1">
        <v>44784.320162037038</v>
      </c>
      <c r="C48">
        <v>3.2</v>
      </c>
      <c r="D48">
        <v>3.3</v>
      </c>
      <c r="E48">
        <v>57</v>
      </c>
      <c r="F48">
        <v>0</v>
      </c>
      <c r="G48" t="s">
        <v>33</v>
      </c>
      <c r="H48" t="s">
        <v>36</v>
      </c>
      <c r="I48">
        <v>0.15</v>
      </c>
      <c r="J48" s="2"/>
      <c r="K48" s="2"/>
    </row>
    <row r="49" spans="1:11" x14ac:dyDescent="0.25">
      <c r="A49" s="1">
        <v>44784.327164351853</v>
      </c>
      <c r="B49" s="1">
        <v>44784.327106481483</v>
      </c>
      <c r="C49">
        <v>3.3</v>
      </c>
      <c r="D49">
        <v>3.4</v>
      </c>
      <c r="E49">
        <v>55</v>
      </c>
      <c r="F49">
        <v>0</v>
      </c>
      <c r="G49" t="s">
        <v>33</v>
      </c>
      <c r="H49" t="s">
        <v>36</v>
      </c>
      <c r="I49">
        <v>0.35</v>
      </c>
      <c r="J49" s="2"/>
      <c r="K49" s="2"/>
    </row>
    <row r="50" spans="1:11" x14ac:dyDescent="0.25">
      <c r="A50" s="1">
        <v>44784.334120370368</v>
      </c>
      <c r="B50" s="1">
        <v>44784.334050925929</v>
      </c>
      <c r="C50">
        <v>3.5</v>
      </c>
      <c r="D50">
        <v>3.6</v>
      </c>
      <c r="E50">
        <v>55</v>
      </c>
      <c r="F50">
        <v>0</v>
      </c>
      <c r="G50" t="s">
        <v>33</v>
      </c>
      <c r="H50" t="s">
        <v>36</v>
      </c>
      <c r="I50">
        <v>0.48</v>
      </c>
      <c r="J50">
        <f>IF(COUNT(I45:I50)&gt;3.5,ROUND(AVERAGE(I45:I50),2),"")</f>
        <v>0.16</v>
      </c>
      <c r="K50">
        <f>IF(COUNT(2.11, 0.02, -0.06, -0.15, -0.2, -0.16, -0.11, -0.14, 0.16, 0.73, 1.71, 2.09, 2.31, 1.93, 2.26, 2.52, 2.52, 2.31, 2.22, 2.13, 3.22, 5.87, 1.72, 1.25)&gt;17.5,ROUND(AVERAGE(2.11, 0.02, -0.06, -0.15, -0.2, -0.16, -0.11, -0.14, 0.16, 0.73, 1.71, 2.09, 2.31, 1.93, 2.26, 2.52, 2.52, 2.31, 2.22, 2.13, 3.22, 5.87, 1.72, 1.25),2),"NO AVG")</f>
        <v>1.51</v>
      </c>
    </row>
    <row r="51" spans="1:11" x14ac:dyDescent="0.25">
      <c r="A51" s="1">
        <v>44784.341053240743</v>
      </c>
      <c r="B51" s="1">
        <v>44784.340995370374</v>
      </c>
      <c r="C51">
        <v>3.5</v>
      </c>
      <c r="D51">
        <v>3.7</v>
      </c>
      <c r="E51">
        <v>55</v>
      </c>
      <c r="F51">
        <v>0</v>
      </c>
      <c r="G51" t="s">
        <v>33</v>
      </c>
      <c r="H51" t="s">
        <v>36</v>
      </c>
      <c r="I51">
        <v>0.51</v>
      </c>
      <c r="J51" s="2"/>
      <c r="K51" s="2"/>
    </row>
    <row r="52" spans="1:11" x14ac:dyDescent="0.25">
      <c r="A52" s="1">
        <v>44784.347997685189</v>
      </c>
      <c r="B52" s="1">
        <v>44784.347951388889</v>
      </c>
      <c r="C52">
        <v>3.6</v>
      </c>
      <c r="D52">
        <v>3.7</v>
      </c>
      <c r="E52">
        <v>54</v>
      </c>
      <c r="F52">
        <v>0</v>
      </c>
      <c r="G52" t="s">
        <v>33</v>
      </c>
      <c r="H52" t="s">
        <v>36</v>
      </c>
      <c r="I52">
        <v>0.61</v>
      </c>
      <c r="J52" s="2"/>
      <c r="K52" s="2"/>
    </row>
    <row r="53" spans="1:11" x14ac:dyDescent="0.25">
      <c r="A53" s="1">
        <v>44784.354942129627</v>
      </c>
      <c r="B53" s="1">
        <v>44784.354884259257</v>
      </c>
      <c r="C53">
        <v>3.7</v>
      </c>
      <c r="D53">
        <v>3.5</v>
      </c>
      <c r="E53">
        <v>53</v>
      </c>
      <c r="F53">
        <v>0</v>
      </c>
      <c r="G53" t="s">
        <v>33</v>
      </c>
      <c r="H53" t="s">
        <v>36</v>
      </c>
      <c r="I53">
        <v>0.65</v>
      </c>
      <c r="J53" s="2"/>
      <c r="K53" s="2"/>
    </row>
    <row r="54" spans="1:11" x14ac:dyDescent="0.25">
      <c r="A54" s="1">
        <v>44784.361898148149</v>
      </c>
      <c r="B54" s="1">
        <v>44784.361828703702</v>
      </c>
      <c r="C54">
        <v>3.7</v>
      </c>
      <c r="D54">
        <v>3.4</v>
      </c>
      <c r="E54">
        <v>50</v>
      </c>
      <c r="F54">
        <v>0</v>
      </c>
      <c r="G54" t="s">
        <v>33</v>
      </c>
      <c r="H54" t="s">
        <v>36</v>
      </c>
      <c r="I54">
        <v>0.83</v>
      </c>
      <c r="J54" s="2"/>
      <c r="K54" s="2"/>
    </row>
    <row r="55" spans="1:11" x14ac:dyDescent="0.25">
      <c r="A55" s="1">
        <v>44784.368831018517</v>
      </c>
      <c r="B55" s="1">
        <v>44784.368784722225</v>
      </c>
      <c r="C55">
        <v>3.7</v>
      </c>
      <c r="D55">
        <v>3.4</v>
      </c>
      <c r="E55">
        <v>48</v>
      </c>
      <c r="F55">
        <v>0</v>
      </c>
      <c r="G55" t="s">
        <v>33</v>
      </c>
      <c r="H55" t="s">
        <v>36</v>
      </c>
      <c r="I55">
        <v>0.97</v>
      </c>
      <c r="J55" s="2"/>
      <c r="K55" s="2"/>
    </row>
    <row r="56" spans="1:11" x14ac:dyDescent="0.25">
      <c r="A56" s="1">
        <v>44784.375787037039</v>
      </c>
      <c r="B56" s="1">
        <v>44784.375717592593</v>
      </c>
      <c r="C56">
        <v>3.6</v>
      </c>
      <c r="D56">
        <v>3.2</v>
      </c>
      <c r="E56">
        <v>45</v>
      </c>
      <c r="F56">
        <v>0</v>
      </c>
      <c r="G56" t="s">
        <v>33</v>
      </c>
      <c r="H56" t="s">
        <v>36</v>
      </c>
      <c r="I56">
        <v>1.08</v>
      </c>
      <c r="J56">
        <f>IF(COUNT(I51:I56)&gt;3.5,ROUND(AVERAGE(I51:I56),2),"")</f>
        <v>0.78</v>
      </c>
      <c r="K56">
        <f>IF(COUNT(2.11, 0.02, -0.06, -0.15, -0.2, -0.16, -0.11, -0.14, 0.16, 0.78, 1.71, 2.09, 2.31, 1.93, 2.26, 2.52, 2.52, 2.31, 2.22, 2.13, 3.22, 5.87, 1.72, 1.25)&gt;17.5,ROUND(AVERAGE(2.11, 0.02, -0.06, -0.15, -0.2, -0.16, -0.11, -0.14, 0.16, 0.78, 1.71, 2.09, 2.31, 1.93, 2.26, 2.52, 2.52, 2.31, 2.22, 2.13, 3.22, 5.87, 1.72, 1.25),2),"NO AVG")</f>
        <v>1.51</v>
      </c>
    </row>
    <row r="57" spans="1:11" x14ac:dyDescent="0.25">
      <c r="A57" s="1">
        <v>44784.382731481484</v>
      </c>
      <c r="B57" s="1">
        <v>44784.382662037038</v>
      </c>
      <c r="C57">
        <v>3.5</v>
      </c>
      <c r="D57">
        <v>3.1</v>
      </c>
      <c r="E57">
        <v>42</v>
      </c>
      <c r="F57">
        <v>0</v>
      </c>
      <c r="G57" t="s">
        <v>33</v>
      </c>
      <c r="H57" t="s">
        <v>36</v>
      </c>
      <c r="I57">
        <v>1.23</v>
      </c>
      <c r="J57" s="2"/>
      <c r="K57" s="2"/>
    </row>
    <row r="58" spans="1:11" x14ac:dyDescent="0.25">
      <c r="A58" s="1">
        <v>44784.389664351853</v>
      </c>
      <c r="B58" s="1">
        <v>44784.389618055553</v>
      </c>
      <c r="C58">
        <v>3.6</v>
      </c>
      <c r="D58">
        <v>3.2</v>
      </c>
      <c r="E58">
        <v>42</v>
      </c>
      <c r="F58">
        <v>0</v>
      </c>
      <c r="G58" t="s">
        <v>32</v>
      </c>
      <c r="H58" t="s">
        <v>36</v>
      </c>
      <c r="J58" s="2"/>
      <c r="K58" s="2"/>
    </row>
    <row r="59" spans="1:11" x14ac:dyDescent="0.25">
      <c r="A59" s="1">
        <v>44784.396620370368</v>
      </c>
      <c r="B59" s="1">
        <v>44784.396562499998</v>
      </c>
      <c r="C59">
        <v>3.5</v>
      </c>
      <c r="D59">
        <v>3.1</v>
      </c>
      <c r="E59">
        <v>41</v>
      </c>
      <c r="F59">
        <v>0</v>
      </c>
      <c r="G59" t="s">
        <v>33</v>
      </c>
      <c r="H59" t="s">
        <v>36</v>
      </c>
      <c r="I59">
        <v>1.3</v>
      </c>
      <c r="J59" s="2"/>
      <c r="K59" s="2"/>
    </row>
    <row r="60" spans="1:11" x14ac:dyDescent="0.25">
      <c r="A60" s="1">
        <v>44784.403564814813</v>
      </c>
      <c r="B60" s="1">
        <v>44784.403506944444</v>
      </c>
      <c r="C60">
        <v>3.4</v>
      </c>
      <c r="D60">
        <v>3.1</v>
      </c>
      <c r="E60">
        <v>40</v>
      </c>
      <c r="F60">
        <v>0</v>
      </c>
      <c r="G60" t="s">
        <v>33</v>
      </c>
      <c r="H60" t="s">
        <v>36</v>
      </c>
      <c r="I60">
        <v>1.34</v>
      </c>
      <c r="J60" s="2"/>
      <c r="K60" s="2"/>
    </row>
    <row r="61" spans="1:11" x14ac:dyDescent="0.25">
      <c r="A61" s="1">
        <v>44784.410509259258</v>
      </c>
      <c r="B61" s="1">
        <v>44784.410451388889</v>
      </c>
      <c r="C61">
        <v>3.4</v>
      </c>
      <c r="D61">
        <v>3.1</v>
      </c>
      <c r="E61">
        <v>39</v>
      </c>
      <c r="F61">
        <v>0</v>
      </c>
      <c r="G61" t="s">
        <v>33</v>
      </c>
      <c r="H61" t="s">
        <v>36</v>
      </c>
      <c r="I61">
        <v>1.41</v>
      </c>
      <c r="J61" s="2"/>
      <c r="K61" s="2"/>
    </row>
    <row r="62" spans="1:11" x14ac:dyDescent="0.25">
      <c r="A62" s="1">
        <v>44784.417453703703</v>
      </c>
      <c r="B62" s="1">
        <v>44784.417395833334</v>
      </c>
      <c r="C62">
        <v>3.5</v>
      </c>
      <c r="D62">
        <v>3.1</v>
      </c>
      <c r="E62">
        <v>38</v>
      </c>
      <c r="F62">
        <v>0</v>
      </c>
      <c r="G62" t="s">
        <v>33</v>
      </c>
      <c r="H62" t="s">
        <v>36</v>
      </c>
      <c r="I62">
        <v>1.51</v>
      </c>
      <c r="J62">
        <f>IF(COUNT(I57:I62)&gt;3.5,ROUND(AVERAGE(I57:I62),2),"")</f>
        <v>1.36</v>
      </c>
      <c r="K62">
        <f>IF(COUNT(2.11, 0.02, -0.06, -0.15, -0.2, -0.16, -0.11, -0.14, 0.16, 0.78, 1.36, 2.09, 2.31, 1.93, 2.26, 2.52, 2.52, 2.31, 2.22, 2.13, 3.22, 5.87, 1.72, 1.25)&gt;17.5,ROUND(AVERAGE(2.11, 0.02, -0.06, -0.15, -0.2, -0.16, -0.11, -0.14, 0.16, 0.78, 1.36, 2.09, 2.31, 1.93, 2.26, 2.52, 2.52, 2.31, 2.22, 2.13, 3.22, 5.87, 1.72, 1.25),2),"NO AVG")</f>
        <v>1.5</v>
      </c>
    </row>
    <row r="63" spans="1:11" x14ac:dyDescent="0.25">
      <c r="A63" s="1">
        <v>44784.424398148149</v>
      </c>
      <c r="B63" s="1">
        <v>44784.424340277779</v>
      </c>
      <c r="C63">
        <v>3.6</v>
      </c>
      <c r="D63">
        <v>3.1</v>
      </c>
      <c r="E63">
        <v>37</v>
      </c>
      <c r="F63">
        <v>0</v>
      </c>
      <c r="G63" t="s">
        <v>33</v>
      </c>
      <c r="H63" t="s">
        <v>36</v>
      </c>
      <c r="I63">
        <v>1.61</v>
      </c>
      <c r="J63" s="2"/>
      <c r="K63" s="2"/>
    </row>
    <row r="64" spans="1:11" x14ac:dyDescent="0.25">
      <c r="A64" s="1">
        <v>44784.431342592594</v>
      </c>
      <c r="B64" s="1">
        <v>44784.431284722225</v>
      </c>
      <c r="C64">
        <v>3.6</v>
      </c>
      <c r="D64">
        <v>3.1</v>
      </c>
      <c r="E64">
        <v>36</v>
      </c>
      <c r="F64">
        <v>0</v>
      </c>
      <c r="G64" t="s">
        <v>33</v>
      </c>
      <c r="H64" t="s">
        <v>36</v>
      </c>
      <c r="I64">
        <v>1.68</v>
      </c>
      <c r="J64" s="2"/>
      <c r="K64" s="2"/>
    </row>
    <row r="65" spans="1:11" x14ac:dyDescent="0.25">
      <c r="A65" s="1">
        <v>44784.438298611109</v>
      </c>
      <c r="B65" s="1">
        <v>44784.43822916667</v>
      </c>
      <c r="C65">
        <v>3.7</v>
      </c>
      <c r="D65">
        <v>3.2</v>
      </c>
      <c r="E65">
        <v>38</v>
      </c>
      <c r="F65">
        <v>0</v>
      </c>
      <c r="G65" t="s">
        <v>33</v>
      </c>
      <c r="H65" t="s">
        <v>36</v>
      </c>
      <c r="I65">
        <v>1.6</v>
      </c>
      <c r="J65" s="2"/>
      <c r="K65" s="2"/>
    </row>
    <row r="66" spans="1:11" x14ac:dyDescent="0.25">
      <c r="A66" s="1">
        <v>44784.445231481484</v>
      </c>
      <c r="B66" s="1">
        <v>44784.445173611108</v>
      </c>
      <c r="C66">
        <v>3.8</v>
      </c>
      <c r="D66">
        <v>3.2</v>
      </c>
      <c r="E66">
        <v>38</v>
      </c>
      <c r="F66">
        <v>0</v>
      </c>
      <c r="G66" t="s">
        <v>33</v>
      </c>
      <c r="H66" t="s">
        <v>36</v>
      </c>
      <c r="I66">
        <v>1.63</v>
      </c>
      <c r="J66" s="2"/>
      <c r="K66" s="2"/>
    </row>
    <row r="67" spans="1:11" x14ac:dyDescent="0.25">
      <c r="A67" s="1">
        <v>44784.452175925922</v>
      </c>
      <c r="B67" s="1">
        <v>44784.452118055553</v>
      </c>
      <c r="C67">
        <v>3.7</v>
      </c>
      <c r="D67">
        <v>3.3</v>
      </c>
      <c r="E67">
        <v>42</v>
      </c>
      <c r="F67">
        <v>0</v>
      </c>
      <c r="G67" t="s">
        <v>33</v>
      </c>
      <c r="H67" t="s">
        <v>36</v>
      </c>
      <c r="I67">
        <v>1.35</v>
      </c>
      <c r="J67" s="2"/>
      <c r="K67" s="2"/>
    </row>
    <row r="68" spans="1:11" x14ac:dyDescent="0.25">
      <c r="A68" s="1">
        <v>44784.459120370368</v>
      </c>
      <c r="B68" s="1">
        <v>44784.459062499998</v>
      </c>
      <c r="C68">
        <v>3.7</v>
      </c>
      <c r="D68">
        <v>3.2</v>
      </c>
      <c r="E68">
        <v>41</v>
      </c>
      <c r="F68">
        <v>0</v>
      </c>
      <c r="G68" t="s">
        <v>33</v>
      </c>
      <c r="H68" t="s">
        <v>36</v>
      </c>
      <c r="I68">
        <v>1.39</v>
      </c>
      <c r="J68">
        <f>IF(COUNT(I63:I68)&gt;3.5,ROUND(AVERAGE(I63:I68),2),"")</f>
        <v>1.54</v>
      </c>
      <c r="K68">
        <f>IF(COUNT(2.11, 0.02, -0.06, -0.15, -0.2, -0.16, -0.11, -0.14, 0.16, 0.78, 1.36, 1.54, 2.31, 1.93, 2.26, 2.52, 2.52, 2.31, 2.22, 2.13, 3.22, 5.87, 1.72, 1.25)&gt;17.5,ROUND(AVERAGE(2.11, 0.02, -0.06, -0.15, -0.2, -0.16, -0.11, -0.14, 0.16, 0.78, 1.36, 1.54, 2.31, 1.93, 2.26, 2.52, 2.52, 2.31, 2.22, 2.13, 3.22, 5.87, 1.72, 1.25),2),"NO AVG")</f>
        <v>1.48</v>
      </c>
    </row>
    <row r="69" spans="1:11" x14ac:dyDescent="0.25">
      <c r="A69" s="1">
        <v>44784.466064814813</v>
      </c>
      <c r="B69" s="1">
        <v>44784.466006944444</v>
      </c>
      <c r="C69">
        <v>3.6</v>
      </c>
      <c r="D69">
        <v>3.3</v>
      </c>
      <c r="E69">
        <v>41</v>
      </c>
      <c r="F69">
        <v>0</v>
      </c>
      <c r="G69" t="s">
        <v>33</v>
      </c>
      <c r="H69" t="s">
        <v>36</v>
      </c>
      <c r="I69">
        <v>1.39</v>
      </c>
      <c r="J69" s="2"/>
      <c r="K69" s="2"/>
    </row>
    <row r="70" spans="1:11" x14ac:dyDescent="0.25">
      <c r="A70" s="1">
        <v>44784.473009259258</v>
      </c>
      <c r="B70" s="1">
        <v>44784.472951388889</v>
      </c>
      <c r="C70">
        <v>3.7</v>
      </c>
      <c r="D70">
        <v>3.3</v>
      </c>
      <c r="E70">
        <v>42</v>
      </c>
      <c r="F70">
        <v>0</v>
      </c>
      <c r="G70" t="s">
        <v>33</v>
      </c>
      <c r="H70" t="s">
        <v>36</v>
      </c>
      <c r="I70">
        <v>1.35</v>
      </c>
      <c r="J70" s="2"/>
      <c r="K70" s="2"/>
    </row>
    <row r="71" spans="1:11" x14ac:dyDescent="0.25">
      <c r="A71" s="1">
        <v>44784.479953703703</v>
      </c>
      <c r="B71" s="1">
        <v>44784.479895833334</v>
      </c>
      <c r="C71">
        <v>3.6</v>
      </c>
      <c r="D71">
        <v>3.2</v>
      </c>
      <c r="E71">
        <v>42</v>
      </c>
      <c r="F71">
        <v>0</v>
      </c>
      <c r="G71" t="s">
        <v>33</v>
      </c>
      <c r="H71" t="s">
        <v>36</v>
      </c>
      <c r="I71">
        <v>1.29</v>
      </c>
      <c r="J71" s="2"/>
      <c r="K71" s="2"/>
    </row>
    <row r="72" spans="1:11" x14ac:dyDescent="0.25">
      <c r="A72" s="1">
        <v>44784.486921296295</v>
      </c>
      <c r="B72" s="1">
        <v>44784.486840277779</v>
      </c>
      <c r="C72">
        <v>3.4</v>
      </c>
      <c r="D72">
        <v>3.2</v>
      </c>
      <c r="E72">
        <v>42</v>
      </c>
      <c r="F72">
        <v>0</v>
      </c>
      <c r="G72" t="s">
        <v>33</v>
      </c>
      <c r="H72" t="s">
        <v>36</v>
      </c>
      <c r="I72">
        <v>1.23</v>
      </c>
      <c r="J72" s="2"/>
      <c r="K72" s="2"/>
    </row>
    <row r="73" spans="1:11" x14ac:dyDescent="0.25">
      <c r="A73" s="1">
        <v>44784.493842592594</v>
      </c>
      <c r="B73" s="1">
        <v>44784.493784722225</v>
      </c>
      <c r="C73">
        <v>3.4</v>
      </c>
      <c r="D73">
        <v>3.3</v>
      </c>
      <c r="E73">
        <v>41</v>
      </c>
      <c r="F73">
        <v>0</v>
      </c>
      <c r="G73" t="s">
        <v>33</v>
      </c>
      <c r="H73" t="s">
        <v>36</v>
      </c>
      <c r="I73">
        <v>1.33</v>
      </c>
      <c r="J73" s="2"/>
      <c r="K73" s="2"/>
    </row>
    <row r="74" spans="1:11" x14ac:dyDescent="0.25">
      <c r="A74" s="1">
        <v>44784.500787037039</v>
      </c>
      <c r="B74" s="1">
        <v>44784.50072916667</v>
      </c>
      <c r="C74">
        <v>3.7</v>
      </c>
      <c r="D74">
        <v>3.5</v>
      </c>
      <c r="E74">
        <v>41</v>
      </c>
      <c r="F74">
        <v>0</v>
      </c>
      <c r="G74" t="s">
        <v>33</v>
      </c>
      <c r="H74" t="s">
        <v>36</v>
      </c>
      <c r="I74">
        <v>1.49</v>
      </c>
      <c r="J74">
        <f>IF(COUNT(I69:I74)&gt;3.5,ROUND(AVERAGE(I69:I74),2),"")</f>
        <v>1.35</v>
      </c>
      <c r="K74">
        <f>IF(COUNT(2.11, 0.02, -0.06, -0.15, -0.2, -0.16, -0.11, -0.14, 0.16, 0.78, 1.36, 1.54, 1.35, 1.93, 2.26, 2.52, 2.52, 2.31, 2.22, 2.13, 3.22, 5.87, 1.72, 1.25)&gt;17.5,ROUND(AVERAGE(2.11, 0.02, -0.06, -0.15, -0.2, -0.16, -0.11, -0.14, 0.16, 0.78, 1.36, 1.54, 1.35, 1.93, 2.26, 2.52, 2.52, 2.31, 2.22, 2.13, 3.22, 5.87, 1.72, 1.25),2),"NO AVG")</f>
        <v>1.44</v>
      </c>
    </row>
    <row r="75" spans="1:11" x14ac:dyDescent="0.25">
      <c r="A75" s="1">
        <v>44784.507731481484</v>
      </c>
      <c r="B75" s="1">
        <v>44784.507673611108</v>
      </c>
      <c r="C75">
        <v>3.7</v>
      </c>
      <c r="D75">
        <v>3.4</v>
      </c>
      <c r="E75">
        <v>39</v>
      </c>
      <c r="F75">
        <v>0</v>
      </c>
      <c r="G75" t="s">
        <v>33</v>
      </c>
      <c r="H75" t="s">
        <v>36</v>
      </c>
      <c r="I75">
        <v>1.6</v>
      </c>
      <c r="J75" s="2"/>
      <c r="K75" s="2"/>
    </row>
    <row r="76" spans="1:11" x14ac:dyDescent="0.25">
      <c r="A76" s="1">
        <v>44784.514675925922</v>
      </c>
      <c r="B76" s="1">
        <v>44784.514618055553</v>
      </c>
      <c r="C76">
        <v>3.5</v>
      </c>
      <c r="D76">
        <v>3.2</v>
      </c>
      <c r="E76">
        <v>36</v>
      </c>
      <c r="F76">
        <v>0</v>
      </c>
      <c r="G76" t="s">
        <v>33</v>
      </c>
      <c r="H76" t="s">
        <v>36</v>
      </c>
      <c r="I76">
        <v>1.68</v>
      </c>
      <c r="J76" s="2"/>
      <c r="K76" s="2"/>
    </row>
    <row r="77" spans="1:11" x14ac:dyDescent="0.25">
      <c r="A77" s="1">
        <v>44784.521631944444</v>
      </c>
      <c r="B77" s="1">
        <v>44784.521562499998</v>
      </c>
      <c r="C77">
        <v>3.2</v>
      </c>
      <c r="D77">
        <v>2.9</v>
      </c>
      <c r="E77">
        <v>34</v>
      </c>
      <c r="F77">
        <v>0</v>
      </c>
      <c r="G77" t="s">
        <v>33</v>
      </c>
      <c r="H77" t="s">
        <v>36</v>
      </c>
      <c r="I77">
        <v>1.64</v>
      </c>
      <c r="J77" s="2"/>
      <c r="K77" s="2"/>
    </row>
    <row r="78" spans="1:11" x14ac:dyDescent="0.25">
      <c r="A78" s="1">
        <v>44784.528599537036</v>
      </c>
      <c r="B78" s="1">
        <v>44784.528506944444</v>
      </c>
      <c r="C78">
        <v>3</v>
      </c>
      <c r="D78">
        <v>2.7</v>
      </c>
      <c r="E78">
        <v>30</v>
      </c>
      <c r="F78">
        <v>0</v>
      </c>
      <c r="G78" t="s">
        <v>33</v>
      </c>
      <c r="H78" t="s">
        <v>36</v>
      </c>
      <c r="I78">
        <v>1.8</v>
      </c>
      <c r="J78" s="2"/>
      <c r="K78" s="2"/>
    </row>
    <row r="79" spans="1:11" x14ac:dyDescent="0.25">
      <c r="A79" s="1">
        <v>44784.535520833335</v>
      </c>
      <c r="B79" s="1">
        <v>44784.535451388889</v>
      </c>
      <c r="C79">
        <v>3</v>
      </c>
      <c r="D79">
        <v>2.6</v>
      </c>
      <c r="E79">
        <v>29</v>
      </c>
      <c r="F79">
        <v>0</v>
      </c>
      <c r="G79" t="s">
        <v>33</v>
      </c>
      <c r="H79" t="s">
        <v>36</v>
      </c>
      <c r="I79">
        <v>1.84</v>
      </c>
      <c r="J79" s="2"/>
      <c r="K79" s="2"/>
    </row>
    <row r="80" spans="1:11" x14ac:dyDescent="0.25">
      <c r="A80" s="1">
        <v>44784.542453703703</v>
      </c>
      <c r="B80" s="1">
        <v>44784.542395833334</v>
      </c>
      <c r="C80">
        <v>2.8</v>
      </c>
      <c r="D80">
        <v>2.5</v>
      </c>
      <c r="E80">
        <v>31</v>
      </c>
      <c r="F80">
        <v>0</v>
      </c>
      <c r="G80" t="s">
        <v>33</v>
      </c>
      <c r="H80" t="s">
        <v>36</v>
      </c>
      <c r="I80">
        <v>1.61</v>
      </c>
      <c r="J80">
        <f>IF(COUNT(I75:I80)&gt;3.5,ROUND(AVERAGE(I75:I80),2),"")</f>
        <v>1.7</v>
      </c>
      <c r="K80">
        <f>IF(COUNT(2.11, 0.02, -0.06, -0.15, -0.2, -0.16, -0.11, -0.14, 0.16, 0.78, 1.36, 1.54, 1.35, 1.7, 2.26, 2.52, 2.52, 2.31, 2.22, 2.13, 3.22, 5.87, 1.72, 1.25)&gt;17.5,ROUND(AVERAGE(2.11, 0.02, -0.06, -0.15, -0.2, -0.16, -0.11, -0.14, 0.16, 0.78, 1.36, 1.54, 1.35, 1.7, 2.26, 2.52, 2.52, 2.31, 2.22, 2.13, 3.22, 5.87, 1.72, 1.25),2),"NO AVG")</f>
        <v>1.43</v>
      </c>
    </row>
    <row r="81" spans="1:11" x14ac:dyDescent="0.25">
      <c r="A81" s="1">
        <v>44784.549409722225</v>
      </c>
      <c r="B81" s="1">
        <v>44784.549340277779</v>
      </c>
      <c r="C81">
        <v>2.8</v>
      </c>
      <c r="D81">
        <v>2.6</v>
      </c>
      <c r="E81">
        <v>30</v>
      </c>
      <c r="F81">
        <v>0</v>
      </c>
      <c r="G81" t="s">
        <v>33</v>
      </c>
      <c r="H81" t="s">
        <v>36</v>
      </c>
      <c r="I81">
        <v>1.71</v>
      </c>
      <c r="J81" s="2"/>
      <c r="K81" s="2"/>
    </row>
    <row r="82" spans="1:11" x14ac:dyDescent="0.25">
      <c r="A82" s="1">
        <v>44784.556840277779</v>
      </c>
      <c r="B82" s="1">
        <v>44784.556284722225</v>
      </c>
      <c r="C82">
        <v>2.8</v>
      </c>
      <c r="D82">
        <v>2.6</v>
      </c>
      <c r="E82">
        <v>30</v>
      </c>
      <c r="F82">
        <v>0</v>
      </c>
      <c r="G82" t="s">
        <v>33</v>
      </c>
      <c r="H82" t="s">
        <v>36</v>
      </c>
      <c r="I82">
        <v>1.71</v>
      </c>
      <c r="J82" s="2"/>
      <c r="K82" s="2"/>
    </row>
    <row r="83" spans="1:11" x14ac:dyDescent="0.25">
      <c r="A83" s="1">
        <v>44784.563298611109</v>
      </c>
      <c r="B83" s="1">
        <v>44784.56322916667</v>
      </c>
      <c r="C83">
        <v>2.9</v>
      </c>
      <c r="D83">
        <v>2.6</v>
      </c>
      <c r="E83">
        <v>30</v>
      </c>
      <c r="F83">
        <v>0</v>
      </c>
      <c r="G83" t="s">
        <v>33</v>
      </c>
      <c r="H83" t="s">
        <v>36</v>
      </c>
      <c r="I83">
        <v>1.74</v>
      </c>
      <c r="J83" s="2"/>
      <c r="K83" s="2"/>
    </row>
    <row r="84" spans="1:11" x14ac:dyDescent="0.25">
      <c r="A84" s="1">
        <v>44784.570289351854</v>
      </c>
      <c r="B84" s="1">
        <v>44784.570173611108</v>
      </c>
      <c r="C84">
        <v>2.9</v>
      </c>
      <c r="D84">
        <v>2.7</v>
      </c>
      <c r="E84">
        <v>31</v>
      </c>
      <c r="F84">
        <v>0</v>
      </c>
      <c r="G84" t="s">
        <v>33</v>
      </c>
      <c r="H84" t="s">
        <v>36</v>
      </c>
      <c r="I84">
        <v>1.7</v>
      </c>
      <c r="J84" s="2"/>
      <c r="K84" s="2"/>
    </row>
    <row r="85" spans="1:11" x14ac:dyDescent="0.25">
      <c r="A85" s="1">
        <v>44784.577187499999</v>
      </c>
      <c r="B85" s="1">
        <v>44784.577118055553</v>
      </c>
      <c r="C85">
        <v>2.8</v>
      </c>
      <c r="D85">
        <v>2.6</v>
      </c>
      <c r="E85">
        <v>28</v>
      </c>
      <c r="F85">
        <v>0</v>
      </c>
      <c r="G85" t="s">
        <v>33</v>
      </c>
      <c r="H85" t="s">
        <v>36</v>
      </c>
      <c r="I85">
        <v>1.85</v>
      </c>
      <c r="J85" s="2"/>
      <c r="K85" s="2"/>
    </row>
    <row r="86" spans="1:11" x14ac:dyDescent="0.25">
      <c r="A86" s="1">
        <v>44784.584131944444</v>
      </c>
      <c r="B86" s="1">
        <v>44784.584062499998</v>
      </c>
      <c r="C86">
        <v>2.9</v>
      </c>
      <c r="D86">
        <v>2.6</v>
      </c>
      <c r="E86">
        <v>30</v>
      </c>
      <c r="F86">
        <v>0</v>
      </c>
      <c r="G86" t="s">
        <v>33</v>
      </c>
      <c r="H86" t="s">
        <v>36</v>
      </c>
      <c r="I86">
        <v>1.74</v>
      </c>
      <c r="J86">
        <f>IF(COUNT(I81:I86)&gt;3.5,ROUND(AVERAGE(I81:I86),2),"")</f>
        <v>1.74</v>
      </c>
      <c r="K86">
        <f>IF(COUNT(2.11, 0.02, -0.06, -0.15, -0.2, -0.16, -0.11, -0.14, 0.16, 0.78, 1.36, 1.54, 1.35, 1.7, 1.74, 2.52, 2.52, 2.31, 2.22, 2.13, 3.22, 5.87, 1.72, 1.25)&gt;17.5,ROUND(AVERAGE(2.11, 0.02, -0.06, -0.15, -0.2, -0.16, -0.11, -0.14, 0.16, 0.78, 1.36, 1.54, 1.35, 1.7, 1.74, 2.52, 2.52, 2.31, 2.22, 2.13, 3.22, 5.87, 1.72, 1.25),2),"NO AVG")</f>
        <v>1.4</v>
      </c>
    </row>
    <row r="87" spans="1:11" x14ac:dyDescent="0.25">
      <c r="A87" s="1">
        <v>44784.591145833336</v>
      </c>
      <c r="B87" s="1">
        <v>44784.591006944444</v>
      </c>
      <c r="C87">
        <v>2.8</v>
      </c>
      <c r="D87">
        <v>2.4</v>
      </c>
      <c r="E87">
        <v>30</v>
      </c>
      <c r="F87">
        <v>0</v>
      </c>
      <c r="G87" t="s">
        <v>33</v>
      </c>
      <c r="H87" t="s">
        <v>36</v>
      </c>
      <c r="I87">
        <v>1.65</v>
      </c>
      <c r="J87" s="2"/>
      <c r="K87" s="2"/>
    </row>
    <row r="88" spans="1:11" x14ac:dyDescent="0.25">
      <c r="A88" s="1">
        <v>44784.598009259258</v>
      </c>
      <c r="B88" s="1">
        <v>44784.597951388889</v>
      </c>
      <c r="C88">
        <v>2.7</v>
      </c>
      <c r="D88">
        <v>2.5</v>
      </c>
      <c r="E88">
        <v>29</v>
      </c>
      <c r="F88">
        <v>0</v>
      </c>
      <c r="G88" t="s">
        <v>33</v>
      </c>
      <c r="H88" t="s">
        <v>36</v>
      </c>
      <c r="I88">
        <v>1.72</v>
      </c>
      <c r="J88" s="2"/>
      <c r="K88" s="2"/>
    </row>
    <row r="89" spans="1:11" x14ac:dyDescent="0.25">
      <c r="A89" s="1">
        <v>44784.60496527778</v>
      </c>
      <c r="B89" s="1">
        <v>44784.604895833334</v>
      </c>
      <c r="C89">
        <v>2.9</v>
      </c>
      <c r="D89">
        <v>2.5</v>
      </c>
      <c r="E89">
        <v>27</v>
      </c>
      <c r="F89">
        <v>0</v>
      </c>
      <c r="G89" t="s">
        <v>33</v>
      </c>
      <c r="H89" t="s">
        <v>36</v>
      </c>
      <c r="I89">
        <v>1.92</v>
      </c>
      <c r="J89" s="2"/>
      <c r="K89" s="2"/>
    </row>
    <row r="90" spans="1:11" x14ac:dyDescent="0.25">
      <c r="A90" s="1">
        <v>44784.611967592595</v>
      </c>
      <c r="B90" s="1">
        <v>44784.611840277779</v>
      </c>
      <c r="C90">
        <v>3</v>
      </c>
      <c r="D90">
        <v>2.6</v>
      </c>
      <c r="E90">
        <v>31</v>
      </c>
      <c r="F90">
        <v>0</v>
      </c>
      <c r="G90" t="s">
        <v>33</v>
      </c>
      <c r="H90" t="s">
        <v>36</v>
      </c>
      <c r="I90">
        <v>1.7</v>
      </c>
      <c r="J90" s="2"/>
      <c r="K90" s="2"/>
    </row>
    <row r="91" spans="1:11" x14ac:dyDescent="0.25">
      <c r="A91" s="1">
        <v>44784.618854166663</v>
      </c>
      <c r="B91" s="1">
        <v>44784.618784722225</v>
      </c>
      <c r="C91">
        <v>3.1</v>
      </c>
      <c r="D91">
        <v>2.7</v>
      </c>
      <c r="E91">
        <v>32</v>
      </c>
      <c r="F91">
        <v>0</v>
      </c>
      <c r="G91" t="s">
        <v>33</v>
      </c>
      <c r="H91" t="s">
        <v>36</v>
      </c>
      <c r="I91">
        <v>1.69</v>
      </c>
      <c r="J91" s="2"/>
      <c r="K91" s="2"/>
    </row>
    <row r="92" spans="1:11" x14ac:dyDescent="0.25">
      <c r="A92" s="1">
        <v>44784.625844907408</v>
      </c>
      <c r="B92" s="1">
        <v>44784.62572916667</v>
      </c>
      <c r="C92">
        <v>3.1</v>
      </c>
      <c r="D92">
        <v>2.8</v>
      </c>
      <c r="E92">
        <v>31</v>
      </c>
      <c r="F92">
        <v>0</v>
      </c>
      <c r="G92" t="s">
        <v>33</v>
      </c>
      <c r="H92" t="s">
        <v>36</v>
      </c>
      <c r="I92">
        <v>1.79</v>
      </c>
      <c r="J92">
        <f>IF(COUNT(I87:I92)&gt;3.5,ROUND(AVERAGE(I87:I92),2),"")</f>
        <v>1.75</v>
      </c>
      <c r="K92">
        <f>IF(COUNT(2.11, 0.02, -0.06, -0.15, -0.2, -0.16, -0.11, -0.14, 0.16, 0.78, 1.36, 1.54, 1.35, 1.7, 1.74, 1.75, 2.52, 2.31, 2.22, 2.13, 3.22, 5.87, 1.72, 1.25)&gt;17.5,ROUND(AVERAGE(2.11, 0.02, -0.06, -0.15, -0.2, -0.16, -0.11, -0.14, 0.16, 0.78, 1.36, 1.54, 1.35, 1.7, 1.74, 1.75, 2.52, 2.31, 2.22, 2.13, 3.22, 5.87, 1.72, 1.25),2),"NO AVG")</f>
        <v>1.37</v>
      </c>
    </row>
    <row r="93" spans="1:11" x14ac:dyDescent="0.25">
      <c r="A93" s="1">
        <v>44784.632731481484</v>
      </c>
      <c r="B93" s="1">
        <v>44784.632673611108</v>
      </c>
      <c r="C93">
        <v>3.2</v>
      </c>
      <c r="D93">
        <v>2.9</v>
      </c>
      <c r="E93">
        <v>28</v>
      </c>
      <c r="F93">
        <v>0</v>
      </c>
      <c r="G93" t="s">
        <v>33</v>
      </c>
      <c r="H93" t="s">
        <v>36</v>
      </c>
      <c r="I93">
        <v>2.06</v>
      </c>
      <c r="J93" s="2"/>
      <c r="K93" s="2"/>
    </row>
    <row r="94" spans="1:11" x14ac:dyDescent="0.25">
      <c r="A94" s="1">
        <v>44784.639664351853</v>
      </c>
      <c r="B94" s="1">
        <v>44784.639618055553</v>
      </c>
      <c r="C94">
        <v>3.3</v>
      </c>
      <c r="D94">
        <v>2.9</v>
      </c>
      <c r="E94">
        <v>29</v>
      </c>
      <c r="F94">
        <v>0</v>
      </c>
      <c r="G94" t="s">
        <v>33</v>
      </c>
      <c r="H94" t="s">
        <v>36</v>
      </c>
      <c r="I94">
        <v>2.02</v>
      </c>
      <c r="J94" s="2"/>
      <c r="K94" s="2"/>
    </row>
    <row r="95" spans="1:11" x14ac:dyDescent="0.25">
      <c r="A95" s="1">
        <v>44784.646620370368</v>
      </c>
      <c r="B95" s="1">
        <v>44784.646562499998</v>
      </c>
      <c r="C95">
        <v>3.4</v>
      </c>
      <c r="D95">
        <v>3</v>
      </c>
      <c r="E95">
        <v>30</v>
      </c>
      <c r="F95">
        <v>0</v>
      </c>
      <c r="G95" t="s">
        <v>33</v>
      </c>
      <c r="H95" t="s">
        <v>36</v>
      </c>
      <c r="I95">
        <v>2.0099999999999998</v>
      </c>
      <c r="J95" s="2"/>
      <c r="K95" s="2"/>
    </row>
    <row r="96" spans="1:11" x14ac:dyDescent="0.25">
      <c r="A96" s="1">
        <v>44784.653553240743</v>
      </c>
      <c r="B96" s="1">
        <v>44784.653506944444</v>
      </c>
      <c r="C96">
        <v>3.5</v>
      </c>
      <c r="D96">
        <v>3</v>
      </c>
      <c r="E96">
        <v>30</v>
      </c>
      <c r="F96">
        <v>0</v>
      </c>
      <c r="G96" t="s">
        <v>33</v>
      </c>
      <c r="H96" t="s">
        <v>36</v>
      </c>
      <c r="I96">
        <v>2.04</v>
      </c>
      <c r="J96" s="2"/>
      <c r="K96" s="2"/>
    </row>
    <row r="97" spans="1:11" x14ac:dyDescent="0.25">
      <c r="A97" s="1">
        <v>44784.660509259258</v>
      </c>
      <c r="B97" s="1">
        <v>44784.660451388889</v>
      </c>
      <c r="C97">
        <v>3.5</v>
      </c>
      <c r="D97">
        <v>3</v>
      </c>
      <c r="E97">
        <v>31</v>
      </c>
      <c r="F97">
        <v>0</v>
      </c>
      <c r="G97" t="s">
        <v>33</v>
      </c>
      <c r="H97" t="s">
        <v>36</v>
      </c>
      <c r="I97">
        <v>1.97</v>
      </c>
      <c r="J97" s="2"/>
      <c r="K97" s="2"/>
    </row>
    <row r="98" spans="1:11" x14ac:dyDescent="0.25">
      <c r="A98" s="1">
        <v>44784.667453703703</v>
      </c>
      <c r="B98" s="1">
        <v>44784.667395833334</v>
      </c>
      <c r="C98">
        <v>3.5</v>
      </c>
      <c r="D98">
        <v>3.2</v>
      </c>
      <c r="E98">
        <v>28</v>
      </c>
      <c r="F98">
        <v>0</v>
      </c>
      <c r="G98" t="s">
        <v>33</v>
      </c>
      <c r="H98" t="s">
        <v>36</v>
      </c>
      <c r="I98">
        <v>2.2400000000000002</v>
      </c>
      <c r="J98">
        <f>IF(COUNT(I93:I98)&gt;3.5,ROUND(AVERAGE(I93:I98),2),"")</f>
        <v>2.06</v>
      </c>
      <c r="K98">
        <f>IF(COUNT(2.11, 0.02, -0.06, -0.15, -0.2, -0.16, -0.11, -0.14, 0.16, 0.78, 1.36, 1.54, 1.35, 1.7, 1.74, 1.75, 2.06, 2.31, 2.22, 2.13, 3.22, 5.87, 1.72, 1.25)&gt;17.5,ROUND(AVERAGE(2.11, 0.02, -0.06, -0.15, -0.2, -0.16, -0.11, -0.14, 0.16, 0.78, 1.36, 1.54, 1.35, 1.7, 1.74, 1.75, 2.06, 2.31, 2.22, 2.13, 3.22, 5.87, 1.72, 1.25),2),"NO AVG")</f>
        <v>1.35</v>
      </c>
    </row>
    <row r="99" spans="1:11" x14ac:dyDescent="0.25">
      <c r="A99" s="1">
        <v>44784.674386574072</v>
      </c>
      <c r="B99" s="1">
        <v>44784.674328703702</v>
      </c>
      <c r="C99">
        <v>3.5</v>
      </c>
      <c r="D99">
        <v>3.1</v>
      </c>
      <c r="E99">
        <v>30</v>
      </c>
      <c r="F99">
        <v>0</v>
      </c>
      <c r="G99" t="s">
        <v>33</v>
      </c>
      <c r="H99" t="s">
        <v>36</v>
      </c>
      <c r="I99">
        <v>2.0699999999999998</v>
      </c>
      <c r="J99" s="2"/>
      <c r="K99" s="2"/>
    </row>
    <row r="100" spans="1:11" x14ac:dyDescent="0.25">
      <c r="A100" s="1">
        <v>44784.681331018517</v>
      </c>
      <c r="B100" s="1">
        <v>44784.681273148148</v>
      </c>
      <c r="C100">
        <v>3.5</v>
      </c>
      <c r="D100">
        <v>3.2</v>
      </c>
      <c r="E100">
        <v>28</v>
      </c>
      <c r="F100">
        <v>0</v>
      </c>
      <c r="G100" t="s">
        <v>33</v>
      </c>
      <c r="H100" t="s">
        <v>36</v>
      </c>
      <c r="I100">
        <v>2.2400000000000002</v>
      </c>
      <c r="J100" s="2"/>
      <c r="K100" s="2"/>
    </row>
    <row r="101" spans="1:11" x14ac:dyDescent="0.25">
      <c r="A101" s="1">
        <v>44784.688310185185</v>
      </c>
      <c r="B101" s="1">
        <v>44784.688217592593</v>
      </c>
      <c r="C101">
        <v>3.5</v>
      </c>
      <c r="D101">
        <v>3.2</v>
      </c>
      <c r="E101">
        <v>29</v>
      </c>
      <c r="F101">
        <v>0</v>
      </c>
      <c r="G101" t="s">
        <v>33</v>
      </c>
      <c r="H101" t="s">
        <v>36</v>
      </c>
      <c r="I101">
        <v>2.17</v>
      </c>
      <c r="J101" s="2"/>
      <c r="K101" s="2"/>
    </row>
    <row r="102" spans="1:11" x14ac:dyDescent="0.25">
      <c r="A102" s="1">
        <v>44784.695219907408</v>
      </c>
      <c r="B102" s="1">
        <v>44784.695162037038</v>
      </c>
      <c r="C102">
        <v>3.5</v>
      </c>
      <c r="D102">
        <v>3.2</v>
      </c>
      <c r="E102">
        <v>28</v>
      </c>
      <c r="F102">
        <v>0</v>
      </c>
      <c r="G102" t="s">
        <v>33</v>
      </c>
      <c r="H102" t="s">
        <v>36</v>
      </c>
      <c r="I102">
        <v>2.2400000000000002</v>
      </c>
      <c r="J102" s="2"/>
      <c r="K102" s="2"/>
    </row>
    <row r="103" spans="1:11" x14ac:dyDescent="0.25">
      <c r="A103" s="1">
        <v>44784.702164351853</v>
      </c>
      <c r="B103" s="1">
        <v>44784.702106481483</v>
      </c>
      <c r="C103">
        <v>3.5</v>
      </c>
      <c r="D103">
        <v>3.2</v>
      </c>
      <c r="E103">
        <v>28</v>
      </c>
      <c r="F103">
        <v>0</v>
      </c>
      <c r="G103" t="s">
        <v>33</v>
      </c>
      <c r="H103" t="s">
        <v>36</v>
      </c>
      <c r="I103">
        <v>2.2400000000000002</v>
      </c>
      <c r="J103" s="2"/>
      <c r="K103" s="2"/>
    </row>
    <row r="104" spans="1:11" x14ac:dyDescent="0.25">
      <c r="A104" s="1">
        <v>44784.709120370368</v>
      </c>
      <c r="B104" s="1">
        <v>44784.709050925929</v>
      </c>
      <c r="C104">
        <v>3.6</v>
      </c>
      <c r="D104">
        <v>3.1</v>
      </c>
      <c r="E104">
        <v>29</v>
      </c>
      <c r="F104">
        <v>0</v>
      </c>
      <c r="G104" t="s">
        <v>33</v>
      </c>
      <c r="H104" t="s">
        <v>36</v>
      </c>
      <c r="I104">
        <v>2.17</v>
      </c>
      <c r="J104">
        <f>IF(COUNT(I99:I104)&gt;3.5,ROUND(AVERAGE(I99:I104),2),"")</f>
        <v>2.19</v>
      </c>
      <c r="K104">
        <f>IF(COUNT(2.11, 0.02, -0.06, -0.15, -0.2, -0.16, -0.11, -0.14, 0.16, 0.78, 1.36, 1.54, 1.35, 1.7, 1.74, 1.75, 2.06, 2.19, 2.22, 2.13, 3.22, 5.87, 1.72, 1.25)&gt;17.5,ROUND(AVERAGE(2.11, 0.02, -0.06, -0.15, -0.2, -0.16, -0.11, -0.14, 0.16, 0.78, 1.36, 1.54, 1.35, 1.7, 1.74, 1.75, 2.06, 2.19, 2.22, 2.13, 3.22, 5.87, 1.72, 1.25),2),"NO AVG")</f>
        <v>1.35</v>
      </c>
    </row>
    <row r="105" spans="1:11" x14ac:dyDescent="0.25">
      <c r="A105" s="1">
        <v>44784.716053240743</v>
      </c>
      <c r="B105" s="1">
        <v>44784.715995370374</v>
      </c>
      <c r="C105">
        <v>3.6</v>
      </c>
      <c r="D105">
        <v>3.3</v>
      </c>
      <c r="E105">
        <v>29</v>
      </c>
      <c r="F105">
        <v>0</v>
      </c>
      <c r="G105" t="s">
        <v>33</v>
      </c>
      <c r="H105" t="s">
        <v>36</v>
      </c>
      <c r="I105">
        <v>2.23</v>
      </c>
      <c r="J105" s="2"/>
      <c r="K105" s="2"/>
    </row>
    <row r="106" spans="1:11" x14ac:dyDescent="0.25">
      <c r="A106" s="1">
        <v>44784.722997685189</v>
      </c>
      <c r="B106" s="1">
        <v>44784.722939814812</v>
      </c>
      <c r="C106">
        <v>3.6</v>
      </c>
      <c r="D106">
        <v>3.2</v>
      </c>
      <c r="E106">
        <v>34</v>
      </c>
      <c r="F106">
        <v>0</v>
      </c>
      <c r="G106" t="s">
        <v>33</v>
      </c>
      <c r="H106" t="s">
        <v>36</v>
      </c>
      <c r="I106">
        <v>1.85</v>
      </c>
      <c r="J106" s="2"/>
      <c r="K106" s="2"/>
    </row>
    <row r="107" spans="1:11" x14ac:dyDescent="0.25">
      <c r="A107" s="1">
        <v>44784.729942129627</v>
      </c>
      <c r="B107" s="1">
        <v>44784.729884259257</v>
      </c>
      <c r="C107">
        <v>3.6</v>
      </c>
      <c r="D107">
        <v>3.1</v>
      </c>
      <c r="E107">
        <v>35</v>
      </c>
      <c r="F107">
        <v>0</v>
      </c>
      <c r="G107" t="s">
        <v>33</v>
      </c>
      <c r="H107" t="s">
        <v>36</v>
      </c>
      <c r="I107">
        <v>1.75</v>
      </c>
      <c r="J107" s="2"/>
      <c r="K107" s="2"/>
    </row>
    <row r="108" spans="1:11" x14ac:dyDescent="0.25">
      <c r="A108" s="1">
        <v>44784.736886574072</v>
      </c>
      <c r="B108" s="1">
        <v>44784.736828703702</v>
      </c>
      <c r="C108">
        <v>3.6</v>
      </c>
      <c r="D108">
        <v>3.3</v>
      </c>
      <c r="E108">
        <v>36</v>
      </c>
      <c r="F108">
        <v>0</v>
      </c>
      <c r="G108" t="s">
        <v>33</v>
      </c>
      <c r="H108" t="s">
        <v>36</v>
      </c>
      <c r="I108">
        <v>1.74</v>
      </c>
      <c r="J108" s="2"/>
      <c r="K108" s="2"/>
    </row>
    <row r="109" spans="1:11" x14ac:dyDescent="0.25">
      <c r="A109" s="1">
        <v>44784.743831018517</v>
      </c>
      <c r="B109" s="1">
        <v>44784.743773148148</v>
      </c>
      <c r="C109">
        <v>4</v>
      </c>
      <c r="D109">
        <v>3.5</v>
      </c>
      <c r="E109">
        <v>38</v>
      </c>
      <c r="F109">
        <v>0</v>
      </c>
      <c r="G109" t="s">
        <v>33</v>
      </c>
      <c r="H109" t="s">
        <v>36</v>
      </c>
      <c r="I109">
        <v>1.79</v>
      </c>
      <c r="J109" s="2"/>
      <c r="K109" s="2"/>
    </row>
    <row r="110" spans="1:11" x14ac:dyDescent="0.25">
      <c r="A110" s="1">
        <v>44784.750787037039</v>
      </c>
      <c r="B110" s="1">
        <v>44784.750717592593</v>
      </c>
      <c r="C110">
        <v>4.0999999999999996</v>
      </c>
      <c r="D110">
        <v>3.7</v>
      </c>
      <c r="E110">
        <v>41</v>
      </c>
      <c r="F110">
        <v>0</v>
      </c>
      <c r="G110" t="s">
        <v>33</v>
      </c>
      <c r="H110" t="s">
        <v>36</v>
      </c>
      <c r="I110">
        <v>1.67</v>
      </c>
      <c r="J110">
        <f>IF(COUNT(I105:I110)&gt;3.5,ROUND(AVERAGE(I105:I110),2),"")</f>
        <v>1.84</v>
      </c>
      <c r="K110">
        <f>IF(COUNT(2.11, 0.02, -0.06, -0.15, -0.2, -0.16, -0.11, -0.14, 0.16, 0.78, 1.36, 1.54, 1.35, 1.7, 1.74, 1.75, 2.06, 2.19, 1.84, 2.13, 3.22, 5.87, 1.72, 1.25)&gt;17.5,ROUND(AVERAGE(2.11, 0.02, -0.06, -0.15, -0.2, -0.16, -0.11, -0.14, 0.16, 0.78, 1.36, 1.54, 1.35, 1.7, 1.74, 1.75, 2.06, 2.19, 1.84, 2.13, 3.22, 5.87, 1.72, 1.25),2),"NO AVG")</f>
        <v>1.33</v>
      </c>
    </row>
    <row r="111" spans="1:11" x14ac:dyDescent="0.25">
      <c r="A111" s="1">
        <v>44784.757731481484</v>
      </c>
      <c r="B111" s="1">
        <v>44784.757662037038</v>
      </c>
      <c r="C111">
        <v>4.2</v>
      </c>
      <c r="D111">
        <v>3.9</v>
      </c>
      <c r="E111">
        <v>43</v>
      </c>
      <c r="F111">
        <v>0</v>
      </c>
      <c r="G111" t="s">
        <v>33</v>
      </c>
      <c r="H111" t="s">
        <v>36</v>
      </c>
      <c r="I111">
        <v>1.62</v>
      </c>
      <c r="J111" s="2"/>
      <c r="K111" s="2"/>
    </row>
    <row r="112" spans="1:11" x14ac:dyDescent="0.25">
      <c r="A112" s="1">
        <v>44784.764664351853</v>
      </c>
      <c r="B112" s="1">
        <v>44784.764606481483</v>
      </c>
      <c r="C112">
        <v>4.4000000000000004</v>
      </c>
      <c r="D112">
        <v>4</v>
      </c>
      <c r="E112">
        <v>44</v>
      </c>
      <c r="F112">
        <v>0</v>
      </c>
      <c r="G112" t="s">
        <v>33</v>
      </c>
      <c r="H112" t="s">
        <v>36</v>
      </c>
      <c r="I112">
        <v>1.64</v>
      </c>
      <c r="J112" s="2"/>
      <c r="K112" s="2"/>
    </row>
    <row r="113" spans="1:11" x14ac:dyDescent="0.25">
      <c r="A113" s="1">
        <v>44784.771608796298</v>
      </c>
      <c r="B113" s="1">
        <v>44784.771550925929</v>
      </c>
      <c r="C113">
        <v>4.7</v>
      </c>
      <c r="D113">
        <v>4.3</v>
      </c>
      <c r="E113">
        <v>45</v>
      </c>
      <c r="F113">
        <v>0</v>
      </c>
      <c r="G113" t="s">
        <v>33</v>
      </c>
      <c r="H113" t="s">
        <v>36</v>
      </c>
      <c r="I113">
        <v>1.75</v>
      </c>
      <c r="J113" s="2"/>
      <c r="K113" s="2"/>
    </row>
    <row r="114" spans="1:11" x14ac:dyDescent="0.25">
      <c r="A114" s="1">
        <v>44784.778553240743</v>
      </c>
      <c r="B114" s="1">
        <v>44784.778495370374</v>
      </c>
      <c r="C114">
        <v>4.7</v>
      </c>
      <c r="D114">
        <v>4.3</v>
      </c>
      <c r="E114">
        <v>46</v>
      </c>
      <c r="F114">
        <v>0</v>
      </c>
      <c r="G114" t="s">
        <v>33</v>
      </c>
      <c r="H114" t="s">
        <v>36</v>
      </c>
      <c r="I114">
        <v>1.69</v>
      </c>
      <c r="J114" s="2"/>
      <c r="K114" s="2"/>
    </row>
    <row r="115" spans="1:11" x14ac:dyDescent="0.25">
      <c r="A115" s="1">
        <v>44784.785520833335</v>
      </c>
      <c r="B115" s="1">
        <v>44784.785439814812</v>
      </c>
      <c r="C115">
        <v>5.0999999999999996</v>
      </c>
      <c r="D115">
        <v>4.5999999999999996</v>
      </c>
      <c r="E115">
        <v>47</v>
      </c>
      <c r="F115">
        <v>0</v>
      </c>
      <c r="G115" t="s">
        <v>33</v>
      </c>
      <c r="H115" t="s">
        <v>36</v>
      </c>
      <c r="I115">
        <v>1.83</v>
      </c>
      <c r="J115" s="2"/>
      <c r="K115" s="2"/>
    </row>
    <row r="116" spans="1:11" x14ac:dyDescent="0.25">
      <c r="A116" s="1">
        <v>44784.79247685185</v>
      </c>
      <c r="B116" s="1">
        <v>44784.792384259257</v>
      </c>
      <c r="C116">
        <v>5.0999999999999996</v>
      </c>
      <c r="D116">
        <v>4.5999999999999996</v>
      </c>
      <c r="E116">
        <v>46</v>
      </c>
      <c r="F116">
        <v>0</v>
      </c>
      <c r="G116" t="s">
        <v>33</v>
      </c>
      <c r="H116" t="s">
        <v>36</v>
      </c>
      <c r="I116">
        <v>1.9</v>
      </c>
      <c r="J116">
        <f>IF(COUNT(I111:I116)&gt;3.5,ROUND(AVERAGE(I111:I116),2),"")</f>
        <v>1.74</v>
      </c>
      <c r="K116">
        <f>IF(COUNT(2.11, 0.02, -0.06, -0.15, -0.2, -0.16, -0.11, -0.14, 0.16, 0.78, 1.36, 1.54, 1.35, 1.7, 1.74, 1.75, 2.06, 2.19, 1.84, 1.74, 3.22, 5.87, 1.72, 1.25)&gt;17.5,ROUND(AVERAGE(2.11, 0.02, -0.06, -0.15, -0.2, -0.16, -0.11, -0.14, 0.16, 0.78, 1.36, 1.54, 1.35, 1.7, 1.74, 1.75, 2.06, 2.19, 1.84, 1.74, 3.22, 5.87, 1.72, 1.25),2),"NO AVG")</f>
        <v>1.32</v>
      </c>
    </row>
    <row r="117" spans="1:11" x14ac:dyDescent="0.25">
      <c r="A117" s="1">
        <v>44784.799398148149</v>
      </c>
      <c r="B117" s="1">
        <v>44784.799328703702</v>
      </c>
      <c r="C117">
        <v>5.0999999999999996</v>
      </c>
      <c r="D117">
        <v>4.5</v>
      </c>
      <c r="E117">
        <v>48</v>
      </c>
      <c r="F117">
        <v>0</v>
      </c>
      <c r="G117" t="s">
        <v>33</v>
      </c>
      <c r="H117" t="s">
        <v>36</v>
      </c>
      <c r="I117">
        <v>1.73</v>
      </c>
      <c r="J117" s="2"/>
      <c r="K117" s="2"/>
    </row>
    <row r="118" spans="1:11" x14ac:dyDescent="0.25">
      <c r="A118" s="1">
        <v>44784.806388888886</v>
      </c>
      <c r="B118" s="1">
        <v>44784.806273148148</v>
      </c>
      <c r="C118">
        <v>5.3</v>
      </c>
      <c r="D118">
        <v>5</v>
      </c>
      <c r="E118">
        <v>51</v>
      </c>
      <c r="F118">
        <v>0</v>
      </c>
      <c r="G118" t="s">
        <v>33</v>
      </c>
      <c r="H118" t="s">
        <v>36</v>
      </c>
      <c r="I118">
        <v>1.73</v>
      </c>
      <c r="J118" s="2"/>
      <c r="K118" s="2"/>
    </row>
    <row r="119" spans="1:11" x14ac:dyDescent="0.25">
      <c r="A119" s="1">
        <v>44784.813287037039</v>
      </c>
      <c r="B119" s="1">
        <v>44784.813217592593</v>
      </c>
      <c r="C119">
        <v>5.5</v>
      </c>
      <c r="D119">
        <v>5</v>
      </c>
      <c r="E119">
        <v>54</v>
      </c>
      <c r="F119">
        <v>0</v>
      </c>
      <c r="G119" t="s">
        <v>33</v>
      </c>
      <c r="H119" t="s">
        <v>36</v>
      </c>
      <c r="I119">
        <v>1.58</v>
      </c>
      <c r="J119" s="2"/>
      <c r="K119" s="2"/>
    </row>
    <row r="120" spans="1:11" x14ac:dyDescent="0.25">
      <c r="A120" s="1">
        <v>44784.820231481484</v>
      </c>
      <c r="B120" s="1">
        <v>44784.820162037038</v>
      </c>
      <c r="C120">
        <v>5.8</v>
      </c>
      <c r="D120">
        <v>5.3</v>
      </c>
      <c r="E120">
        <v>56</v>
      </c>
      <c r="F120">
        <v>0</v>
      </c>
      <c r="G120" t="s">
        <v>33</v>
      </c>
      <c r="H120" t="s">
        <v>36</v>
      </c>
      <c r="I120">
        <v>1.63</v>
      </c>
      <c r="J120" s="2"/>
      <c r="K120" s="2"/>
    </row>
    <row r="121" spans="1:11" x14ac:dyDescent="0.25">
      <c r="A121" s="1">
        <v>44784.827175925922</v>
      </c>
      <c r="B121" s="1">
        <v>44784.827106481483</v>
      </c>
      <c r="C121">
        <v>5.8</v>
      </c>
      <c r="D121">
        <v>5.4</v>
      </c>
      <c r="E121">
        <v>55</v>
      </c>
      <c r="F121">
        <v>0</v>
      </c>
      <c r="G121" t="s">
        <v>33</v>
      </c>
      <c r="H121" t="s">
        <v>36</v>
      </c>
      <c r="I121">
        <v>1.73</v>
      </c>
      <c r="J121" s="2"/>
      <c r="K121" s="2"/>
    </row>
    <row r="122" spans="1:11" x14ac:dyDescent="0.25">
      <c r="A122" s="1">
        <v>44784.834108796298</v>
      </c>
      <c r="B122" s="1">
        <v>44784.834050925929</v>
      </c>
      <c r="C122">
        <v>6</v>
      </c>
      <c r="D122">
        <v>5.5</v>
      </c>
      <c r="E122">
        <v>57</v>
      </c>
      <c r="F122">
        <v>0</v>
      </c>
      <c r="G122" t="s">
        <v>33</v>
      </c>
      <c r="H122" t="s">
        <v>36</v>
      </c>
      <c r="I122">
        <v>1.68</v>
      </c>
      <c r="J122">
        <f>IF(COUNT(I117:I122)&gt;3.5,ROUND(AVERAGE(I117:I122),2),"")</f>
        <v>1.68</v>
      </c>
      <c r="K122">
        <f>IF(COUNT(2.11, 0.02, -0.06, -0.15, -0.2, -0.16, -0.11, -0.14, 0.16, 0.78, 1.36, 1.54, 1.35, 1.7, 1.74, 1.75, 2.06, 2.19, 1.84, 1.74, 1.68, 5.87, 1.72, 1.25)&gt;17.5,ROUND(AVERAGE(2.11, 0.02, -0.06, -0.15, -0.2, -0.16, -0.11, -0.14, 0.16, 0.78, 1.36, 1.54, 1.35, 1.7, 1.74, 1.75, 2.06, 2.19, 1.84, 1.74, 1.68, 5.87, 1.72, 1.25),2),"NO AVG")</f>
        <v>1.25</v>
      </c>
    </row>
    <row r="123" spans="1:11" x14ac:dyDescent="0.25">
      <c r="A123" s="1">
        <v>44784.841064814813</v>
      </c>
      <c r="B123" s="1">
        <v>44784.840995370374</v>
      </c>
      <c r="C123">
        <v>6.2</v>
      </c>
      <c r="D123">
        <v>5.6</v>
      </c>
      <c r="E123">
        <v>57</v>
      </c>
      <c r="F123">
        <v>0</v>
      </c>
      <c r="G123" t="s">
        <v>33</v>
      </c>
      <c r="H123" t="s">
        <v>36</v>
      </c>
      <c r="I123">
        <v>1.77</v>
      </c>
      <c r="J123" s="2"/>
      <c r="K123" s="2"/>
    </row>
    <row r="124" spans="1:11" x14ac:dyDescent="0.25">
      <c r="A124" s="1">
        <v>44784.848009259258</v>
      </c>
      <c r="B124" s="1">
        <v>44784.847939814812</v>
      </c>
      <c r="C124">
        <v>7.8</v>
      </c>
      <c r="D124">
        <v>7.3</v>
      </c>
      <c r="E124">
        <v>57</v>
      </c>
      <c r="F124">
        <v>0</v>
      </c>
      <c r="G124" t="s">
        <v>33</v>
      </c>
      <c r="H124" t="s">
        <v>36</v>
      </c>
      <c r="I124">
        <v>2.78</v>
      </c>
      <c r="J124" s="2"/>
      <c r="K124" s="2"/>
    </row>
    <row r="125" spans="1:11" x14ac:dyDescent="0.25">
      <c r="A125" s="1">
        <v>44784.854942129627</v>
      </c>
      <c r="B125" s="1">
        <v>44784.854884259257</v>
      </c>
      <c r="C125">
        <v>10.1</v>
      </c>
      <c r="D125">
        <v>9.6999999999999993</v>
      </c>
      <c r="E125">
        <v>58</v>
      </c>
      <c r="F125">
        <v>0</v>
      </c>
      <c r="G125" t="s">
        <v>33</v>
      </c>
      <c r="H125" t="s">
        <v>36</v>
      </c>
      <c r="I125">
        <v>4.1399999999999997</v>
      </c>
      <c r="J125" s="2"/>
      <c r="K125" s="2"/>
    </row>
    <row r="126" spans="1:11" x14ac:dyDescent="0.25">
      <c r="A126" s="1">
        <v>44784.861898148149</v>
      </c>
      <c r="B126" s="1">
        <v>44784.861828703702</v>
      </c>
      <c r="C126">
        <v>10.1</v>
      </c>
      <c r="D126">
        <v>9.5</v>
      </c>
      <c r="E126">
        <v>58</v>
      </c>
      <c r="F126">
        <v>0</v>
      </c>
      <c r="G126" t="s">
        <v>33</v>
      </c>
      <c r="H126" t="s">
        <v>36</v>
      </c>
      <c r="I126">
        <v>4.08</v>
      </c>
      <c r="J126" s="2"/>
      <c r="K126" s="2"/>
    </row>
    <row r="127" spans="1:11" x14ac:dyDescent="0.25">
      <c r="A127" s="1">
        <v>44784.868842592594</v>
      </c>
      <c r="B127" s="1">
        <v>44784.868773148148</v>
      </c>
      <c r="C127">
        <v>10.7</v>
      </c>
      <c r="D127">
        <v>10.1</v>
      </c>
      <c r="E127">
        <v>58</v>
      </c>
      <c r="F127">
        <v>0</v>
      </c>
      <c r="G127" t="s">
        <v>33</v>
      </c>
      <c r="H127" t="s">
        <v>36</v>
      </c>
      <c r="I127">
        <v>4.4400000000000004</v>
      </c>
      <c r="J127" s="2"/>
      <c r="K127" s="2"/>
    </row>
    <row r="128" spans="1:11" x14ac:dyDescent="0.25">
      <c r="A128" s="1">
        <v>44784.875787037039</v>
      </c>
      <c r="B128" s="1">
        <v>44784.875717592593</v>
      </c>
      <c r="C128">
        <v>11.7</v>
      </c>
      <c r="D128">
        <v>11.2</v>
      </c>
      <c r="E128">
        <v>58</v>
      </c>
      <c r="F128">
        <v>0</v>
      </c>
      <c r="G128" t="s">
        <v>33</v>
      </c>
      <c r="H128" t="s">
        <v>36</v>
      </c>
      <c r="I128">
        <v>5.08</v>
      </c>
      <c r="J128">
        <f>IF(COUNT(I123:I128)&gt;3.5,ROUND(AVERAGE(I123:I128),2),"")</f>
        <v>3.72</v>
      </c>
      <c r="K128">
        <f>IF(COUNT(2.11, 0.02, -0.06, -0.15, -0.2, -0.16, -0.11, -0.14, 0.16, 0.78, 1.36, 1.54, 1.35, 1.7, 1.74, 1.75, 2.06, 2.19, 1.84, 1.74, 1.68, 3.72, 1.72, 1.25)&gt;17.5,ROUND(AVERAGE(2.11, 0.02, -0.06, -0.15, -0.2, -0.16, -0.11, -0.14, 0.16, 0.78, 1.36, 1.54, 1.35, 1.7, 1.74, 1.75, 2.06, 2.19, 1.84, 1.74, 1.68, 3.72, 1.72, 1.25),2),"NO AVG")</f>
        <v>1.1599999999999999</v>
      </c>
    </row>
    <row r="129" spans="1:11" x14ac:dyDescent="0.25">
      <c r="A129" s="1">
        <v>44784.882743055554</v>
      </c>
      <c r="B129" s="1">
        <v>44784.882662037038</v>
      </c>
      <c r="C129">
        <v>15.3</v>
      </c>
      <c r="D129">
        <v>14.6</v>
      </c>
      <c r="E129">
        <v>57</v>
      </c>
      <c r="F129">
        <v>0</v>
      </c>
      <c r="G129" t="s">
        <v>33</v>
      </c>
      <c r="H129" t="s">
        <v>36</v>
      </c>
      <c r="I129">
        <v>7.29</v>
      </c>
      <c r="J129" s="2"/>
      <c r="K129" s="2"/>
    </row>
    <row r="130" spans="1:11" x14ac:dyDescent="0.25">
      <c r="A130" s="1">
        <v>44784.889675925922</v>
      </c>
      <c r="B130" s="1">
        <v>44784.889606481483</v>
      </c>
      <c r="C130">
        <v>20.5</v>
      </c>
      <c r="D130">
        <v>19.899999999999999</v>
      </c>
      <c r="E130">
        <v>58</v>
      </c>
      <c r="F130">
        <v>0</v>
      </c>
      <c r="G130" t="s">
        <v>33</v>
      </c>
      <c r="H130" t="s">
        <v>36</v>
      </c>
      <c r="I130">
        <v>10.42</v>
      </c>
      <c r="J130" s="2"/>
      <c r="K130" s="2"/>
    </row>
    <row r="131" spans="1:11" x14ac:dyDescent="0.25">
      <c r="A131" s="1">
        <v>44784.896620370368</v>
      </c>
      <c r="B131" s="1">
        <v>44784.896550925929</v>
      </c>
      <c r="C131">
        <v>19.100000000000001</v>
      </c>
      <c r="D131">
        <v>18.600000000000001</v>
      </c>
      <c r="E131">
        <v>57</v>
      </c>
      <c r="F131">
        <v>0</v>
      </c>
      <c r="G131" t="s">
        <v>33</v>
      </c>
      <c r="H131" t="s">
        <v>36</v>
      </c>
      <c r="I131">
        <v>9.67</v>
      </c>
      <c r="J131" s="2"/>
      <c r="K131" s="2"/>
    </row>
    <row r="132" spans="1:11" x14ac:dyDescent="0.25">
      <c r="A132" s="1">
        <v>44784.903564814813</v>
      </c>
      <c r="B132" s="1">
        <v>44784.903495370374</v>
      </c>
      <c r="C132">
        <v>16.5</v>
      </c>
      <c r="D132">
        <v>15.7</v>
      </c>
      <c r="E132">
        <v>58</v>
      </c>
      <c r="F132">
        <v>0</v>
      </c>
      <c r="G132" t="s">
        <v>33</v>
      </c>
      <c r="H132" t="s">
        <v>36</v>
      </c>
      <c r="I132">
        <v>7.92</v>
      </c>
      <c r="J132" s="2"/>
      <c r="K132" s="2"/>
    </row>
    <row r="133" spans="1:11" x14ac:dyDescent="0.25">
      <c r="A133" s="1">
        <v>44784.910509259258</v>
      </c>
      <c r="B133" s="1">
        <v>44784.910439814812</v>
      </c>
      <c r="C133">
        <v>19.2</v>
      </c>
      <c r="D133">
        <v>18.7</v>
      </c>
      <c r="E133">
        <v>58</v>
      </c>
      <c r="F133">
        <v>0</v>
      </c>
      <c r="G133" t="s">
        <v>33</v>
      </c>
      <c r="H133" t="s">
        <v>36</v>
      </c>
      <c r="I133">
        <v>9.66</v>
      </c>
      <c r="J133" s="2"/>
      <c r="K133" s="2"/>
    </row>
    <row r="134" spans="1:11" x14ac:dyDescent="0.25">
      <c r="A134" s="1">
        <v>44784.917453703703</v>
      </c>
      <c r="B134" s="1">
        <v>44784.917384259257</v>
      </c>
      <c r="C134">
        <v>20.3</v>
      </c>
      <c r="D134">
        <v>19.7</v>
      </c>
      <c r="E134">
        <v>58</v>
      </c>
      <c r="F134">
        <v>0</v>
      </c>
      <c r="G134" t="s">
        <v>33</v>
      </c>
      <c r="H134" t="s">
        <v>36</v>
      </c>
      <c r="I134">
        <v>10.3</v>
      </c>
      <c r="J134">
        <f>IF(COUNT(I129:I134)&gt;3.5,ROUND(AVERAGE(I129:I134),2),"")</f>
        <v>9.2100000000000009</v>
      </c>
      <c r="K134">
        <f>IF(COUNT(2.11, 0.02, -0.06, -0.15, -0.2, -0.16, -0.11, -0.14, 0.16, 0.78, 1.36, 1.54, 1.35, 1.7, 1.74, 1.75, 2.06, 2.19, 1.84, 1.74, 1.68, 3.72, 9.21, 1.25)&gt;17.5,ROUND(AVERAGE(2.11, 0.02, -0.06, -0.15, -0.2, -0.16, -0.11, -0.14, 0.16, 0.78, 1.36, 1.54, 1.35, 1.7, 1.74, 1.75, 2.06, 2.19, 1.84, 1.74, 1.68, 3.72, 9.21, 1.25),2),"NO AVG")</f>
        <v>1.47</v>
      </c>
    </row>
    <row r="135" spans="1:11" x14ac:dyDescent="0.25">
      <c r="A135" s="1">
        <v>44784.924502314818</v>
      </c>
      <c r="B135" s="1">
        <v>44784.924328703702</v>
      </c>
      <c r="C135">
        <v>23.9</v>
      </c>
      <c r="D135">
        <v>23</v>
      </c>
      <c r="E135">
        <v>58</v>
      </c>
      <c r="F135">
        <v>0</v>
      </c>
      <c r="G135" t="s">
        <v>33</v>
      </c>
      <c r="H135" t="s">
        <v>36</v>
      </c>
      <c r="I135">
        <v>12.4</v>
      </c>
      <c r="J135" s="2"/>
      <c r="K135" s="2"/>
    </row>
    <row r="136" spans="1:11" x14ac:dyDescent="0.25">
      <c r="A136" s="1">
        <v>44784.931342592594</v>
      </c>
      <c r="B136" s="1">
        <v>44784.931273148148</v>
      </c>
      <c r="C136">
        <v>26.5</v>
      </c>
      <c r="D136">
        <v>25.8</v>
      </c>
      <c r="E136">
        <v>57</v>
      </c>
      <c r="F136">
        <v>0</v>
      </c>
      <c r="G136" t="s">
        <v>33</v>
      </c>
      <c r="H136" t="s">
        <v>36</v>
      </c>
      <c r="I136">
        <v>14.12</v>
      </c>
      <c r="J136" s="2"/>
      <c r="K136" s="2"/>
    </row>
    <row r="137" spans="1:11" x14ac:dyDescent="0.25">
      <c r="A137" s="1">
        <v>44784.938287037039</v>
      </c>
      <c r="B137" s="1">
        <v>44784.938217592593</v>
      </c>
      <c r="C137">
        <v>26.4</v>
      </c>
      <c r="D137">
        <v>25.6</v>
      </c>
      <c r="E137">
        <v>58</v>
      </c>
      <c r="F137">
        <v>0</v>
      </c>
      <c r="G137" t="s">
        <v>33</v>
      </c>
      <c r="H137" t="s">
        <v>36</v>
      </c>
      <c r="I137">
        <v>13.96</v>
      </c>
      <c r="J137" s="2"/>
      <c r="K137" s="2"/>
    </row>
    <row r="138" spans="1:11" x14ac:dyDescent="0.25">
      <c r="A138" s="1">
        <v>44784.945231481484</v>
      </c>
      <c r="B138" s="1">
        <v>44784.945162037038</v>
      </c>
      <c r="C138">
        <v>23.6</v>
      </c>
      <c r="D138">
        <v>23.1</v>
      </c>
      <c r="E138">
        <v>58</v>
      </c>
      <c r="F138">
        <v>0</v>
      </c>
      <c r="G138" t="s">
        <v>33</v>
      </c>
      <c r="H138" t="s">
        <v>36</v>
      </c>
      <c r="I138">
        <v>12.34</v>
      </c>
      <c r="J138" s="2"/>
      <c r="K138" s="2"/>
    </row>
    <row r="139" spans="1:11" x14ac:dyDescent="0.25">
      <c r="A139" s="1">
        <v>44784.952175925922</v>
      </c>
      <c r="B139" s="1">
        <v>44784.952106481483</v>
      </c>
      <c r="C139">
        <v>19.3</v>
      </c>
      <c r="D139">
        <v>19.100000000000001</v>
      </c>
      <c r="E139">
        <v>58</v>
      </c>
      <c r="F139">
        <v>0</v>
      </c>
      <c r="G139" t="s">
        <v>33</v>
      </c>
      <c r="H139" t="s">
        <v>36</v>
      </c>
      <c r="I139">
        <v>9.81</v>
      </c>
      <c r="J139" s="2"/>
      <c r="K139" s="2"/>
    </row>
    <row r="140" spans="1:11" x14ac:dyDescent="0.25">
      <c r="A140" s="1">
        <v>44784.959120370368</v>
      </c>
      <c r="B140" s="1">
        <v>44784.959050925929</v>
      </c>
      <c r="C140">
        <v>17.7</v>
      </c>
      <c r="D140">
        <v>17.3</v>
      </c>
      <c r="E140">
        <v>58</v>
      </c>
      <c r="F140">
        <v>0</v>
      </c>
      <c r="G140" t="s">
        <v>33</v>
      </c>
      <c r="H140" t="s">
        <v>36</v>
      </c>
      <c r="I140">
        <v>8.77</v>
      </c>
      <c r="J140">
        <f>IF(COUNT(I135:I140)&gt;3.5,ROUND(AVERAGE(I135:I140),2),"")</f>
        <v>11.9</v>
      </c>
      <c r="K140">
        <f>IF(COUNT(2.11, 0.02, -0.06, -0.15, -0.2, -0.16, -0.11, -0.14, 0.16, 0.78, 1.36, 1.54, 1.35, 1.7, 1.74, 1.75, 2.06, 2.19, 1.84, 1.74, 1.68, 3.72, 9.21, 11.9)&gt;17.5,ROUND(AVERAGE(2.11, 0.02, -0.06, -0.15, -0.2, -0.16, -0.11, -0.14, 0.16, 0.78, 1.36, 1.54, 1.35, 1.7, 1.74, 1.75, 2.06, 2.19, 1.84, 1.74, 1.68, 3.72, 9.21, 11.9),2),"NO AVG")</f>
        <v>1.92</v>
      </c>
    </row>
    <row r="141" spans="1:11" x14ac:dyDescent="0.25">
      <c r="A141" s="1">
        <v>44784.966064814813</v>
      </c>
      <c r="B141" s="1">
        <v>44784.965995370374</v>
      </c>
      <c r="C141">
        <v>17.5</v>
      </c>
      <c r="D141">
        <v>17.3</v>
      </c>
      <c r="E141">
        <v>58</v>
      </c>
      <c r="F141">
        <v>0</v>
      </c>
      <c r="G141" t="s">
        <v>33</v>
      </c>
      <c r="H141" t="s">
        <v>36</v>
      </c>
      <c r="I141">
        <v>8.7100000000000009</v>
      </c>
      <c r="J141" s="2"/>
      <c r="K141" s="2"/>
    </row>
    <row r="142" spans="1:11" x14ac:dyDescent="0.25">
      <c r="A142" s="1">
        <v>44784.973009259258</v>
      </c>
      <c r="B142" s="1">
        <v>44784.972939814812</v>
      </c>
      <c r="C142">
        <v>18.100000000000001</v>
      </c>
      <c r="D142">
        <v>17.600000000000001</v>
      </c>
      <c r="E142">
        <v>58</v>
      </c>
      <c r="F142">
        <v>0</v>
      </c>
      <c r="G142" t="s">
        <v>33</v>
      </c>
      <c r="H142" t="s">
        <v>36</v>
      </c>
      <c r="I142">
        <v>8.99</v>
      </c>
      <c r="J142" s="2"/>
      <c r="K142" s="2"/>
    </row>
    <row r="143" spans="1:11" x14ac:dyDescent="0.25">
      <c r="A143" s="1">
        <v>44784.979953703703</v>
      </c>
      <c r="B143" s="1">
        <v>44784.979884259257</v>
      </c>
      <c r="C143">
        <v>20.6</v>
      </c>
      <c r="D143">
        <v>19.8</v>
      </c>
      <c r="E143">
        <v>58</v>
      </c>
      <c r="F143">
        <v>0</v>
      </c>
      <c r="G143" t="s">
        <v>33</v>
      </c>
      <c r="H143" t="s">
        <v>36</v>
      </c>
      <c r="I143">
        <v>10.42</v>
      </c>
      <c r="J143" s="2"/>
      <c r="K143" s="2"/>
    </row>
    <row r="144" spans="1:11" x14ac:dyDescent="0.25">
      <c r="A144" s="1">
        <v>44784.986898148149</v>
      </c>
      <c r="B144" s="1">
        <v>44784.986828703702</v>
      </c>
      <c r="C144">
        <v>20.7</v>
      </c>
      <c r="D144">
        <v>19.8</v>
      </c>
      <c r="E144">
        <v>58</v>
      </c>
      <c r="F144">
        <v>0</v>
      </c>
      <c r="G144" t="s">
        <v>33</v>
      </c>
      <c r="H144" t="s">
        <v>36</v>
      </c>
      <c r="I144">
        <v>10.45</v>
      </c>
      <c r="J144" s="2"/>
      <c r="K144" s="2"/>
    </row>
    <row r="145" spans="1:12" x14ac:dyDescent="0.25">
      <c r="A145" s="1">
        <v>44784.993842592594</v>
      </c>
      <c r="B145" s="1">
        <v>44784.993773148148</v>
      </c>
      <c r="C145">
        <v>19.3</v>
      </c>
      <c r="D145">
        <v>18.600000000000001</v>
      </c>
      <c r="E145">
        <v>58</v>
      </c>
      <c r="F145">
        <v>0</v>
      </c>
      <c r="G145" t="s">
        <v>33</v>
      </c>
      <c r="H145" t="s">
        <v>36</v>
      </c>
      <c r="I145">
        <v>9.66</v>
      </c>
      <c r="J145" s="2"/>
      <c r="K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63371-4CF7-4890-A116-C84E5D0B0D66}">
  <sheetPr codeName="Sheet13"/>
  <dimension ref="A1:M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3" max="13" width="20.28515625" bestFit="1" customWidth="1"/>
  </cols>
  <sheetData>
    <row r="1" spans="1:13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M1" t="s">
        <v>3</v>
      </c>
    </row>
    <row r="2" spans="1:13" x14ac:dyDescent="0.25">
      <c r="A2" s="1">
        <v>44784.000763888886</v>
      </c>
      <c r="B2" s="1">
        <v>44784.000717592593</v>
      </c>
      <c r="C2">
        <v>0</v>
      </c>
      <c r="D2">
        <v>300.89999999999998</v>
      </c>
      <c r="E2">
        <v>67</v>
      </c>
      <c r="F2">
        <v>0</v>
      </c>
      <c r="G2" t="s">
        <v>48</v>
      </c>
      <c r="H2" t="s">
        <v>36</v>
      </c>
      <c r="K2" t="str">
        <f>IF(COUNT(, NA, NA, NA, NA, NA, NA, NA, NA, NA, NA, NA, NA, NA, NA, NA, NA, NA, NA, NA, NA, NA, NA, NA)&gt;17.5,ROUND(AVERAGE(, 0, 0, 0, 0, 0, 0, 0, 0, 0, 0, 0, 0, 0, 0, 0, 0, 0, 0, 0, 0, 0, 0, 0),2),"NO AVG")</f>
        <v>NO AVG</v>
      </c>
      <c r="M2" t="s">
        <v>47</v>
      </c>
    </row>
    <row r="3" spans="1:13" x14ac:dyDescent="0.25">
      <c r="A3" s="1">
        <v>44784.007719907408</v>
      </c>
      <c r="B3" s="1">
        <v>44784.007662037038</v>
      </c>
      <c r="C3">
        <v>0</v>
      </c>
      <c r="D3">
        <v>300.89999999999998</v>
      </c>
      <c r="E3">
        <v>67</v>
      </c>
      <c r="F3">
        <v>0</v>
      </c>
      <c r="G3" t="s">
        <v>48</v>
      </c>
      <c r="H3" t="s">
        <v>36</v>
      </c>
      <c r="J3" s="2"/>
      <c r="K3" s="2"/>
    </row>
    <row r="4" spans="1:13" x14ac:dyDescent="0.25">
      <c r="A4" s="1">
        <v>44784.014641203707</v>
      </c>
      <c r="B4" s="1">
        <v>44784.014606481483</v>
      </c>
      <c r="C4">
        <v>0</v>
      </c>
      <c r="D4">
        <v>300.89999999999998</v>
      </c>
      <c r="E4">
        <v>67</v>
      </c>
      <c r="F4">
        <v>0</v>
      </c>
      <c r="G4" t="s">
        <v>48</v>
      </c>
      <c r="H4" t="s">
        <v>36</v>
      </c>
      <c r="J4" s="2"/>
      <c r="K4" s="2"/>
    </row>
    <row r="5" spans="1:13" x14ac:dyDescent="0.25">
      <c r="A5" s="1">
        <v>44784.021585648145</v>
      </c>
      <c r="B5" s="1">
        <v>44784.021550925929</v>
      </c>
      <c r="C5">
        <v>0</v>
      </c>
      <c r="D5">
        <v>300.89999999999998</v>
      </c>
      <c r="E5">
        <v>67</v>
      </c>
      <c r="F5">
        <v>0</v>
      </c>
      <c r="G5" t="s">
        <v>48</v>
      </c>
      <c r="H5" t="s">
        <v>36</v>
      </c>
      <c r="J5" s="2"/>
      <c r="K5" s="2"/>
    </row>
    <row r="6" spans="1:13" x14ac:dyDescent="0.25">
      <c r="A6" s="1">
        <v>44784.028541666667</v>
      </c>
      <c r="B6" s="1">
        <v>44784.028495370374</v>
      </c>
      <c r="C6">
        <v>0</v>
      </c>
      <c r="D6">
        <v>300.89999999999998</v>
      </c>
      <c r="E6">
        <v>66</v>
      </c>
      <c r="F6">
        <v>0</v>
      </c>
      <c r="G6" t="s">
        <v>48</v>
      </c>
      <c r="H6" t="s">
        <v>36</v>
      </c>
      <c r="J6" s="2"/>
      <c r="K6" s="2"/>
    </row>
    <row r="7" spans="1:13" x14ac:dyDescent="0.25">
      <c r="A7" s="1">
        <v>44784.035486111112</v>
      </c>
      <c r="B7" s="1">
        <v>44784.035439814812</v>
      </c>
      <c r="C7">
        <v>0</v>
      </c>
      <c r="D7">
        <v>300.89999999999998</v>
      </c>
      <c r="E7">
        <v>67</v>
      </c>
      <c r="F7">
        <v>0</v>
      </c>
      <c r="G7" t="s">
        <v>48</v>
      </c>
      <c r="H7" t="s">
        <v>36</v>
      </c>
      <c r="J7" s="2"/>
      <c r="K7" s="2"/>
    </row>
    <row r="8" spans="1:13" x14ac:dyDescent="0.25">
      <c r="A8" s="1">
        <v>44784.042430555557</v>
      </c>
      <c r="B8" s="1">
        <v>44784.042384259257</v>
      </c>
      <c r="C8">
        <v>0</v>
      </c>
      <c r="D8">
        <v>300.89999999999998</v>
      </c>
      <c r="E8">
        <v>67</v>
      </c>
      <c r="F8">
        <v>0</v>
      </c>
      <c r="G8" t="s">
        <v>48</v>
      </c>
      <c r="H8" t="s">
        <v>36</v>
      </c>
      <c r="J8" t="str">
        <f>IF(COUNT(I3:I8)&gt;3.5,ROUND(AVERAGE(I3:I8),2),"")</f>
        <v/>
      </c>
      <c r="K8" t="str">
        <f>IF(COUNT(, , NA, NA, NA, NA, NA, NA, NA, NA, NA, NA, NA, NA, NA, NA, NA, NA, NA, NA, NA, NA, NA, NA)&gt;17.5,ROUND(AVERAGE(, , 0, 0, 0, 0, 0, 0, 0, 0, 0, 0, 0, 0, 0, 0, 0, 0, 0, 0, 0, 0, 0, 0),2),"NO AVG")</f>
        <v>NO AVG</v>
      </c>
    </row>
    <row r="9" spans="1:13" x14ac:dyDescent="0.25">
      <c r="A9" s="1">
        <v>44784.049375000002</v>
      </c>
      <c r="B9" s="1">
        <v>44784.049328703702</v>
      </c>
      <c r="C9">
        <v>0</v>
      </c>
      <c r="D9">
        <v>300.89999999999998</v>
      </c>
      <c r="E9">
        <v>67</v>
      </c>
      <c r="F9">
        <v>0</v>
      </c>
      <c r="G9" t="s">
        <v>48</v>
      </c>
      <c r="H9" t="s">
        <v>36</v>
      </c>
      <c r="J9" s="2"/>
      <c r="K9" s="2"/>
    </row>
    <row r="10" spans="1:13" x14ac:dyDescent="0.25">
      <c r="A10" s="1">
        <v>44784.056319444448</v>
      </c>
      <c r="B10" s="1">
        <v>44784.056273148148</v>
      </c>
      <c r="C10">
        <v>0</v>
      </c>
      <c r="D10">
        <v>300.89999999999998</v>
      </c>
      <c r="E10">
        <v>67</v>
      </c>
      <c r="F10">
        <v>0</v>
      </c>
      <c r="G10" t="s">
        <v>48</v>
      </c>
      <c r="H10" t="s">
        <v>36</v>
      </c>
      <c r="J10" s="2"/>
      <c r="K10" s="2"/>
    </row>
    <row r="11" spans="1:13" x14ac:dyDescent="0.25">
      <c r="A11" s="1">
        <v>44784.063263888886</v>
      </c>
      <c r="B11" s="1">
        <v>44784.063217592593</v>
      </c>
      <c r="C11">
        <v>0</v>
      </c>
      <c r="D11">
        <v>300.89999999999998</v>
      </c>
      <c r="E11">
        <v>68</v>
      </c>
      <c r="F11">
        <v>0</v>
      </c>
      <c r="G11" t="s">
        <v>48</v>
      </c>
      <c r="H11" t="s">
        <v>36</v>
      </c>
      <c r="J11" s="2"/>
      <c r="K11" s="2"/>
    </row>
    <row r="12" spans="1:13" x14ac:dyDescent="0.25">
      <c r="A12" s="1">
        <v>44784.070208333331</v>
      </c>
      <c r="B12" s="1">
        <v>44784.070162037038</v>
      </c>
      <c r="C12">
        <v>0</v>
      </c>
      <c r="D12">
        <v>300.89999999999998</v>
      </c>
      <c r="E12">
        <v>67</v>
      </c>
      <c r="F12">
        <v>0</v>
      </c>
      <c r="G12" t="s">
        <v>48</v>
      </c>
      <c r="H12" t="s">
        <v>36</v>
      </c>
      <c r="J12" s="2"/>
      <c r="K12" s="2"/>
    </row>
    <row r="13" spans="1:13" x14ac:dyDescent="0.25">
      <c r="A13" s="1">
        <v>44784.077152777776</v>
      </c>
      <c r="B13" s="1">
        <v>44784.077106481483</v>
      </c>
      <c r="C13">
        <v>0</v>
      </c>
      <c r="D13">
        <v>300.89999999999998</v>
      </c>
      <c r="E13">
        <v>67</v>
      </c>
      <c r="F13">
        <v>0</v>
      </c>
      <c r="G13" t="s">
        <v>48</v>
      </c>
      <c r="H13" t="s">
        <v>36</v>
      </c>
      <c r="J13" s="2"/>
      <c r="K13" s="2"/>
    </row>
    <row r="14" spans="1:13" x14ac:dyDescent="0.25">
      <c r="A14" s="1">
        <v>44784.084097222221</v>
      </c>
      <c r="B14" s="1">
        <v>44784.084050925929</v>
      </c>
      <c r="C14">
        <v>0</v>
      </c>
      <c r="D14">
        <v>300.89999999999998</v>
      </c>
      <c r="E14">
        <v>68</v>
      </c>
      <c r="F14">
        <v>0</v>
      </c>
      <c r="G14" t="s">
        <v>48</v>
      </c>
      <c r="H14" t="s">
        <v>36</v>
      </c>
      <c r="J14" t="str">
        <f>IF(COUNT(I9:I14)&gt;3.5,ROUND(AVERAGE(I9:I14),2),"")</f>
        <v/>
      </c>
      <c r="K14" t="str">
        <f>IF(COUNT(, , , NA, NA, NA, NA, NA, NA, NA, NA, NA, NA, NA, NA, NA, NA, NA, NA, NA, NA, NA, NA, NA)&gt;17.5,ROUND(AVERAGE(, , , 0, 0, 0, 0, 0, 0, 0, 0, 0, 0, 0, 0, 0, 0, 0, 0, 0, 0, 0, 0, 0),2),"NO AVG")</f>
        <v>NO AVG</v>
      </c>
    </row>
    <row r="15" spans="1:13" x14ac:dyDescent="0.25">
      <c r="A15" s="1">
        <v>44784.091041666667</v>
      </c>
      <c r="B15" s="1">
        <v>44784.090995370374</v>
      </c>
      <c r="C15">
        <v>0</v>
      </c>
      <c r="D15">
        <v>300.89999999999998</v>
      </c>
      <c r="E15">
        <v>69</v>
      </c>
      <c r="F15">
        <v>0</v>
      </c>
      <c r="G15" t="s">
        <v>48</v>
      </c>
      <c r="H15" t="s">
        <v>36</v>
      </c>
      <c r="J15" s="2"/>
      <c r="K15" s="2"/>
    </row>
    <row r="16" spans="1:13" x14ac:dyDescent="0.25">
      <c r="A16" s="1">
        <v>44784.097997685189</v>
      </c>
      <c r="B16" s="1">
        <v>44784.097939814812</v>
      </c>
      <c r="C16">
        <v>0</v>
      </c>
      <c r="D16">
        <v>300.89999999999998</v>
      </c>
      <c r="E16">
        <v>68</v>
      </c>
      <c r="F16">
        <v>0</v>
      </c>
      <c r="G16" t="s">
        <v>48</v>
      </c>
      <c r="H16" t="s">
        <v>36</v>
      </c>
      <c r="J16" s="2"/>
      <c r="K16" s="2"/>
    </row>
    <row r="17" spans="1:11" x14ac:dyDescent="0.25">
      <c r="A17" s="1">
        <v>44784.104930555557</v>
      </c>
      <c r="B17" s="1">
        <v>44784.104884259257</v>
      </c>
      <c r="C17">
        <v>0</v>
      </c>
      <c r="D17">
        <v>300.89999999999998</v>
      </c>
      <c r="E17">
        <v>68</v>
      </c>
      <c r="F17">
        <v>0</v>
      </c>
      <c r="G17" t="s">
        <v>48</v>
      </c>
      <c r="H17" t="s">
        <v>36</v>
      </c>
      <c r="J17" s="2"/>
      <c r="K17" s="2"/>
    </row>
    <row r="18" spans="1:11" x14ac:dyDescent="0.25">
      <c r="A18" s="1">
        <v>44784.111875000002</v>
      </c>
      <c r="B18" s="1">
        <v>44784.111828703702</v>
      </c>
      <c r="C18">
        <v>0</v>
      </c>
      <c r="D18">
        <v>300.89999999999998</v>
      </c>
      <c r="E18">
        <v>67</v>
      </c>
      <c r="F18">
        <v>0</v>
      </c>
      <c r="G18" t="s">
        <v>48</v>
      </c>
      <c r="H18" t="s">
        <v>36</v>
      </c>
      <c r="J18" s="2"/>
      <c r="K18" s="2"/>
    </row>
    <row r="19" spans="1:11" x14ac:dyDescent="0.25">
      <c r="A19" s="1">
        <v>44784.118819444448</v>
      </c>
      <c r="B19" s="1">
        <v>44784.118773148148</v>
      </c>
      <c r="C19">
        <v>0</v>
      </c>
      <c r="D19">
        <v>300.89999999999998</v>
      </c>
      <c r="E19">
        <v>68</v>
      </c>
      <c r="F19">
        <v>0</v>
      </c>
      <c r="G19" t="s">
        <v>48</v>
      </c>
      <c r="H19" t="s">
        <v>36</v>
      </c>
      <c r="J19" s="2"/>
      <c r="K19" s="2"/>
    </row>
    <row r="20" spans="1:11" x14ac:dyDescent="0.25">
      <c r="A20" s="1">
        <v>44784.125763888886</v>
      </c>
      <c r="B20" s="1">
        <v>44784.125717592593</v>
      </c>
      <c r="C20">
        <v>0</v>
      </c>
      <c r="D20">
        <v>300.89999999999998</v>
      </c>
      <c r="E20">
        <v>68</v>
      </c>
      <c r="F20">
        <v>0</v>
      </c>
      <c r="G20" t="s">
        <v>48</v>
      </c>
      <c r="H20" t="s">
        <v>36</v>
      </c>
      <c r="J20" t="str">
        <f>IF(COUNT(I15:I20)&gt;3.5,ROUND(AVERAGE(I15:I20),2),"")</f>
        <v/>
      </c>
      <c r="K20" t="str">
        <f>IF(COUNT(, , , , NA, NA, NA, NA, NA, NA, NA, NA, NA, NA, NA, NA, NA, NA, NA, NA, NA, NA, NA, NA)&gt;17.5,ROUND(AVERAGE(, , , , 0, 0, 0, 0, 0, 0, 0, 0, 0, 0, 0, 0, 0, 0, 0, 0, 0, 0, 0, 0),2),"NO AVG")</f>
        <v>NO AVG</v>
      </c>
    </row>
    <row r="21" spans="1:11" x14ac:dyDescent="0.25">
      <c r="A21" s="1">
        <v>44784.132708333331</v>
      </c>
      <c r="B21" s="1">
        <v>44784.132662037038</v>
      </c>
      <c r="C21">
        <v>0</v>
      </c>
      <c r="D21">
        <v>300.89999999999998</v>
      </c>
      <c r="E21">
        <v>68</v>
      </c>
      <c r="F21">
        <v>0</v>
      </c>
      <c r="G21" t="s">
        <v>48</v>
      </c>
      <c r="H21" t="s">
        <v>36</v>
      </c>
      <c r="J21" s="2"/>
      <c r="K21" s="2"/>
    </row>
    <row r="22" spans="1:11" x14ac:dyDescent="0.25">
      <c r="A22" s="1">
        <v>44784.139652777776</v>
      </c>
      <c r="B22" s="1">
        <v>44784.139606481483</v>
      </c>
      <c r="C22">
        <v>0</v>
      </c>
      <c r="D22">
        <v>300.89999999999998</v>
      </c>
      <c r="E22">
        <v>68</v>
      </c>
      <c r="F22">
        <v>0</v>
      </c>
      <c r="G22" t="s">
        <v>48</v>
      </c>
      <c r="H22" t="s">
        <v>36</v>
      </c>
      <c r="J22" s="2"/>
      <c r="K22" s="2"/>
    </row>
    <row r="23" spans="1:11" x14ac:dyDescent="0.25">
      <c r="A23" s="1">
        <v>44784.146597222221</v>
      </c>
      <c r="B23" s="1">
        <v>44784.146550925929</v>
      </c>
      <c r="C23">
        <v>0</v>
      </c>
      <c r="D23">
        <v>300.89999999999998</v>
      </c>
      <c r="E23">
        <v>68</v>
      </c>
      <c r="F23">
        <v>0</v>
      </c>
      <c r="G23" t="s">
        <v>48</v>
      </c>
      <c r="H23" t="s">
        <v>36</v>
      </c>
      <c r="J23" s="2"/>
      <c r="K23" s="2"/>
    </row>
    <row r="24" spans="1:11" x14ac:dyDescent="0.25">
      <c r="A24" s="1">
        <v>44784.153553240743</v>
      </c>
      <c r="B24" s="1">
        <v>44784.153495370374</v>
      </c>
      <c r="C24">
        <v>0</v>
      </c>
      <c r="D24">
        <v>300.89999999999998</v>
      </c>
      <c r="E24">
        <v>68</v>
      </c>
      <c r="F24">
        <v>0</v>
      </c>
      <c r="G24" t="s">
        <v>48</v>
      </c>
      <c r="H24" t="s">
        <v>36</v>
      </c>
      <c r="J24" s="2"/>
      <c r="K24" s="2"/>
    </row>
    <row r="25" spans="1:11" x14ac:dyDescent="0.25">
      <c r="A25" s="1">
        <v>44784.160486111112</v>
      </c>
      <c r="B25" s="1">
        <v>44784.160439814812</v>
      </c>
      <c r="C25">
        <v>0</v>
      </c>
      <c r="D25">
        <v>300.89999999999998</v>
      </c>
      <c r="E25">
        <v>68</v>
      </c>
      <c r="F25">
        <v>0</v>
      </c>
      <c r="G25" t="s">
        <v>48</v>
      </c>
      <c r="H25" t="s">
        <v>36</v>
      </c>
      <c r="J25" s="2"/>
      <c r="K25" s="2"/>
    </row>
    <row r="26" spans="1:11" x14ac:dyDescent="0.25">
      <c r="A26" s="1">
        <v>44784.167430555557</v>
      </c>
      <c r="B26" s="1">
        <v>44784.167384259257</v>
      </c>
      <c r="C26">
        <v>0</v>
      </c>
      <c r="D26">
        <v>300.89999999999998</v>
      </c>
      <c r="E26">
        <v>68</v>
      </c>
      <c r="F26">
        <v>0</v>
      </c>
      <c r="G26" t="s">
        <v>48</v>
      </c>
      <c r="H26" t="s">
        <v>36</v>
      </c>
      <c r="J26" t="str">
        <f>IF(COUNT(I21:I26)&gt;3.5,ROUND(AVERAGE(I21:I26),2),"")</f>
        <v/>
      </c>
      <c r="K26" t="str">
        <f>IF(COUNT(, , , , , NA, NA, NA, NA, NA, NA, NA, NA, NA, NA, NA, NA, NA, NA, NA, NA, NA, NA, NA)&gt;17.5,ROUND(AVERAGE(, , , , , 0, 0, 0, 0, 0, 0, 0, 0, 0, 0, 0, 0, 0, 0, 0, 0, 0, 0, 0),2),"NO AVG")</f>
        <v>NO AVG</v>
      </c>
    </row>
    <row r="27" spans="1:11" x14ac:dyDescent="0.25">
      <c r="A27" s="1">
        <v>44784.174386574072</v>
      </c>
      <c r="B27" s="1">
        <v>44784.174328703702</v>
      </c>
      <c r="C27">
        <v>0</v>
      </c>
      <c r="D27">
        <v>300.89999999999998</v>
      </c>
      <c r="E27">
        <v>68</v>
      </c>
      <c r="F27">
        <v>0</v>
      </c>
      <c r="G27" t="s">
        <v>48</v>
      </c>
      <c r="H27" t="s">
        <v>36</v>
      </c>
      <c r="J27" s="2"/>
      <c r="K27" s="2"/>
    </row>
    <row r="28" spans="1:11" x14ac:dyDescent="0.25">
      <c r="A28" s="1"/>
      <c r="B28" s="1">
        <v>44784.180555555555</v>
      </c>
      <c r="J28" s="2"/>
      <c r="K28" s="2"/>
    </row>
    <row r="29" spans="1:11" x14ac:dyDescent="0.25">
      <c r="A29" s="1">
        <v>44784.188263888886</v>
      </c>
      <c r="B29" s="1">
        <v>44784.188217592593</v>
      </c>
      <c r="C29">
        <v>0</v>
      </c>
      <c r="D29">
        <v>300.89999999999998</v>
      </c>
      <c r="E29">
        <v>68</v>
      </c>
      <c r="F29">
        <v>0</v>
      </c>
      <c r="G29" t="s">
        <v>48</v>
      </c>
      <c r="H29" t="s">
        <v>36</v>
      </c>
      <c r="J29" s="2"/>
      <c r="K29" s="2"/>
    </row>
    <row r="30" spans="1:11" x14ac:dyDescent="0.25">
      <c r="A30" s="1">
        <v>44784.195208333331</v>
      </c>
      <c r="B30" s="1">
        <v>44784.195162037038</v>
      </c>
      <c r="C30">
        <v>0</v>
      </c>
      <c r="D30">
        <v>300.89999999999998</v>
      </c>
      <c r="E30">
        <v>68</v>
      </c>
      <c r="F30">
        <v>0</v>
      </c>
      <c r="G30" t="s">
        <v>48</v>
      </c>
      <c r="H30" t="s">
        <v>36</v>
      </c>
      <c r="J30" s="2"/>
      <c r="K30" s="2"/>
    </row>
    <row r="31" spans="1:11" x14ac:dyDescent="0.25">
      <c r="A31" s="1">
        <v>44784.202175925922</v>
      </c>
      <c r="B31" s="1">
        <v>44784.20212962963</v>
      </c>
      <c r="C31">
        <v>0</v>
      </c>
      <c r="D31">
        <v>300.89999999999998</v>
      </c>
      <c r="E31">
        <v>68</v>
      </c>
      <c r="F31">
        <v>0</v>
      </c>
      <c r="G31" t="s">
        <v>48</v>
      </c>
      <c r="H31" t="s">
        <v>36</v>
      </c>
      <c r="J31" s="2"/>
      <c r="K31" s="2"/>
    </row>
    <row r="32" spans="1:11" x14ac:dyDescent="0.25">
      <c r="A32" s="1">
        <v>44784.209097222221</v>
      </c>
      <c r="B32" s="1">
        <v>44784.209050925929</v>
      </c>
      <c r="C32">
        <v>0</v>
      </c>
      <c r="D32">
        <v>300.89999999999998</v>
      </c>
      <c r="E32">
        <v>68</v>
      </c>
      <c r="F32">
        <v>0</v>
      </c>
      <c r="G32" t="s">
        <v>48</v>
      </c>
      <c r="H32" t="s">
        <v>36</v>
      </c>
      <c r="J32" t="str">
        <f>IF(COUNT(I27:I32)&gt;3.5,ROUND(AVERAGE(I27:I32),2),"")</f>
        <v/>
      </c>
      <c r="K32" t="str">
        <f>IF(COUNT(, , , , , , NA, NA, NA, NA, NA, NA, NA, NA, NA, NA, NA, NA, NA, NA, NA, NA, NA, NA)&gt;17.5,ROUND(AVERAGE(, , , , , , 0, 0, 0, 0, 0, 0, 0, 0, 0, 0, 0, 0, 0, 0, 0, 0, 0, 0),2),"NO AVG")</f>
        <v>NO AVG</v>
      </c>
    </row>
    <row r="33" spans="1:11" x14ac:dyDescent="0.25">
      <c r="A33" s="1">
        <v>44784.216134259259</v>
      </c>
      <c r="B33" s="1">
        <v>44784.215995370374</v>
      </c>
      <c r="C33">
        <v>0</v>
      </c>
      <c r="D33">
        <v>300.89999999999998</v>
      </c>
      <c r="E33">
        <v>68</v>
      </c>
      <c r="F33">
        <v>0</v>
      </c>
      <c r="G33" t="s">
        <v>48</v>
      </c>
      <c r="H33" t="s">
        <v>36</v>
      </c>
      <c r="J33" s="2"/>
      <c r="K33" s="2"/>
    </row>
    <row r="34" spans="1:11" x14ac:dyDescent="0.25">
      <c r="A34" s="1">
        <v>44784.222997685189</v>
      </c>
      <c r="B34" s="1">
        <v>44784.222939814812</v>
      </c>
      <c r="C34">
        <v>0</v>
      </c>
      <c r="D34">
        <v>300.89999999999998</v>
      </c>
      <c r="E34">
        <v>68</v>
      </c>
      <c r="F34">
        <v>0</v>
      </c>
      <c r="G34" t="s">
        <v>48</v>
      </c>
      <c r="H34" t="s">
        <v>36</v>
      </c>
      <c r="J34" s="2"/>
      <c r="K34" s="2"/>
    </row>
    <row r="35" spans="1:11" x14ac:dyDescent="0.25">
      <c r="A35" s="1">
        <v>44784.229942129627</v>
      </c>
      <c r="B35" s="1">
        <v>44784.229884259257</v>
      </c>
      <c r="C35">
        <v>0</v>
      </c>
      <c r="D35">
        <v>300.89999999999998</v>
      </c>
      <c r="E35">
        <v>68</v>
      </c>
      <c r="F35">
        <v>0</v>
      </c>
      <c r="G35" t="s">
        <v>48</v>
      </c>
      <c r="H35" t="s">
        <v>36</v>
      </c>
      <c r="J35" s="2"/>
      <c r="K35" s="2"/>
    </row>
    <row r="36" spans="1:11" x14ac:dyDescent="0.25">
      <c r="A36" s="1">
        <v>44784.236886574072</v>
      </c>
      <c r="B36" s="1">
        <v>44784.236840277779</v>
      </c>
      <c r="C36">
        <v>0</v>
      </c>
      <c r="D36">
        <v>300.89999999999998</v>
      </c>
      <c r="E36">
        <v>68</v>
      </c>
      <c r="F36">
        <v>0</v>
      </c>
      <c r="G36" t="s">
        <v>48</v>
      </c>
      <c r="H36" t="s">
        <v>36</v>
      </c>
      <c r="J36" s="2"/>
      <c r="K36" s="2"/>
    </row>
    <row r="37" spans="1:11" x14ac:dyDescent="0.25">
      <c r="A37" s="1">
        <v>44784.243831018517</v>
      </c>
      <c r="B37" s="1">
        <v>44784.243773148148</v>
      </c>
      <c r="C37">
        <v>0</v>
      </c>
      <c r="D37">
        <v>300.89999999999998</v>
      </c>
      <c r="E37">
        <v>68</v>
      </c>
      <c r="F37">
        <v>0</v>
      </c>
      <c r="G37" t="s">
        <v>48</v>
      </c>
      <c r="H37" t="s">
        <v>36</v>
      </c>
      <c r="J37" s="2"/>
      <c r="K37" s="2"/>
    </row>
    <row r="38" spans="1:11" x14ac:dyDescent="0.25">
      <c r="A38" s="1">
        <v>44784.250787037039</v>
      </c>
      <c r="B38" s="1">
        <v>44784.25072916667</v>
      </c>
      <c r="C38">
        <v>0</v>
      </c>
      <c r="D38">
        <v>300.89999999999998</v>
      </c>
      <c r="E38">
        <v>68</v>
      </c>
      <c r="F38">
        <v>0</v>
      </c>
      <c r="G38" t="s">
        <v>48</v>
      </c>
      <c r="H38" t="s">
        <v>36</v>
      </c>
      <c r="J38" t="str">
        <f>IF(COUNT(I33:I38)&gt;3.5,ROUND(AVERAGE(I33:I38),2),"")</f>
        <v/>
      </c>
      <c r="K38" t="str">
        <f>IF(COUNT(, , , , , , , NA, NA, NA, NA, NA, NA, NA, NA, NA, NA, NA, NA, NA, NA, NA, NA, NA)&gt;17.5,ROUND(AVERAGE(, , , , , , , 0, 0, 0, 0, 0, 0, 0, 0, 0, 0, 0, 0, 0, 0, 0, 0, 0),2),"NO AVG")</f>
        <v>NO AVG</v>
      </c>
    </row>
    <row r="39" spans="1:11" x14ac:dyDescent="0.25">
      <c r="A39" s="1">
        <v>44784.257719907408</v>
      </c>
      <c r="B39" s="1">
        <v>44784.257662037038</v>
      </c>
      <c r="C39">
        <v>0</v>
      </c>
      <c r="D39">
        <v>300.89999999999998</v>
      </c>
      <c r="E39">
        <v>69</v>
      </c>
      <c r="F39">
        <v>0</v>
      </c>
      <c r="G39" t="s">
        <v>48</v>
      </c>
      <c r="H39" t="s">
        <v>36</v>
      </c>
      <c r="J39" s="2"/>
      <c r="K39" s="2"/>
    </row>
    <row r="40" spans="1:11" x14ac:dyDescent="0.25">
      <c r="A40" s="1">
        <v>44784.264664351853</v>
      </c>
      <c r="B40" s="1">
        <v>44784.264606481483</v>
      </c>
      <c r="C40">
        <v>0</v>
      </c>
      <c r="D40">
        <v>300.89999999999998</v>
      </c>
      <c r="E40">
        <v>69</v>
      </c>
      <c r="F40">
        <v>0</v>
      </c>
      <c r="G40" t="s">
        <v>48</v>
      </c>
      <c r="H40" t="s">
        <v>36</v>
      </c>
      <c r="J40" s="2"/>
      <c r="K40" s="2"/>
    </row>
    <row r="41" spans="1:11" x14ac:dyDescent="0.25">
      <c r="A41" s="1">
        <v>44784.271608796298</v>
      </c>
      <c r="B41" s="1">
        <v>44784.271550925929</v>
      </c>
      <c r="C41">
        <v>0</v>
      </c>
      <c r="D41">
        <v>300.89999999999998</v>
      </c>
      <c r="E41">
        <v>69</v>
      </c>
      <c r="F41">
        <v>0</v>
      </c>
      <c r="G41" t="s">
        <v>48</v>
      </c>
      <c r="H41" t="s">
        <v>36</v>
      </c>
      <c r="J41" s="2"/>
      <c r="K41" s="2"/>
    </row>
    <row r="42" spans="1:11" x14ac:dyDescent="0.25">
      <c r="A42" s="1">
        <v>44784.278553240743</v>
      </c>
      <c r="B42" s="1">
        <v>44784.278495370374</v>
      </c>
      <c r="C42">
        <v>0</v>
      </c>
      <c r="D42">
        <v>300.89999999999998</v>
      </c>
      <c r="E42">
        <v>69</v>
      </c>
      <c r="F42">
        <v>0</v>
      </c>
      <c r="G42" t="s">
        <v>48</v>
      </c>
      <c r="H42" t="s">
        <v>36</v>
      </c>
      <c r="J42" s="2"/>
      <c r="K42" s="2"/>
    </row>
    <row r="43" spans="1:11" x14ac:dyDescent="0.25">
      <c r="A43" s="1">
        <v>44784.285497685189</v>
      </c>
      <c r="B43" s="1">
        <v>44784.285439814812</v>
      </c>
      <c r="C43">
        <v>0</v>
      </c>
      <c r="D43">
        <v>300.89999999999998</v>
      </c>
      <c r="E43">
        <v>69</v>
      </c>
      <c r="F43">
        <v>0</v>
      </c>
      <c r="G43" t="s">
        <v>48</v>
      </c>
      <c r="H43" t="s">
        <v>36</v>
      </c>
      <c r="J43" s="2"/>
      <c r="K43" s="2"/>
    </row>
    <row r="44" spans="1:11" x14ac:dyDescent="0.25">
      <c r="A44" s="1">
        <v>44784.292442129627</v>
      </c>
      <c r="B44" s="1">
        <v>44784.292384259257</v>
      </c>
      <c r="C44">
        <v>0</v>
      </c>
      <c r="D44">
        <v>300.89999999999998</v>
      </c>
      <c r="E44">
        <v>69</v>
      </c>
      <c r="F44">
        <v>0</v>
      </c>
      <c r="G44" t="s">
        <v>48</v>
      </c>
      <c r="H44" t="s">
        <v>36</v>
      </c>
      <c r="J44" t="str">
        <f>IF(COUNT(I39:I44)&gt;3.5,ROUND(AVERAGE(I39:I44),2),"")</f>
        <v/>
      </c>
      <c r="K44" t="str">
        <f>IF(COUNT(, , , , , , , , NA, NA, NA, NA, NA, NA, NA, NA, NA, NA, NA, NA, NA, NA, NA, NA)&gt;17.5,ROUND(AVERAGE(, , , , , , , , 0, 0, 0, 0, 0, 0, 0, 0, 0, 0, 0, 0, 0, 0, 0, 0),2),"NO AVG")</f>
        <v>NO AVG</v>
      </c>
    </row>
    <row r="45" spans="1:11" x14ac:dyDescent="0.25">
      <c r="A45" s="1">
        <v>44784.299386574072</v>
      </c>
      <c r="B45" s="1">
        <v>44784.299340277779</v>
      </c>
      <c r="C45">
        <v>0</v>
      </c>
      <c r="D45">
        <v>300.89999999999998</v>
      </c>
      <c r="E45">
        <v>70</v>
      </c>
      <c r="F45">
        <v>0</v>
      </c>
      <c r="G45" t="s">
        <v>48</v>
      </c>
      <c r="H45" t="s">
        <v>36</v>
      </c>
      <c r="J45" s="2"/>
      <c r="K45" s="2"/>
    </row>
    <row r="46" spans="1:11" x14ac:dyDescent="0.25">
      <c r="A46" s="1">
        <v>44784.306331018517</v>
      </c>
      <c r="B46" s="1">
        <v>44784.306273148148</v>
      </c>
      <c r="C46">
        <v>0</v>
      </c>
      <c r="D46">
        <v>300.89999999999998</v>
      </c>
      <c r="E46">
        <v>70</v>
      </c>
      <c r="F46">
        <v>0</v>
      </c>
      <c r="G46" t="s">
        <v>48</v>
      </c>
      <c r="H46" t="s">
        <v>36</v>
      </c>
      <c r="J46" s="2"/>
      <c r="K46" s="2"/>
    </row>
    <row r="47" spans="1:11" x14ac:dyDescent="0.25">
      <c r="A47" s="1">
        <v>44784.313275462962</v>
      </c>
      <c r="B47" s="1">
        <v>44784.313217592593</v>
      </c>
      <c r="C47">
        <v>0</v>
      </c>
      <c r="D47">
        <v>300.89999999999998</v>
      </c>
      <c r="E47">
        <v>69</v>
      </c>
      <c r="F47">
        <v>0</v>
      </c>
      <c r="G47" t="s">
        <v>48</v>
      </c>
      <c r="H47" t="s">
        <v>36</v>
      </c>
      <c r="J47" s="2"/>
      <c r="K47" s="2"/>
    </row>
    <row r="48" spans="1:11" x14ac:dyDescent="0.25">
      <c r="A48" s="1">
        <v>44784.320219907408</v>
      </c>
      <c r="B48" s="1">
        <v>44784.320162037038</v>
      </c>
      <c r="C48">
        <v>0</v>
      </c>
      <c r="D48">
        <v>300.89999999999998</v>
      </c>
      <c r="E48">
        <v>69</v>
      </c>
      <c r="F48">
        <v>0</v>
      </c>
      <c r="G48" t="s">
        <v>48</v>
      </c>
      <c r="H48" t="s">
        <v>36</v>
      </c>
      <c r="J48" s="2"/>
      <c r="K48" s="2"/>
    </row>
    <row r="49" spans="1:11" x14ac:dyDescent="0.25">
      <c r="A49" s="1">
        <v>44784.327164351853</v>
      </c>
      <c r="B49" s="1">
        <v>44784.327106481483</v>
      </c>
      <c r="C49">
        <v>0</v>
      </c>
      <c r="D49">
        <v>300.89999999999998</v>
      </c>
      <c r="E49">
        <v>68</v>
      </c>
      <c r="F49">
        <v>0</v>
      </c>
      <c r="G49" t="s">
        <v>48</v>
      </c>
      <c r="H49" t="s">
        <v>36</v>
      </c>
      <c r="J49" s="2"/>
      <c r="K49" s="2"/>
    </row>
    <row r="50" spans="1:11" x14ac:dyDescent="0.25">
      <c r="A50" s="1">
        <v>44784.334108796298</v>
      </c>
      <c r="B50" s="1">
        <v>44784.334050925929</v>
      </c>
      <c r="C50">
        <v>0</v>
      </c>
      <c r="D50">
        <v>300.89999999999998</v>
      </c>
      <c r="E50">
        <v>67</v>
      </c>
      <c r="F50">
        <v>0</v>
      </c>
      <c r="G50" t="s">
        <v>48</v>
      </c>
      <c r="H50" t="s">
        <v>36</v>
      </c>
      <c r="J50" t="str">
        <f>IF(COUNT(I45:I50)&gt;3.5,ROUND(AVERAGE(I45:I50),2),"")</f>
        <v/>
      </c>
      <c r="K50" t="str">
        <f>IF(COUNT(, , , , , , , , , NA, NA, NA, NA, NA, NA, NA, NA, NA, NA, NA, NA, NA, NA, NA)&gt;17.5,ROUND(AVERAGE(, , , , , , , , , 0, 0, 0, 0, 0, 0, 0, 0, 0, 0, 0, 0, 0, 0, 0),2),"NO AVG")</f>
        <v>NO AVG</v>
      </c>
    </row>
    <row r="51" spans="1:11" x14ac:dyDescent="0.25">
      <c r="A51" s="1">
        <v>44784.341053240743</v>
      </c>
      <c r="B51" s="1">
        <v>44784.340995370374</v>
      </c>
      <c r="C51">
        <v>0</v>
      </c>
      <c r="D51">
        <v>300.89999999999998</v>
      </c>
      <c r="E51">
        <v>66</v>
      </c>
      <c r="F51">
        <v>0</v>
      </c>
      <c r="G51" t="s">
        <v>48</v>
      </c>
      <c r="H51" t="s">
        <v>36</v>
      </c>
      <c r="J51" s="2"/>
      <c r="K51" s="2"/>
    </row>
    <row r="52" spans="1:11" x14ac:dyDescent="0.25">
      <c r="A52" s="1">
        <v>44784.347997685189</v>
      </c>
      <c r="B52" s="1">
        <v>44784.347951388889</v>
      </c>
      <c r="C52">
        <v>0.1</v>
      </c>
      <c r="D52">
        <v>300.89999999999998</v>
      </c>
      <c r="E52">
        <v>64</v>
      </c>
      <c r="F52">
        <v>0</v>
      </c>
      <c r="G52" t="s">
        <v>60</v>
      </c>
      <c r="H52" t="s">
        <v>36</v>
      </c>
      <c r="J52" s="2"/>
      <c r="K52" s="2"/>
    </row>
    <row r="53" spans="1:11" x14ac:dyDescent="0.25">
      <c r="A53" s="1">
        <v>44784.354942129627</v>
      </c>
      <c r="B53" s="1">
        <v>44784.354884259257</v>
      </c>
      <c r="C53">
        <v>0.1</v>
      </c>
      <c r="D53">
        <v>300.89999999999998</v>
      </c>
      <c r="E53">
        <v>63</v>
      </c>
      <c r="F53">
        <v>0</v>
      </c>
      <c r="G53" t="s">
        <v>60</v>
      </c>
      <c r="H53" t="s">
        <v>36</v>
      </c>
      <c r="J53" s="2"/>
      <c r="K53" s="2"/>
    </row>
    <row r="54" spans="1:11" x14ac:dyDescent="0.25">
      <c r="A54" s="1">
        <v>44784.361886574072</v>
      </c>
      <c r="B54" s="1">
        <v>44784.361828703702</v>
      </c>
      <c r="C54">
        <v>0.1</v>
      </c>
      <c r="D54">
        <v>300.89999999999998</v>
      </c>
      <c r="E54">
        <v>63</v>
      </c>
      <c r="F54">
        <v>0</v>
      </c>
      <c r="G54" t="s">
        <v>60</v>
      </c>
      <c r="H54" t="s">
        <v>36</v>
      </c>
      <c r="J54" s="2"/>
      <c r="K54" s="2"/>
    </row>
    <row r="55" spans="1:11" x14ac:dyDescent="0.25">
      <c r="A55" s="1">
        <v>44784.368831018517</v>
      </c>
      <c r="B55" s="1">
        <v>44784.368784722225</v>
      </c>
      <c r="C55">
        <v>0.1</v>
      </c>
      <c r="D55">
        <v>300.89999999999998</v>
      </c>
      <c r="E55">
        <v>61</v>
      </c>
      <c r="F55">
        <v>0</v>
      </c>
      <c r="G55" t="s">
        <v>60</v>
      </c>
      <c r="H55" t="s">
        <v>36</v>
      </c>
      <c r="J55" s="2"/>
      <c r="K55" s="2"/>
    </row>
    <row r="56" spans="1:11" x14ac:dyDescent="0.25">
      <c r="A56" s="1">
        <v>44784.375775462962</v>
      </c>
      <c r="B56" s="1">
        <v>44784.375717592593</v>
      </c>
      <c r="C56">
        <v>0.1</v>
      </c>
      <c r="D56">
        <v>300.89999999999998</v>
      </c>
      <c r="E56">
        <v>63</v>
      </c>
      <c r="F56">
        <v>0</v>
      </c>
      <c r="G56" t="s">
        <v>60</v>
      </c>
      <c r="H56" t="s">
        <v>36</v>
      </c>
      <c r="J56" t="str">
        <f>IF(COUNT(I51:I56)&gt;3.5,ROUND(AVERAGE(I51:I56),2),"")</f>
        <v/>
      </c>
      <c r="K56" t="str">
        <f>IF(COUNT(, , , , , , , , , , NA, NA, NA, NA, NA, NA, NA, NA, NA, NA, NA, NA, NA, NA)&gt;17.5,ROUND(AVERAGE(, , , , , , , , , , 0, 0, 0, 0, 0, 0, 0, 0, 0, 0, 0, 0, 0, 0),2),"NO AVG")</f>
        <v>NO AVG</v>
      </c>
    </row>
    <row r="57" spans="1:11" x14ac:dyDescent="0.25">
      <c r="A57" s="1">
        <v>44784.382719907408</v>
      </c>
      <c r="B57" s="1">
        <v>44784.382662037038</v>
      </c>
      <c r="C57">
        <v>0.1</v>
      </c>
      <c r="D57">
        <v>300.89999999999998</v>
      </c>
      <c r="E57">
        <v>60</v>
      </c>
      <c r="F57">
        <v>0</v>
      </c>
      <c r="G57" t="s">
        <v>60</v>
      </c>
      <c r="H57" t="s">
        <v>36</v>
      </c>
      <c r="J57" s="2"/>
      <c r="K57" s="2"/>
    </row>
    <row r="58" spans="1:11" x14ac:dyDescent="0.25">
      <c r="A58" s="1">
        <v>44784.389664351853</v>
      </c>
      <c r="B58" s="1">
        <v>44784.389618055553</v>
      </c>
      <c r="C58">
        <v>0</v>
      </c>
      <c r="D58">
        <v>300.89999999999998</v>
      </c>
      <c r="E58">
        <v>59</v>
      </c>
      <c r="F58">
        <v>0</v>
      </c>
      <c r="G58" t="s">
        <v>48</v>
      </c>
      <c r="H58" t="s">
        <v>36</v>
      </c>
      <c r="J58" s="2"/>
      <c r="K58" s="2"/>
    </row>
    <row r="59" spans="1:11" x14ac:dyDescent="0.25">
      <c r="A59" s="1">
        <v>44784.396620370368</v>
      </c>
      <c r="B59" s="1">
        <v>44784.396562499998</v>
      </c>
      <c r="C59">
        <v>0</v>
      </c>
      <c r="D59">
        <v>300.89999999999998</v>
      </c>
      <c r="E59">
        <v>58</v>
      </c>
      <c r="F59">
        <v>0</v>
      </c>
      <c r="G59" t="s">
        <v>48</v>
      </c>
      <c r="H59" t="s">
        <v>36</v>
      </c>
      <c r="J59" s="2"/>
      <c r="K59" s="2"/>
    </row>
    <row r="60" spans="1:11" x14ac:dyDescent="0.25">
      <c r="A60" s="1">
        <v>44784.403564814813</v>
      </c>
      <c r="B60" s="1">
        <v>44784.403506944444</v>
      </c>
      <c r="C60">
        <v>0</v>
      </c>
      <c r="D60">
        <v>300.89999999999998</v>
      </c>
      <c r="E60">
        <v>57</v>
      </c>
      <c r="F60">
        <v>0</v>
      </c>
      <c r="G60" t="s">
        <v>48</v>
      </c>
      <c r="H60" t="s">
        <v>36</v>
      </c>
      <c r="J60" s="2"/>
      <c r="K60" s="2"/>
    </row>
    <row r="61" spans="1:11" x14ac:dyDescent="0.25">
      <c r="A61" s="1">
        <v>44784.410509259258</v>
      </c>
      <c r="B61" s="1">
        <v>44784.410451388889</v>
      </c>
      <c r="C61">
        <v>0</v>
      </c>
      <c r="D61">
        <v>300.89999999999998</v>
      </c>
      <c r="E61">
        <v>56</v>
      </c>
      <c r="F61">
        <v>0</v>
      </c>
      <c r="G61" t="s">
        <v>48</v>
      </c>
      <c r="H61" t="s">
        <v>36</v>
      </c>
      <c r="J61" s="2"/>
      <c r="K61" s="2"/>
    </row>
    <row r="62" spans="1:11" x14ac:dyDescent="0.25">
      <c r="A62" s="1">
        <v>44784.417442129627</v>
      </c>
      <c r="B62" s="1">
        <v>44784.417395833334</v>
      </c>
      <c r="C62">
        <v>0</v>
      </c>
      <c r="D62">
        <v>300.89999999999998</v>
      </c>
      <c r="E62">
        <v>55</v>
      </c>
      <c r="F62">
        <v>0</v>
      </c>
      <c r="G62" t="s">
        <v>48</v>
      </c>
      <c r="H62" t="s">
        <v>36</v>
      </c>
      <c r="J62" t="str">
        <f>IF(COUNT(I57:I62)&gt;3.5,ROUND(AVERAGE(I57:I62),2),"")</f>
        <v/>
      </c>
      <c r="K62" t="str">
        <f>IF(COUNT(, , , , , , , , , , , NA, NA, NA, NA, NA, NA, NA, NA, NA, NA, NA, NA, NA)&gt;17.5,ROUND(AVERAGE(, , , , , , , , , , , 0, 0, 0, 0, 0, 0, 0, 0, 0, 0, 0, 0, 0),2),"NO AVG")</f>
        <v>NO AVG</v>
      </c>
    </row>
    <row r="63" spans="1:11" x14ac:dyDescent="0.25">
      <c r="A63" s="1">
        <v>44784.424398148149</v>
      </c>
      <c r="B63" s="1">
        <v>44784.424340277779</v>
      </c>
      <c r="C63">
        <v>0</v>
      </c>
      <c r="D63">
        <v>300.89999999999998</v>
      </c>
      <c r="E63">
        <v>54</v>
      </c>
      <c r="F63">
        <v>0</v>
      </c>
      <c r="G63" t="s">
        <v>48</v>
      </c>
      <c r="H63" t="s">
        <v>36</v>
      </c>
      <c r="J63" s="2"/>
      <c r="K63" s="2"/>
    </row>
    <row r="64" spans="1:11" x14ac:dyDescent="0.25">
      <c r="A64" s="1">
        <v>44784.431331018517</v>
      </c>
      <c r="B64" s="1">
        <v>44784.431284722225</v>
      </c>
      <c r="C64">
        <v>0</v>
      </c>
      <c r="D64">
        <v>300.89999999999998</v>
      </c>
      <c r="E64">
        <v>53</v>
      </c>
      <c r="F64">
        <v>0</v>
      </c>
      <c r="G64" t="s">
        <v>48</v>
      </c>
      <c r="H64" t="s">
        <v>36</v>
      </c>
      <c r="J64" s="2"/>
      <c r="K64" s="2"/>
    </row>
    <row r="65" spans="1:11" x14ac:dyDescent="0.25">
      <c r="A65" s="1">
        <v>44784.438287037039</v>
      </c>
      <c r="B65" s="1">
        <v>44784.43822916667</v>
      </c>
      <c r="C65">
        <v>0</v>
      </c>
      <c r="D65">
        <v>300.89999999999998</v>
      </c>
      <c r="E65">
        <v>52</v>
      </c>
      <c r="F65">
        <v>0</v>
      </c>
      <c r="G65" t="s">
        <v>48</v>
      </c>
      <c r="H65" t="s">
        <v>36</v>
      </c>
      <c r="J65" s="2"/>
      <c r="K65" s="2"/>
    </row>
    <row r="66" spans="1:11" x14ac:dyDescent="0.25">
      <c r="A66" s="1">
        <v>44784.445219907408</v>
      </c>
      <c r="B66" s="1">
        <v>44784.445173611108</v>
      </c>
      <c r="C66">
        <v>0.1</v>
      </c>
      <c r="D66">
        <v>300.89999999999998</v>
      </c>
      <c r="E66">
        <v>51</v>
      </c>
      <c r="F66">
        <v>0</v>
      </c>
      <c r="G66" t="s">
        <v>60</v>
      </c>
      <c r="H66" t="s">
        <v>36</v>
      </c>
      <c r="J66" s="2"/>
      <c r="K66" s="2"/>
    </row>
    <row r="67" spans="1:11" x14ac:dyDescent="0.25">
      <c r="A67" s="1">
        <v>44784.452175925922</v>
      </c>
      <c r="B67" s="1">
        <v>44784.452118055553</v>
      </c>
      <c r="C67">
        <v>0.1</v>
      </c>
      <c r="D67">
        <v>300.89999999999998</v>
      </c>
      <c r="E67">
        <v>50</v>
      </c>
      <c r="F67">
        <v>0</v>
      </c>
      <c r="G67" t="s">
        <v>60</v>
      </c>
      <c r="H67" t="s">
        <v>36</v>
      </c>
      <c r="J67" s="2"/>
      <c r="K67" s="2"/>
    </row>
    <row r="68" spans="1:11" x14ac:dyDescent="0.25">
      <c r="A68" s="1">
        <v>44784.459120370368</v>
      </c>
      <c r="B68" s="1">
        <v>44784.459062499998</v>
      </c>
      <c r="C68">
        <v>0.1</v>
      </c>
      <c r="D68">
        <v>300.89999999999998</v>
      </c>
      <c r="E68">
        <v>49</v>
      </c>
      <c r="F68">
        <v>0</v>
      </c>
      <c r="G68" t="s">
        <v>60</v>
      </c>
      <c r="H68" t="s">
        <v>36</v>
      </c>
      <c r="J68" t="str">
        <f>IF(COUNT(I63:I68)&gt;3.5,ROUND(AVERAGE(I63:I68),2),"")</f>
        <v/>
      </c>
      <c r="K68" t="str">
        <f>IF(COUNT(, , , , , , , , , , , , NA, NA, NA, NA, NA, NA, NA, NA, NA, NA, NA, NA)&gt;17.5,ROUND(AVERAGE(, , , , , , , , , , , , 0, 0, 0, 0, 0, 0, 0, 0, 0, 0, 0, 0),2),"NO AVG")</f>
        <v>NO AVG</v>
      </c>
    </row>
    <row r="69" spans="1:11" x14ac:dyDescent="0.25">
      <c r="A69" s="1">
        <v>44784.466064814813</v>
      </c>
      <c r="B69" s="1">
        <v>44784.466006944444</v>
      </c>
      <c r="C69">
        <v>0</v>
      </c>
      <c r="D69">
        <v>300.89999999999998</v>
      </c>
      <c r="E69">
        <v>49</v>
      </c>
      <c r="F69">
        <v>0</v>
      </c>
      <c r="G69" t="s">
        <v>48</v>
      </c>
      <c r="H69" t="s">
        <v>36</v>
      </c>
      <c r="J69" s="2"/>
      <c r="K69" s="2"/>
    </row>
    <row r="70" spans="1:11" x14ac:dyDescent="0.25">
      <c r="A70" s="1">
        <v>44784.473009259258</v>
      </c>
      <c r="B70" s="1">
        <v>44784.472951388889</v>
      </c>
      <c r="C70">
        <v>0</v>
      </c>
      <c r="D70">
        <v>300.89999999999998</v>
      </c>
      <c r="E70">
        <v>48</v>
      </c>
      <c r="F70">
        <v>0</v>
      </c>
      <c r="G70" t="s">
        <v>48</v>
      </c>
      <c r="H70" t="s">
        <v>36</v>
      </c>
      <c r="J70" s="2"/>
      <c r="K70" s="2"/>
    </row>
    <row r="71" spans="1:11" x14ac:dyDescent="0.25">
      <c r="A71" s="1">
        <v>44784.479953703703</v>
      </c>
      <c r="B71" s="1">
        <v>44784.479895833334</v>
      </c>
      <c r="C71">
        <v>0</v>
      </c>
      <c r="D71">
        <v>300.89999999999998</v>
      </c>
      <c r="E71">
        <v>48</v>
      </c>
      <c r="F71">
        <v>0</v>
      </c>
      <c r="G71" t="s">
        <v>48</v>
      </c>
      <c r="H71" t="s">
        <v>36</v>
      </c>
      <c r="J71" s="2"/>
      <c r="K71" s="2"/>
    </row>
    <row r="72" spans="1:11" x14ac:dyDescent="0.25">
      <c r="A72" s="1">
        <v>44784.486921296295</v>
      </c>
      <c r="B72" s="1">
        <v>44784.486840277779</v>
      </c>
      <c r="C72">
        <v>0</v>
      </c>
      <c r="D72">
        <v>300.89999999999998</v>
      </c>
      <c r="E72">
        <v>45</v>
      </c>
      <c r="F72">
        <v>0</v>
      </c>
      <c r="G72" t="s">
        <v>48</v>
      </c>
      <c r="H72" t="s">
        <v>36</v>
      </c>
      <c r="J72" s="2"/>
      <c r="K72" s="2"/>
    </row>
    <row r="73" spans="1:11" x14ac:dyDescent="0.25">
      <c r="A73" s="1">
        <v>44784.493842592594</v>
      </c>
      <c r="B73" s="1">
        <v>44784.493784722225</v>
      </c>
      <c r="C73">
        <v>0</v>
      </c>
      <c r="D73">
        <v>300.89999999999998</v>
      </c>
      <c r="E73">
        <v>42</v>
      </c>
      <c r="F73">
        <v>0</v>
      </c>
      <c r="G73" t="s">
        <v>48</v>
      </c>
      <c r="H73" t="s">
        <v>36</v>
      </c>
      <c r="J73" s="2"/>
      <c r="K73" s="2"/>
    </row>
    <row r="74" spans="1:11" x14ac:dyDescent="0.25">
      <c r="A74" s="1">
        <v>44784.500787037039</v>
      </c>
      <c r="B74" s="1">
        <v>44784.50072916667</v>
      </c>
      <c r="C74">
        <v>0</v>
      </c>
      <c r="D74">
        <v>300.89999999999998</v>
      </c>
      <c r="E74">
        <v>41</v>
      </c>
      <c r="F74">
        <v>0</v>
      </c>
      <c r="G74" t="s">
        <v>48</v>
      </c>
      <c r="H74" t="s">
        <v>36</v>
      </c>
      <c r="J74" t="str">
        <f>IF(COUNT(I69:I74)&gt;3.5,ROUND(AVERAGE(I69:I74),2),"")</f>
        <v/>
      </c>
      <c r="K74" t="str">
        <f>IF(COUNT(, , , , , , , , , , , , , NA, NA, NA, NA, NA, NA, NA, NA, NA, NA, NA)&gt;17.5,ROUND(AVERAGE(, , , , , , , , , , , , , 0, 0, 0, 0, 0, 0, 0, 0, 0, 0, 0),2),"NO AVG")</f>
        <v>NO AVG</v>
      </c>
    </row>
    <row r="75" spans="1:11" x14ac:dyDescent="0.25">
      <c r="A75" s="1">
        <v>44784.507731481484</v>
      </c>
      <c r="B75" s="1">
        <v>44784.507673611108</v>
      </c>
      <c r="C75">
        <v>0</v>
      </c>
      <c r="D75">
        <v>300.89999999999998</v>
      </c>
      <c r="E75">
        <v>41</v>
      </c>
      <c r="F75">
        <v>0</v>
      </c>
      <c r="G75" t="s">
        <v>48</v>
      </c>
      <c r="H75" t="s">
        <v>36</v>
      </c>
      <c r="J75" s="2"/>
      <c r="K75" s="2"/>
    </row>
    <row r="76" spans="1:11" x14ac:dyDescent="0.25">
      <c r="A76" s="1">
        <v>44784.514675925922</v>
      </c>
      <c r="B76" s="1">
        <v>44784.514618055553</v>
      </c>
      <c r="C76">
        <v>0</v>
      </c>
      <c r="D76">
        <v>300.89999999999998</v>
      </c>
      <c r="E76">
        <v>42</v>
      </c>
      <c r="F76">
        <v>0</v>
      </c>
      <c r="G76" t="s">
        <v>48</v>
      </c>
      <c r="H76" t="s">
        <v>36</v>
      </c>
      <c r="J76" s="2"/>
      <c r="K76" s="2"/>
    </row>
    <row r="77" spans="1:11" x14ac:dyDescent="0.25">
      <c r="A77" s="1">
        <v>44784.521620370368</v>
      </c>
      <c r="B77" s="1">
        <v>44784.521562499998</v>
      </c>
      <c r="C77">
        <v>0.1</v>
      </c>
      <c r="D77">
        <v>329.5</v>
      </c>
      <c r="E77">
        <v>40</v>
      </c>
      <c r="F77">
        <v>0</v>
      </c>
      <c r="G77" t="s">
        <v>60</v>
      </c>
      <c r="H77" t="s">
        <v>36</v>
      </c>
      <c r="J77" s="2"/>
      <c r="K77" s="2"/>
    </row>
    <row r="78" spans="1:11" x14ac:dyDescent="0.25">
      <c r="A78" s="1">
        <v>44784.528587962966</v>
      </c>
      <c r="B78" s="1">
        <v>44784.528506944444</v>
      </c>
      <c r="C78">
        <v>0</v>
      </c>
      <c r="D78">
        <v>311.39999999999998</v>
      </c>
      <c r="E78">
        <v>38</v>
      </c>
      <c r="F78">
        <v>0</v>
      </c>
      <c r="G78" t="s">
        <v>48</v>
      </c>
      <c r="H78" t="s">
        <v>36</v>
      </c>
      <c r="J78" s="2"/>
      <c r="K78" s="2"/>
    </row>
    <row r="79" spans="1:11" x14ac:dyDescent="0.25">
      <c r="A79" s="1">
        <v>44784.535509259258</v>
      </c>
      <c r="B79" s="1">
        <v>44784.535451388889</v>
      </c>
      <c r="C79">
        <v>0</v>
      </c>
      <c r="D79">
        <v>311.39999999999998</v>
      </c>
      <c r="E79">
        <v>36</v>
      </c>
      <c r="F79">
        <v>0</v>
      </c>
      <c r="G79" t="s">
        <v>48</v>
      </c>
      <c r="H79" t="s">
        <v>36</v>
      </c>
      <c r="J79" s="2"/>
      <c r="K79" s="2"/>
    </row>
    <row r="80" spans="1:11" x14ac:dyDescent="0.25">
      <c r="A80" s="1">
        <v>44784.542453703703</v>
      </c>
      <c r="B80" s="1">
        <v>44784.542395833334</v>
      </c>
      <c r="C80">
        <v>0</v>
      </c>
      <c r="D80">
        <v>311.39999999999998</v>
      </c>
      <c r="E80">
        <v>35</v>
      </c>
      <c r="F80">
        <v>0</v>
      </c>
      <c r="G80" t="s">
        <v>48</v>
      </c>
      <c r="H80" t="s">
        <v>36</v>
      </c>
      <c r="J80" t="str">
        <f>IF(COUNT(I75:I80)&gt;3.5,ROUND(AVERAGE(I75:I80),2),"")</f>
        <v/>
      </c>
      <c r="K80" t="str">
        <f>IF(COUNT(, , , , , , , , , , , , , , NA, NA, NA, NA, NA, NA, NA, NA, NA, NA)&gt;17.5,ROUND(AVERAGE(, , , , , , , , , , , , , , 0, 0, 0, 0, 0, 0, 0, 0, 0, 0),2),"NO AVG")</f>
        <v>NO AVG</v>
      </c>
    </row>
    <row r="81" spans="1:11" x14ac:dyDescent="0.25">
      <c r="A81" s="1">
        <v>44784.549398148149</v>
      </c>
      <c r="B81" s="1">
        <v>44784.549340277779</v>
      </c>
      <c r="C81">
        <v>0</v>
      </c>
      <c r="D81">
        <v>311.39999999999998</v>
      </c>
      <c r="E81">
        <v>32</v>
      </c>
      <c r="F81">
        <v>0</v>
      </c>
      <c r="G81" t="s">
        <v>48</v>
      </c>
      <c r="H81" t="s">
        <v>36</v>
      </c>
      <c r="J81" s="2"/>
      <c r="K81" s="2"/>
    </row>
    <row r="82" spans="1:11" x14ac:dyDescent="0.25">
      <c r="A82" s="1">
        <v>44784.556840277779</v>
      </c>
      <c r="B82" s="1">
        <v>44784.556284722225</v>
      </c>
      <c r="C82">
        <v>0</v>
      </c>
      <c r="D82">
        <v>311.39999999999998</v>
      </c>
      <c r="E82">
        <v>31</v>
      </c>
      <c r="F82">
        <v>0</v>
      </c>
      <c r="G82" t="s">
        <v>48</v>
      </c>
      <c r="H82" t="s">
        <v>36</v>
      </c>
      <c r="J82" s="2"/>
      <c r="K82" s="2"/>
    </row>
    <row r="83" spans="1:11" x14ac:dyDescent="0.25">
      <c r="A83" s="1">
        <v>44784.563287037039</v>
      </c>
      <c r="B83" s="1">
        <v>44784.56322916667</v>
      </c>
      <c r="C83">
        <v>0</v>
      </c>
      <c r="D83">
        <v>311.39999999999998</v>
      </c>
      <c r="E83">
        <v>31</v>
      </c>
      <c r="F83">
        <v>0</v>
      </c>
      <c r="G83" t="s">
        <v>48</v>
      </c>
      <c r="H83" t="s">
        <v>36</v>
      </c>
      <c r="J83" s="2"/>
      <c r="K83" s="2"/>
    </row>
    <row r="84" spans="1:11" x14ac:dyDescent="0.25">
      <c r="A84" s="1">
        <v>44784.570289351854</v>
      </c>
      <c r="B84" s="1">
        <v>44784.570173611108</v>
      </c>
      <c r="C84">
        <v>0</v>
      </c>
      <c r="D84">
        <v>486.7</v>
      </c>
      <c r="E84">
        <v>29</v>
      </c>
      <c r="F84">
        <v>0</v>
      </c>
      <c r="G84" t="s">
        <v>48</v>
      </c>
      <c r="H84" t="s">
        <v>36</v>
      </c>
      <c r="J84" s="2"/>
      <c r="K84" s="2"/>
    </row>
    <row r="85" spans="1:11" x14ac:dyDescent="0.25">
      <c r="A85" s="1">
        <v>44784.577187499999</v>
      </c>
      <c r="B85" s="1">
        <v>44784.577118055553</v>
      </c>
      <c r="C85">
        <v>0</v>
      </c>
      <c r="D85">
        <v>326.7</v>
      </c>
      <c r="E85">
        <v>27</v>
      </c>
      <c r="F85">
        <v>0</v>
      </c>
      <c r="G85" t="s">
        <v>48</v>
      </c>
      <c r="H85" t="s">
        <v>36</v>
      </c>
      <c r="J85" s="2"/>
      <c r="K85" s="2"/>
    </row>
    <row r="86" spans="1:11" x14ac:dyDescent="0.25">
      <c r="A86" s="1">
        <v>44784.584131944444</v>
      </c>
      <c r="B86" s="1">
        <v>44784.584062499998</v>
      </c>
      <c r="C86">
        <v>0</v>
      </c>
      <c r="D86">
        <v>192.9</v>
      </c>
      <c r="E86">
        <v>29</v>
      </c>
      <c r="F86">
        <v>0</v>
      </c>
      <c r="G86" t="s">
        <v>48</v>
      </c>
      <c r="H86" t="s">
        <v>36</v>
      </c>
      <c r="J86" t="str">
        <f>IF(COUNT(I81:I86)&gt;3.5,ROUND(AVERAGE(I81:I86),2),"")</f>
        <v/>
      </c>
      <c r="K86" t="str">
        <f>IF(COUNT(, , , , , , , , , , , , , , , NA, NA, NA, NA, NA, NA, NA, NA, NA)&gt;17.5,ROUND(AVERAGE(, , , , , , , , , , , , , , , 0, 0, 0, 0, 0, 0, 0, 0, 0),2),"NO AVG")</f>
        <v>NO AVG</v>
      </c>
    </row>
    <row r="87" spans="1:11" x14ac:dyDescent="0.25">
      <c r="A87" s="1">
        <v>44784.591134259259</v>
      </c>
      <c r="B87" s="1">
        <v>44784.591006944444</v>
      </c>
      <c r="C87">
        <v>0</v>
      </c>
      <c r="D87">
        <v>113.9</v>
      </c>
      <c r="E87">
        <v>30</v>
      </c>
      <c r="F87">
        <v>0</v>
      </c>
      <c r="G87" t="s">
        <v>48</v>
      </c>
      <c r="H87" t="s">
        <v>36</v>
      </c>
      <c r="J87" s="2"/>
      <c r="K87" s="2"/>
    </row>
    <row r="88" spans="1:11" x14ac:dyDescent="0.25">
      <c r="A88" s="1">
        <v>44784.598009259258</v>
      </c>
      <c r="B88" s="1">
        <v>44784.597951388889</v>
      </c>
      <c r="C88">
        <v>0</v>
      </c>
      <c r="D88">
        <v>67.3</v>
      </c>
      <c r="E88">
        <v>32</v>
      </c>
      <c r="F88">
        <v>0</v>
      </c>
      <c r="G88" t="s">
        <v>48</v>
      </c>
      <c r="H88" t="s">
        <v>36</v>
      </c>
      <c r="J88" s="2"/>
      <c r="K88" s="2"/>
    </row>
    <row r="89" spans="1:11" x14ac:dyDescent="0.25">
      <c r="A89" s="1">
        <v>44784.60496527778</v>
      </c>
      <c r="B89" s="1">
        <v>44784.604895833334</v>
      </c>
      <c r="C89">
        <v>0.1</v>
      </c>
      <c r="D89">
        <v>184.7</v>
      </c>
      <c r="E89">
        <v>33</v>
      </c>
      <c r="F89">
        <v>0</v>
      </c>
      <c r="G89" t="s">
        <v>60</v>
      </c>
      <c r="H89" t="s">
        <v>36</v>
      </c>
      <c r="J89" s="2"/>
      <c r="K89" s="2"/>
    </row>
    <row r="90" spans="1:11" x14ac:dyDescent="0.25">
      <c r="A90" s="1">
        <v>44784.611909722225</v>
      </c>
      <c r="B90" s="1">
        <v>44784.611840277779</v>
      </c>
      <c r="C90">
        <v>0</v>
      </c>
      <c r="D90">
        <v>184.7</v>
      </c>
      <c r="E90">
        <v>31</v>
      </c>
      <c r="F90">
        <v>0</v>
      </c>
      <c r="G90" t="s">
        <v>48</v>
      </c>
      <c r="H90" t="s">
        <v>36</v>
      </c>
      <c r="J90" s="2"/>
      <c r="K90" s="2"/>
    </row>
    <row r="91" spans="1:11" x14ac:dyDescent="0.25">
      <c r="A91" s="1">
        <v>44784.618854166663</v>
      </c>
      <c r="B91" s="1">
        <v>44784.618784722225</v>
      </c>
      <c r="C91">
        <v>0</v>
      </c>
      <c r="D91">
        <v>192.7</v>
      </c>
      <c r="E91">
        <v>29</v>
      </c>
      <c r="F91">
        <v>0</v>
      </c>
      <c r="G91" t="s">
        <v>48</v>
      </c>
      <c r="H91" t="s">
        <v>36</v>
      </c>
      <c r="J91" s="2"/>
      <c r="K91" s="2"/>
    </row>
    <row r="92" spans="1:11" x14ac:dyDescent="0.25">
      <c r="A92" s="1">
        <v>44784.625798611109</v>
      </c>
      <c r="B92" s="1">
        <v>44784.62572916667</v>
      </c>
      <c r="C92">
        <v>0</v>
      </c>
      <c r="D92">
        <v>113.8</v>
      </c>
      <c r="E92">
        <v>30</v>
      </c>
      <c r="F92">
        <v>0</v>
      </c>
      <c r="G92" t="s">
        <v>48</v>
      </c>
      <c r="H92" t="s">
        <v>36</v>
      </c>
      <c r="J92" t="str">
        <f>IF(COUNT(I87:I92)&gt;3.5,ROUND(AVERAGE(I87:I92),2),"")</f>
        <v/>
      </c>
      <c r="K92" t="str">
        <f>IF(COUNT(, , , , , , , , , , , , , , , , NA, NA, NA, NA, NA, NA, NA, NA)&gt;17.5,ROUND(AVERAGE(, , , , , , , , , , , , , , , , 0, 0, 0, 0, 0, 0, 0, 0),2),"NO AVG")</f>
        <v>NO AVG</v>
      </c>
    </row>
    <row r="93" spans="1:11" x14ac:dyDescent="0.25">
      <c r="A93" s="1">
        <v>44784.632731481484</v>
      </c>
      <c r="B93" s="1">
        <v>44784.632673611108</v>
      </c>
      <c r="C93">
        <v>0.1</v>
      </c>
      <c r="D93">
        <v>67.2</v>
      </c>
      <c r="E93">
        <v>31</v>
      </c>
      <c r="F93">
        <v>0</v>
      </c>
      <c r="G93" t="s">
        <v>60</v>
      </c>
      <c r="H93" t="s">
        <v>36</v>
      </c>
      <c r="J93" s="2"/>
      <c r="K93" s="2"/>
    </row>
    <row r="94" spans="1:11" x14ac:dyDescent="0.25">
      <c r="A94" s="1">
        <v>44784.639664351853</v>
      </c>
      <c r="B94" s="1">
        <v>44784.639618055553</v>
      </c>
      <c r="C94">
        <v>0</v>
      </c>
      <c r="D94">
        <v>39.700000000000003</v>
      </c>
      <c r="E94">
        <v>31</v>
      </c>
      <c r="F94">
        <v>0</v>
      </c>
      <c r="G94" t="s">
        <v>48</v>
      </c>
      <c r="H94" t="s">
        <v>36</v>
      </c>
      <c r="J94" s="2"/>
      <c r="K94" s="2"/>
    </row>
    <row r="95" spans="1:11" x14ac:dyDescent="0.25">
      <c r="A95" s="1">
        <v>44784.646620370368</v>
      </c>
      <c r="B95" s="1">
        <v>44784.646562499998</v>
      </c>
      <c r="C95">
        <v>0</v>
      </c>
      <c r="D95">
        <v>23.4</v>
      </c>
      <c r="E95">
        <v>29</v>
      </c>
      <c r="F95">
        <v>0</v>
      </c>
      <c r="G95" t="s">
        <v>48</v>
      </c>
      <c r="H95" t="s">
        <v>36</v>
      </c>
      <c r="J95" s="2"/>
      <c r="K95" s="2"/>
    </row>
    <row r="96" spans="1:11" x14ac:dyDescent="0.25">
      <c r="A96" s="1">
        <v>44784.653553240743</v>
      </c>
      <c r="B96" s="1">
        <v>44784.653506944444</v>
      </c>
      <c r="C96">
        <v>0</v>
      </c>
      <c r="D96">
        <v>13.8</v>
      </c>
      <c r="E96">
        <v>29</v>
      </c>
      <c r="F96">
        <v>0</v>
      </c>
      <c r="G96" t="s">
        <v>48</v>
      </c>
      <c r="H96" t="s">
        <v>36</v>
      </c>
      <c r="J96" s="2"/>
      <c r="K96" s="2"/>
    </row>
    <row r="97" spans="1:11" x14ac:dyDescent="0.25">
      <c r="A97" s="1">
        <v>44784.660497685189</v>
      </c>
      <c r="B97" s="1">
        <v>44784.660451388889</v>
      </c>
      <c r="C97">
        <v>0</v>
      </c>
      <c r="D97">
        <v>8.1999999999999993</v>
      </c>
      <c r="E97">
        <v>30</v>
      </c>
      <c r="F97">
        <v>0</v>
      </c>
      <c r="G97" t="s">
        <v>48</v>
      </c>
      <c r="H97" t="s">
        <v>36</v>
      </c>
      <c r="J97" s="2"/>
      <c r="K97" s="2"/>
    </row>
    <row r="98" spans="1:11" x14ac:dyDescent="0.25">
      <c r="A98" s="1">
        <v>44784.667453703703</v>
      </c>
      <c r="B98" s="1">
        <v>44784.667395833334</v>
      </c>
      <c r="C98">
        <v>0</v>
      </c>
      <c r="D98">
        <v>4.8</v>
      </c>
      <c r="E98">
        <v>29</v>
      </c>
      <c r="F98">
        <v>0</v>
      </c>
      <c r="G98" t="s">
        <v>48</v>
      </c>
      <c r="H98" t="s">
        <v>36</v>
      </c>
      <c r="J98" t="str">
        <f>IF(COUNT(I93:I98)&gt;3.5,ROUND(AVERAGE(I93:I98),2),"")</f>
        <v/>
      </c>
      <c r="K98" t="str">
        <f>IF(COUNT(, , , , , , , , , , , , , , , , , NA, NA, NA, NA, NA, NA, NA)&gt;17.5,ROUND(AVERAGE(, , , , , , , , , , , , , , , , , 0, 0, 0, 0, 0, 0, 0),2),"NO AVG")</f>
        <v>NO AVG</v>
      </c>
    </row>
    <row r="99" spans="1:11" x14ac:dyDescent="0.25">
      <c r="A99" s="1">
        <v>44784.674386574072</v>
      </c>
      <c r="B99" s="1">
        <v>44784.674328703702</v>
      </c>
      <c r="C99">
        <v>0</v>
      </c>
      <c r="D99">
        <v>2.8</v>
      </c>
      <c r="E99">
        <v>29</v>
      </c>
      <c r="F99">
        <v>0</v>
      </c>
      <c r="G99" t="s">
        <v>48</v>
      </c>
      <c r="H99" t="s">
        <v>36</v>
      </c>
      <c r="J99" s="2"/>
      <c r="K99" s="2"/>
    </row>
    <row r="100" spans="1:11" x14ac:dyDescent="0.25">
      <c r="A100" s="1">
        <v>44784.681331018517</v>
      </c>
      <c r="B100" s="1">
        <v>44784.681273148148</v>
      </c>
      <c r="C100">
        <v>0</v>
      </c>
      <c r="D100">
        <v>1.7</v>
      </c>
      <c r="E100">
        <v>31</v>
      </c>
      <c r="F100">
        <v>0</v>
      </c>
      <c r="G100" t="s">
        <v>48</v>
      </c>
      <c r="H100" t="s">
        <v>36</v>
      </c>
      <c r="J100" s="2"/>
      <c r="K100" s="2"/>
    </row>
    <row r="101" spans="1:11" x14ac:dyDescent="0.25">
      <c r="A101" s="1">
        <v>44784.688310185185</v>
      </c>
      <c r="B101" s="1">
        <v>44784.688217592593</v>
      </c>
      <c r="C101">
        <v>0</v>
      </c>
      <c r="D101">
        <v>15.6</v>
      </c>
      <c r="E101">
        <v>32</v>
      </c>
      <c r="F101">
        <v>0</v>
      </c>
      <c r="G101" t="s">
        <v>48</v>
      </c>
      <c r="H101" t="s">
        <v>36</v>
      </c>
      <c r="J101" s="2"/>
      <c r="K101" s="2"/>
    </row>
    <row r="102" spans="1:11" x14ac:dyDescent="0.25">
      <c r="A102" s="1">
        <v>44784.695219907408</v>
      </c>
      <c r="B102" s="1">
        <v>44784.695162037038</v>
      </c>
      <c r="C102">
        <v>0</v>
      </c>
      <c r="D102">
        <v>203.1</v>
      </c>
      <c r="E102">
        <v>33</v>
      </c>
      <c r="F102">
        <v>0</v>
      </c>
      <c r="G102" t="s">
        <v>48</v>
      </c>
      <c r="H102" t="s">
        <v>36</v>
      </c>
      <c r="J102" s="2"/>
      <c r="K102" s="2"/>
    </row>
    <row r="103" spans="1:11" x14ac:dyDescent="0.25">
      <c r="A103" s="1">
        <v>44784.702164351853</v>
      </c>
      <c r="B103" s="1">
        <v>44784.702106481483</v>
      </c>
      <c r="C103">
        <v>0.1</v>
      </c>
      <c r="D103">
        <v>203.1</v>
      </c>
      <c r="E103">
        <v>34</v>
      </c>
      <c r="F103">
        <v>0</v>
      </c>
      <c r="G103" t="s">
        <v>60</v>
      </c>
      <c r="H103" t="s">
        <v>36</v>
      </c>
      <c r="J103" s="2"/>
      <c r="K103" s="2"/>
    </row>
    <row r="104" spans="1:11" x14ac:dyDescent="0.25">
      <c r="A104" s="1">
        <v>44784.709108796298</v>
      </c>
      <c r="B104" s="1">
        <v>44784.709050925929</v>
      </c>
      <c r="C104">
        <v>0.1</v>
      </c>
      <c r="D104">
        <v>203.1</v>
      </c>
      <c r="E104">
        <v>32</v>
      </c>
      <c r="F104">
        <v>0</v>
      </c>
      <c r="G104" t="s">
        <v>60</v>
      </c>
      <c r="H104" t="s">
        <v>36</v>
      </c>
      <c r="J104" t="str">
        <f>IF(COUNT(I99:I104)&gt;3.5,ROUND(AVERAGE(I99:I104),2),"")</f>
        <v/>
      </c>
      <c r="K104">
        <f>IF(COUNT(, , , , , , , , , , , , , , , , , , NA, NA, NA, NA, NA, NA)&gt;17.5,ROUND(AVERAGE(, , , , , , , , , , , , , , , , , , 0, 0, 0, 0, 0, 0),2),"NO AVG")</f>
        <v>0</v>
      </c>
    </row>
    <row r="105" spans="1:11" x14ac:dyDescent="0.25">
      <c r="A105" s="1">
        <v>44784.716053240743</v>
      </c>
      <c r="B105" s="1">
        <v>44784.715995370374</v>
      </c>
      <c r="C105">
        <v>0.2</v>
      </c>
      <c r="D105">
        <v>203.1</v>
      </c>
      <c r="E105">
        <v>33</v>
      </c>
      <c r="F105">
        <v>0</v>
      </c>
      <c r="G105" t="s">
        <v>60</v>
      </c>
      <c r="H105" t="s">
        <v>36</v>
      </c>
      <c r="J105" s="2"/>
      <c r="K105" s="2"/>
    </row>
    <row r="106" spans="1:11" x14ac:dyDescent="0.25">
      <c r="A106" s="1">
        <v>44784.722997685189</v>
      </c>
      <c r="B106" s="1">
        <v>44784.722939814812</v>
      </c>
      <c r="C106">
        <v>0.1</v>
      </c>
      <c r="D106">
        <v>203.1</v>
      </c>
      <c r="E106">
        <v>33</v>
      </c>
      <c r="F106">
        <v>0</v>
      </c>
      <c r="G106" t="s">
        <v>60</v>
      </c>
      <c r="H106" t="s">
        <v>36</v>
      </c>
      <c r="J106" s="2"/>
      <c r="K106" s="2"/>
    </row>
    <row r="107" spans="1:11" x14ac:dyDescent="0.25">
      <c r="A107" s="1">
        <v>44784.729930555557</v>
      </c>
      <c r="B107" s="1">
        <v>44784.729884259257</v>
      </c>
      <c r="C107">
        <v>0.2</v>
      </c>
      <c r="D107">
        <v>203.1</v>
      </c>
      <c r="E107">
        <v>33</v>
      </c>
      <c r="F107">
        <v>0</v>
      </c>
      <c r="G107" t="s">
        <v>60</v>
      </c>
      <c r="H107" t="s">
        <v>36</v>
      </c>
      <c r="J107" s="2"/>
      <c r="K107" s="2"/>
    </row>
    <row r="108" spans="1:11" x14ac:dyDescent="0.25">
      <c r="A108" s="1">
        <v>44784.736886574072</v>
      </c>
      <c r="B108" s="1">
        <v>44784.736828703702</v>
      </c>
      <c r="C108">
        <v>0.1</v>
      </c>
      <c r="D108">
        <v>203.1</v>
      </c>
      <c r="E108">
        <v>32</v>
      </c>
      <c r="F108">
        <v>0</v>
      </c>
      <c r="G108" t="s">
        <v>60</v>
      </c>
      <c r="H108" t="s">
        <v>36</v>
      </c>
      <c r="J108" s="2"/>
      <c r="K108" s="2"/>
    </row>
    <row r="109" spans="1:11" x14ac:dyDescent="0.25">
      <c r="A109" s="1">
        <v>44784.743831018517</v>
      </c>
      <c r="B109" s="1">
        <v>44784.743773148148</v>
      </c>
      <c r="C109">
        <v>0.1</v>
      </c>
      <c r="D109">
        <v>222.6</v>
      </c>
      <c r="E109">
        <v>31</v>
      </c>
      <c r="F109">
        <v>0</v>
      </c>
      <c r="G109" t="s">
        <v>60</v>
      </c>
      <c r="H109" t="s">
        <v>36</v>
      </c>
      <c r="J109" s="2"/>
      <c r="K109" s="2"/>
    </row>
    <row r="110" spans="1:11" x14ac:dyDescent="0.25">
      <c r="A110" s="1">
        <v>44784.750775462962</v>
      </c>
      <c r="B110" s="1">
        <v>44784.750717592593</v>
      </c>
      <c r="C110">
        <v>0.1</v>
      </c>
      <c r="D110">
        <v>246.2</v>
      </c>
      <c r="E110">
        <v>31</v>
      </c>
      <c r="F110">
        <v>0</v>
      </c>
      <c r="G110" t="s">
        <v>60</v>
      </c>
      <c r="H110" t="s">
        <v>36</v>
      </c>
      <c r="J110" t="str">
        <f>IF(COUNT(I105:I110)&gt;3.5,ROUND(AVERAGE(I105:I110),2),"")</f>
        <v/>
      </c>
      <c r="K110">
        <f>IF(COUNT(, , , , , , , , , , , , , , , , , , , NA, NA, NA, NA, NA)&gt;17.5,ROUND(AVERAGE(, , , , , , , , , , , , , , , , , , , 0, 0, 0, 0, 0),2),"NO AVG")</f>
        <v>0</v>
      </c>
    </row>
    <row r="111" spans="1:11" x14ac:dyDescent="0.25">
      <c r="A111" s="1">
        <v>44784.757719907408</v>
      </c>
      <c r="B111" s="1">
        <v>44784.757662037038</v>
      </c>
      <c r="C111">
        <v>0.1</v>
      </c>
      <c r="D111">
        <v>145.4</v>
      </c>
      <c r="E111">
        <v>30</v>
      </c>
      <c r="F111">
        <v>0</v>
      </c>
      <c r="G111" t="s">
        <v>60</v>
      </c>
      <c r="H111" t="s">
        <v>36</v>
      </c>
      <c r="J111" s="2"/>
      <c r="K111" s="2"/>
    </row>
    <row r="112" spans="1:11" x14ac:dyDescent="0.25">
      <c r="A112" s="1">
        <v>44784.764664351853</v>
      </c>
      <c r="B112" s="1">
        <v>44784.764606481483</v>
      </c>
      <c r="C112">
        <v>0.1</v>
      </c>
      <c r="D112">
        <v>85.9</v>
      </c>
      <c r="E112">
        <v>32</v>
      </c>
      <c r="F112">
        <v>0</v>
      </c>
      <c r="G112" t="s">
        <v>60</v>
      </c>
      <c r="H112" t="s">
        <v>36</v>
      </c>
      <c r="J112" s="2"/>
      <c r="K112" s="2"/>
    </row>
    <row r="113" spans="1:11" x14ac:dyDescent="0.25">
      <c r="A113" s="1">
        <v>44784.771608796298</v>
      </c>
      <c r="B113" s="1">
        <v>44784.771550925929</v>
      </c>
      <c r="C113">
        <v>0.1</v>
      </c>
      <c r="D113">
        <v>50.8</v>
      </c>
      <c r="E113">
        <v>37</v>
      </c>
      <c r="F113">
        <v>0</v>
      </c>
      <c r="G113" t="s">
        <v>60</v>
      </c>
      <c r="H113" t="s">
        <v>36</v>
      </c>
      <c r="J113" s="2"/>
      <c r="K113" s="2"/>
    </row>
    <row r="114" spans="1:11" x14ac:dyDescent="0.25">
      <c r="A114" s="1">
        <v>44784.778553240743</v>
      </c>
      <c r="B114" s="1">
        <v>44784.778495370374</v>
      </c>
      <c r="C114">
        <v>0.1</v>
      </c>
      <c r="D114">
        <v>41.1</v>
      </c>
      <c r="E114">
        <v>38</v>
      </c>
      <c r="F114">
        <v>0</v>
      </c>
      <c r="G114" t="s">
        <v>60</v>
      </c>
      <c r="H114" t="s">
        <v>36</v>
      </c>
      <c r="J114" s="2"/>
      <c r="K114" s="2"/>
    </row>
    <row r="115" spans="1:11" x14ac:dyDescent="0.25">
      <c r="A115" s="1">
        <v>44784.785509259258</v>
      </c>
      <c r="B115" s="1">
        <v>44784.785439814812</v>
      </c>
      <c r="C115">
        <v>0.1</v>
      </c>
      <c r="D115">
        <v>41.1</v>
      </c>
      <c r="E115">
        <v>40</v>
      </c>
      <c r="F115">
        <v>0</v>
      </c>
      <c r="G115" t="s">
        <v>60</v>
      </c>
      <c r="H115" t="s">
        <v>36</v>
      </c>
      <c r="J115" s="2"/>
      <c r="K115" s="2"/>
    </row>
    <row r="116" spans="1:11" x14ac:dyDescent="0.25">
      <c r="A116" s="1">
        <v>44784.79247685185</v>
      </c>
      <c r="B116" s="1">
        <v>44784.792384259257</v>
      </c>
      <c r="C116">
        <v>0.3</v>
      </c>
      <c r="D116">
        <v>41.1</v>
      </c>
      <c r="E116">
        <v>42</v>
      </c>
      <c r="F116">
        <v>0</v>
      </c>
      <c r="G116" t="s">
        <v>60</v>
      </c>
      <c r="H116" t="s">
        <v>36</v>
      </c>
      <c r="J116" t="str">
        <f>IF(COUNT(I111:I116)&gt;3.5,ROUND(AVERAGE(I111:I116),2),"")</f>
        <v/>
      </c>
      <c r="K116">
        <f>IF(COUNT(, , , , , , , , , , , , , , , , , , , , NA, NA, NA, NA)&gt;17.5,ROUND(AVERAGE(, , , , , , , , , , , , , , , , , , , , 0, 0, 0, 0),2),"NO AVG")</f>
        <v>0</v>
      </c>
    </row>
    <row r="117" spans="1:11" x14ac:dyDescent="0.25">
      <c r="A117" s="1">
        <v>44784.799386574072</v>
      </c>
      <c r="B117" s="1">
        <v>44784.799328703702</v>
      </c>
      <c r="C117">
        <v>0.4</v>
      </c>
      <c r="D117">
        <v>41.1</v>
      </c>
      <c r="E117">
        <v>42</v>
      </c>
      <c r="F117">
        <v>0</v>
      </c>
      <c r="G117" t="s">
        <v>60</v>
      </c>
      <c r="H117" t="s">
        <v>36</v>
      </c>
      <c r="J117" s="2"/>
      <c r="K117" s="2"/>
    </row>
    <row r="118" spans="1:11" x14ac:dyDescent="0.25">
      <c r="A118" s="1">
        <v>44784.806388888886</v>
      </c>
      <c r="B118" s="1">
        <v>44784.806273148148</v>
      </c>
      <c r="C118">
        <v>0.5</v>
      </c>
      <c r="D118">
        <v>41.1</v>
      </c>
      <c r="E118">
        <v>43</v>
      </c>
      <c r="F118">
        <v>0</v>
      </c>
      <c r="G118" t="s">
        <v>60</v>
      </c>
      <c r="H118" t="s">
        <v>36</v>
      </c>
      <c r="J118" s="2"/>
      <c r="K118" s="2"/>
    </row>
    <row r="119" spans="1:11" x14ac:dyDescent="0.25">
      <c r="A119" s="1">
        <v>44784.813287037039</v>
      </c>
      <c r="B119" s="1">
        <v>44784.813217592593</v>
      </c>
      <c r="C119">
        <v>0.6</v>
      </c>
      <c r="D119">
        <v>41.1</v>
      </c>
      <c r="E119">
        <v>44</v>
      </c>
      <c r="F119">
        <v>0</v>
      </c>
      <c r="G119" t="s">
        <v>60</v>
      </c>
      <c r="H119" t="s">
        <v>36</v>
      </c>
      <c r="J119" s="2"/>
      <c r="K119" s="2"/>
    </row>
    <row r="120" spans="1:11" x14ac:dyDescent="0.25">
      <c r="A120" s="1">
        <v>44784.820231481484</v>
      </c>
      <c r="B120" s="1">
        <v>44784.820162037038</v>
      </c>
      <c r="C120">
        <v>0.4</v>
      </c>
      <c r="D120">
        <v>164.5</v>
      </c>
      <c r="E120">
        <v>44</v>
      </c>
      <c r="F120">
        <v>0</v>
      </c>
      <c r="G120" t="s">
        <v>60</v>
      </c>
      <c r="H120" t="s">
        <v>36</v>
      </c>
      <c r="J120" s="2"/>
      <c r="K120" s="2"/>
    </row>
    <row r="121" spans="1:11" x14ac:dyDescent="0.25">
      <c r="A121" s="1">
        <v>44784.827164351853</v>
      </c>
      <c r="B121" s="1">
        <v>44784.827106481483</v>
      </c>
      <c r="C121">
        <v>0.4</v>
      </c>
      <c r="D121">
        <v>97.3</v>
      </c>
      <c r="E121">
        <v>45</v>
      </c>
      <c r="F121">
        <v>0</v>
      </c>
      <c r="G121" t="s">
        <v>60</v>
      </c>
      <c r="H121" t="s">
        <v>36</v>
      </c>
      <c r="J121" s="2"/>
      <c r="K121" s="2"/>
    </row>
    <row r="122" spans="1:11" x14ac:dyDescent="0.25">
      <c r="A122" s="1">
        <v>44784.834108796298</v>
      </c>
      <c r="B122" s="1">
        <v>44784.834050925929</v>
      </c>
      <c r="C122">
        <v>0.4</v>
      </c>
      <c r="D122">
        <v>135.19999999999999</v>
      </c>
      <c r="E122">
        <v>40</v>
      </c>
      <c r="F122">
        <v>0</v>
      </c>
      <c r="G122" t="s">
        <v>60</v>
      </c>
      <c r="H122" t="s">
        <v>36</v>
      </c>
      <c r="J122" t="str">
        <f>IF(COUNT(I117:I122)&gt;3.5,ROUND(AVERAGE(I117:I122),2),"")</f>
        <v/>
      </c>
      <c r="K122">
        <f>IF(COUNT(, , , , , , , , , , , , , , , , , , , , , NA, NA, NA)&gt;17.5,ROUND(AVERAGE(, , , , , , , , , , , , , , , , , , , , , 0, 0, 0),2),"NO AVG")</f>
        <v>0</v>
      </c>
    </row>
    <row r="123" spans="1:11" x14ac:dyDescent="0.25">
      <c r="A123" s="1">
        <v>44784.841064814813</v>
      </c>
      <c r="B123" s="1">
        <v>44784.840995370374</v>
      </c>
      <c r="C123">
        <v>0.2</v>
      </c>
      <c r="D123">
        <v>98.6</v>
      </c>
      <c r="E123">
        <v>45</v>
      </c>
      <c r="F123">
        <v>0</v>
      </c>
      <c r="G123" t="s">
        <v>60</v>
      </c>
      <c r="H123" t="s">
        <v>36</v>
      </c>
      <c r="J123" s="2"/>
      <c r="K123" s="2"/>
    </row>
    <row r="124" spans="1:11" x14ac:dyDescent="0.25">
      <c r="A124" s="1">
        <v>44784.847997685189</v>
      </c>
      <c r="B124" s="1">
        <v>44784.847939814812</v>
      </c>
      <c r="C124">
        <v>0.1</v>
      </c>
      <c r="D124">
        <v>201</v>
      </c>
      <c r="E124">
        <v>51</v>
      </c>
      <c r="F124">
        <v>0</v>
      </c>
      <c r="G124" t="s">
        <v>60</v>
      </c>
      <c r="H124" t="s">
        <v>36</v>
      </c>
      <c r="J124" s="2"/>
      <c r="K124" s="2"/>
    </row>
    <row r="125" spans="1:11" x14ac:dyDescent="0.25">
      <c r="A125" s="1">
        <v>44784.854942129627</v>
      </c>
      <c r="B125" s="1">
        <v>44784.854884259257</v>
      </c>
      <c r="C125">
        <v>0.1</v>
      </c>
      <c r="D125">
        <v>201</v>
      </c>
      <c r="E125">
        <v>54</v>
      </c>
      <c r="F125">
        <v>0</v>
      </c>
      <c r="G125" t="s">
        <v>60</v>
      </c>
      <c r="H125" t="s">
        <v>36</v>
      </c>
      <c r="J125" s="2"/>
      <c r="K125" s="2"/>
    </row>
    <row r="126" spans="1:11" x14ac:dyDescent="0.25">
      <c r="A126" s="1">
        <v>44784.861898148149</v>
      </c>
      <c r="B126" s="1">
        <v>44784.861828703702</v>
      </c>
      <c r="C126">
        <v>0.1</v>
      </c>
      <c r="D126">
        <v>201</v>
      </c>
      <c r="E126">
        <v>57</v>
      </c>
      <c r="F126">
        <v>0</v>
      </c>
      <c r="G126" t="s">
        <v>60</v>
      </c>
      <c r="H126" t="s">
        <v>36</v>
      </c>
      <c r="J126" s="2"/>
      <c r="K126" s="2"/>
    </row>
    <row r="127" spans="1:11" x14ac:dyDescent="0.25">
      <c r="A127" s="1">
        <v>44784.868831018517</v>
      </c>
      <c r="B127" s="1">
        <v>44784.868773148148</v>
      </c>
      <c r="C127">
        <v>0.2</v>
      </c>
      <c r="D127">
        <v>201</v>
      </c>
      <c r="E127">
        <v>58</v>
      </c>
      <c r="F127">
        <v>0</v>
      </c>
      <c r="G127" t="s">
        <v>60</v>
      </c>
      <c r="H127" t="s">
        <v>36</v>
      </c>
      <c r="J127" s="2"/>
      <c r="K127" s="2"/>
    </row>
    <row r="128" spans="1:11" x14ac:dyDescent="0.25">
      <c r="A128" s="1">
        <v>44784.875787037039</v>
      </c>
      <c r="B128" s="1">
        <v>44784.875717592593</v>
      </c>
      <c r="C128">
        <v>0.2</v>
      </c>
      <c r="D128">
        <v>201</v>
      </c>
      <c r="E128">
        <v>62</v>
      </c>
      <c r="F128">
        <v>0</v>
      </c>
      <c r="G128" t="s">
        <v>60</v>
      </c>
      <c r="H128" t="s">
        <v>36</v>
      </c>
      <c r="J128" t="str">
        <f>IF(COUNT(I123:I128)&gt;3.5,ROUND(AVERAGE(I123:I128),2),"")</f>
        <v/>
      </c>
      <c r="K128">
        <f>IF(COUNT(, , , , , , , , , , , , , , , , , , , , , , NA, NA)&gt;17.5,ROUND(AVERAGE(, , , , , , , , , , , , , , , , , , , , , , 0, 0),2),"NO AVG")</f>
        <v>0</v>
      </c>
    </row>
    <row r="129" spans="1:11" x14ac:dyDescent="0.25">
      <c r="A129" s="1">
        <v>44784.882731481484</v>
      </c>
      <c r="B129" s="1">
        <v>44784.882662037038</v>
      </c>
      <c r="C129">
        <v>0.1</v>
      </c>
      <c r="D129">
        <v>201</v>
      </c>
      <c r="E129">
        <v>63</v>
      </c>
      <c r="F129">
        <v>0</v>
      </c>
      <c r="G129" t="s">
        <v>60</v>
      </c>
      <c r="H129" t="s">
        <v>36</v>
      </c>
      <c r="J129" s="2"/>
      <c r="K129" s="2"/>
    </row>
    <row r="130" spans="1:11" x14ac:dyDescent="0.25">
      <c r="A130" s="1">
        <v>44784.889664351853</v>
      </c>
      <c r="B130" s="1">
        <v>44784.889606481483</v>
      </c>
      <c r="C130">
        <v>0.1</v>
      </c>
      <c r="D130">
        <v>201</v>
      </c>
      <c r="E130">
        <v>63</v>
      </c>
      <c r="F130">
        <v>0</v>
      </c>
      <c r="G130" t="s">
        <v>60</v>
      </c>
      <c r="H130" t="s">
        <v>36</v>
      </c>
      <c r="J130" s="2"/>
      <c r="K130" s="2"/>
    </row>
    <row r="131" spans="1:11" x14ac:dyDescent="0.25">
      <c r="A131" s="1">
        <v>44784.896620370368</v>
      </c>
      <c r="B131" s="1">
        <v>44784.896550925929</v>
      </c>
      <c r="C131">
        <v>0</v>
      </c>
      <c r="D131">
        <v>201</v>
      </c>
      <c r="E131">
        <v>64</v>
      </c>
      <c r="F131">
        <v>0</v>
      </c>
      <c r="G131" t="s">
        <v>48</v>
      </c>
      <c r="H131" t="s">
        <v>36</v>
      </c>
      <c r="J131" s="2"/>
      <c r="K131" s="2"/>
    </row>
    <row r="132" spans="1:11" x14ac:dyDescent="0.25">
      <c r="A132" s="1">
        <v>44784.903553240743</v>
      </c>
      <c r="B132" s="1">
        <v>44784.903495370374</v>
      </c>
      <c r="C132">
        <v>0.1</v>
      </c>
      <c r="D132">
        <v>201</v>
      </c>
      <c r="E132">
        <v>65</v>
      </c>
      <c r="F132">
        <v>0</v>
      </c>
      <c r="G132" t="s">
        <v>60</v>
      </c>
      <c r="H132" t="s">
        <v>36</v>
      </c>
      <c r="J132" s="2"/>
      <c r="K132" s="2"/>
    </row>
    <row r="133" spans="1:11" x14ac:dyDescent="0.25">
      <c r="A133" s="1">
        <v>44784.910509259258</v>
      </c>
      <c r="B133" s="1">
        <v>44784.910439814812</v>
      </c>
      <c r="C133">
        <v>0.1</v>
      </c>
      <c r="D133">
        <v>201</v>
      </c>
      <c r="E133">
        <v>67</v>
      </c>
      <c r="F133">
        <v>0</v>
      </c>
      <c r="G133" t="s">
        <v>60</v>
      </c>
      <c r="H133" t="s">
        <v>36</v>
      </c>
      <c r="J133" s="2"/>
      <c r="K133" s="2"/>
    </row>
    <row r="134" spans="1:11" x14ac:dyDescent="0.25">
      <c r="A134" s="1">
        <v>44784.917453703703</v>
      </c>
      <c r="B134" s="1">
        <v>44784.917384259257</v>
      </c>
      <c r="C134">
        <v>0.1</v>
      </c>
      <c r="D134">
        <v>201</v>
      </c>
      <c r="E134">
        <v>66</v>
      </c>
      <c r="F134">
        <v>0</v>
      </c>
      <c r="G134" t="s">
        <v>60</v>
      </c>
      <c r="H134" t="s">
        <v>36</v>
      </c>
      <c r="J134" t="str">
        <f>IF(COUNT(I129:I134)&gt;3.5,ROUND(AVERAGE(I129:I134),2),"")</f>
        <v/>
      </c>
      <c r="K134">
        <f>IF(COUNT(, , , , , , , , , , , , , , , , , , , , , , , NA)&gt;17.5,ROUND(AVERAGE(, , , , , , , , , , , , , , , , , , , , , , , 0),2),"NO AVG")</f>
        <v>0</v>
      </c>
    </row>
    <row r="135" spans="1:11" x14ac:dyDescent="0.25">
      <c r="A135" s="1">
        <v>44784.924398148149</v>
      </c>
      <c r="B135" s="1">
        <v>44784.924328703702</v>
      </c>
      <c r="C135">
        <v>0.1</v>
      </c>
      <c r="D135">
        <v>201</v>
      </c>
      <c r="E135">
        <v>66</v>
      </c>
      <c r="F135">
        <v>0</v>
      </c>
      <c r="G135" t="s">
        <v>60</v>
      </c>
      <c r="H135" t="s">
        <v>36</v>
      </c>
      <c r="J135" s="2"/>
      <c r="K135" s="2"/>
    </row>
    <row r="136" spans="1:11" x14ac:dyDescent="0.25">
      <c r="A136" s="1">
        <v>44784.931331018517</v>
      </c>
      <c r="B136" s="1">
        <v>44784.931273148148</v>
      </c>
      <c r="C136">
        <v>0.1</v>
      </c>
      <c r="D136">
        <v>201</v>
      </c>
      <c r="E136">
        <v>65</v>
      </c>
      <c r="F136">
        <v>0</v>
      </c>
      <c r="G136" t="s">
        <v>60</v>
      </c>
      <c r="H136" t="s">
        <v>36</v>
      </c>
      <c r="J136" s="2"/>
      <c r="K136" s="2"/>
    </row>
    <row r="137" spans="1:11" x14ac:dyDescent="0.25">
      <c r="A137" s="1">
        <v>44784.938287037039</v>
      </c>
      <c r="B137" s="1">
        <v>44784.938217592593</v>
      </c>
      <c r="C137">
        <v>0.1</v>
      </c>
      <c r="D137">
        <v>201</v>
      </c>
      <c r="E137">
        <v>65</v>
      </c>
      <c r="F137">
        <v>0</v>
      </c>
      <c r="G137" t="s">
        <v>60</v>
      </c>
      <c r="H137" t="s">
        <v>36</v>
      </c>
      <c r="J137" s="2"/>
      <c r="K137" s="2"/>
    </row>
    <row r="138" spans="1:11" x14ac:dyDescent="0.25">
      <c r="A138" s="1">
        <v>44784.945231481484</v>
      </c>
      <c r="B138" s="1">
        <v>44784.945162037038</v>
      </c>
      <c r="C138">
        <v>0.1</v>
      </c>
      <c r="D138">
        <v>201</v>
      </c>
      <c r="E138">
        <v>66</v>
      </c>
      <c r="F138">
        <v>0</v>
      </c>
      <c r="G138" t="s">
        <v>60</v>
      </c>
      <c r="H138" t="s">
        <v>36</v>
      </c>
      <c r="J138" s="2"/>
      <c r="K138" s="2"/>
    </row>
    <row r="139" spans="1:11" x14ac:dyDescent="0.25">
      <c r="A139" s="1">
        <v>44784.952175925922</v>
      </c>
      <c r="B139" s="1">
        <v>44784.952106481483</v>
      </c>
      <c r="C139">
        <v>0.1</v>
      </c>
      <c r="D139">
        <v>201</v>
      </c>
      <c r="E139">
        <v>66</v>
      </c>
      <c r="F139">
        <v>0</v>
      </c>
      <c r="G139" t="s">
        <v>60</v>
      </c>
      <c r="H139" t="s">
        <v>36</v>
      </c>
      <c r="J139" s="2"/>
      <c r="K139" s="2"/>
    </row>
    <row r="140" spans="1:11" x14ac:dyDescent="0.25">
      <c r="A140" s="1">
        <v>44784.959120370368</v>
      </c>
      <c r="B140" s="1">
        <v>44784.959050925929</v>
      </c>
      <c r="C140">
        <v>0.1</v>
      </c>
      <c r="D140">
        <v>201</v>
      </c>
      <c r="E140">
        <v>66</v>
      </c>
      <c r="F140">
        <v>0</v>
      </c>
      <c r="G140" t="s">
        <v>60</v>
      </c>
      <c r="H140" t="s">
        <v>36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</row>
    <row r="141" spans="1:11" x14ac:dyDescent="0.25">
      <c r="A141" s="1">
        <v>44784.966064814813</v>
      </c>
      <c r="B141" s="1">
        <v>44784.965995370374</v>
      </c>
      <c r="C141">
        <v>0</v>
      </c>
      <c r="D141">
        <v>201</v>
      </c>
      <c r="E141">
        <v>67</v>
      </c>
      <c r="F141">
        <v>0</v>
      </c>
      <c r="G141" t="s">
        <v>48</v>
      </c>
      <c r="H141" t="s">
        <v>36</v>
      </c>
      <c r="J141" s="2"/>
      <c r="K141" s="2"/>
    </row>
    <row r="142" spans="1:11" x14ac:dyDescent="0.25">
      <c r="A142" s="1">
        <v>44784.973009259258</v>
      </c>
      <c r="B142" s="1">
        <v>44784.972939814812</v>
      </c>
      <c r="C142">
        <v>0.1</v>
      </c>
      <c r="D142">
        <v>201</v>
      </c>
      <c r="E142">
        <v>66</v>
      </c>
      <c r="F142">
        <v>0</v>
      </c>
      <c r="G142" t="s">
        <v>60</v>
      </c>
      <c r="H142" t="s">
        <v>36</v>
      </c>
      <c r="J142" s="2"/>
      <c r="K142" s="2"/>
    </row>
    <row r="143" spans="1:11" x14ac:dyDescent="0.25">
      <c r="A143" s="1">
        <v>44784.979953703703</v>
      </c>
      <c r="B143" s="1">
        <v>44784.979884259257</v>
      </c>
      <c r="C143">
        <v>0.1</v>
      </c>
      <c r="D143">
        <v>201</v>
      </c>
      <c r="E143">
        <v>67</v>
      </c>
      <c r="F143">
        <v>0</v>
      </c>
      <c r="G143" t="s">
        <v>60</v>
      </c>
      <c r="H143" t="s">
        <v>36</v>
      </c>
      <c r="J143" s="2"/>
      <c r="K143" s="2"/>
    </row>
    <row r="144" spans="1:11" x14ac:dyDescent="0.25">
      <c r="A144" s="1">
        <v>44784.986898148149</v>
      </c>
      <c r="B144" s="1">
        <v>44784.986828703702</v>
      </c>
      <c r="C144">
        <v>0.1</v>
      </c>
      <c r="D144">
        <v>201</v>
      </c>
      <c r="E144">
        <v>67</v>
      </c>
      <c r="F144">
        <v>0</v>
      </c>
      <c r="G144" t="s">
        <v>60</v>
      </c>
      <c r="H144" t="s">
        <v>36</v>
      </c>
      <c r="J144" s="2"/>
      <c r="K144" s="2"/>
    </row>
    <row r="145" spans="1:12" x14ac:dyDescent="0.25">
      <c r="A145" s="1">
        <v>44784.993842592594</v>
      </c>
      <c r="B145" s="1">
        <v>44784.993773148148</v>
      </c>
      <c r="C145">
        <v>0.1</v>
      </c>
      <c r="D145">
        <v>201</v>
      </c>
      <c r="E145">
        <v>67</v>
      </c>
      <c r="F145">
        <v>0</v>
      </c>
      <c r="G145" t="s">
        <v>60</v>
      </c>
      <c r="H145" t="s">
        <v>36</v>
      </c>
      <c r="J145" s="2"/>
      <c r="K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6C5E4-80BF-4B8F-A9C1-497C628FB49E}">
  <sheetPr codeName="Sheet12"/>
  <dimension ref="A1:M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3" max="13" width="12.140625" bestFit="1" customWidth="1"/>
  </cols>
  <sheetData>
    <row r="1" spans="1:13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M1" t="s">
        <v>3</v>
      </c>
    </row>
    <row r="2" spans="1:13" x14ac:dyDescent="0.25">
      <c r="A2" s="1">
        <v>44784.000763888886</v>
      </c>
      <c r="B2" s="1">
        <v>44784.000717592593</v>
      </c>
      <c r="C2">
        <v>2.2000000000000002</v>
      </c>
      <c r="D2">
        <v>2.1</v>
      </c>
      <c r="E2">
        <v>58</v>
      </c>
      <c r="F2">
        <v>0</v>
      </c>
      <c r="G2" t="s">
        <v>33</v>
      </c>
      <c r="H2" t="s">
        <v>36</v>
      </c>
      <c r="I2">
        <v>-0.59</v>
      </c>
      <c r="J2">
        <v>1.99</v>
      </c>
      <c r="K2">
        <f>IF(COUNT(1.99, 0.75, 0.73, 1.03, 1.64, 1.81, 1.82, 1.72, 1.61, 1.59, 2.32, 2.9, 3.23, 2.88, 3.27, 2.65, 2.91, 2.57, 2.16, 2.55, 2.07, 1.8, 3.09, 2.92)&gt;17.5,ROUND(AVERAGE(1.99, 0.75, 0.73, 1.03, 1.64, 1.81, 1.82, 1.72, 1.61, 1.59, 2.32, 2.9, 3.23, 2.88, 3.27, 2.65, 2.91, 2.57, 2.16, 2.55, 2.07, 1.8, 3.09, 2.92),2),"NO AVG")</f>
        <v>2.17</v>
      </c>
      <c r="M2" t="s">
        <v>46</v>
      </c>
    </row>
    <row r="3" spans="1:13" x14ac:dyDescent="0.25">
      <c r="A3" s="1">
        <v>44784.007719907408</v>
      </c>
      <c r="B3" s="1">
        <v>44784.007662037038</v>
      </c>
      <c r="C3">
        <v>2.2999999999999998</v>
      </c>
      <c r="D3">
        <v>2.1</v>
      </c>
      <c r="E3">
        <v>58</v>
      </c>
      <c r="F3">
        <v>0</v>
      </c>
      <c r="G3" t="s">
        <v>33</v>
      </c>
      <c r="H3" t="s">
        <v>36</v>
      </c>
      <c r="I3">
        <v>-0.56000000000000005</v>
      </c>
      <c r="J3" s="2"/>
      <c r="K3" s="2"/>
    </row>
    <row r="4" spans="1:13" x14ac:dyDescent="0.25">
      <c r="A4" s="1">
        <v>44784.014641203707</v>
      </c>
      <c r="B4" s="1">
        <v>44784.014606481483</v>
      </c>
      <c r="C4">
        <v>2.5</v>
      </c>
      <c r="D4">
        <v>2.1</v>
      </c>
      <c r="E4">
        <v>59</v>
      </c>
      <c r="F4">
        <v>0</v>
      </c>
      <c r="G4" t="s">
        <v>33</v>
      </c>
      <c r="H4" t="s">
        <v>36</v>
      </c>
      <c r="I4">
        <v>-0.56999999999999995</v>
      </c>
      <c r="J4" s="2"/>
      <c r="K4" s="2"/>
    </row>
    <row r="5" spans="1:13" x14ac:dyDescent="0.25">
      <c r="A5" s="1">
        <v>44784.021585648145</v>
      </c>
      <c r="B5" s="1">
        <v>44784.021550925929</v>
      </c>
      <c r="C5">
        <v>2.5</v>
      </c>
      <c r="D5">
        <v>2.2999999999999998</v>
      </c>
      <c r="E5">
        <v>59</v>
      </c>
      <c r="F5">
        <v>0</v>
      </c>
      <c r="G5" t="s">
        <v>33</v>
      </c>
      <c r="H5" t="s">
        <v>36</v>
      </c>
      <c r="I5">
        <v>-0.51</v>
      </c>
      <c r="J5" s="2"/>
      <c r="K5" s="2"/>
    </row>
    <row r="6" spans="1:13" x14ac:dyDescent="0.25">
      <c r="A6" s="1">
        <v>44784.028541666667</v>
      </c>
      <c r="B6" s="1">
        <v>44784.028495370374</v>
      </c>
      <c r="C6">
        <v>2.7</v>
      </c>
      <c r="D6">
        <v>2.5</v>
      </c>
      <c r="E6">
        <v>59</v>
      </c>
      <c r="F6">
        <v>0</v>
      </c>
      <c r="G6" t="s">
        <v>33</v>
      </c>
      <c r="H6" t="s">
        <v>36</v>
      </c>
      <c r="I6">
        <v>-0.38</v>
      </c>
      <c r="J6" s="2"/>
      <c r="K6" s="2"/>
    </row>
    <row r="7" spans="1:13" x14ac:dyDescent="0.25">
      <c r="A7" s="1">
        <v>44784.035474537035</v>
      </c>
      <c r="B7" s="1">
        <v>44784.035439814812</v>
      </c>
      <c r="C7">
        <v>2.7</v>
      </c>
      <c r="D7">
        <v>2.7</v>
      </c>
      <c r="E7">
        <v>59</v>
      </c>
      <c r="F7">
        <v>0</v>
      </c>
      <c r="G7" t="s">
        <v>33</v>
      </c>
      <c r="H7" t="s">
        <v>36</v>
      </c>
      <c r="I7">
        <v>-0.32</v>
      </c>
      <c r="J7" s="2"/>
      <c r="K7" s="2"/>
    </row>
    <row r="8" spans="1:13" x14ac:dyDescent="0.25">
      <c r="A8" s="1">
        <v>44784.04241898148</v>
      </c>
      <c r="B8" s="1">
        <v>44784.042384259257</v>
      </c>
      <c r="C8">
        <v>2.8</v>
      </c>
      <c r="D8">
        <v>2.8</v>
      </c>
      <c r="E8">
        <v>59</v>
      </c>
      <c r="F8">
        <v>0</v>
      </c>
      <c r="G8" t="s">
        <v>33</v>
      </c>
      <c r="H8" t="s">
        <v>36</v>
      </c>
      <c r="I8">
        <v>-0.26</v>
      </c>
      <c r="J8">
        <f>IF(COUNT(I3:I8)&gt;3.5,ROUND(AVERAGE(I3:I8),2),"")</f>
        <v>-0.43</v>
      </c>
      <c r="K8">
        <f>IF(COUNT(1.99, -0.43, 0.73, 1.03, 1.64, 1.81, 1.82, 1.72, 1.61, 1.59, 2.32, 2.9, 3.23, 2.88, 3.27, 2.65, 2.91, 2.57, 2.16, 2.55, 2.07, 1.8, 3.09, 2.92)&gt;17.5,ROUND(AVERAGE(1.99, -0.43, 0.73, 1.03, 1.64, 1.81, 1.82, 1.72, 1.61, 1.59, 2.32, 2.9, 3.23, 2.88, 3.27, 2.65, 2.91, 2.57, 2.16, 2.55, 2.07, 1.8, 3.09, 2.92),2),"NO AVG")</f>
        <v>2.12</v>
      </c>
    </row>
    <row r="9" spans="1:13" x14ac:dyDescent="0.25">
      <c r="A9" s="1">
        <v>44784.049375000002</v>
      </c>
      <c r="B9" s="1">
        <v>44784.049328703702</v>
      </c>
      <c r="C9">
        <v>2.8</v>
      </c>
      <c r="D9">
        <v>2.7</v>
      </c>
      <c r="E9">
        <v>59</v>
      </c>
      <c r="F9">
        <v>0</v>
      </c>
      <c r="G9" t="s">
        <v>33</v>
      </c>
      <c r="H9" t="s">
        <v>36</v>
      </c>
      <c r="I9">
        <v>-0.28999999999999998</v>
      </c>
      <c r="J9" s="2"/>
      <c r="K9" s="2"/>
    </row>
    <row r="10" spans="1:13" x14ac:dyDescent="0.25">
      <c r="A10" s="1">
        <v>44784.056319444448</v>
      </c>
      <c r="B10" s="1">
        <v>44784.056273148148</v>
      </c>
      <c r="C10">
        <v>2.9</v>
      </c>
      <c r="D10">
        <v>2.7</v>
      </c>
      <c r="E10">
        <v>59</v>
      </c>
      <c r="F10">
        <v>0</v>
      </c>
      <c r="G10" t="s">
        <v>33</v>
      </c>
      <c r="H10" t="s">
        <v>36</v>
      </c>
      <c r="I10">
        <v>-0.26</v>
      </c>
      <c r="J10" s="2"/>
      <c r="K10" s="2"/>
    </row>
    <row r="11" spans="1:13" x14ac:dyDescent="0.25">
      <c r="A11" s="1">
        <v>44784.063252314816</v>
      </c>
      <c r="B11" s="1">
        <v>44784.063217592593</v>
      </c>
      <c r="C11">
        <v>3</v>
      </c>
      <c r="D11">
        <v>2.8</v>
      </c>
      <c r="E11">
        <v>60</v>
      </c>
      <c r="F11">
        <v>0</v>
      </c>
      <c r="G11" t="s">
        <v>33</v>
      </c>
      <c r="H11" t="s">
        <v>36</v>
      </c>
      <c r="I11">
        <v>-0.27</v>
      </c>
      <c r="J11" s="2"/>
      <c r="K11" s="2"/>
    </row>
    <row r="12" spans="1:13" x14ac:dyDescent="0.25">
      <c r="A12" s="1">
        <v>44784.070196759261</v>
      </c>
      <c r="B12" s="1">
        <v>44784.070162037038</v>
      </c>
      <c r="C12">
        <v>3.2</v>
      </c>
      <c r="D12">
        <v>2.9</v>
      </c>
      <c r="E12">
        <v>60</v>
      </c>
      <c r="F12">
        <v>0</v>
      </c>
      <c r="G12" t="s">
        <v>33</v>
      </c>
      <c r="H12" t="s">
        <v>36</v>
      </c>
      <c r="I12">
        <v>-0.18</v>
      </c>
      <c r="J12" s="2"/>
      <c r="K12" s="2"/>
    </row>
    <row r="13" spans="1:13" x14ac:dyDescent="0.25">
      <c r="A13" s="1">
        <v>44784.077152777776</v>
      </c>
      <c r="B13" s="1">
        <v>44784.077106481483</v>
      </c>
      <c r="C13">
        <v>3.2</v>
      </c>
      <c r="D13">
        <v>3</v>
      </c>
      <c r="E13">
        <v>61</v>
      </c>
      <c r="F13">
        <v>0</v>
      </c>
      <c r="G13" t="s">
        <v>33</v>
      </c>
      <c r="H13" t="s">
        <v>36</v>
      </c>
      <c r="I13">
        <v>-0.22</v>
      </c>
      <c r="J13" s="2"/>
      <c r="K13" s="2"/>
    </row>
    <row r="14" spans="1:13" x14ac:dyDescent="0.25">
      <c r="A14" s="1">
        <v>44784.084097222221</v>
      </c>
      <c r="B14" s="1">
        <v>44784.084050925929</v>
      </c>
      <c r="C14">
        <v>3.1</v>
      </c>
      <c r="D14">
        <v>2.9</v>
      </c>
      <c r="E14">
        <v>61</v>
      </c>
      <c r="F14">
        <v>0</v>
      </c>
      <c r="G14" t="s">
        <v>33</v>
      </c>
      <c r="H14" t="s">
        <v>36</v>
      </c>
      <c r="I14">
        <v>-0.28000000000000003</v>
      </c>
      <c r="J14">
        <f>IF(COUNT(I9:I14)&gt;3.5,ROUND(AVERAGE(I9:I14),2),"")</f>
        <v>-0.25</v>
      </c>
      <c r="K14">
        <f>IF(COUNT(1.99, -0.43, -0.25, 1.03, 1.64, 1.81, 1.82, 1.72, 1.61, 1.59, 2.32, 2.9, 3.23, 2.88, 3.27, 2.65, 2.91, 2.57, 2.16, 2.55, 2.07, 1.8, 3.09, 2.92)&gt;17.5,ROUND(AVERAGE(1.99, -0.43, -0.25, 1.03, 1.64, 1.81, 1.82, 1.72, 1.61, 1.59, 2.32, 2.9, 3.23, 2.88, 3.27, 2.65, 2.91, 2.57, 2.16, 2.55, 2.07, 1.8, 3.09, 2.92),2),"NO AVG")</f>
        <v>2.08</v>
      </c>
    </row>
    <row r="15" spans="1:13" x14ac:dyDescent="0.25">
      <c r="A15" s="1">
        <v>44784.091041666667</v>
      </c>
      <c r="B15" s="1">
        <v>44784.090995370374</v>
      </c>
      <c r="C15">
        <v>3.3</v>
      </c>
      <c r="D15">
        <v>3.1</v>
      </c>
      <c r="E15">
        <v>61</v>
      </c>
      <c r="F15">
        <v>0</v>
      </c>
      <c r="G15" t="s">
        <v>33</v>
      </c>
      <c r="H15" t="s">
        <v>36</v>
      </c>
      <c r="I15">
        <v>-0.16</v>
      </c>
      <c r="J15" s="2"/>
      <c r="K15" s="2"/>
    </row>
    <row r="16" spans="1:13" x14ac:dyDescent="0.25">
      <c r="A16" s="1">
        <v>44784.097986111112</v>
      </c>
      <c r="B16" s="1">
        <v>44784.097939814812</v>
      </c>
      <c r="C16">
        <v>3.3</v>
      </c>
      <c r="D16">
        <v>3.1</v>
      </c>
      <c r="E16">
        <v>61</v>
      </c>
      <c r="F16">
        <v>0</v>
      </c>
      <c r="G16" t="s">
        <v>33</v>
      </c>
      <c r="H16" t="s">
        <v>36</v>
      </c>
      <c r="I16">
        <v>-0.16</v>
      </c>
      <c r="J16" s="2"/>
      <c r="K16" s="2"/>
    </row>
    <row r="17" spans="1:11" x14ac:dyDescent="0.25">
      <c r="A17" s="1">
        <v>44784.104930555557</v>
      </c>
      <c r="B17" s="1">
        <v>44784.104884259257</v>
      </c>
      <c r="C17">
        <v>3.4</v>
      </c>
      <c r="D17">
        <v>3.1</v>
      </c>
      <c r="E17">
        <v>61</v>
      </c>
      <c r="F17">
        <v>0</v>
      </c>
      <c r="G17" t="s">
        <v>33</v>
      </c>
      <c r="H17" t="s">
        <v>36</v>
      </c>
      <c r="I17">
        <v>-0.13</v>
      </c>
      <c r="J17" s="2"/>
      <c r="K17" s="2"/>
    </row>
    <row r="18" spans="1:11" x14ac:dyDescent="0.25">
      <c r="A18" s="1">
        <v>44784.111875000002</v>
      </c>
      <c r="B18" s="1">
        <v>44784.111828703702</v>
      </c>
      <c r="C18">
        <v>3.5</v>
      </c>
      <c r="D18">
        <v>3.1</v>
      </c>
      <c r="E18">
        <v>61</v>
      </c>
      <c r="F18">
        <v>0</v>
      </c>
      <c r="G18" t="s">
        <v>33</v>
      </c>
      <c r="H18" t="s">
        <v>36</v>
      </c>
      <c r="I18">
        <v>-0.1</v>
      </c>
      <c r="J18" s="2"/>
      <c r="K18" s="2"/>
    </row>
    <row r="19" spans="1:11" x14ac:dyDescent="0.25">
      <c r="A19" s="1">
        <v>44784.118819444448</v>
      </c>
      <c r="B19" s="1">
        <v>44784.118773148148</v>
      </c>
      <c r="C19">
        <v>3.5</v>
      </c>
      <c r="D19">
        <v>3.1</v>
      </c>
      <c r="E19">
        <v>62</v>
      </c>
      <c r="F19">
        <v>0</v>
      </c>
      <c r="G19" t="s">
        <v>33</v>
      </c>
      <c r="H19" t="s">
        <v>36</v>
      </c>
      <c r="I19">
        <v>-0.17</v>
      </c>
      <c r="J19" s="2"/>
      <c r="K19" s="2"/>
    </row>
    <row r="20" spans="1:11" x14ac:dyDescent="0.25">
      <c r="A20" s="1">
        <v>44784.125763888886</v>
      </c>
      <c r="B20" s="1">
        <v>44784.125717592593</v>
      </c>
      <c r="C20">
        <v>3.6</v>
      </c>
      <c r="D20">
        <v>3.2</v>
      </c>
      <c r="E20">
        <v>62</v>
      </c>
      <c r="F20">
        <v>0</v>
      </c>
      <c r="G20" t="s">
        <v>33</v>
      </c>
      <c r="H20" t="s">
        <v>36</v>
      </c>
      <c r="I20">
        <v>-0.11</v>
      </c>
      <c r="J20">
        <f>IF(COUNT(I15:I20)&gt;3.5,ROUND(AVERAGE(I15:I20),2),"")</f>
        <v>-0.14000000000000001</v>
      </c>
      <c r="K20">
        <f>IF(COUNT(1.99, -0.43, -0.25, -0.14, 1.64, 1.81, 1.82, 1.72, 1.61, 1.59, 2.32, 2.9, 3.23, 2.88, 3.27, 2.65, 2.91, 2.57, 2.16, 2.55, 2.07, 1.8, 3.09, 2.92)&gt;17.5,ROUND(AVERAGE(1.99, -0.43, -0.25, -0.14, 1.64, 1.81, 1.82, 1.72, 1.61, 1.59, 2.32, 2.9, 3.23, 2.88, 3.27, 2.65, 2.91, 2.57, 2.16, 2.55, 2.07, 1.8, 3.09, 2.92),2),"NO AVG")</f>
        <v>2.0299999999999998</v>
      </c>
    </row>
    <row r="21" spans="1:11" x14ac:dyDescent="0.25">
      <c r="A21" s="1">
        <v>44784.132708333331</v>
      </c>
      <c r="B21" s="1">
        <v>44784.132662037038</v>
      </c>
      <c r="C21">
        <v>3.7</v>
      </c>
      <c r="D21">
        <v>3.2</v>
      </c>
      <c r="E21">
        <v>62</v>
      </c>
      <c r="F21">
        <v>0</v>
      </c>
      <c r="G21" t="s">
        <v>33</v>
      </c>
      <c r="H21" t="s">
        <v>36</v>
      </c>
      <c r="I21">
        <v>-0.08</v>
      </c>
      <c r="J21" s="2"/>
      <c r="K21" s="2"/>
    </row>
    <row r="22" spans="1:11" x14ac:dyDescent="0.25">
      <c r="A22" s="1">
        <v>44784.139652777776</v>
      </c>
      <c r="B22" s="1">
        <v>44784.139606481483</v>
      </c>
      <c r="C22">
        <v>3.6</v>
      </c>
      <c r="D22">
        <v>3.1</v>
      </c>
      <c r="E22">
        <v>62</v>
      </c>
      <c r="F22">
        <v>0</v>
      </c>
      <c r="G22" t="s">
        <v>33</v>
      </c>
      <c r="H22" t="s">
        <v>36</v>
      </c>
      <c r="I22">
        <v>-0.14000000000000001</v>
      </c>
      <c r="J22" s="2"/>
      <c r="K22" s="2"/>
    </row>
    <row r="23" spans="1:11" x14ac:dyDescent="0.25">
      <c r="A23" s="1">
        <v>44784.146597222221</v>
      </c>
      <c r="B23" s="1">
        <v>44784.146550925929</v>
      </c>
      <c r="C23">
        <v>3.7</v>
      </c>
      <c r="D23">
        <v>3.2</v>
      </c>
      <c r="E23">
        <v>62</v>
      </c>
      <c r="F23">
        <v>0</v>
      </c>
      <c r="G23" t="s">
        <v>33</v>
      </c>
      <c r="H23" t="s">
        <v>36</v>
      </c>
      <c r="I23">
        <v>-0.08</v>
      </c>
      <c r="J23" s="2"/>
      <c r="K23" s="2"/>
    </row>
    <row r="24" spans="1:11" x14ac:dyDescent="0.25">
      <c r="A24" s="1">
        <v>44784.153541666667</v>
      </c>
      <c r="B24" s="1">
        <v>44784.153495370374</v>
      </c>
      <c r="C24">
        <v>3.5</v>
      </c>
      <c r="D24">
        <v>3.3</v>
      </c>
      <c r="E24">
        <v>62</v>
      </c>
      <c r="F24">
        <v>0</v>
      </c>
      <c r="G24" t="s">
        <v>33</v>
      </c>
      <c r="H24" t="s">
        <v>36</v>
      </c>
      <c r="I24">
        <v>-0.11</v>
      </c>
      <c r="J24" s="2"/>
      <c r="K24" s="2"/>
    </row>
    <row r="25" spans="1:11" x14ac:dyDescent="0.25">
      <c r="A25" s="1">
        <v>44784.160486111112</v>
      </c>
      <c r="B25" s="1">
        <v>44784.160439814812</v>
      </c>
      <c r="C25">
        <v>3.5</v>
      </c>
      <c r="D25">
        <v>3.3</v>
      </c>
      <c r="E25">
        <v>62</v>
      </c>
      <c r="F25">
        <v>0</v>
      </c>
      <c r="G25" t="s">
        <v>33</v>
      </c>
      <c r="H25" t="s">
        <v>36</v>
      </c>
      <c r="I25">
        <v>-0.11</v>
      </c>
      <c r="J25" s="2"/>
      <c r="K25" s="2"/>
    </row>
    <row r="26" spans="1:11" x14ac:dyDescent="0.25">
      <c r="A26" s="1">
        <v>44784.167430555557</v>
      </c>
      <c r="B26" s="1">
        <v>44784.167384259257</v>
      </c>
      <c r="C26">
        <v>3.5</v>
      </c>
      <c r="D26">
        <v>3.4</v>
      </c>
      <c r="E26">
        <v>61</v>
      </c>
      <c r="F26">
        <v>0</v>
      </c>
      <c r="G26" t="s">
        <v>33</v>
      </c>
      <c r="H26" t="s">
        <v>36</v>
      </c>
      <c r="I26">
        <v>-0.01</v>
      </c>
      <c r="J26">
        <f>IF(COUNT(I21:I26)&gt;3.5,ROUND(AVERAGE(I21:I26),2),"")</f>
        <v>-0.09</v>
      </c>
      <c r="K26">
        <f>IF(COUNT(1.99, -0.43, -0.25, -0.14, -0.09, 1.81, 1.82, 1.72, 1.61, 1.59, 2.32, 2.9, 3.23, 2.88, 3.27, 2.65, 2.91, 2.57, 2.16, 2.55, 2.07, 1.8, 3.09, 2.92)&gt;17.5,ROUND(AVERAGE(1.99, -0.43, -0.25, -0.14, -0.09, 1.81, 1.82, 1.72, 1.61, 1.59, 2.32, 2.9, 3.23, 2.88, 3.27, 2.65, 2.91, 2.57, 2.16, 2.55, 2.07, 1.8, 3.09, 2.92),2),"NO AVG")</f>
        <v>1.96</v>
      </c>
    </row>
    <row r="27" spans="1:11" x14ac:dyDescent="0.25">
      <c r="A27" s="1">
        <v>44784.174386574072</v>
      </c>
      <c r="B27" s="1">
        <v>44784.174328703702</v>
      </c>
      <c r="C27">
        <v>3.6</v>
      </c>
      <c r="D27">
        <v>3.3</v>
      </c>
      <c r="E27">
        <v>61</v>
      </c>
      <c r="F27">
        <v>0</v>
      </c>
      <c r="G27" t="s">
        <v>33</v>
      </c>
      <c r="H27" t="s">
        <v>36</v>
      </c>
      <c r="I27">
        <v>-0.01</v>
      </c>
      <c r="J27" s="2"/>
      <c r="K27" s="2"/>
    </row>
    <row r="28" spans="1:11" x14ac:dyDescent="0.25">
      <c r="A28" s="1"/>
      <c r="B28" s="1">
        <v>44784.180555555555</v>
      </c>
      <c r="J28" s="2"/>
      <c r="K28" s="2"/>
    </row>
    <row r="29" spans="1:11" x14ac:dyDescent="0.25">
      <c r="A29" s="1">
        <v>44784.188263888886</v>
      </c>
      <c r="B29" s="1">
        <v>44784.188217592593</v>
      </c>
      <c r="C29">
        <v>3.8</v>
      </c>
      <c r="D29">
        <v>3.4</v>
      </c>
      <c r="E29">
        <v>62</v>
      </c>
      <c r="F29">
        <v>0</v>
      </c>
      <c r="G29" t="s">
        <v>33</v>
      </c>
      <c r="H29" t="s">
        <v>36</v>
      </c>
      <c r="I29">
        <v>0.02</v>
      </c>
      <c r="J29" s="2"/>
      <c r="K29" s="2"/>
    </row>
    <row r="30" spans="1:11" x14ac:dyDescent="0.25">
      <c r="A30" s="1">
        <v>44784.195208333331</v>
      </c>
      <c r="B30" s="1">
        <v>44784.195162037038</v>
      </c>
      <c r="C30">
        <v>3.9</v>
      </c>
      <c r="D30">
        <v>3.6</v>
      </c>
      <c r="E30">
        <v>61</v>
      </c>
      <c r="F30">
        <v>0</v>
      </c>
      <c r="G30" t="s">
        <v>33</v>
      </c>
      <c r="H30" t="s">
        <v>36</v>
      </c>
      <c r="I30">
        <v>0.18</v>
      </c>
      <c r="J30" s="2"/>
      <c r="K30" s="2"/>
    </row>
    <row r="31" spans="1:11" x14ac:dyDescent="0.25">
      <c r="A31" s="1">
        <v>44784.202164351853</v>
      </c>
      <c r="B31" s="1">
        <v>44784.20212962963</v>
      </c>
      <c r="C31">
        <v>3.9</v>
      </c>
      <c r="D31">
        <v>3.5</v>
      </c>
      <c r="E31">
        <v>62</v>
      </c>
      <c r="F31">
        <v>0</v>
      </c>
      <c r="G31" t="s">
        <v>33</v>
      </c>
      <c r="H31" t="s">
        <v>36</v>
      </c>
      <c r="I31">
        <v>0.08</v>
      </c>
      <c r="J31" s="2"/>
      <c r="K31" s="2"/>
    </row>
    <row r="32" spans="1:11" x14ac:dyDescent="0.25">
      <c r="A32" s="1">
        <v>44784.209097222221</v>
      </c>
      <c r="B32" s="1">
        <v>44784.209050925929</v>
      </c>
      <c r="C32">
        <v>4</v>
      </c>
      <c r="D32">
        <v>3.5</v>
      </c>
      <c r="E32">
        <v>62</v>
      </c>
      <c r="F32">
        <v>0</v>
      </c>
      <c r="G32" t="s">
        <v>33</v>
      </c>
      <c r="H32" t="s">
        <v>36</v>
      </c>
      <c r="I32">
        <v>0.11</v>
      </c>
      <c r="J32">
        <f>IF(COUNT(I27:I32)&gt;3.5,ROUND(AVERAGE(I27:I32),2),"")</f>
        <v>0.08</v>
      </c>
      <c r="K32">
        <f>IF(COUNT(1.99, -0.43, -0.25, -0.14, -0.09, 0.08, 1.82, 1.72, 1.61, 1.59, 2.32, 2.9, 3.23, 2.88, 3.27, 2.65, 2.91, 2.57, 2.16, 2.55, 2.07, 1.8, 3.09, 2.92)&gt;17.5,ROUND(AVERAGE(1.99, -0.43, -0.25, -0.14, -0.09, 0.08, 1.82, 1.72, 1.61, 1.59, 2.32, 2.9, 3.23, 2.88, 3.27, 2.65, 2.91, 2.57, 2.16, 2.55, 2.07, 1.8, 3.09, 2.92),2),"NO AVG")</f>
        <v>1.88</v>
      </c>
    </row>
    <row r="33" spans="1:11" x14ac:dyDescent="0.25">
      <c r="A33" s="1">
        <v>44784.216064814813</v>
      </c>
      <c r="B33" s="1">
        <v>44784.215995370374</v>
      </c>
      <c r="C33">
        <v>3.9</v>
      </c>
      <c r="D33">
        <v>3.7</v>
      </c>
      <c r="E33">
        <v>62</v>
      </c>
      <c r="F33">
        <v>0</v>
      </c>
      <c r="G33" t="s">
        <v>33</v>
      </c>
      <c r="H33" t="s">
        <v>36</v>
      </c>
      <c r="I33">
        <v>0.14000000000000001</v>
      </c>
      <c r="J33" s="2"/>
      <c r="K33" s="2"/>
    </row>
    <row r="34" spans="1:11" x14ac:dyDescent="0.25">
      <c r="A34" s="1">
        <v>44784.222997685189</v>
      </c>
      <c r="B34" s="1">
        <v>44784.222939814812</v>
      </c>
      <c r="C34">
        <v>3.9</v>
      </c>
      <c r="D34">
        <v>3.7</v>
      </c>
      <c r="E34">
        <v>62</v>
      </c>
      <c r="F34">
        <v>0</v>
      </c>
      <c r="G34" t="s">
        <v>33</v>
      </c>
      <c r="H34" t="s">
        <v>36</v>
      </c>
      <c r="I34">
        <v>0.14000000000000001</v>
      </c>
      <c r="J34" s="2"/>
      <c r="K34" s="2"/>
    </row>
    <row r="35" spans="1:11" x14ac:dyDescent="0.25">
      <c r="A35" s="1">
        <v>44784.229930555557</v>
      </c>
      <c r="B35" s="1">
        <v>44784.229884259257</v>
      </c>
      <c r="C35">
        <v>4</v>
      </c>
      <c r="D35">
        <v>3.9</v>
      </c>
      <c r="E35">
        <v>62</v>
      </c>
      <c r="F35">
        <v>0</v>
      </c>
      <c r="G35" t="s">
        <v>33</v>
      </c>
      <c r="H35" t="s">
        <v>36</v>
      </c>
      <c r="I35">
        <v>0.23</v>
      </c>
      <c r="J35" s="2"/>
      <c r="K35" s="2"/>
    </row>
    <row r="36" spans="1:11" x14ac:dyDescent="0.25">
      <c r="A36" s="1">
        <v>44784.236886574072</v>
      </c>
      <c r="B36" s="1">
        <v>44784.236840277779</v>
      </c>
      <c r="C36">
        <v>4.0999999999999996</v>
      </c>
      <c r="D36">
        <v>3.9</v>
      </c>
      <c r="E36">
        <v>62</v>
      </c>
      <c r="F36">
        <v>0</v>
      </c>
      <c r="G36" t="s">
        <v>33</v>
      </c>
      <c r="H36" t="s">
        <v>36</v>
      </c>
      <c r="I36">
        <v>0.26</v>
      </c>
      <c r="J36" s="2"/>
      <c r="K36" s="2"/>
    </row>
    <row r="37" spans="1:11" x14ac:dyDescent="0.25">
      <c r="A37" s="1">
        <v>44784.243819444448</v>
      </c>
      <c r="B37" s="1">
        <v>44784.243773148148</v>
      </c>
      <c r="C37">
        <v>4.2</v>
      </c>
      <c r="D37">
        <v>4</v>
      </c>
      <c r="E37">
        <v>63</v>
      </c>
      <c r="F37">
        <v>0</v>
      </c>
      <c r="G37" t="s">
        <v>33</v>
      </c>
      <c r="H37" t="s">
        <v>36</v>
      </c>
      <c r="I37">
        <v>0.25</v>
      </c>
      <c r="J37" s="2"/>
      <c r="K37" s="2"/>
    </row>
    <row r="38" spans="1:11" x14ac:dyDescent="0.25">
      <c r="A38" s="1">
        <v>44784.250775462962</v>
      </c>
      <c r="B38" s="1">
        <v>44784.25072916667</v>
      </c>
      <c r="C38">
        <v>4.2</v>
      </c>
      <c r="D38">
        <v>4.0999999999999996</v>
      </c>
      <c r="E38">
        <v>63</v>
      </c>
      <c r="F38">
        <v>0</v>
      </c>
      <c r="G38" t="s">
        <v>33</v>
      </c>
      <c r="H38" t="s">
        <v>36</v>
      </c>
      <c r="I38">
        <v>0.28000000000000003</v>
      </c>
      <c r="J38">
        <f>IF(COUNT(I33:I38)&gt;3.5,ROUND(AVERAGE(I33:I38),2),"")</f>
        <v>0.22</v>
      </c>
      <c r="K38">
        <f>IF(COUNT(1.99, -0.43, -0.25, -0.14, -0.09, 0.08, 0.22, 1.72, 1.61, 1.59, 2.32, 2.9, 3.23, 2.88, 3.27, 2.65, 2.91, 2.57, 2.16, 2.55, 2.07, 1.8, 3.09, 2.92)&gt;17.5,ROUND(AVERAGE(1.99, -0.43, -0.25, -0.14, -0.09, 0.08, 0.22, 1.72, 1.61, 1.59, 2.32, 2.9, 3.23, 2.88, 3.27, 2.65, 2.91, 2.57, 2.16, 2.55, 2.07, 1.8, 3.09, 2.92),2),"NO AVG")</f>
        <v>1.82</v>
      </c>
    </row>
    <row r="39" spans="1:11" x14ac:dyDescent="0.25">
      <c r="A39" s="1">
        <v>44784.257719907408</v>
      </c>
      <c r="B39" s="1">
        <v>44784.257662037038</v>
      </c>
      <c r="C39">
        <v>4.2</v>
      </c>
      <c r="D39">
        <v>3.9</v>
      </c>
      <c r="E39">
        <v>63</v>
      </c>
      <c r="F39">
        <v>0</v>
      </c>
      <c r="G39" t="s">
        <v>33</v>
      </c>
      <c r="H39" t="s">
        <v>36</v>
      </c>
      <c r="I39">
        <v>0.22</v>
      </c>
      <c r="J39" s="2"/>
      <c r="K39" s="2"/>
    </row>
    <row r="40" spans="1:11" x14ac:dyDescent="0.25">
      <c r="A40" s="1">
        <v>44784.264664351853</v>
      </c>
      <c r="B40" s="1">
        <v>44784.264606481483</v>
      </c>
      <c r="C40">
        <v>4.2</v>
      </c>
      <c r="D40">
        <v>3.8</v>
      </c>
      <c r="E40">
        <v>63</v>
      </c>
      <c r="F40">
        <v>0</v>
      </c>
      <c r="G40" t="s">
        <v>33</v>
      </c>
      <c r="H40" t="s">
        <v>36</v>
      </c>
      <c r="I40">
        <v>0.19</v>
      </c>
      <c r="J40" s="2"/>
      <c r="K40" s="2"/>
    </row>
    <row r="41" spans="1:11" x14ac:dyDescent="0.25">
      <c r="A41" s="1">
        <v>44784.271608796298</v>
      </c>
      <c r="B41" s="1">
        <v>44784.271550925929</v>
      </c>
      <c r="C41">
        <v>4.2</v>
      </c>
      <c r="D41">
        <v>3.9</v>
      </c>
      <c r="E41">
        <v>63</v>
      </c>
      <c r="F41">
        <v>0</v>
      </c>
      <c r="G41" t="s">
        <v>33</v>
      </c>
      <c r="H41" t="s">
        <v>36</v>
      </c>
      <c r="I41">
        <v>0.22</v>
      </c>
      <c r="J41" s="2"/>
      <c r="K41" s="2"/>
    </row>
    <row r="42" spans="1:11" x14ac:dyDescent="0.25">
      <c r="A42" s="1">
        <v>44784.278553240743</v>
      </c>
      <c r="B42" s="1">
        <v>44784.278495370374</v>
      </c>
      <c r="C42">
        <v>4.2</v>
      </c>
      <c r="D42">
        <v>4</v>
      </c>
      <c r="E42">
        <v>63</v>
      </c>
      <c r="F42">
        <v>0</v>
      </c>
      <c r="G42" t="s">
        <v>33</v>
      </c>
      <c r="H42" t="s">
        <v>36</v>
      </c>
      <c r="I42">
        <v>0.25</v>
      </c>
      <c r="J42" s="2"/>
      <c r="K42" s="2"/>
    </row>
    <row r="43" spans="1:11" x14ac:dyDescent="0.25">
      <c r="A43" s="1">
        <v>44784.285497685189</v>
      </c>
      <c r="B43" s="1">
        <v>44784.285439814812</v>
      </c>
      <c r="C43">
        <v>4.3</v>
      </c>
      <c r="D43">
        <v>4.0999999999999996</v>
      </c>
      <c r="E43">
        <v>63</v>
      </c>
      <c r="F43">
        <v>0</v>
      </c>
      <c r="G43" t="s">
        <v>33</v>
      </c>
      <c r="H43" t="s">
        <v>36</v>
      </c>
      <c r="I43">
        <v>0.31</v>
      </c>
      <c r="J43" s="2"/>
      <c r="K43" s="2"/>
    </row>
    <row r="44" spans="1:11" x14ac:dyDescent="0.25">
      <c r="A44" s="1">
        <v>44784.292442129627</v>
      </c>
      <c r="B44" s="1">
        <v>44784.292384259257</v>
      </c>
      <c r="C44">
        <v>4.4000000000000004</v>
      </c>
      <c r="D44">
        <v>4.0999999999999996</v>
      </c>
      <c r="E44">
        <v>63</v>
      </c>
      <c r="F44">
        <v>0</v>
      </c>
      <c r="G44" t="s">
        <v>33</v>
      </c>
      <c r="H44" t="s">
        <v>36</v>
      </c>
      <c r="I44">
        <v>0.34</v>
      </c>
      <c r="J44">
        <f>IF(COUNT(I39:I44)&gt;3.5,ROUND(AVERAGE(I39:I44),2),"")</f>
        <v>0.26</v>
      </c>
      <c r="K44">
        <f>IF(COUNT(1.99, -0.43, -0.25, -0.14, -0.09, 0.08, 0.22, 0.26, 1.61, 1.59, 2.32, 2.9, 3.23, 2.88, 3.27, 2.65, 2.91, 2.57, 2.16, 2.55, 2.07, 1.8, 3.09, 2.92)&gt;17.5,ROUND(AVERAGE(1.99, -0.43, -0.25, -0.14, -0.09, 0.08, 0.22, 0.26, 1.61, 1.59, 2.32, 2.9, 3.23, 2.88, 3.27, 2.65, 2.91, 2.57, 2.16, 2.55, 2.07, 1.8, 3.09, 2.92),2),"NO AVG")</f>
        <v>1.76</v>
      </c>
    </row>
    <row r="45" spans="1:11" x14ac:dyDescent="0.25">
      <c r="A45" s="1">
        <v>44784.299386574072</v>
      </c>
      <c r="B45" s="1">
        <v>44784.299340277779</v>
      </c>
      <c r="C45">
        <v>4.4000000000000004</v>
      </c>
      <c r="D45">
        <v>4.0999999999999996</v>
      </c>
      <c r="E45">
        <v>62</v>
      </c>
      <c r="F45">
        <v>0</v>
      </c>
      <c r="G45" t="s">
        <v>33</v>
      </c>
      <c r="H45" t="s">
        <v>36</v>
      </c>
      <c r="I45">
        <v>0.41</v>
      </c>
      <c r="J45" s="2"/>
      <c r="K45" s="2"/>
    </row>
    <row r="46" spans="1:11" x14ac:dyDescent="0.25">
      <c r="A46" s="1">
        <v>44784.306331018517</v>
      </c>
      <c r="B46" s="1">
        <v>44784.306273148148</v>
      </c>
      <c r="C46">
        <v>4.5999999999999996</v>
      </c>
      <c r="D46">
        <v>4.2</v>
      </c>
      <c r="E46">
        <v>62</v>
      </c>
      <c r="F46">
        <v>0</v>
      </c>
      <c r="G46" t="s">
        <v>33</v>
      </c>
      <c r="H46" t="s">
        <v>36</v>
      </c>
      <c r="I46">
        <v>0.5</v>
      </c>
      <c r="J46" s="2"/>
      <c r="K46" s="2"/>
    </row>
    <row r="47" spans="1:11" x14ac:dyDescent="0.25">
      <c r="A47" s="1">
        <v>44784.313263888886</v>
      </c>
      <c r="B47" s="1">
        <v>44784.313217592593</v>
      </c>
      <c r="C47">
        <v>4.9000000000000004</v>
      </c>
      <c r="D47">
        <v>4.5</v>
      </c>
      <c r="E47">
        <v>62</v>
      </c>
      <c r="F47">
        <v>0</v>
      </c>
      <c r="G47" t="s">
        <v>33</v>
      </c>
      <c r="H47" t="s">
        <v>36</v>
      </c>
      <c r="I47">
        <v>0.69</v>
      </c>
      <c r="J47" s="2"/>
      <c r="K47" s="2"/>
    </row>
    <row r="48" spans="1:11" x14ac:dyDescent="0.25">
      <c r="A48" s="1">
        <v>44784.320219907408</v>
      </c>
      <c r="B48" s="1">
        <v>44784.320162037038</v>
      </c>
      <c r="C48">
        <v>5.0999999999999996</v>
      </c>
      <c r="D48">
        <v>4.8</v>
      </c>
      <c r="E48">
        <v>62</v>
      </c>
      <c r="F48">
        <v>0</v>
      </c>
      <c r="G48" t="s">
        <v>33</v>
      </c>
      <c r="H48" t="s">
        <v>36</v>
      </c>
      <c r="I48">
        <v>0.84</v>
      </c>
      <c r="J48" s="2"/>
      <c r="K48" s="2"/>
    </row>
    <row r="49" spans="1:11" x14ac:dyDescent="0.25">
      <c r="A49" s="1">
        <v>44784.327164351853</v>
      </c>
      <c r="B49" s="1">
        <v>44784.327106481483</v>
      </c>
      <c r="C49">
        <v>5.7</v>
      </c>
      <c r="D49">
        <v>5.3</v>
      </c>
      <c r="E49">
        <v>61</v>
      </c>
      <c r="F49">
        <v>0</v>
      </c>
      <c r="G49" t="s">
        <v>33</v>
      </c>
      <c r="H49" t="s">
        <v>36</v>
      </c>
      <c r="I49">
        <v>1.24</v>
      </c>
      <c r="J49" s="2"/>
      <c r="K49" s="2"/>
    </row>
    <row r="50" spans="1:11" x14ac:dyDescent="0.25">
      <c r="A50" s="1">
        <v>44784.334108796298</v>
      </c>
      <c r="B50" s="1">
        <v>44784.334050925929</v>
      </c>
      <c r="C50">
        <v>6.3</v>
      </c>
      <c r="D50">
        <v>6</v>
      </c>
      <c r="E50">
        <v>61</v>
      </c>
      <c r="F50">
        <v>0</v>
      </c>
      <c r="G50" t="s">
        <v>33</v>
      </c>
      <c r="H50" t="s">
        <v>36</v>
      </c>
      <c r="I50">
        <v>1.64</v>
      </c>
      <c r="J50">
        <f>IF(COUNT(I45:I50)&gt;3.5,ROUND(AVERAGE(I45:I50),2),"")</f>
        <v>0.89</v>
      </c>
      <c r="K50">
        <f>IF(COUNT(1.99, -0.43, -0.25, -0.14, -0.09, 0.08, 0.22, 0.26, 0.89, 1.59, 2.32, 2.9, 3.23, 2.88, 3.27, 2.65, 2.91, 2.57, 2.16, 2.55, 2.07, 1.8, 3.09, 2.92)&gt;17.5,ROUND(AVERAGE(1.99, -0.43, -0.25, -0.14, -0.09, 0.08, 0.22, 0.26, 0.89, 1.59, 2.32, 2.9, 3.23, 2.88, 3.27, 2.65, 2.91, 2.57, 2.16, 2.55, 2.07, 1.8, 3.09, 2.92),2),"NO AVG")</f>
        <v>1.73</v>
      </c>
    </row>
    <row r="51" spans="1:11" x14ac:dyDescent="0.25">
      <c r="A51" s="1">
        <v>44784.341053240743</v>
      </c>
      <c r="B51" s="1">
        <v>44784.340995370374</v>
      </c>
      <c r="C51">
        <v>6.8</v>
      </c>
      <c r="D51">
        <v>6.4</v>
      </c>
      <c r="E51">
        <v>61</v>
      </c>
      <c r="F51">
        <v>0</v>
      </c>
      <c r="G51" t="s">
        <v>33</v>
      </c>
      <c r="H51" t="s">
        <v>36</v>
      </c>
      <c r="I51">
        <v>1.92</v>
      </c>
      <c r="J51" s="2"/>
      <c r="K51" s="2"/>
    </row>
    <row r="52" spans="1:11" x14ac:dyDescent="0.25">
      <c r="A52" s="1">
        <v>44784.347997685189</v>
      </c>
      <c r="B52" s="1">
        <v>44784.347951388889</v>
      </c>
      <c r="C52">
        <v>7.4</v>
      </c>
      <c r="D52">
        <v>7.1</v>
      </c>
      <c r="E52">
        <v>60</v>
      </c>
      <c r="F52">
        <v>0</v>
      </c>
      <c r="G52" t="s">
        <v>33</v>
      </c>
      <c r="H52" t="s">
        <v>36</v>
      </c>
      <c r="I52">
        <v>2.38</v>
      </c>
      <c r="J52" s="2"/>
      <c r="K52" s="2"/>
    </row>
    <row r="53" spans="1:11" x14ac:dyDescent="0.25">
      <c r="A53" s="1">
        <v>44784.354942129627</v>
      </c>
      <c r="B53" s="1">
        <v>44784.354884259257</v>
      </c>
      <c r="C53">
        <v>7.8</v>
      </c>
      <c r="D53">
        <v>7.3</v>
      </c>
      <c r="E53">
        <v>59</v>
      </c>
      <c r="F53">
        <v>0</v>
      </c>
      <c r="G53" t="s">
        <v>33</v>
      </c>
      <c r="H53" t="s">
        <v>36</v>
      </c>
      <c r="I53">
        <v>2.64</v>
      </c>
      <c r="J53" s="2"/>
      <c r="K53" s="2"/>
    </row>
    <row r="54" spans="1:11" x14ac:dyDescent="0.25">
      <c r="A54" s="1">
        <v>44784.361886574072</v>
      </c>
      <c r="B54" s="1">
        <v>44784.361828703702</v>
      </c>
      <c r="C54">
        <v>8</v>
      </c>
      <c r="D54">
        <v>7.5</v>
      </c>
      <c r="E54">
        <v>59</v>
      </c>
      <c r="F54">
        <v>0</v>
      </c>
      <c r="G54" t="s">
        <v>33</v>
      </c>
      <c r="H54" t="s">
        <v>36</v>
      </c>
      <c r="I54">
        <v>2.76</v>
      </c>
      <c r="J54" s="2"/>
      <c r="K54" s="2"/>
    </row>
    <row r="55" spans="1:11" x14ac:dyDescent="0.25">
      <c r="A55" s="1">
        <v>44784.368831018517</v>
      </c>
      <c r="B55" s="1">
        <v>44784.368784722225</v>
      </c>
      <c r="C55">
        <v>8.6</v>
      </c>
      <c r="D55">
        <v>7.8</v>
      </c>
      <c r="E55">
        <v>59</v>
      </c>
      <c r="F55">
        <v>0</v>
      </c>
      <c r="G55" t="s">
        <v>33</v>
      </c>
      <c r="H55" t="s">
        <v>36</v>
      </c>
      <c r="I55">
        <v>3.03</v>
      </c>
      <c r="J55" s="2"/>
      <c r="K55" s="2"/>
    </row>
    <row r="56" spans="1:11" x14ac:dyDescent="0.25">
      <c r="A56" s="1">
        <v>44784.375775462962</v>
      </c>
      <c r="B56" s="1">
        <v>44784.375717592593</v>
      </c>
      <c r="C56">
        <v>8.6999999999999993</v>
      </c>
      <c r="D56">
        <v>8.1</v>
      </c>
      <c r="E56">
        <v>58</v>
      </c>
      <c r="F56">
        <v>0</v>
      </c>
      <c r="G56" t="s">
        <v>33</v>
      </c>
      <c r="H56" t="s">
        <v>36</v>
      </c>
      <c r="I56">
        <v>3.22</v>
      </c>
      <c r="J56">
        <f>IF(COUNT(I51:I56)&gt;3.5,ROUND(AVERAGE(I51:I56),2),"")</f>
        <v>2.66</v>
      </c>
      <c r="K56">
        <f>IF(COUNT(1.99, -0.43, -0.25, -0.14, -0.09, 0.08, 0.22, 0.26, 0.89, 2.66, 2.32, 2.9, 3.23, 2.88, 3.27, 2.65, 2.91, 2.57, 2.16, 2.55, 2.07, 1.8, 3.09, 2.92)&gt;17.5,ROUND(AVERAGE(1.99, -0.43, -0.25, -0.14, -0.09, 0.08, 0.22, 0.26, 0.89, 2.66, 2.32, 2.9, 3.23, 2.88, 3.27, 2.65, 2.91, 2.57, 2.16, 2.55, 2.07, 1.8, 3.09, 2.92),2),"NO AVG")</f>
        <v>1.77</v>
      </c>
    </row>
    <row r="57" spans="1:11" x14ac:dyDescent="0.25">
      <c r="A57" s="1">
        <v>44784.382719907408</v>
      </c>
      <c r="B57" s="1">
        <v>44784.382662037038</v>
      </c>
      <c r="C57">
        <v>9</v>
      </c>
      <c r="D57">
        <v>8.1</v>
      </c>
      <c r="E57">
        <v>58</v>
      </c>
      <c r="F57">
        <v>0</v>
      </c>
      <c r="G57" t="s">
        <v>33</v>
      </c>
      <c r="H57" t="s">
        <v>36</v>
      </c>
      <c r="I57">
        <v>3.32</v>
      </c>
      <c r="J57" s="2"/>
      <c r="K57" s="2"/>
    </row>
    <row r="58" spans="1:11" x14ac:dyDescent="0.25">
      <c r="A58" s="1">
        <v>44784.389664351853</v>
      </c>
      <c r="B58" s="1">
        <v>44784.389618055553</v>
      </c>
      <c r="C58">
        <v>9.1</v>
      </c>
      <c r="D58">
        <v>8.5</v>
      </c>
      <c r="E58">
        <v>57</v>
      </c>
      <c r="F58">
        <v>0</v>
      </c>
      <c r="G58" t="s">
        <v>33</v>
      </c>
      <c r="H58" t="s">
        <v>36</v>
      </c>
      <c r="I58">
        <v>3.54</v>
      </c>
      <c r="J58" s="2"/>
      <c r="K58" s="2"/>
    </row>
    <row r="59" spans="1:11" x14ac:dyDescent="0.25">
      <c r="A59" s="1">
        <v>44784.396620370368</v>
      </c>
      <c r="B59" s="1">
        <v>44784.396562499998</v>
      </c>
      <c r="C59">
        <v>9.1</v>
      </c>
      <c r="D59">
        <v>8.6999999999999993</v>
      </c>
      <c r="E59">
        <v>57</v>
      </c>
      <c r="F59">
        <v>0</v>
      </c>
      <c r="G59" t="s">
        <v>33</v>
      </c>
      <c r="H59" t="s">
        <v>36</v>
      </c>
      <c r="I59">
        <v>3.6</v>
      </c>
      <c r="J59" s="2"/>
      <c r="K59" s="2"/>
    </row>
    <row r="60" spans="1:11" x14ac:dyDescent="0.25">
      <c r="A60" s="1">
        <v>44784.403553240743</v>
      </c>
      <c r="B60" s="1">
        <v>44784.403506944444</v>
      </c>
      <c r="C60">
        <v>9.3000000000000007</v>
      </c>
      <c r="D60">
        <v>8.8000000000000007</v>
      </c>
      <c r="E60">
        <v>56</v>
      </c>
      <c r="F60">
        <v>0</v>
      </c>
      <c r="G60" t="s">
        <v>33</v>
      </c>
      <c r="H60" t="s">
        <v>36</v>
      </c>
      <c r="I60">
        <v>3.76</v>
      </c>
      <c r="J60" s="2"/>
      <c r="K60" s="2"/>
    </row>
    <row r="61" spans="1:11" x14ac:dyDescent="0.25">
      <c r="A61" s="1">
        <v>44784.410509259258</v>
      </c>
      <c r="B61" s="1">
        <v>44784.410451388889</v>
      </c>
      <c r="C61">
        <v>9.5</v>
      </c>
      <c r="D61">
        <v>8.8000000000000007</v>
      </c>
      <c r="E61">
        <v>57</v>
      </c>
      <c r="F61">
        <v>0</v>
      </c>
      <c r="G61" t="s">
        <v>33</v>
      </c>
      <c r="H61" t="s">
        <v>36</v>
      </c>
      <c r="I61">
        <v>3.75</v>
      </c>
      <c r="J61" s="2"/>
      <c r="K61" s="2"/>
    </row>
    <row r="62" spans="1:11" x14ac:dyDescent="0.25">
      <c r="A62" s="1">
        <v>44784.417442129627</v>
      </c>
      <c r="B62" s="1">
        <v>44784.417395833334</v>
      </c>
      <c r="C62">
        <v>9.3000000000000007</v>
      </c>
      <c r="D62">
        <v>8.8000000000000007</v>
      </c>
      <c r="E62">
        <v>57</v>
      </c>
      <c r="F62">
        <v>0</v>
      </c>
      <c r="G62" t="s">
        <v>33</v>
      </c>
      <c r="H62" t="s">
        <v>36</v>
      </c>
      <c r="I62">
        <v>3.69</v>
      </c>
      <c r="J62">
        <f>IF(COUNT(I57:I62)&gt;3.5,ROUND(AVERAGE(I57:I62),2),"")</f>
        <v>3.61</v>
      </c>
      <c r="K62">
        <f>IF(COUNT(1.99, -0.43, -0.25, -0.14, -0.09, 0.08, 0.22, 0.26, 0.89, 2.66, 3.61, 2.9, 3.23, 2.88, 3.27, 2.65, 2.91, 2.57, 2.16, 2.55, 2.07, 1.8, 3.09, 2.92)&gt;17.5,ROUND(AVERAGE(1.99, -0.43, -0.25, -0.14, -0.09, 0.08, 0.22, 0.26, 0.89, 2.66, 3.61, 2.9, 3.23, 2.88, 3.27, 2.65, 2.91, 2.57, 2.16, 2.55, 2.07, 1.8, 3.09, 2.92),2),"NO AVG")</f>
        <v>1.83</v>
      </c>
    </row>
    <row r="63" spans="1:11" x14ac:dyDescent="0.25">
      <c r="A63" s="1">
        <v>44784.424386574072</v>
      </c>
      <c r="B63" s="1">
        <v>44784.424340277779</v>
      </c>
      <c r="C63">
        <v>9.3000000000000007</v>
      </c>
      <c r="D63">
        <v>8.6</v>
      </c>
      <c r="E63">
        <v>57</v>
      </c>
      <c r="F63">
        <v>0</v>
      </c>
      <c r="G63" t="s">
        <v>33</v>
      </c>
      <c r="H63" t="s">
        <v>36</v>
      </c>
      <c r="I63">
        <v>3.63</v>
      </c>
      <c r="J63" s="2"/>
      <c r="K63" s="2"/>
    </row>
    <row r="64" spans="1:11" x14ac:dyDescent="0.25">
      <c r="A64" s="1">
        <v>44784.431331018517</v>
      </c>
      <c r="B64" s="1">
        <v>44784.431284722225</v>
      </c>
      <c r="C64">
        <v>9.5</v>
      </c>
      <c r="D64">
        <v>8.6</v>
      </c>
      <c r="E64">
        <v>56</v>
      </c>
      <c r="F64">
        <v>0</v>
      </c>
      <c r="G64" t="s">
        <v>33</v>
      </c>
      <c r="H64" t="s">
        <v>36</v>
      </c>
      <c r="I64">
        <v>3.76</v>
      </c>
      <c r="J64" s="2"/>
      <c r="K64" s="2"/>
    </row>
    <row r="65" spans="1:11" x14ac:dyDescent="0.25">
      <c r="A65" s="1">
        <v>44784.438287037039</v>
      </c>
      <c r="B65" s="1">
        <v>44784.43822916667</v>
      </c>
      <c r="C65">
        <v>9.3000000000000007</v>
      </c>
      <c r="D65">
        <v>9</v>
      </c>
      <c r="E65">
        <v>55</v>
      </c>
      <c r="F65">
        <v>0</v>
      </c>
      <c r="G65" t="s">
        <v>33</v>
      </c>
      <c r="H65" t="s">
        <v>36</v>
      </c>
      <c r="I65">
        <v>3.89</v>
      </c>
      <c r="J65" s="2"/>
      <c r="K65" s="2"/>
    </row>
    <row r="66" spans="1:11" x14ac:dyDescent="0.25">
      <c r="A66" s="1">
        <v>44784.445219907408</v>
      </c>
      <c r="B66" s="1">
        <v>44784.445173611108</v>
      </c>
      <c r="C66">
        <v>9.6</v>
      </c>
      <c r="D66">
        <v>9.4</v>
      </c>
      <c r="E66">
        <v>53</v>
      </c>
      <c r="F66">
        <v>0</v>
      </c>
      <c r="G66" t="s">
        <v>33</v>
      </c>
      <c r="H66" t="s">
        <v>36</v>
      </c>
      <c r="I66">
        <v>4.24</v>
      </c>
      <c r="J66" s="2"/>
      <c r="K66" s="2"/>
    </row>
    <row r="67" spans="1:11" x14ac:dyDescent="0.25">
      <c r="A67" s="1">
        <v>44784.452164351853</v>
      </c>
      <c r="B67" s="1">
        <v>44784.452118055553</v>
      </c>
      <c r="C67">
        <v>9.6</v>
      </c>
      <c r="D67">
        <v>9.3000000000000007</v>
      </c>
      <c r="E67">
        <v>53</v>
      </c>
      <c r="F67">
        <v>0</v>
      </c>
      <c r="G67" t="s">
        <v>33</v>
      </c>
      <c r="H67" t="s">
        <v>36</v>
      </c>
      <c r="I67">
        <v>4.21</v>
      </c>
      <c r="J67" s="2"/>
      <c r="K67" s="2"/>
    </row>
    <row r="68" spans="1:11" x14ac:dyDescent="0.25">
      <c r="A68" s="1">
        <v>44784.459108796298</v>
      </c>
      <c r="B68" s="1">
        <v>44784.459062499998</v>
      </c>
      <c r="C68">
        <v>9.6</v>
      </c>
      <c r="D68">
        <v>8.9</v>
      </c>
      <c r="E68">
        <v>53</v>
      </c>
      <c r="F68">
        <v>0</v>
      </c>
      <c r="G68" t="s">
        <v>33</v>
      </c>
      <c r="H68" t="s">
        <v>36</v>
      </c>
      <c r="I68">
        <v>4.09</v>
      </c>
      <c r="J68">
        <f>IF(COUNT(I63:I68)&gt;3.5,ROUND(AVERAGE(I63:I68),2),"")</f>
        <v>3.97</v>
      </c>
      <c r="K68">
        <f>IF(COUNT(1.99, -0.43, -0.25, -0.14, -0.09, 0.08, 0.22, 0.26, 0.89, 2.66, 3.61, 3.97, 3.23, 2.88, 3.27, 2.65, 2.91, 2.57, 2.16, 2.55, 2.07, 1.8, 3.09, 2.92)&gt;17.5,ROUND(AVERAGE(1.99, -0.43, -0.25, -0.14, -0.09, 0.08, 0.22, 0.26, 0.89, 2.66, 3.61, 3.97, 3.23, 2.88, 3.27, 2.65, 2.91, 2.57, 2.16, 2.55, 2.07, 1.8, 3.09, 2.92),2),"NO AVG")</f>
        <v>1.87</v>
      </c>
    </row>
    <row r="69" spans="1:11" x14ac:dyDescent="0.25">
      <c r="A69" s="1">
        <v>44784.466064814813</v>
      </c>
      <c r="B69" s="1">
        <v>44784.466006944444</v>
      </c>
      <c r="C69">
        <v>9.9</v>
      </c>
      <c r="D69">
        <v>9</v>
      </c>
      <c r="E69">
        <v>52</v>
      </c>
      <c r="F69">
        <v>0</v>
      </c>
      <c r="G69" t="s">
        <v>33</v>
      </c>
      <c r="H69" t="s">
        <v>36</v>
      </c>
      <c r="I69">
        <v>4.28</v>
      </c>
      <c r="J69" s="2"/>
      <c r="K69" s="2"/>
    </row>
    <row r="70" spans="1:11" x14ac:dyDescent="0.25">
      <c r="A70" s="1">
        <v>44784.472997685189</v>
      </c>
      <c r="B70" s="1">
        <v>44784.472951388889</v>
      </c>
      <c r="C70">
        <v>9.8000000000000007</v>
      </c>
      <c r="D70">
        <v>9.1</v>
      </c>
      <c r="E70">
        <v>52</v>
      </c>
      <c r="F70">
        <v>0</v>
      </c>
      <c r="G70" t="s">
        <v>33</v>
      </c>
      <c r="H70" t="s">
        <v>36</v>
      </c>
      <c r="I70">
        <v>4.28</v>
      </c>
      <c r="J70" s="2"/>
      <c r="K70" s="2"/>
    </row>
    <row r="71" spans="1:11" x14ac:dyDescent="0.25">
      <c r="A71" s="1">
        <v>44784.479942129627</v>
      </c>
      <c r="B71" s="1">
        <v>44784.479895833334</v>
      </c>
      <c r="C71">
        <v>9.8000000000000007</v>
      </c>
      <c r="D71">
        <v>9</v>
      </c>
      <c r="E71">
        <v>50</v>
      </c>
      <c r="F71">
        <v>0</v>
      </c>
      <c r="G71" t="s">
        <v>33</v>
      </c>
      <c r="H71" t="s">
        <v>36</v>
      </c>
      <c r="I71">
        <v>4.3899999999999997</v>
      </c>
      <c r="J71" s="2"/>
      <c r="K71" s="2"/>
    </row>
    <row r="72" spans="1:11" x14ac:dyDescent="0.25">
      <c r="A72" s="1">
        <v>44784.486909722225</v>
      </c>
      <c r="B72" s="1">
        <v>44784.486840277779</v>
      </c>
      <c r="C72">
        <v>9.8000000000000007</v>
      </c>
      <c r="D72">
        <v>9</v>
      </c>
      <c r="E72">
        <v>49</v>
      </c>
      <c r="F72">
        <v>0</v>
      </c>
      <c r="G72" t="s">
        <v>33</v>
      </c>
      <c r="H72" t="s">
        <v>36</v>
      </c>
      <c r="I72">
        <v>4.46</v>
      </c>
      <c r="J72" s="2"/>
      <c r="K72" s="2"/>
    </row>
    <row r="73" spans="1:11" x14ac:dyDescent="0.25">
      <c r="A73" s="1">
        <v>44784.493842592594</v>
      </c>
      <c r="B73" s="1">
        <v>44784.493784722225</v>
      </c>
      <c r="C73">
        <v>9.5</v>
      </c>
      <c r="D73">
        <v>9.1</v>
      </c>
      <c r="E73">
        <v>49</v>
      </c>
      <c r="F73">
        <v>0</v>
      </c>
      <c r="G73" t="s">
        <v>33</v>
      </c>
      <c r="H73" t="s">
        <v>36</v>
      </c>
      <c r="I73">
        <v>4.4000000000000004</v>
      </c>
      <c r="J73" s="2"/>
      <c r="K73" s="2"/>
    </row>
    <row r="74" spans="1:11" x14ac:dyDescent="0.25">
      <c r="A74" s="1">
        <v>44784.500787037039</v>
      </c>
      <c r="B74" s="1">
        <v>44784.50072916667</v>
      </c>
      <c r="C74">
        <v>9.5</v>
      </c>
      <c r="D74">
        <v>9</v>
      </c>
      <c r="E74">
        <v>49</v>
      </c>
      <c r="F74">
        <v>0</v>
      </c>
      <c r="G74" t="s">
        <v>33</v>
      </c>
      <c r="H74" t="s">
        <v>36</v>
      </c>
      <c r="I74">
        <v>4.37</v>
      </c>
      <c r="J74">
        <f>IF(COUNT(I69:I74)&gt;3.5,ROUND(AVERAGE(I69:I74),2),"")</f>
        <v>4.3600000000000003</v>
      </c>
      <c r="K74">
        <f>IF(COUNT(1.99, -0.43, -0.25, -0.14, -0.09, 0.08, 0.22, 0.26, 0.89, 2.66, 3.61, 3.97, 4.36, 2.88, 3.27, 2.65, 2.91, 2.57, 2.16, 2.55, 2.07, 1.8, 3.09, 2.92)&gt;17.5,ROUND(AVERAGE(1.99, -0.43, -0.25, -0.14, -0.09, 0.08, 0.22, 0.26, 0.89, 2.66, 3.61, 3.97, 4.36, 2.88, 3.27, 2.65, 2.91, 2.57, 2.16, 2.55, 2.07, 1.8, 3.09, 2.92),2),"NO AVG")</f>
        <v>1.92</v>
      </c>
    </row>
    <row r="75" spans="1:11" x14ac:dyDescent="0.25">
      <c r="A75" s="1">
        <v>44784.507731481484</v>
      </c>
      <c r="B75" s="1">
        <v>44784.507673611108</v>
      </c>
      <c r="C75">
        <v>9.3000000000000007</v>
      </c>
      <c r="D75">
        <v>9</v>
      </c>
      <c r="E75">
        <v>48</v>
      </c>
      <c r="F75">
        <v>0</v>
      </c>
      <c r="G75" t="s">
        <v>33</v>
      </c>
      <c r="H75" t="s">
        <v>36</v>
      </c>
      <c r="I75">
        <v>4.38</v>
      </c>
      <c r="J75" s="2"/>
      <c r="K75" s="2"/>
    </row>
    <row r="76" spans="1:11" x14ac:dyDescent="0.25">
      <c r="A76" s="1">
        <v>44784.514675925922</v>
      </c>
      <c r="B76" s="1">
        <v>44784.514618055553</v>
      </c>
      <c r="C76">
        <v>9.1999999999999993</v>
      </c>
      <c r="D76">
        <v>8.8000000000000007</v>
      </c>
      <c r="E76">
        <v>48</v>
      </c>
      <c r="F76">
        <v>0</v>
      </c>
      <c r="G76" t="s">
        <v>33</v>
      </c>
      <c r="H76" t="s">
        <v>36</v>
      </c>
      <c r="I76">
        <v>4.29</v>
      </c>
      <c r="J76" s="2"/>
      <c r="K76" s="2"/>
    </row>
    <row r="77" spans="1:11" x14ac:dyDescent="0.25">
      <c r="A77" s="1">
        <v>44784.521620370368</v>
      </c>
      <c r="B77" s="1">
        <v>44784.521562499998</v>
      </c>
      <c r="C77">
        <v>9.5</v>
      </c>
      <c r="D77">
        <v>9.1</v>
      </c>
      <c r="E77">
        <v>47</v>
      </c>
      <c r="F77">
        <v>0</v>
      </c>
      <c r="G77" t="s">
        <v>33</v>
      </c>
      <c r="H77" t="s">
        <v>36</v>
      </c>
      <c r="I77">
        <v>4.54</v>
      </c>
      <c r="J77" s="2"/>
      <c r="K77" s="2"/>
    </row>
    <row r="78" spans="1:11" x14ac:dyDescent="0.25">
      <c r="A78" s="1">
        <v>44784.52857638889</v>
      </c>
      <c r="B78" s="1">
        <v>44784.528506944444</v>
      </c>
      <c r="C78">
        <v>9.5</v>
      </c>
      <c r="D78">
        <v>9</v>
      </c>
      <c r="E78">
        <v>46</v>
      </c>
      <c r="F78">
        <v>0</v>
      </c>
      <c r="G78" t="s">
        <v>33</v>
      </c>
      <c r="H78" t="s">
        <v>36</v>
      </c>
      <c r="I78">
        <v>4.58</v>
      </c>
      <c r="J78" s="2"/>
      <c r="K78" s="2"/>
    </row>
    <row r="79" spans="1:11" x14ac:dyDescent="0.25">
      <c r="A79" s="1">
        <v>44784.535509259258</v>
      </c>
      <c r="B79" s="1">
        <v>44784.535451388889</v>
      </c>
      <c r="C79">
        <v>9.4</v>
      </c>
      <c r="D79">
        <v>9.1</v>
      </c>
      <c r="E79">
        <v>48</v>
      </c>
      <c r="F79">
        <v>0</v>
      </c>
      <c r="G79" t="s">
        <v>33</v>
      </c>
      <c r="H79" t="s">
        <v>36</v>
      </c>
      <c r="I79">
        <v>4.4400000000000004</v>
      </c>
      <c r="J79" s="2"/>
      <c r="K79" s="2"/>
    </row>
    <row r="80" spans="1:11" x14ac:dyDescent="0.25">
      <c r="A80" s="1">
        <v>44784.542453703703</v>
      </c>
      <c r="B80" s="1">
        <v>44784.542395833334</v>
      </c>
      <c r="C80">
        <v>9.6</v>
      </c>
      <c r="D80">
        <v>9.1</v>
      </c>
      <c r="E80">
        <v>48</v>
      </c>
      <c r="F80">
        <v>0</v>
      </c>
      <c r="G80" t="s">
        <v>33</v>
      </c>
      <c r="H80" t="s">
        <v>36</v>
      </c>
      <c r="I80">
        <v>4.5</v>
      </c>
      <c r="J80">
        <f>IF(COUNT(I75:I80)&gt;3.5,ROUND(AVERAGE(I75:I80),2),"")</f>
        <v>4.46</v>
      </c>
      <c r="K80">
        <f>IF(COUNT(1.99, -0.43, -0.25, -0.14, -0.09, 0.08, 0.22, 0.26, 0.89, 2.66, 3.61, 3.97, 4.36, 4.46, 3.27, 2.65, 2.91, 2.57, 2.16, 2.55, 2.07, 1.8, 3.09, 2.92)&gt;17.5,ROUND(AVERAGE(1.99, -0.43, -0.25, -0.14, -0.09, 0.08, 0.22, 0.26, 0.89, 2.66, 3.61, 3.97, 4.36, 4.46, 3.27, 2.65, 2.91, 2.57, 2.16, 2.55, 2.07, 1.8, 3.09, 2.92),2),"NO AVG")</f>
        <v>1.98</v>
      </c>
    </row>
    <row r="81" spans="1:11" x14ac:dyDescent="0.25">
      <c r="A81" s="1">
        <v>44784.549398148149</v>
      </c>
      <c r="B81" s="1">
        <v>44784.549340277779</v>
      </c>
      <c r="C81">
        <v>9.5</v>
      </c>
      <c r="D81">
        <v>9.1</v>
      </c>
      <c r="E81">
        <v>48</v>
      </c>
      <c r="F81">
        <v>0</v>
      </c>
      <c r="G81" t="s">
        <v>33</v>
      </c>
      <c r="H81" t="s">
        <v>36</v>
      </c>
      <c r="I81">
        <v>4.47</v>
      </c>
      <c r="J81" s="2"/>
      <c r="K81" s="2"/>
    </row>
    <row r="82" spans="1:11" x14ac:dyDescent="0.25">
      <c r="A82" s="1">
        <v>44784.556840277779</v>
      </c>
      <c r="B82" s="1">
        <v>44784.556284722225</v>
      </c>
      <c r="C82">
        <v>9.5</v>
      </c>
      <c r="D82">
        <v>9.1999999999999993</v>
      </c>
      <c r="E82">
        <v>50</v>
      </c>
      <c r="F82">
        <v>0</v>
      </c>
      <c r="G82" t="s">
        <v>33</v>
      </c>
      <c r="H82" t="s">
        <v>36</v>
      </c>
      <c r="I82">
        <v>4.3600000000000003</v>
      </c>
      <c r="J82" s="2"/>
      <c r="K82" s="2"/>
    </row>
    <row r="83" spans="1:11" x14ac:dyDescent="0.25">
      <c r="A83" s="1">
        <v>44784.563287037039</v>
      </c>
      <c r="B83" s="1">
        <v>44784.56322916667</v>
      </c>
      <c r="C83">
        <v>9.6999999999999993</v>
      </c>
      <c r="D83">
        <v>9</v>
      </c>
      <c r="E83">
        <v>47</v>
      </c>
      <c r="F83">
        <v>0</v>
      </c>
      <c r="G83" t="s">
        <v>33</v>
      </c>
      <c r="H83" t="s">
        <v>36</v>
      </c>
      <c r="I83">
        <v>4.57</v>
      </c>
      <c r="J83" s="2"/>
      <c r="K83" s="2"/>
    </row>
    <row r="84" spans="1:11" x14ac:dyDescent="0.25">
      <c r="A84" s="1">
        <v>44784.570231481484</v>
      </c>
      <c r="B84" s="1">
        <v>44784.570173611108</v>
      </c>
      <c r="C84">
        <v>9.9</v>
      </c>
      <c r="D84">
        <v>8.9</v>
      </c>
      <c r="E84">
        <v>46</v>
      </c>
      <c r="F84">
        <v>0</v>
      </c>
      <c r="G84" t="s">
        <v>33</v>
      </c>
      <c r="H84" t="s">
        <v>36</v>
      </c>
      <c r="I84">
        <v>4.67</v>
      </c>
      <c r="J84" s="2"/>
      <c r="K84" s="2"/>
    </row>
    <row r="85" spans="1:11" x14ac:dyDescent="0.25">
      <c r="A85" s="1">
        <v>44784.577175925922</v>
      </c>
      <c r="B85" s="1">
        <v>44784.577118055553</v>
      </c>
      <c r="C85">
        <v>9.8000000000000007</v>
      </c>
      <c r="D85">
        <v>9</v>
      </c>
      <c r="E85">
        <v>44</v>
      </c>
      <c r="F85">
        <v>0</v>
      </c>
      <c r="G85" t="s">
        <v>33</v>
      </c>
      <c r="H85" t="s">
        <v>36</v>
      </c>
      <c r="I85">
        <v>4.8099999999999996</v>
      </c>
      <c r="J85" s="2"/>
      <c r="K85" s="2"/>
    </row>
    <row r="86" spans="1:11" x14ac:dyDescent="0.25">
      <c r="A86" s="1">
        <v>44784.584120370368</v>
      </c>
      <c r="B86" s="1">
        <v>44784.584062499998</v>
      </c>
      <c r="C86">
        <v>9.6</v>
      </c>
      <c r="D86">
        <v>9.1</v>
      </c>
      <c r="E86">
        <v>44</v>
      </c>
      <c r="F86">
        <v>0</v>
      </c>
      <c r="G86" t="s">
        <v>33</v>
      </c>
      <c r="H86" t="s">
        <v>36</v>
      </c>
      <c r="I86">
        <v>4.78</v>
      </c>
      <c r="J86">
        <f>IF(COUNT(I81:I86)&gt;3.5,ROUND(AVERAGE(I81:I86),2),"")</f>
        <v>4.6100000000000003</v>
      </c>
      <c r="K86">
        <f>IF(COUNT(1.99, -0.43, -0.25, -0.14, -0.09, 0.08, 0.22, 0.26, 0.89, 2.66, 3.61, 3.97, 4.36, 4.46, 4.61, 2.65, 2.91, 2.57, 2.16, 2.55, 2.07, 1.8, 3.09, 2.92)&gt;17.5,ROUND(AVERAGE(1.99, -0.43, -0.25, -0.14, -0.09, 0.08, 0.22, 0.26, 0.89, 2.66, 3.61, 3.97, 4.36, 4.46, 4.61, 2.65, 2.91, 2.57, 2.16, 2.55, 2.07, 1.8, 3.09, 2.92),2),"NO AVG")</f>
        <v>2.04</v>
      </c>
    </row>
    <row r="87" spans="1:11" x14ac:dyDescent="0.25">
      <c r="A87" s="1">
        <v>44784.591064814813</v>
      </c>
      <c r="B87" s="1">
        <v>44784.591006944444</v>
      </c>
      <c r="C87">
        <v>9.9</v>
      </c>
      <c r="D87">
        <v>9.1999999999999993</v>
      </c>
      <c r="E87">
        <v>44</v>
      </c>
      <c r="F87">
        <v>0</v>
      </c>
      <c r="G87" t="s">
        <v>33</v>
      </c>
      <c r="H87" t="s">
        <v>36</v>
      </c>
      <c r="I87">
        <v>4.91</v>
      </c>
      <c r="J87" s="2"/>
      <c r="K87" s="2"/>
    </row>
    <row r="88" spans="1:11" x14ac:dyDescent="0.25">
      <c r="A88" s="1">
        <v>44784.598009259258</v>
      </c>
      <c r="B88" s="1">
        <v>44784.597951388889</v>
      </c>
      <c r="C88">
        <v>10.199999999999999</v>
      </c>
      <c r="D88">
        <v>9.1</v>
      </c>
      <c r="E88">
        <v>44</v>
      </c>
      <c r="F88">
        <v>0</v>
      </c>
      <c r="G88" t="s">
        <v>33</v>
      </c>
      <c r="H88" t="s">
        <v>36</v>
      </c>
      <c r="I88">
        <v>4.97</v>
      </c>
      <c r="J88" s="2"/>
      <c r="K88" s="2"/>
    </row>
    <row r="89" spans="1:11" x14ac:dyDescent="0.25">
      <c r="A89" s="1">
        <v>44784.604953703703</v>
      </c>
      <c r="B89" s="1">
        <v>44784.604895833334</v>
      </c>
      <c r="C89">
        <v>10.1</v>
      </c>
      <c r="D89">
        <v>9.1999999999999993</v>
      </c>
      <c r="E89">
        <v>44</v>
      </c>
      <c r="F89">
        <v>0</v>
      </c>
      <c r="G89" t="s">
        <v>33</v>
      </c>
      <c r="H89" t="s">
        <v>36</v>
      </c>
      <c r="I89">
        <v>4.97</v>
      </c>
      <c r="J89" s="2"/>
      <c r="K89" s="2"/>
    </row>
    <row r="90" spans="1:11" x14ac:dyDescent="0.25">
      <c r="A90" s="1">
        <v>44784.611898148149</v>
      </c>
      <c r="B90" s="1">
        <v>44784.611840277779</v>
      </c>
      <c r="C90">
        <v>9.9</v>
      </c>
      <c r="D90">
        <v>9.1</v>
      </c>
      <c r="E90">
        <v>44</v>
      </c>
      <c r="F90">
        <v>0</v>
      </c>
      <c r="G90" t="s">
        <v>33</v>
      </c>
      <c r="H90" t="s">
        <v>36</v>
      </c>
      <c r="I90">
        <v>4.88</v>
      </c>
      <c r="J90" s="2"/>
      <c r="K90" s="2"/>
    </row>
    <row r="91" spans="1:11" x14ac:dyDescent="0.25">
      <c r="A91" s="1">
        <v>44784.618842592594</v>
      </c>
      <c r="B91" s="1">
        <v>44784.618784722225</v>
      </c>
      <c r="C91">
        <v>10.1</v>
      </c>
      <c r="D91">
        <v>9.1</v>
      </c>
      <c r="E91">
        <v>46</v>
      </c>
      <c r="F91">
        <v>0</v>
      </c>
      <c r="G91" t="s">
        <v>33</v>
      </c>
      <c r="H91" t="s">
        <v>36</v>
      </c>
      <c r="I91">
        <v>4.8</v>
      </c>
      <c r="J91" s="2"/>
      <c r="K91" s="2"/>
    </row>
    <row r="92" spans="1:11" x14ac:dyDescent="0.25">
      <c r="A92" s="1">
        <v>44784.625787037039</v>
      </c>
      <c r="B92" s="1">
        <v>44784.62572916667</v>
      </c>
      <c r="C92">
        <v>10.5</v>
      </c>
      <c r="D92">
        <v>9.4</v>
      </c>
      <c r="E92">
        <v>45</v>
      </c>
      <c r="F92">
        <v>0</v>
      </c>
      <c r="G92" t="s">
        <v>33</v>
      </c>
      <c r="H92" t="s">
        <v>36</v>
      </c>
      <c r="I92">
        <v>5.08</v>
      </c>
      <c r="J92">
        <f>IF(COUNT(I87:I92)&gt;3.5,ROUND(AVERAGE(I87:I92),2),"")</f>
        <v>4.9400000000000004</v>
      </c>
      <c r="K92">
        <f>IF(COUNT(1.99, -0.43, -0.25, -0.14, -0.09, 0.08, 0.22, 0.26, 0.89, 2.66, 3.61, 3.97, 4.36, 4.46, 4.61, 4.94, 2.91, 2.57, 2.16, 2.55, 2.07, 1.8, 3.09, 2.92)&gt;17.5,ROUND(AVERAGE(1.99, -0.43, -0.25, -0.14, -0.09, 0.08, 0.22, 0.26, 0.89, 2.66, 3.61, 3.97, 4.36, 4.46, 4.61, 4.94, 2.91, 2.57, 2.16, 2.55, 2.07, 1.8, 3.09, 2.92),2),"NO AVG")</f>
        <v>2.13</v>
      </c>
    </row>
    <row r="93" spans="1:11" x14ac:dyDescent="0.25">
      <c r="A93" s="1">
        <v>44784.632719907408</v>
      </c>
      <c r="B93" s="1">
        <v>44784.632673611108</v>
      </c>
      <c r="C93">
        <v>10.5</v>
      </c>
      <c r="D93">
        <v>9.6</v>
      </c>
      <c r="E93">
        <v>45</v>
      </c>
      <c r="F93">
        <v>0</v>
      </c>
      <c r="G93" t="s">
        <v>33</v>
      </c>
      <c r="H93" t="s">
        <v>36</v>
      </c>
      <c r="I93">
        <v>5.14</v>
      </c>
      <c r="J93" s="2"/>
      <c r="K93" s="2"/>
    </row>
    <row r="94" spans="1:11" x14ac:dyDescent="0.25">
      <c r="A94" s="1">
        <v>44784.639652777776</v>
      </c>
      <c r="B94" s="1">
        <v>44784.639618055553</v>
      </c>
      <c r="C94">
        <v>10.5</v>
      </c>
      <c r="D94">
        <v>9.6999999999999993</v>
      </c>
      <c r="E94">
        <v>43</v>
      </c>
      <c r="F94">
        <v>0</v>
      </c>
      <c r="G94" t="s">
        <v>33</v>
      </c>
      <c r="H94" t="s">
        <v>36</v>
      </c>
      <c r="I94">
        <v>5.31</v>
      </c>
      <c r="J94" s="2"/>
      <c r="K94" s="2"/>
    </row>
    <row r="95" spans="1:11" x14ac:dyDescent="0.25">
      <c r="A95" s="1">
        <v>44784.646608796298</v>
      </c>
      <c r="B95" s="1">
        <v>44784.646562499998</v>
      </c>
      <c r="C95">
        <v>10.4</v>
      </c>
      <c r="D95">
        <v>9.6</v>
      </c>
      <c r="E95">
        <v>43</v>
      </c>
      <c r="F95">
        <v>0</v>
      </c>
      <c r="G95" t="s">
        <v>33</v>
      </c>
      <c r="H95" t="s">
        <v>36</v>
      </c>
      <c r="I95">
        <v>5.25</v>
      </c>
      <c r="J95" s="2"/>
      <c r="K95" s="2"/>
    </row>
    <row r="96" spans="1:11" x14ac:dyDescent="0.25">
      <c r="A96" s="1">
        <v>44784.653553240743</v>
      </c>
      <c r="B96" s="1">
        <v>44784.653506944444</v>
      </c>
      <c r="C96">
        <v>10.6</v>
      </c>
      <c r="D96">
        <v>10.1</v>
      </c>
      <c r="E96">
        <v>44</v>
      </c>
      <c r="F96">
        <v>0</v>
      </c>
      <c r="G96" t="s">
        <v>33</v>
      </c>
      <c r="H96" t="s">
        <v>36</v>
      </c>
      <c r="I96">
        <v>5.39</v>
      </c>
      <c r="J96" s="2"/>
      <c r="K96" s="2"/>
    </row>
    <row r="97" spans="1:11" x14ac:dyDescent="0.25">
      <c r="A97" s="1">
        <v>44784.660497685189</v>
      </c>
      <c r="B97" s="1">
        <v>44784.660451388889</v>
      </c>
      <c r="C97">
        <v>11.2</v>
      </c>
      <c r="D97">
        <v>10.6</v>
      </c>
      <c r="E97">
        <v>45</v>
      </c>
      <c r="F97">
        <v>0</v>
      </c>
      <c r="G97" t="s">
        <v>33</v>
      </c>
      <c r="H97" t="s">
        <v>36</v>
      </c>
      <c r="I97">
        <v>5.66</v>
      </c>
      <c r="J97" s="2"/>
      <c r="K97" s="2"/>
    </row>
    <row r="98" spans="1:11" x14ac:dyDescent="0.25">
      <c r="A98" s="1">
        <v>44784.667442129627</v>
      </c>
      <c r="B98" s="1">
        <v>44784.667395833334</v>
      </c>
      <c r="C98">
        <v>11.7</v>
      </c>
      <c r="D98">
        <v>11.1</v>
      </c>
      <c r="E98">
        <v>45</v>
      </c>
      <c r="F98">
        <v>0</v>
      </c>
      <c r="G98" t="s">
        <v>33</v>
      </c>
      <c r="H98" t="s">
        <v>36</v>
      </c>
      <c r="I98">
        <v>5.96</v>
      </c>
      <c r="J98">
        <f>IF(COUNT(I93:I98)&gt;3.5,ROUND(AVERAGE(I93:I98),2),"")</f>
        <v>5.45</v>
      </c>
      <c r="K98">
        <f>IF(COUNT(1.99, -0.43, -0.25, -0.14, -0.09, 0.08, 0.22, 0.26, 0.89, 2.66, 3.61, 3.97, 4.36, 4.46, 4.61, 4.94, 5.45, 2.57, 2.16, 2.55, 2.07, 1.8, 3.09, 2.92)&gt;17.5,ROUND(AVERAGE(1.99, -0.43, -0.25, -0.14, -0.09, 0.08, 0.22, 0.26, 0.89, 2.66, 3.61, 3.97, 4.36, 4.46, 4.61, 4.94, 5.45, 2.57, 2.16, 2.55, 2.07, 1.8, 3.09, 2.92),2),"NO AVG")</f>
        <v>2.2400000000000002</v>
      </c>
    </row>
    <row r="99" spans="1:11" x14ac:dyDescent="0.25">
      <c r="A99" s="1">
        <v>44784.674375000002</v>
      </c>
      <c r="B99" s="1">
        <v>44784.674328703702</v>
      </c>
      <c r="C99">
        <v>12.4</v>
      </c>
      <c r="D99">
        <v>11.5</v>
      </c>
      <c r="E99">
        <v>46</v>
      </c>
      <c r="F99">
        <v>0</v>
      </c>
      <c r="G99" t="s">
        <v>33</v>
      </c>
      <c r="H99" t="s">
        <v>36</v>
      </c>
      <c r="I99">
        <v>6.23</v>
      </c>
      <c r="J99" s="2"/>
      <c r="K99" s="2"/>
    </row>
    <row r="100" spans="1:11" x14ac:dyDescent="0.25">
      <c r="A100" s="1">
        <v>44784.681319444448</v>
      </c>
      <c r="B100" s="1">
        <v>44784.681273148148</v>
      </c>
      <c r="C100">
        <v>12.3</v>
      </c>
      <c r="D100">
        <v>11.8</v>
      </c>
      <c r="E100">
        <v>46</v>
      </c>
      <c r="F100">
        <v>0</v>
      </c>
      <c r="G100" t="s">
        <v>33</v>
      </c>
      <c r="H100" t="s">
        <v>36</v>
      </c>
      <c r="I100">
        <v>6.29</v>
      </c>
      <c r="J100" s="2"/>
      <c r="K100" s="2"/>
    </row>
    <row r="101" spans="1:11" x14ac:dyDescent="0.25">
      <c r="A101" s="1">
        <v>44784.688310185185</v>
      </c>
      <c r="B101" s="1">
        <v>44784.688217592593</v>
      </c>
      <c r="C101">
        <v>12.6</v>
      </c>
      <c r="D101">
        <v>11.8</v>
      </c>
      <c r="E101">
        <v>46</v>
      </c>
      <c r="F101">
        <v>0</v>
      </c>
      <c r="G101" t="s">
        <v>33</v>
      </c>
      <c r="H101" t="s">
        <v>36</v>
      </c>
      <c r="I101">
        <v>6.38</v>
      </c>
      <c r="J101" s="2"/>
      <c r="K101" s="2"/>
    </row>
    <row r="102" spans="1:11" x14ac:dyDescent="0.25">
      <c r="A102" s="1">
        <v>44784.695208333331</v>
      </c>
      <c r="B102" s="1">
        <v>44784.695162037038</v>
      </c>
      <c r="C102">
        <v>12.6</v>
      </c>
      <c r="D102">
        <v>11.6</v>
      </c>
      <c r="E102">
        <v>46</v>
      </c>
      <c r="F102">
        <v>0</v>
      </c>
      <c r="G102" t="s">
        <v>33</v>
      </c>
      <c r="H102" t="s">
        <v>36</v>
      </c>
      <c r="I102">
        <v>6.32</v>
      </c>
      <c r="J102" s="2"/>
      <c r="K102" s="2"/>
    </row>
    <row r="103" spans="1:11" x14ac:dyDescent="0.25">
      <c r="A103" s="1">
        <v>44784.702152777776</v>
      </c>
      <c r="B103" s="1">
        <v>44784.702106481483</v>
      </c>
      <c r="C103">
        <v>12.2</v>
      </c>
      <c r="D103">
        <v>11.6</v>
      </c>
      <c r="E103">
        <v>45</v>
      </c>
      <c r="F103">
        <v>0</v>
      </c>
      <c r="G103" t="s">
        <v>33</v>
      </c>
      <c r="H103" t="s">
        <v>36</v>
      </c>
      <c r="I103">
        <v>6.27</v>
      </c>
      <c r="J103" s="2"/>
      <c r="K103" s="2"/>
    </row>
    <row r="104" spans="1:11" x14ac:dyDescent="0.25">
      <c r="A104" s="1">
        <v>44784.709108796298</v>
      </c>
      <c r="B104" s="1">
        <v>44784.709050925929</v>
      </c>
      <c r="C104">
        <v>12.1</v>
      </c>
      <c r="D104">
        <v>11.6</v>
      </c>
      <c r="E104">
        <v>44</v>
      </c>
      <c r="F104">
        <v>0</v>
      </c>
      <c r="G104" t="s">
        <v>33</v>
      </c>
      <c r="H104" t="s">
        <v>36</v>
      </c>
      <c r="I104">
        <v>6.31</v>
      </c>
      <c r="J104">
        <f>IF(COUNT(I99:I104)&gt;3.5,ROUND(AVERAGE(I99:I104),2),"")</f>
        <v>6.3</v>
      </c>
      <c r="K104">
        <f>IF(COUNT(1.99, -0.43, -0.25, -0.14, -0.09, 0.08, 0.22, 0.26, 0.89, 2.66, 3.61, 3.97, 4.36, 4.46, 4.61, 4.94, 5.45, 6.3, 2.16, 2.55, 2.07, 1.8, 3.09, 2.92)&gt;17.5,ROUND(AVERAGE(1.99, -0.43, -0.25, -0.14, -0.09, 0.08, 0.22, 0.26, 0.89, 2.66, 3.61, 3.97, 4.36, 4.46, 4.61, 4.94, 5.45, 6.3, 2.16, 2.55, 2.07, 1.8, 3.09, 2.92),2),"NO AVG")</f>
        <v>2.4</v>
      </c>
    </row>
    <row r="105" spans="1:11" x14ac:dyDescent="0.25">
      <c r="A105" s="1">
        <v>44784.716053240743</v>
      </c>
      <c r="B105" s="1">
        <v>44784.715995370374</v>
      </c>
      <c r="C105">
        <v>12.2</v>
      </c>
      <c r="D105">
        <v>11.4</v>
      </c>
      <c r="E105">
        <v>42</v>
      </c>
      <c r="F105">
        <v>0</v>
      </c>
      <c r="G105" t="s">
        <v>33</v>
      </c>
      <c r="H105" t="s">
        <v>36</v>
      </c>
      <c r="I105">
        <v>6.42</v>
      </c>
      <c r="J105" s="2"/>
      <c r="K105" s="2"/>
    </row>
    <row r="106" spans="1:11" x14ac:dyDescent="0.25">
      <c r="A106" s="1">
        <v>44784.722986111112</v>
      </c>
      <c r="B106" s="1">
        <v>44784.722939814812</v>
      </c>
      <c r="C106">
        <v>12</v>
      </c>
      <c r="D106">
        <v>10.8</v>
      </c>
      <c r="E106">
        <v>41</v>
      </c>
      <c r="F106">
        <v>0</v>
      </c>
      <c r="G106" t="s">
        <v>33</v>
      </c>
      <c r="H106" t="s">
        <v>36</v>
      </c>
      <c r="I106">
        <v>6.24</v>
      </c>
      <c r="J106" s="2"/>
      <c r="K106" s="2"/>
    </row>
    <row r="107" spans="1:11" x14ac:dyDescent="0.25">
      <c r="A107" s="1">
        <v>44784.729930555557</v>
      </c>
      <c r="B107" s="1">
        <v>44784.729884259257</v>
      </c>
      <c r="C107">
        <v>11.3</v>
      </c>
      <c r="D107">
        <v>10.6</v>
      </c>
      <c r="E107">
        <v>41</v>
      </c>
      <c r="F107">
        <v>0</v>
      </c>
      <c r="G107" t="s">
        <v>33</v>
      </c>
      <c r="H107" t="s">
        <v>36</v>
      </c>
      <c r="I107">
        <v>5.97</v>
      </c>
      <c r="J107" s="2"/>
      <c r="K107" s="2"/>
    </row>
    <row r="108" spans="1:11" x14ac:dyDescent="0.25">
      <c r="A108" s="1">
        <v>44784.736886574072</v>
      </c>
      <c r="B108" s="1">
        <v>44784.736828703702</v>
      </c>
      <c r="C108">
        <v>11</v>
      </c>
      <c r="D108">
        <v>10.199999999999999</v>
      </c>
      <c r="E108">
        <v>41</v>
      </c>
      <c r="F108">
        <v>0</v>
      </c>
      <c r="G108" t="s">
        <v>33</v>
      </c>
      <c r="H108" t="s">
        <v>36</v>
      </c>
      <c r="I108">
        <v>5.76</v>
      </c>
      <c r="J108" s="2"/>
      <c r="K108" s="2"/>
    </row>
    <row r="109" spans="1:11" x14ac:dyDescent="0.25">
      <c r="A109" s="1">
        <v>44784.743819444448</v>
      </c>
      <c r="B109" s="1">
        <v>44784.743773148148</v>
      </c>
      <c r="C109">
        <v>10.7</v>
      </c>
      <c r="D109">
        <v>10.1</v>
      </c>
      <c r="E109">
        <v>41</v>
      </c>
      <c r="F109">
        <v>0</v>
      </c>
      <c r="G109" t="s">
        <v>33</v>
      </c>
      <c r="H109" t="s">
        <v>36</v>
      </c>
      <c r="I109">
        <v>5.63</v>
      </c>
      <c r="J109" s="2"/>
      <c r="K109" s="2"/>
    </row>
    <row r="110" spans="1:11" x14ac:dyDescent="0.25">
      <c r="A110" s="1">
        <v>44784.750775462962</v>
      </c>
      <c r="B110" s="1">
        <v>44784.750717592593</v>
      </c>
      <c r="C110">
        <v>10.7</v>
      </c>
      <c r="D110">
        <v>9.6999999999999993</v>
      </c>
      <c r="E110">
        <v>44</v>
      </c>
      <c r="F110">
        <v>0</v>
      </c>
      <c r="G110" t="s">
        <v>33</v>
      </c>
      <c r="H110" t="s">
        <v>36</v>
      </c>
      <c r="I110">
        <v>5.3</v>
      </c>
      <c r="J110">
        <f>IF(COUNT(I105:I110)&gt;3.5,ROUND(AVERAGE(I105:I110),2),"")</f>
        <v>5.89</v>
      </c>
      <c r="K110">
        <f>IF(COUNT(1.99, -0.43, -0.25, -0.14, -0.09, 0.08, 0.22, 0.26, 0.89, 2.66, 3.61, 3.97, 4.36, 4.46, 4.61, 4.94, 5.45, 6.3, 5.89, 2.55, 2.07, 1.8, 3.09, 2.92)&gt;17.5,ROUND(AVERAGE(1.99, -0.43, -0.25, -0.14, -0.09, 0.08, 0.22, 0.26, 0.89, 2.66, 3.61, 3.97, 4.36, 4.46, 4.61, 4.94, 5.45, 6.3, 5.89, 2.55, 2.07, 1.8, 3.09, 2.92),2),"NO AVG")</f>
        <v>2.5499999999999998</v>
      </c>
    </row>
    <row r="111" spans="1:11" x14ac:dyDescent="0.25">
      <c r="A111" s="1">
        <v>44784.757719907408</v>
      </c>
      <c r="B111" s="1">
        <v>44784.757662037038</v>
      </c>
      <c r="C111">
        <v>10.3</v>
      </c>
      <c r="D111">
        <v>9.6999999999999993</v>
      </c>
      <c r="E111">
        <v>44</v>
      </c>
      <c r="F111">
        <v>0</v>
      </c>
      <c r="G111" t="s">
        <v>33</v>
      </c>
      <c r="H111" t="s">
        <v>36</v>
      </c>
      <c r="I111">
        <v>5.18</v>
      </c>
      <c r="J111" s="2"/>
      <c r="K111" s="2"/>
    </row>
    <row r="112" spans="1:11" x14ac:dyDescent="0.25">
      <c r="A112" s="1">
        <v>44784.764652777776</v>
      </c>
      <c r="B112" s="1">
        <v>44784.764606481483</v>
      </c>
      <c r="C112">
        <v>11.1</v>
      </c>
      <c r="D112">
        <v>9.6999999999999993</v>
      </c>
      <c r="E112">
        <v>43</v>
      </c>
      <c r="F112">
        <v>0</v>
      </c>
      <c r="G112" t="s">
        <v>33</v>
      </c>
      <c r="H112" t="s">
        <v>36</v>
      </c>
      <c r="I112">
        <v>5.49</v>
      </c>
      <c r="J112" s="2"/>
      <c r="K112" s="2"/>
    </row>
    <row r="113" spans="1:11" x14ac:dyDescent="0.25">
      <c r="A113" s="1">
        <v>44784.771597222221</v>
      </c>
      <c r="B113" s="1">
        <v>44784.771550925929</v>
      </c>
      <c r="C113">
        <v>11.2</v>
      </c>
      <c r="D113">
        <v>9.6</v>
      </c>
      <c r="E113">
        <v>45</v>
      </c>
      <c r="F113">
        <v>0</v>
      </c>
      <c r="G113" t="s">
        <v>33</v>
      </c>
      <c r="H113" t="s">
        <v>36</v>
      </c>
      <c r="I113">
        <v>5.35</v>
      </c>
      <c r="J113" s="2"/>
      <c r="K113" s="2"/>
    </row>
    <row r="114" spans="1:11" x14ac:dyDescent="0.25">
      <c r="A114" s="1">
        <v>44784.778553240743</v>
      </c>
      <c r="B114" s="1">
        <v>44784.778495370374</v>
      </c>
      <c r="C114">
        <v>10.8</v>
      </c>
      <c r="D114">
        <v>9.6999999999999993</v>
      </c>
      <c r="E114">
        <v>46</v>
      </c>
      <c r="F114">
        <v>0</v>
      </c>
      <c r="G114" t="s">
        <v>33</v>
      </c>
      <c r="H114" t="s">
        <v>36</v>
      </c>
      <c r="I114">
        <v>5.19</v>
      </c>
      <c r="J114" s="2"/>
      <c r="K114" s="2"/>
    </row>
    <row r="115" spans="1:11" x14ac:dyDescent="0.25">
      <c r="A115" s="1">
        <v>44784.785509259258</v>
      </c>
      <c r="B115" s="1">
        <v>44784.785439814812</v>
      </c>
      <c r="C115">
        <v>10.7</v>
      </c>
      <c r="D115">
        <v>9.8000000000000007</v>
      </c>
      <c r="E115">
        <v>47</v>
      </c>
      <c r="F115">
        <v>0</v>
      </c>
      <c r="G115" t="s">
        <v>33</v>
      </c>
      <c r="H115" t="s">
        <v>36</v>
      </c>
      <c r="I115">
        <v>5.12</v>
      </c>
      <c r="J115" s="2"/>
      <c r="K115" s="2"/>
    </row>
    <row r="116" spans="1:11" x14ac:dyDescent="0.25">
      <c r="A116" s="1">
        <v>44784.792442129627</v>
      </c>
      <c r="B116" s="1">
        <v>44784.792384259257</v>
      </c>
      <c r="C116">
        <v>10.8</v>
      </c>
      <c r="D116">
        <v>9.9</v>
      </c>
      <c r="E116">
        <v>48</v>
      </c>
      <c r="F116">
        <v>0</v>
      </c>
      <c r="G116" t="s">
        <v>33</v>
      </c>
      <c r="H116" t="s">
        <v>36</v>
      </c>
      <c r="I116">
        <v>5.1100000000000003</v>
      </c>
      <c r="J116">
        <f>IF(COUNT(I111:I116)&gt;3.5,ROUND(AVERAGE(I111:I116),2),"")</f>
        <v>5.24</v>
      </c>
      <c r="K116">
        <f>IF(COUNT(1.99, -0.43, -0.25, -0.14, -0.09, 0.08, 0.22, 0.26, 0.89, 2.66, 3.61, 3.97, 4.36, 4.46, 4.61, 4.94, 5.45, 6.3, 5.89, 5.24, 2.07, 1.8, 3.09, 2.92)&gt;17.5,ROUND(AVERAGE(1.99, -0.43, -0.25, -0.14, -0.09, 0.08, 0.22, 0.26, 0.89, 2.66, 3.61, 3.97, 4.36, 4.46, 4.61, 4.94, 5.45, 6.3, 5.89, 5.24, 2.07, 1.8, 3.09, 2.92),2),"NO AVG")</f>
        <v>2.66</v>
      </c>
    </row>
    <row r="117" spans="1:11" x14ac:dyDescent="0.25">
      <c r="A117" s="1">
        <v>44784.799386574072</v>
      </c>
      <c r="B117" s="1">
        <v>44784.799328703702</v>
      </c>
      <c r="C117">
        <v>10.6</v>
      </c>
      <c r="D117">
        <v>10</v>
      </c>
      <c r="E117">
        <v>49</v>
      </c>
      <c r="F117">
        <v>0</v>
      </c>
      <c r="G117" t="s">
        <v>33</v>
      </c>
      <c r="H117" t="s">
        <v>36</v>
      </c>
      <c r="I117">
        <v>5.01</v>
      </c>
      <c r="J117" s="2"/>
      <c r="K117" s="2"/>
    </row>
    <row r="118" spans="1:11" x14ac:dyDescent="0.25">
      <c r="A118" s="1">
        <v>44784.806377314817</v>
      </c>
      <c r="B118" s="1">
        <v>44784.806273148148</v>
      </c>
      <c r="C118">
        <v>10.6</v>
      </c>
      <c r="D118">
        <v>10</v>
      </c>
      <c r="E118">
        <v>50</v>
      </c>
      <c r="F118">
        <v>0</v>
      </c>
      <c r="G118" t="s">
        <v>33</v>
      </c>
      <c r="H118" t="s">
        <v>36</v>
      </c>
      <c r="I118">
        <v>4.9400000000000004</v>
      </c>
      <c r="J118" s="2"/>
      <c r="K118" s="2"/>
    </row>
    <row r="119" spans="1:11" x14ac:dyDescent="0.25">
      <c r="A119" s="1">
        <v>44784.813275462962</v>
      </c>
      <c r="B119" s="1">
        <v>44784.813217592593</v>
      </c>
      <c r="C119">
        <v>11</v>
      </c>
      <c r="D119">
        <v>10.3</v>
      </c>
      <c r="E119">
        <v>51</v>
      </c>
      <c r="F119">
        <v>0</v>
      </c>
      <c r="G119" t="s">
        <v>33</v>
      </c>
      <c r="H119" t="s">
        <v>36</v>
      </c>
      <c r="I119">
        <v>5.09</v>
      </c>
      <c r="J119" s="2"/>
      <c r="K119" s="2"/>
    </row>
    <row r="120" spans="1:11" x14ac:dyDescent="0.25">
      <c r="A120" s="1">
        <v>44784.820219907408</v>
      </c>
      <c r="B120" s="1">
        <v>44784.820162037038</v>
      </c>
      <c r="C120">
        <v>10.9</v>
      </c>
      <c r="D120">
        <v>10.4</v>
      </c>
      <c r="E120">
        <v>51</v>
      </c>
      <c r="F120">
        <v>0</v>
      </c>
      <c r="G120" t="s">
        <v>33</v>
      </c>
      <c r="H120" t="s">
        <v>36</v>
      </c>
      <c r="I120">
        <v>5.09</v>
      </c>
      <c r="J120" s="2"/>
      <c r="K120" s="2"/>
    </row>
    <row r="121" spans="1:11" x14ac:dyDescent="0.25">
      <c r="A121" s="1">
        <v>44784.827164351853</v>
      </c>
      <c r="B121" s="1">
        <v>44784.827106481483</v>
      </c>
      <c r="C121">
        <v>10.9</v>
      </c>
      <c r="D121">
        <v>10.5</v>
      </c>
      <c r="E121">
        <v>52</v>
      </c>
      <c r="F121">
        <v>0</v>
      </c>
      <c r="G121" t="s">
        <v>33</v>
      </c>
      <c r="H121" t="s">
        <v>36</v>
      </c>
      <c r="I121">
        <v>5.05</v>
      </c>
      <c r="J121" s="2"/>
      <c r="K121" s="2"/>
    </row>
    <row r="122" spans="1:11" x14ac:dyDescent="0.25">
      <c r="A122" s="1">
        <v>44784.834108796298</v>
      </c>
      <c r="B122" s="1">
        <v>44784.834050925929</v>
      </c>
      <c r="C122">
        <v>11</v>
      </c>
      <c r="D122">
        <v>10.7</v>
      </c>
      <c r="E122">
        <v>53</v>
      </c>
      <c r="F122">
        <v>0</v>
      </c>
      <c r="G122" t="s">
        <v>33</v>
      </c>
      <c r="H122" t="s">
        <v>36</v>
      </c>
      <c r="I122">
        <v>5.07</v>
      </c>
      <c r="J122">
        <f>IF(COUNT(I117:I122)&gt;3.5,ROUND(AVERAGE(I117:I122),2),"")</f>
        <v>5.04</v>
      </c>
      <c r="K122">
        <f>IF(COUNT(1.99, -0.43, -0.25, -0.14, -0.09, 0.08, 0.22, 0.26, 0.89, 2.66, 3.61, 3.97, 4.36, 4.46, 4.61, 4.94, 5.45, 6.3, 5.89, 5.24, 5.04, 1.8, 3.09, 2.92)&gt;17.5,ROUND(AVERAGE(1.99, -0.43, -0.25, -0.14, -0.09, 0.08, 0.22, 0.26, 0.89, 2.66, 3.61, 3.97, 4.36, 4.46, 4.61, 4.94, 5.45, 6.3, 5.89, 5.24, 5.04, 1.8, 3.09, 2.92),2),"NO AVG")</f>
        <v>2.79</v>
      </c>
    </row>
    <row r="123" spans="1:11" x14ac:dyDescent="0.25">
      <c r="A123" s="1">
        <v>44784.841053240743</v>
      </c>
      <c r="B123" s="1">
        <v>44784.840995370374</v>
      </c>
      <c r="C123">
        <v>11</v>
      </c>
      <c r="D123">
        <v>10.8</v>
      </c>
      <c r="E123">
        <v>54</v>
      </c>
      <c r="F123">
        <v>0</v>
      </c>
      <c r="G123" t="s">
        <v>33</v>
      </c>
      <c r="H123" t="s">
        <v>36</v>
      </c>
      <c r="I123">
        <v>5.03</v>
      </c>
      <c r="J123" s="2"/>
      <c r="K123" s="2"/>
    </row>
    <row r="124" spans="1:11" x14ac:dyDescent="0.25">
      <c r="A124" s="1">
        <v>44784.847997685189</v>
      </c>
      <c r="B124" s="1">
        <v>44784.847939814812</v>
      </c>
      <c r="C124">
        <v>11.3</v>
      </c>
      <c r="D124">
        <v>10.9</v>
      </c>
      <c r="E124">
        <v>54</v>
      </c>
      <c r="F124">
        <v>0</v>
      </c>
      <c r="G124" t="s">
        <v>33</v>
      </c>
      <c r="H124" t="s">
        <v>36</v>
      </c>
      <c r="I124">
        <v>5.15</v>
      </c>
      <c r="J124" s="2"/>
      <c r="K124" s="2"/>
    </row>
    <row r="125" spans="1:11" x14ac:dyDescent="0.25">
      <c r="A125" s="1">
        <v>44784.854942129627</v>
      </c>
      <c r="B125" s="1">
        <v>44784.854884259257</v>
      </c>
      <c r="C125">
        <v>11.3</v>
      </c>
      <c r="D125">
        <v>10.9</v>
      </c>
      <c r="E125">
        <v>55</v>
      </c>
      <c r="F125">
        <v>0</v>
      </c>
      <c r="G125" t="s">
        <v>33</v>
      </c>
      <c r="H125" t="s">
        <v>36</v>
      </c>
      <c r="I125">
        <v>5.08</v>
      </c>
      <c r="J125" s="2"/>
      <c r="K125" s="2"/>
    </row>
    <row r="126" spans="1:11" x14ac:dyDescent="0.25">
      <c r="A126" s="1">
        <v>44784.861886574072</v>
      </c>
      <c r="B126" s="1">
        <v>44784.861828703702</v>
      </c>
      <c r="C126">
        <v>11.7</v>
      </c>
      <c r="D126">
        <v>11.1</v>
      </c>
      <c r="E126">
        <v>56</v>
      </c>
      <c r="F126">
        <v>0</v>
      </c>
      <c r="G126" t="s">
        <v>33</v>
      </c>
      <c r="H126" t="s">
        <v>36</v>
      </c>
      <c r="I126">
        <v>5.19</v>
      </c>
      <c r="J126" s="2"/>
      <c r="K126" s="2"/>
    </row>
    <row r="127" spans="1:11" x14ac:dyDescent="0.25">
      <c r="A127" s="1">
        <v>44784.868831018517</v>
      </c>
      <c r="B127" s="1">
        <v>44784.868773148148</v>
      </c>
      <c r="C127">
        <v>11.8</v>
      </c>
      <c r="D127">
        <v>11.1</v>
      </c>
      <c r="E127">
        <v>56</v>
      </c>
      <c r="F127">
        <v>0</v>
      </c>
      <c r="G127" t="s">
        <v>33</v>
      </c>
      <c r="H127" t="s">
        <v>36</v>
      </c>
      <c r="I127">
        <v>5.22</v>
      </c>
      <c r="J127" s="2"/>
      <c r="K127" s="2"/>
    </row>
    <row r="128" spans="1:11" x14ac:dyDescent="0.25">
      <c r="A128" s="1">
        <v>44784.875775462962</v>
      </c>
      <c r="B128" s="1">
        <v>44784.875717592593</v>
      </c>
      <c r="C128">
        <v>11.8</v>
      </c>
      <c r="D128">
        <v>11.1</v>
      </c>
      <c r="E128">
        <v>57</v>
      </c>
      <c r="F128">
        <v>0</v>
      </c>
      <c r="G128" t="s">
        <v>33</v>
      </c>
      <c r="H128" t="s">
        <v>36</v>
      </c>
      <c r="I128">
        <v>5.15</v>
      </c>
      <c r="J128">
        <f>IF(COUNT(I123:I128)&gt;3.5,ROUND(AVERAGE(I123:I128),2),"")</f>
        <v>5.14</v>
      </c>
      <c r="K128">
        <f>IF(COUNT(1.99, -0.43, -0.25, -0.14, -0.09, 0.08, 0.22, 0.26, 0.89, 2.66, 3.61, 3.97, 4.36, 4.46, 4.61, 4.94, 5.45, 6.3, 5.89, 5.24, 5.04, 5.14, 3.09, 2.92)&gt;17.5,ROUND(AVERAGE(1.99, -0.43, -0.25, -0.14, -0.09, 0.08, 0.22, 0.26, 0.89, 2.66, 3.61, 3.97, 4.36, 4.46, 4.61, 4.94, 5.45, 6.3, 5.89, 5.24, 5.04, 5.14, 3.09, 2.92),2),"NO AVG")</f>
        <v>2.93</v>
      </c>
    </row>
    <row r="129" spans="1:11" x14ac:dyDescent="0.25">
      <c r="A129" s="1">
        <v>44784.882731481484</v>
      </c>
      <c r="B129" s="1">
        <v>44784.882662037038</v>
      </c>
      <c r="C129">
        <v>11.8</v>
      </c>
      <c r="D129">
        <v>11.3</v>
      </c>
      <c r="E129">
        <v>57</v>
      </c>
      <c r="F129">
        <v>0</v>
      </c>
      <c r="G129" t="s">
        <v>33</v>
      </c>
      <c r="H129" t="s">
        <v>36</v>
      </c>
      <c r="I129">
        <v>5.22</v>
      </c>
      <c r="J129" s="2"/>
      <c r="K129" s="2"/>
    </row>
    <row r="130" spans="1:11" x14ac:dyDescent="0.25">
      <c r="A130" s="1">
        <v>44784.889664351853</v>
      </c>
      <c r="B130" s="1">
        <v>44784.889606481483</v>
      </c>
      <c r="C130">
        <v>11.8</v>
      </c>
      <c r="D130">
        <v>11.3</v>
      </c>
      <c r="E130">
        <v>57</v>
      </c>
      <c r="F130">
        <v>0</v>
      </c>
      <c r="G130" t="s">
        <v>33</v>
      </c>
      <c r="H130" t="s">
        <v>36</v>
      </c>
      <c r="I130">
        <v>5.22</v>
      </c>
      <c r="J130" s="2"/>
      <c r="K130" s="2"/>
    </row>
    <row r="131" spans="1:11" x14ac:dyDescent="0.25">
      <c r="A131" s="1">
        <v>44784.896608796298</v>
      </c>
      <c r="B131" s="1">
        <v>44784.896550925929</v>
      </c>
      <c r="C131">
        <v>11.9</v>
      </c>
      <c r="D131">
        <v>11.4</v>
      </c>
      <c r="E131">
        <v>57</v>
      </c>
      <c r="F131">
        <v>0</v>
      </c>
      <c r="G131" t="s">
        <v>33</v>
      </c>
      <c r="H131" t="s">
        <v>36</v>
      </c>
      <c r="I131">
        <v>5.28</v>
      </c>
      <c r="J131" s="2"/>
      <c r="K131" s="2"/>
    </row>
    <row r="132" spans="1:11" x14ac:dyDescent="0.25">
      <c r="A132" s="1">
        <v>44784.903553240743</v>
      </c>
      <c r="B132" s="1">
        <v>44784.903495370374</v>
      </c>
      <c r="C132">
        <v>11.9</v>
      </c>
      <c r="D132">
        <v>11.6</v>
      </c>
      <c r="E132">
        <v>58</v>
      </c>
      <c r="F132">
        <v>0</v>
      </c>
      <c r="G132" t="s">
        <v>33</v>
      </c>
      <c r="H132" t="s">
        <v>36</v>
      </c>
      <c r="I132">
        <v>5.27</v>
      </c>
      <c r="J132" s="2"/>
      <c r="K132" s="2"/>
    </row>
    <row r="133" spans="1:11" x14ac:dyDescent="0.25">
      <c r="A133" s="1">
        <v>44784.910509259258</v>
      </c>
      <c r="B133" s="1">
        <v>44784.910439814812</v>
      </c>
      <c r="C133">
        <v>11.9</v>
      </c>
      <c r="D133">
        <v>11.4</v>
      </c>
      <c r="E133">
        <v>58</v>
      </c>
      <c r="F133">
        <v>0</v>
      </c>
      <c r="G133" t="s">
        <v>33</v>
      </c>
      <c r="H133" t="s">
        <v>36</v>
      </c>
      <c r="I133">
        <v>5.21</v>
      </c>
      <c r="J133" s="2"/>
      <c r="K133" s="2"/>
    </row>
    <row r="134" spans="1:11" x14ac:dyDescent="0.25">
      <c r="A134" s="1">
        <v>44784.917442129627</v>
      </c>
      <c r="B134" s="1">
        <v>44784.917384259257</v>
      </c>
      <c r="C134">
        <v>15.3</v>
      </c>
      <c r="D134">
        <v>11.4</v>
      </c>
      <c r="E134">
        <v>58</v>
      </c>
      <c r="F134">
        <v>0</v>
      </c>
      <c r="G134" t="s">
        <v>33</v>
      </c>
      <c r="H134" t="s">
        <v>36</v>
      </c>
      <c r="I134">
        <v>6.24</v>
      </c>
      <c r="J134">
        <f>IF(COUNT(I129:I134)&gt;3.5,ROUND(AVERAGE(I129:I134),2),"")</f>
        <v>5.41</v>
      </c>
      <c r="K134">
        <f>IF(COUNT(1.99, -0.43, -0.25, -0.14, -0.09, 0.08, 0.22, 0.26, 0.89, 2.66, 3.61, 3.97, 4.36, 4.46, 4.61, 4.94, 5.45, 6.3, 5.89, 5.24, 5.04, 5.14, 5.41, 2.92)&gt;17.5,ROUND(AVERAGE(1.99, -0.43, -0.25, -0.14, -0.09, 0.08, 0.22, 0.26, 0.89, 2.66, 3.61, 3.97, 4.36, 4.46, 4.61, 4.94, 5.45, 6.3, 5.89, 5.24, 5.04, 5.14, 5.41, 2.92),2),"NO AVG")</f>
        <v>3.02</v>
      </c>
    </row>
    <row r="135" spans="1:11" x14ac:dyDescent="0.25">
      <c r="A135" s="1">
        <v>44784.924386574072</v>
      </c>
      <c r="B135" s="1">
        <v>44784.924328703702</v>
      </c>
      <c r="C135">
        <v>24.3</v>
      </c>
      <c r="D135">
        <v>11.4</v>
      </c>
      <c r="E135">
        <v>59</v>
      </c>
      <c r="F135">
        <v>0</v>
      </c>
      <c r="G135" t="s">
        <v>60</v>
      </c>
      <c r="H135" t="s">
        <v>36</v>
      </c>
      <c r="J135" s="2"/>
      <c r="K135" s="2"/>
    </row>
    <row r="136" spans="1:11" x14ac:dyDescent="0.25">
      <c r="A136" s="1">
        <v>44784.931331018517</v>
      </c>
      <c r="B136" s="1">
        <v>44784.931273148148</v>
      </c>
      <c r="C136">
        <v>30.2</v>
      </c>
      <c r="D136">
        <v>11.5</v>
      </c>
      <c r="E136">
        <v>60</v>
      </c>
      <c r="F136">
        <v>0</v>
      </c>
      <c r="G136" t="s">
        <v>60</v>
      </c>
      <c r="H136" t="s">
        <v>36</v>
      </c>
      <c r="J136" s="2"/>
      <c r="K136" s="2"/>
    </row>
    <row r="137" spans="1:11" x14ac:dyDescent="0.25">
      <c r="A137" s="1">
        <v>44784.938275462962</v>
      </c>
      <c r="B137" s="1">
        <v>44784.938217592593</v>
      </c>
      <c r="C137">
        <v>30</v>
      </c>
      <c r="D137">
        <v>11.7</v>
      </c>
      <c r="E137">
        <v>60</v>
      </c>
      <c r="F137">
        <v>0</v>
      </c>
      <c r="G137" t="s">
        <v>60</v>
      </c>
      <c r="H137" t="s">
        <v>36</v>
      </c>
      <c r="J137" s="2"/>
      <c r="K137" s="2"/>
    </row>
    <row r="138" spans="1:11" x14ac:dyDescent="0.25">
      <c r="A138" s="1">
        <v>44784.945219907408</v>
      </c>
      <c r="B138" s="1">
        <v>44784.945162037038</v>
      </c>
      <c r="C138">
        <v>28.4</v>
      </c>
      <c r="D138">
        <v>11.8</v>
      </c>
      <c r="E138">
        <v>60</v>
      </c>
      <c r="F138">
        <v>0</v>
      </c>
      <c r="G138" t="s">
        <v>60</v>
      </c>
      <c r="H138" t="s">
        <v>36</v>
      </c>
      <c r="J138" s="2"/>
      <c r="K138" s="2"/>
    </row>
    <row r="139" spans="1:11" x14ac:dyDescent="0.25">
      <c r="A139" s="1">
        <v>44784.952164351853</v>
      </c>
      <c r="B139" s="1">
        <v>44784.952106481483</v>
      </c>
      <c r="C139">
        <v>21.7</v>
      </c>
      <c r="D139">
        <v>11.9</v>
      </c>
      <c r="E139">
        <v>60</v>
      </c>
      <c r="F139">
        <v>0</v>
      </c>
      <c r="G139" t="s">
        <v>33</v>
      </c>
      <c r="H139" t="s">
        <v>36</v>
      </c>
      <c r="I139">
        <v>8.2100000000000009</v>
      </c>
      <c r="J139" s="2"/>
      <c r="K139" s="2"/>
    </row>
    <row r="140" spans="1:11" x14ac:dyDescent="0.25">
      <c r="A140" s="1">
        <v>44784.959120370368</v>
      </c>
      <c r="B140" s="1">
        <v>44784.959050925929</v>
      </c>
      <c r="C140">
        <v>17.7</v>
      </c>
      <c r="D140">
        <v>12</v>
      </c>
      <c r="E140">
        <v>60</v>
      </c>
      <c r="F140">
        <v>0</v>
      </c>
      <c r="G140" t="s">
        <v>33</v>
      </c>
      <c r="H140" t="s">
        <v>36</v>
      </c>
      <c r="I140">
        <v>7.02</v>
      </c>
      <c r="J140" t="str">
        <f>IF(COUNT(I135:I140)&gt;3.5,ROUND(AVERAGE(I135:I140),2),"")</f>
        <v/>
      </c>
      <c r="K140">
        <f>IF(COUNT(1.99, -0.43, -0.25, -0.14, -0.09, 0.08, 0.22, 0.26, 0.89, 2.66, 3.61, 3.97, 4.36, 4.46, 4.61, 4.94, 5.45, 6.3, 5.89, 5.24, 5.04, 5.14, 5.41, )&gt;17.5,ROUND(AVERAGE(1.99, -0.43, -0.25, -0.14, -0.09, 0.08, 0.22, 0.26, 0.89, 2.66, 3.61, 3.97, 4.36, 4.46, 4.61, 4.94, 5.45, 6.3, 5.89, 5.24, 5.04, 5.14, 5.41, ),2),"NO AVG")</f>
        <v>2.9</v>
      </c>
    </row>
    <row r="141" spans="1:11" x14ac:dyDescent="0.25">
      <c r="A141" s="1">
        <v>44784.966064814813</v>
      </c>
      <c r="B141" s="1">
        <v>44784.965995370374</v>
      </c>
      <c r="C141">
        <v>15.7</v>
      </c>
      <c r="D141">
        <v>12.2</v>
      </c>
      <c r="E141">
        <v>60</v>
      </c>
      <c r="F141">
        <v>0</v>
      </c>
      <c r="G141" t="s">
        <v>33</v>
      </c>
      <c r="H141" t="s">
        <v>36</v>
      </c>
      <c r="I141">
        <v>6.47</v>
      </c>
      <c r="J141" s="2"/>
      <c r="K141" s="2"/>
    </row>
    <row r="142" spans="1:11" x14ac:dyDescent="0.25">
      <c r="A142" s="1">
        <v>44784.972997685189</v>
      </c>
      <c r="B142" s="1">
        <v>44784.972939814812</v>
      </c>
      <c r="C142">
        <v>14.4</v>
      </c>
      <c r="D142">
        <v>12.3</v>
      </c>
      <c r="E142">
        <v>60</v>
      </c>
      <c r="F142">
        <v>0</v>
      </c>
      <c r="G142" t="s">
        <v>33</v>
      </c>
      <c r="H142" t="s">
        <v>36</v>
      </c>
      <c r="I142">
        <v>6.1</v>
      </c>
      <c r="J142" s="2"/>
      <c r="K142" s="2"/>
    </row>
    <row r="143" spans="1:11" x14ac:dyDescent="0.25">
      <c r="A143" s="1">
        <v>44784.979942129627</v>
      </c>
      <c r="B143" s="1">
        <v>44784.979884259257</v>
      </c>
      <c r="C143">
        <v>13.6</v>
      </c>
      <c r="D143">
        <v>12.2</v>
      </c>
      <c r="E143">
        <v>60</v>
      </c>
      <c r="F143">
        <v>0</v>
      </c>
      <c r="G143" t="s">
        <v>33</v>
      </c>
      <c r="H143" t="s">
        <v>36</v>
      </c>
      <c r="I143">
        <v>5.83</v>
      </c>
      <c r="J143" s="2"/>
      <c r="K143" s="2"/>
    </row>
    <row r="144" spans="1:11" x14ac:dyDescent="0.25">
      <c r="A144" s="1">
        <v>44784.986886574072</v>
      </c>
      <c r="B144" s="1">
        <v>44784.986828703702</v>
      </c>
      <c r="C144">
        <v>12.8</v>
      </c>
      <c r="D144">
        <v>11.9</v>
      </c>
      <c r="E144">
        <v>60</v>
      </c>
      <c r="F144">
        <v>0</v>
      </c>
      <c r="G144" t="s">
        <v>33</v>
      </c>
      <c r="H144" t="s">
        <v>36</v>
      </c>
      <c r="I144">
        <v>5.49</v>
      </c>
      <c r="J144" s="2"/>
      <c r="K144" s="2"/>
    </row>
    <row r="145" spans="1:12" x14ac:dyDescent="0.25">
      <c r="A145" s="1">
        <v>44784.993831018517</v>
      </c>
      <c r="B145" s="1">
        <v>44784.993773148148</v>
      </c>
      <c r="C145">
        <v>12.7</v>
      </c>
      <c r="D145">
        <v>12.2</v>
      </c>
      <c r="E145">
        <v>61</v>
      </c>
      <c r="F145">
        <v>0</v>
      </c>
      <c r="G145" t="s">
        <v>33</v>
      </c>
      <c r="H145" t="s">
        <v>36</v>
      </c>
      <c r="I145">
        <v>5.48</v>
      </c>
      <c r="J145" s="2"/>
      <c r="K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7121D-F00F-462F-B7E1-9833C5B57A95}">
  <sheetPr codeName="Sheet11"/>
  <dimension ref="A1:M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3" max="13" width="6.7109375" bestFit="1" customWidth="1"/>
  </cols>
  <sheetData>
    <row r="1" spans="1:13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M1" t="s">
        <v>3</v>
      </c>
    </row>
    <row r="2" spans="1:13" x14ac:dyDescent="0.25">
      <c r="A2" s="1">
        <v>44784.000752314816</v>
      </c>
      <c r="B2" s="1">
        <v>44784.000717592593</v>
      </c>
      <c r="C2">
        <v>3.8</v>
      </c>
      <c r="D2">
        <v>3.1</v>
      </c>
      <c r="E2">
        <v>35</v>
      </c>
      <c r="F2">
        <v>0</v>
      </c>
      <c r="G2" t="s">
        <v>32</v>
      </c>
      <c r="H2" t="s">
        <v>36</v>
      </c>
      <c r="K2" t="str">
        <f>IF(COUNT(, NA, NA, NA, NA, NA, NA, NA, NA, NA, NA, NA, NA, NA, NA, NA, NA, NA, NA, NA, NA, NA, NA, NA)&gt;17.5,ROUND(AVERAGE(, 0, 0, 0, 0, 0, 0, 0, 0, 0, 0, 0, 0, 0, 0, 0, 0, 0, 0, 0, 0, 0, 0, 0),2),"NO AVG")</f>
        <v>NO AVG</v>
      </c>
      <c r="M2" t="s">
        <v>45</v>
      </c>
    </row>
    <row r="3" spans="1:13" x14ac:dyDescent="0.25">
      <c r="A3" s="1">
        <v>44784.007719907408</v>
      </c>
      <c r="B3" s="1">
        <v>44784.007662037038</v>
      </c>
      <c r="C3">
        <v>3.8</v>
      </c>
      <c r="D3">
        <v>3.1</v>
      </c>
      <c r="E3">
        <v>35</v>
      </c>
      <c r="F3">
        <v>0</v>
      </c>
      <c r="G3" t="s">
        <v>32</v>
      </c>
      <c r="H3" t="s">
        <v>36</v>
      </c>
      <c r="J3" s="2"/>
      <c r="K3" s="2"/>
    </row>
    <row r="4" spans="1:13" x14ac:dyDescent="0.25">
      <c r="A4" s="1">
        <v>44784.014641203707</v>
      </c>
      <c r="B4" s="1">
        <v>44784.014606481483</v>
      </c>
      <c r="C4">
        <v>3.8</v>
      </c>
      <c r="D4">
        <v>3.1</v>
      </c>
      <c r="E4">
        <v>35</v>
      </c>
      <c r="F4">
        <v>0</v>
      </c>
      <c r="G4" t="s">
        <v>32</v>
      </c>
      <c r="H4" t="s">
        <v>36</v>
      </c>
      <c r="J4" s="2"/>
      <c r="K4" s="2"/>
    </row>
    <row r="5" spans="1:13" x14ac:dyDescent="0.25">
      <c r="A5" s="1">
        <v>44784.021585648145</v>
      </c>
      <c r="B5" s="1">
        <v>44784.021550925929</v>
      </c>
      <c r="C5">
        <v>3.8</v>
      </c>
      <c r="D5">
        <v>3.1</v>
      </c>
      <c r="E5">
        <v>35</v>
      </c>
      <c r="F5">
        <v>0</v>
      </c>
      <c r="G5" t="s">
        <v>32</v>
      </c>
      <c r="H5" t="s">
        <v>36</v>
      </c>
      <c r="J5" s="2"/>
      <c r="K5" s="2"/>
    </row>
    <row r="6" spans="1:13" x14ac:dyDescent="0.25">
      <c r="A6" s="1">
        <v>44784.02853009259</v>
      </c>
      <c r="B6" s="1">
        <v>44784.028495370374</v>
      </c>
      <c r="C6">
        <v>3.8</v>
      </c>
      <c r="D6">
        <v>3.1</v>
      </c>
      <c r="E6">
        <v>35</v>
      </c>
      <c r="F6">
        <v>0</v>
      </c>
      <c r="G6" t="s">
        <v>32</v>
      </c>
      <c r="H6" t="s">
        <v>36</v>
      </c>
      <c r="J6" s="2"/>
      <c r="K6" s="2"/>
    </row>
    <row r="7" spans="1:13" x14ac:dyDescent="0.25">
      <c r="A7" s="1">
        <v>44784.035474537035</v>
      </c>
      <c r="B7" s="1">
        <v>44784.035439814812</v>
      </c>
      <c r="C7">
        <v>3.8</v>
      </c>
      <c r="D7">
        <v>3.1</v>
      </c>
      <c r="E7">
        <v>35</v>
      </c>
      <c r="F7">
        <v>0</v>
      </c>
      <c r="G7" t="s">
        <v>32</v>
      </c>
      <c r="H7" t="s">
        <v>36</v>
      </c>
      <c r="J7" s="2"/>
      <c r="K7" s="2"/>
    </row>
    <row r="8" spans="1:13" x14ac:dyDescent="0.25">
      <c r="A8" s="1">
        <v>44784.04241898148</v>
      </c>
      <c r="B8" s="1">
        <v>44784.042384259257</v>
      </c>
      <c r="C8">
        <v>3.8</v>
      </c>
      <c r="D8">
        <v>3.1</v>
      </c>
      <c r="E8">
        <v>35</v>
      </c>
      <c r="F8">
        <v>0</v>
      </c>
      <c r="G8" t="s">
        <v>32</v>
      </c>
      <c r="H8" t="s">
        <v>36</v>
      </c>
      <c r="J8" t="str">
        <f>IF(COUNT(I3:I8)&gt;3.5,ROUND(AVERAGE(I3:I8),2),"")</f>
        <v/>
      </c>
      <c r="K8" t="str">
        <f>IF(COUNT(, , NA, NA, NA, NA, NA, NA, NA, NA, NA, NA, NA, NA, NA, NA, NA, NA, NA, NA, NA, NA, NA, NA)&gt;17.5,ROUND(AVERAGE(, , 0, 0, 0, 0, 0, 0, 0, 0, 0, 0, 0, 0, 0, 0, 0, 0, 0, 0, 0, 0, 0, 0),2),"NO AVG")</f>
        <v>NO AVG</v>
      </c>
    </row>
    <row r="9" spans="1:13" x14ac:dyDescent="0.25">
      <c r="A9" s="1">
        <v>44784.049363425926</v>
      </c>
      <c r="B9" s="1">
        <v>44784.049328703702</v>
      </c>
      <c r="C9">
        <v>3.8</v>
      </c>
      <c r="D9">
        <v>3.1</v>
      </c>
      <c r="E9">
        <v>35</v>
      </c>
      <c r="F9">
        <v>0</v>
      </c>
      <c r="G9" t="s">
        <v>32</v>
      </c>
      <c r="H9" t="s">
        <v>36</v>
      </c>
      <c r="J9" s="2"/>
      <c r="K9" s="2"/>
    </row>
    <row r="10" spans="1:13" x14ac:dyDescent="0.25">
      <c r="A10" s="1">
        <v>44784.056319444448</v>
      </c>
      <c r="B10" s="1">
        <v>44784.056273148148</v>
      </c>
      <c r="C10">
        <v>3.8</v>
      </c>
      <c r="D10">
        <v>3.1</v>
      </c>
      <c r="E10">
        <v>35</v>
      </c>
      <c r="F10">
        <v>0</v>
      </c>
      <c r="G10" t="s">
        <v>32</v>
      </c>
      <c r="H10" t="s">
        <v>36</v>
      </c>
      <c r="J10" s="2"/>
      <c r="K10" s="2"/>
    </row>
    <row r="11" spans="1:13" x14ac:dyDescent="0.25">
      <c r="A11" s="1">
        <v>44784.063252314816</v>
      </c>
      <c r="B11" s="1">
        <v>44784.063217592593</v>
      </c>
      <c r="C11">
        <v>3.8</v>
      </c>
      <c r="D11">
        <v>3.1</v>
      </c>
      <c r="E11">
        <v>35</v>
      </c>
      <c r="F11">
        <v>0</v>
      </c>
      <c r="G11" t="s">
        <v>32</v>
      </c>
      <c r="H11" t="s">
        <v>36</v>
      </c>
      <c r="J11" s="2"/>
      <c r="K11" s="2"/>
    </row>
    <row r="12" spans="1:13" x14ac:dyDescent="0.25">
      <c r="A12" s="1">
        <v>44784.070196759261</v>
      </c>
      <c r="B12" s="1">
        <v>44784.070162037038</v>
      </c>
      <c r="C12">
        <v>3.8</v>
      </c>
      <c r="D12">
        <v>3.1</v>
      </c>
      <c r="E12">
        <v>35</v>
      </c>
      <c r="F12">
        <v>0</v>
      </c>
      <c r="G12" t="s">
        <v>32</v>
      </c>
      <c r="H12" t="s">
        <v>36</v>
      </c>
      <c r="J12" s="2"/>
      <c r="K12" s="2"/>
    </row>
    <row r="13" spans="1:13" x14ac:dyDescent="0.25">
      <c r="A13" s="1">
        <v>44784.077152777776</v>
      </c>
      <c r="B13" s="1">
        <v>44784.077106481483</v>
      </c>
      <c r="C13">
        <v>3.8</v>
      </c>
      <c r="D13">
        <v>3.1</v>
      </c>
      <c r="E13">
        <v>35</v>
      </c>
      <c r="F13">
        <v>0</v>
      </c>
      <c r="G13" t="s">
        <v>32</v>
      </c>
      <c r="H13" t="s">
        <v>36</v>
      </c>
      <c r="J13" s="2"/>
      <c r="K13" s="2"/>
    </row>
    <row r="14" spans="1:13" x14ac:dyDescent="0.25">
      <c r="A14" s="1">
        <v>44784.084085648145</v>
      </c>
      <c r="B14" s="1">
        <v>44784.084050925929</v>
      </c>
      <c r="C14">
        <v>3.8</v>
      </c>
      <c r="D14">
        <v>3.1</v>
      </c>
      <c r="E14">
        <v>35</v>
      </c>
      <c r="F14">
        <v>0</v>
      </c>
      <c r="G14" t="s">
        <v>32</v>
      </c>
      <c r="H14" t="s">
        <v>36</v>
      </c>
      <c r="J14" t="str">
        <f>IF(COUNT(I9:I14)&gt;3.5,ROUND(AVERAGE(I9:I14),2),"")</f>
        <v/>
      </c>
      <c r="K14" t="str">
        <f>IF(COUNT(, , , NA, NA, NA, NA, NA, NA, NA, NA, NA, NA, NA, NA, NA, NA, NA, NA, NA, NA, NA, NA, NA)&gt;17.5,ROUND(AVERAGE(, , , 0, 0, 0, 0, 0, 0, 0, 0, 0, 0, 0, 0, 0, 0, 0, 0, 0, 0, 0, 0, 0),2),"NO AVG")</f>
        <v>NO AVG</v>
      </c>
    </row>
    <row r="15" spans="1:13" x14ac:dyDescent="0.25">
      <c r="A15" s="1">
        <v>44784.09103009259</v>
      </c>
      <c r="B15" s="1">
        <v>44784.090995370374</v>
      </c>
      <c r="C15">
        <v>3.8</v>
      </c>
      <c r="D15">
        <v>3.1</v>
      </c>
      <c r="E15">
        <v>35</v>
      </c>
      <c r="F15">
        <v>0</v>
      </c>
      <c r="G15" t="s">
        <v>32</v>
      </c>
      <c r="H15" t="s">
        <v>36</v>
      </c>
      <c r="J15" s="2"/>
      <c r="K15" s="2"/>
    </row>
    <row r="16" spans="1:13" x14ac:dyDescent="0.25">
      <c r="A16" s="1">
        <v>44784.097986111112</v>
      </c>
      <c r="B16" s="1">
        <v>44784.097939814812</v>
      </c>
      <c r="C16">
        <v>3.8</v>
      </c>
      <c r="D16">
        <v>3.1</v>
      </c>
      <c r="E16">
        <v>35</v>
      </c>
      <c r="F16">
        <v>0</v>
      </c>
      <c r="G16" t="s">
        <v>32</v>
      </c>
      <c r="H16" t="s">
        <v>36</v>
      </c>
      <c r="J16" s="2"/>
      <c r="K16" s="2"/>
    </row>
    <row r="17" spans="1:11" x14ac:dyDescent="0.25">
      <c r="A17" s="1">
        <v>44784.104930555557</v>
      </c>
      <c r="B17" s="1">
        <v>44784.104884259257</v>
      </c>
      <c r="C17">
        <v>3.8</v>
      </c>
      <c r="D17">
        <v>3.1</v>
      </c>
      <c r="E17">
        <v>35</v>
      </c>
      <c r="F17">
        <v>0</v>
      </c>
      <c r="G17" t="s">
        <v>32</v>
      </c>
      <c r="H17" t="s">
        <v>36</v>
      </c>
      <c r="J17" s="2"/>
      <c r="K17" s="2"/>
    </row>
    <row r="18" spans="1:11" x14ac:dyDescent="0.25">
      <c r="A18" s="1">
        <v>44784.111875000002</v>
      </c>
      <c r="B18" s="1">
        <v>44784.111828703702</v>
      </c>
      <c r="C18">
        <v>3.8</v>
      </c>
      <c r="D18">
        <v>3.1</v>
      </c>
      <c r="E18">
        <v>35</v>
      </c>
      <c r="F18">
        <v>0</v>
      </c>
      <c r="G18" t="s">
        <v>32</v>
      </c>
      <c r="H18" t="s">
        <v>36</v>
      </c>
      <c r="J18" s="2"/>
      <c r="K18" s="2"/>
    </row>
    <row r="19" spans="1:11" x14ac:dyDescent="0.25">
      <c r="A19" s="1">
        <v>44784.118819444448</v>
      </c>
      <c r="B19" s="1">
        <v>44784.118773148148</v>
      </c>
      <c r="C19">
        <v>3.8</v>
      </c>
      <c r="D19">
        <v>3.1</v>
      </c>
      <c r="E19">
        <v>35</v>
      </c>
      <c r="F19">
        <v>0</v>
      </c>
      <c r="G19" t="s">
        <v>32</v>
      </c>
      <c r="H19" t="s">
        <v>36</v>
      </c>
      <c r="J19" s="2"/>
      <c r="K19" s="2"/>
    </row>
    <row r="20" spans="1:11" x14ac:dyDescent="0.25">
      <c r="A20" s="1">
        <v>44784.125763888886</v>
      </c>
      <c r="B20" s="1">
        <v>44784.125717592593</v>
      </c>
      <c r="C20">
        <v>3.8</v>
      </c>
      <c r="D20">
        <v>3.1</v>
      </c>
      <c r="E20">
        <v>35</v>
      </c>
      <c r="F20">
        <v>0</v>
      </c>
      <c r="G20" t="s">
        <v>32</v>
      </c>
      <c r="H20" t="s">
        <v>36</v>
      </c>
      <c r="J20" t="str">
        <f>IF(COUNT(I15:I20)&gt;3.5,ROUND(AVERAGE(I15:I20),2),"")</f>
        <v/>
      </c>
      <c r="K20" t="str">
        <f>IF(COUNT(, , , , NA, NA, NA, NA, NA, NA, NA, NA, NA, NA, NA, NA, NA, NA, NA, NA, NA, NA, NA, NA)&gt;17.5,ROUND(AVERAGE(, , , , 0, 0, 0, 0, 0, 0, 0, 0, 0, 0, 0, 0, 0, 0, 0, 0, 0, 0, 0, 0),2),"NO AVG")</f>
        <v>NO AVG</v>
      </c>
    </row>
    <row r="21" spans="1:11" x14ac:dyDescent="0.25">
      <c r="A21" s="1">
        <v>44784.132708333331</v>
      </c>
      <c r="B21" s="1">
        <v>44784.132662037038</v>
      </c>
      <c r="C21">
        <v>3.8</v>
      </c>
      <c r="D21">
        <v>3.1</v>
      </c>
      <c r="E21">
        <v>35</v>
      </c>
      <c r="F21">
        <v>0</v>
      </c>
      <c r="G21" t="s">
        <v>32</v>
      </c>
      <c r="H21" t="s">
        <v>36</v>
      </c>
      <c r="J21" s="2"/>
      <c r="K21" s="2"/>
    </row>
    <row r="22" spans="1:11" x14ac:dyDescent="0.25">
      <c r="A22" s="1">
        <v>44784.139652777776</v>
      </c>
      <c r="B22" s="1">
        <v>44784.139606481483</v>
      </c>
      <c r="C22">
        <v>3.8</v>
      </c>
      <c r="D22">
        <v>3.1</v>
      </c>
      <c r="E22">
        <v>35</v>
      </c>
      <c r="F22">
        <v>0</v>
      </c>
      <c r="G22" t="s">
        <v>32</v>
      </c>
      <c r="H22" t="s">
        <v>36</v>
      </c>
      <c r="J22" s="2"/>
      <c r="K22" s="2"/>
    </row>
    <row r="23" spans="1:11" x14ac:dyDescent="0.25">
      <c r="A23" s="1">
        <v>44784.146597222221</v>
      </c>
      <c r="B23" s="1">
        <v>44784.146550925929</v>
      </c>
      <c r="C23">
        <v>3.8</v>
      </c>
      <c r="D23">
        <v>3.1</v>
      </c>
      <c r="E23">
        <v>35</v>
      </c>
      <c r="F23">
        <v>0</v>
      </c>
      <c r="G23" t="s">
        <v>32</v>
      </c>
      <c r="H23" t="s">
        <v>36</v>
      </c>
      <c r="J23" s="2"/>
      <c r="K23" s="2"/>
    </row>
    <row r="24" spans="1:11" x14ac:dyDescent="0.25">
      <c r="A24" s="1">
        <v>44784.153541666667</v>
      </c>
      <c r="B24" s="1">
        <v>44784.153495370374</v>
      </c>
      <c r="C24">
        <v>3.8</v>
      </c>
      <c r="D24">
        <v>3.1</v>
      </c>
      <c r="E24">
        <v>35</v>
      </c>
      <c r="F24">
        <v>0</v>
      </c>
      <c r="G24" t="s">
        <v>32</v>
      </c>
      <c r="H24" t="s">
        <v>36</v>
      </c>
      <c r="J24" s="2"/>
      <c r="K24" s="2"/>
    </row>
    <row r="25" spans="1:11" x14ac:dyDescent="0.25">
      <c r="A25" s="1">
        <v>44784.160486111112</v>
      </c>
      <c r="B25" s="1">
        <v>44784.160439814812</v>
      </c>
      <c r="C25">
        <v>3.8</v>
      </c>
      <c r="D25">
        <v>3.1</v>
      </c>
      <c r="E25">
        <v>35</v>
      </c>
      <c r="F25">
        <v>0</v>
      </c>
      <c r="G25" t="s">
        <v>32</v>
      </c>
      <c r="H25" t="s">
        <v>36</v>
      </c>
      <c r="J25" s="2"/>
      <c r="K25" s="2"/>
    </row>
    <row r="26" spans="1:11" x14ac:dyDescent="0.25">
      <c r="A26" s="1">
        <v>44784.167430555557</v>
      </c>
      <c r="B26" s="1">
        <v>44784.167384259257</v>
      </c>
      <c r="C26">
        <v>3.8</v>
      </c>
      <c r="D26">
        <v>3.1</v>
      </c>
      <c r="E26">
        <v>35</v>
      </c>
      <c r="F26">
        <v>0</v>
      </c>
      <c r="G26" t="s">
        <v>32</v>
      </c>
      <c r="H26" t="s">
        <v>36</v>
      </c>
      <c r="J26" t="str">
        <f>IF(COUNT(I21:I26)&gt;3.5,ROUND(AVERAGE(I21:I26),2),"")</f>
        <v/>
      </c>
      <c r="K26" t="str">
        <f>IF(COUNT(, , , , , NA, NA, NA, NA, NA, NA, NA, NA, NA, NA, NA, NA, NA, NA, NA, NA, NA, NA, NA)&gt;17.5,ROUND(AVERAGE(, , , , , 0, 0, 0, 0, 0, 0, 0, 0, 0, 0, 0, 0, 0, 0, 0, 0, 0, 0, 0),2),"NO AVG")</f>
        <v>NO AVG</v>
      </c>
    </row>
    <row r="27" spans="1:11" x14ac:dyDescent="0.25">
      <c r="A27" s="1">
        <v>44784.174386574072</v>
      </c>
      <c r="B27" s="1">
        <v>44784.174328703702</v>
      </c>
      <c r="C27">
        <v>3.8</v>
      </c>
      <c r="D27">
        <v>3.1</v>
      </c>
      <c r="E27">
        <v>35</v>
      </c>
      <c r="F27">
        <v>0</v>
      </c>
      <c r="G27" t="s">
        <v>32</v>
      </c>
      <c r="H27" t="s">
        <v>36</v>
      </c>
      <c r="J27" s="2"/>
      <c r="K27" s="2"/>
    </row>
    <row r="28" spans="1:11" x14ac:dyDescent="0.25">
      <c r="A28" s="1"/>
      <c r="B28" s="1">
        <v>44784.180555555555</v>
      </c>
      <c r="J28" s="2"/>
      <c r="K28" s="2"/>
    </row>
    <row r="29" spans="1:11" x14ac:dyDescent="0.25">
      <c r="A29" s="1">
        <v>44784.188263888886</v>
      </c>
      <c r="B29" s="1">
        <v>44784.188217592593</v>
      </c>
      <c r="C29">
        <v>3.8</v>
      </c>
      <c r="D29">
        <v>3.1</v>
      </c>
      <c r="E29">
        <v>35</v>
      </c>
      <c r="F29">
        <v>0</v>
      </c>
      <c r="G29" t="s">
        <v>32</v>
      </c>
      <c r="H29" t="s">
        <v>36</v>
      </c>
      <c r="J29" s="2"/>
      <c r="K29" s="2"/>
    </row>
    <row r="30" spans="1:11" x14ac:dyDescent="0.25">
      <c r="A30" s="1">
        <v>44784.195208333331</v>
      </c>
      <c r="B30" s="1">
        <v>44784.195162037038</v>
      </c>
      <c r="C30">
        <v>3.8</v>
      </c>
      <c r="D30">
        <v>3.1</v>
      </c>
      <c r="E30">
        <v>35</v>
      </c>
      <c r="F30">
        <v>0</v>
      </c>
      <c r="G30" t="s">
        <v>32</v>
      </c>
      <c r="H30" t="s">
        <v>36</v>
      </c>
      <c r="J30" s="2"/>
      <c r="K30" s="2"/>
    </row>
    <row r="31" spans="1:11" x14ac:dyDescent="0.25">
      <c r="A31" s="1">
        <v>44784.202164351853</v>
      </c>
      <c r="B31" s="1">
        <v>44784.20212962963</v>
      </c>
      <c r="C31">
        <v>3.8</v>
      </c>
      <c r="D31">
        <v>3.1</v>
      </c>
      <c r="E31">
        <v>35</v>
      </c>
      <c r="F31">
        <v>0</v>
      </c>
      <c r="G31" t="s">
        <v>32</v>
      </c>
      <c r="H31" t="s">
        <v>36</v>
      </c>
      <c r="J31" s="2"/>
      <c r="K31" s="2"/>
    </row>
    <row r="32" spans="1:11" x14ac:dyDescent="0.25">
      <c r="A32" s="1">
        <v>44784.209097222221</v>
      </c>
      <c r="B32" s="1">
        <v>44784.209050925929</v>
      </c>
      <c r="C32">
        <v>3.8</v>
      </c>
      <c r="D32">
        <v>3.1</v>
      </c>
      <c r="E32">
        <v>35</v>
      </c>
      <c r="F32">
        <v>0</v>
      </c>
      <c r="G32" t="s">
        <v>32</v>
      </c>
      <c r="H32" t="s">
        <v>36</v>
      </c>
      <c r="J32" t="str">
        <f>IF(COUNT(I27:I32)&gt;3.5,ROUND(AVERAGE(I27:I32),2),"")</f>
        <v/>
      </c>
      <c r="K32" t="str">
        <f>IF(COUNT(, , , , , , NA, NA, NA, NA, NA, NA, NA, NA, NA, NA, NA, NA, NA, NA, NA, NA, NA, NA)&gt;17.5,ROUND(AVERAGE(, , , , , , 0, 0, 0, 0, 0, 0, 0, 0, 0, 0, 0, 0, 0, 0, 0, 0, 0, 0),2),"NO AVG")</f>
        <v>NO AVG</v>
      </c>
    </row>
    <row r="33" spans="1:11" x14ac:dyDescent="0.25">
      <c r="A33" s="1">
        <v>44784.216064814813</v>
      </c>
      <c r="B33" s="1">
        <v>44784.215995370374</v>
      </c>
      <c r="C33">
        <v>3.8</v>
      </c>
      <c r="D33">
        <v>3.1</v>
      </c>
      <c r="E33">
        <v>35</v>
      </c>
      <c r="F33">
        <v>0</v>
      </c>
      <c r="G33" t="s">
        <v>32</v>
      </c>
      <c r="H33" t="s">
        <v>36</v>
      </c>
      <c r="J33" s="2"/>
      <c r="K33" s="2"/>
    </row>
    <row r="34" spans="1:11" x14ac:dyDescent="0.25">
      <c r="A34" s="1">
        <v>44784.222997685189</v>
      </c>
      <c r="B34" s="1">
        <v>44784.222939814812</v>
      </c>
      <c r="C34">
        <v>3.8</v>
      </c>
      <c r="D34">
        <v>3.1</v>
      </c>
      <c r="E34">
        <v>35</v>
      </c>
      <c r="F34">
        <v>0</v>
      </c>
      <c r="G34" t="s">
        <v>32</v>
      </c>
      <c r="H34" t="s">
        <v>36</v>
      </c>
      <c r="J34" s="2"/>
      <c r="K34" s="2"/>
    </row>
    <row r="35" spans="1:11" x14ac:dyDescent="0.25">
      <c r="A35" s="1">
        <v>44784.229930555557</v>
      </c>
      <c r="B35" s="1">
        <v>44784.229884259257</v>
      </c>
      <c r="C35">
        <v>3.8</v>
      </c>
      <c r="D35">
        <v>3.1</v>
      </c>
      <c r="E35">
        <v>35</v>
      </c>
      <c r="F35">
        <v>0</v>
      </c>
      <c r="G35" t="s">
        <v>32</v>
      </c>
      <c r="H35" t="s">
        <v>36</v>
      </c>
      <c r="J35" s="2"/>
      <c r="K35" s="2"/>
    </row>
    <row r="36" spans="1:11" x14ac:dyDescent="0.25">
      <c r="A36" s="1">
        <v>44784.236875000002</v>
      </c>
      <c r="B36" s="1">
        <v>44784.236840277779</v>
      </c>
      <c r="C36">
        <v>3.8</v>
      </c>
      <c r="D36">
        <v>3.1</v>
      </c>
      <c r="E36">
        <v>35</v>
      </c>
      <c r="F36">
        <v>0</v>
      </c>
      <c r="G36" t="s">
        <v>32</v>
      </c>
      <c r="H36" t="s">
        <v>36</v>
      </c>
      <c r="J36" s="2"/>
      <c r="K36" s="2"/>
    </row>
    <row r="37" spans="1:11" x14ac:dyDescent="0.25">
      <c r="A37" s="1">
        <v>44784.243819444448</v>
      </c>
      <c r="B37" s="1">
        <v>44784.243773148148</v>
      </c>
      <c r="C37">
        <v>3.8</v>
      </c>
      <c r="D37">
        <v>3.1</v>
      </c>
      <c r="E37">
        <v>35</v>
      </c>
      <c r="F37">
        <v>0</v>
      </c>
      <c r="G37" t="s">
        <v>32</v>
      </c>
      <c r="H37" t="s">
        <v>36</v>
      </c>
      <c r="J37" s="2"/>
      <c r="K37" s="2"/>
    </row>
    <row r="38" spans="1:11" x14ac:dyDescent="0.25">
      <c r="A38" s="1">
        <v>44784.250775462962</v>
      </c>
      <c r="B38" s="1">
        <v>44784.25072916667</v>
      </c>
      <c r="C38">
        <v>3.8</v>
      </c>
      <c r="D38">
        <v>3.1</v>
      </c>
      <c r="E38">
        <v>35</v>
      </c>
      <c r="F38">
        <v>0</v>
      </c>
      <c r="G38" t="s">
        <v>32</v>
      </c>
      <c r="H38" t="s">
        <v>36</v>
      </c>
      <c r="J38" t="str">
        <f>IF(COUNT(I33:I38)&gt;3.5,ROUND(AVERAGE(I33:I38),2),"")</f>
        <v/>
      </c>
      <c r="K38" t="str">
        <f>IF(COUNT(, , , , , , , NA, NA, NA, NA, NA, NA, NA, NA, NA, NA, NA, NA, NA, NA, NA, NA, NA)&gt;17.5,ROUND(AVERAGE(, , , , , , , 0, 0, 0, 0, 0, 0, 0, 0, 0, 0, 0, 0, 0, 0, 0, 0, 0),2),"NO AVG")</f>
        <v>NO AVG</v>
      </c>
    </row>
    <row r="39" spans="1:11" x14ac:dyDescent="0.25">
      <c r="A39" s="1">
        <v>44784.257719907408</v>
      </c>
      <c r="B39" s="1">
        <v>44784.257662037038</v>
      </c>
      <c r="C39">
        <v>3.8</v>
      </c>
      <c r="D39">
        <v>3.1</v>
      </c>
      <c r="E39">
        <v>35</v>
      </c>
      <c r="F39">
        <v>0</v>
      </c>
      <c r="G39" t="s">
        <v>32</v>
      </c>
      <c r="H39" t="s">
        <v>36</v>
      </c>
      <c r="J39" s="2"/>
      <c r="K39" s="2"/>
    </row>
    <row r="40" spans="1:11" x14ac:dyDescent="0.25">
      <c r="A40" s="1">
        <v>44784.264652777776</v>
      </c>
      <c r="B40" s="1">
        <v>44784.264606481483</v>
      </c>
      <c r="C40">
        <v>3.8</v>
      </c>
      <c r="D40">
        <v>3.1</v>
      </c>
      <c r="E40">
        <v>35</v>
      </c>
      <c r="F40">
        <v>0</v>
      </c>
      <c r="G40" t="s">
        <v>32</v>
      </c>
      <c r="H40" t="s">
        <v>36</v>
      </c>
      <c r="J40" s="2"/>
      <c r="K40" s="2"/>
    </row>
    <row r="41" spans="1:11" x14ac:dyDescent="0.25">
      <c r="A41" s="1">
        <v>44784.271597222221</v>
      </c>
      <c r="B41" s="1">
        <v>44784.271550925929</v>
      </c>
      <c r="C41">
        <v>3.8</v>
      </c>
      <c r="D41">
        <v>3.1</v>
      </c>
      <c r="E41">
        <v>35</v>
      </c>
      <c r="F41">
        <v>0</v>
      </c>
      <c r="G41" t="s">
        <v>32</v>
      </c>
      <c r="H41" t="s">
        <v>36</v>
      </c>
      <c r="J41" s="2"/>
      <c r="K41" s="2"/>
    </row>
    <row r="42" spans="1:11" x14ac:dyDescent="0.25">
      <c r="A42" s="1">
        <v>44784.278541666667</v>
      </c>
      <c r="B42" s="1">
        <v>44784.278495370374</v>
      </c>
      <c r="C42">
        <v>3.8</v>
      </c>
      <c r="D42">
        <v>3.1</v>
      </c>
      <c r="E42">
        <v>35</v>
      </c>
      <c r="F42">
        <v>0</v>
      </c>
      <c r="G42" t="s">
        <v>32</v>
      </c>
      <c r="H42" t="s">
        <v>36</v>
      </c>
      <c r="J42" s="2"/>
      <c r="K42" s="2"/>
    </row>
    <row r="43" spans="1:11" x14ac:dyDescent="0.25">
      <c r="A43" s="1">
        <v>44784.285486111112</v>
      </c>
      <c r="B43" s="1">
        <v>44784.285439814812</v>
      </c>
      <c r="C43">
        <v>3.8</v>
      </c>
      <c r="D43">
        <v>3.1</v>
      </c>
      <c r="E43">
        <v>35</v>
      </c>
      <c r="F43">
        <v>0</v>
      </c>
      <c r="G43" t="s">
        <v>32</v>
      </c>
      <c r="H43" t="s">
        <v>36</v>
      </c>
      <c r="J43" s="2"/>
      <c r="K43" s="2"/>
    </row>
    <row r="44" spans="1:11" x14ac:dyDescent="0.25">
      <c r="A44" s="1">
        <v>44784.292430555557</v>
      </c>
      <c r="B44" s="1">
        <v>44784.292384259257</v>
      </c>
      <c r="C44">
        <v>3.8</v>
      </c>
      <c r="D44">
        <v>3.1</v>
      </c>
      <c r="E44">
        <v>35</v>
      </c>
      <c r="F44">
        <v>0</v>
      </c>
      <c r="G44" t="s">
        <v>32</v>
      </c>
      <c r="H44" t="s">
        <v>36</v>
      </c>
      <c r="J44" t="str">
        <f>IF(COUNT(I39:I44)&gt;3.5,ROUND(AVERAGE(I39:I44),2),"")</f>
        <v/>
      </c>
      <c r="K44" t="str">
        <f>IF(COUNT(, , , , , , , , NA, NA, NA, NA, NA, NA, NA, NA, NA, NA, NA, NA, NA, NA, NA, NA)&gt;17.5,ROUND(AVERAGE(, , , , , , , , 0, 0, 0, 0, 0, 0, 0, 0, 0, 0, 0, 0, 0, 0, 0, 0),2),"NO AVG")</f>
        <v>NO AVG</v>
      </c>
    </row>
    <row r="45" spans="1:11" x14ac:dyDescent="0.25">
      <c r="A45" s="1">
        <v>44784.299386574072</v>
      </c>
      <c r="B45" s="1">
        <v>44784.299340277779</v>
      </c>
      <c r="C45">
        <v>3.8</v>
      </c>
      <c r="D45">
        <v>3.1</v>
      </c>
      <c r="E45">
        <v>35</v>
      </c>
      <c r="F45">
        <v>0</v>
      </c>
      <c r="G45" t="s">
        <v>32</v>
      </c>
      <c r="H45" t="s">
        <v>36</v>
      </c>
      <c r="J45" s="2"/>
      <c r="K45" s="2"/>
    </row>
    <row r="46" spans="1:11" x14ac:dyDescent="0.25">
      <c r="A46" s="1">
        <v>44784.306319444448</v>
      </c>
      <c r="B46" s="1">
        <v>44784.306273148148</v>
      </c>
      <c r="C46">
        <v>3.8</v>
      </c>
      <c r="D46">
        <v>3.1</v>
      </c>
      <c r="E46">
        <v>35</v>
      </c>
      <c r="F46">
        <v>0</v>
      </c>
      <c r="G46" t="s">
        <v>32</v>
      </c>
      <c r="H46" t="s">
        <v>36</v>
      </c>
      <c r="J46" s="2"/>
      <c r="K46" s="2"/>
    </row>
    <row r="47" spans="1:11" x14ac:dyDescent="0.25">
      <c r="A47" s="1">
        <v>44784.313263888886</v>
      </c>
      <c r="B47" s="1">
        <v>44784.313217592593</v>
      </c>
      <c r="C47">
        <v>3.8</v>
      </c>
      <c r="D47">
        <v>3.1</v>
      </c>
      <c r="E47">
        <v>35</v>
      </c>
      <c r="F47">
        <v>0</v>
      </c>
      <c r="G47" t="s">
        <v>32</v>
      </c>
      <c r="H47" t="s">
        <v>36</v>
      </c>
      <c r="J47" s="2"/>
      <c r="K47" s="2"/>
    </row>
    <row r="48" spans="1:11" x14ac:dyDescent="0.25">
      <c r="A48" s="1">
        <v>44784.320219907408</v>
      </c>
      <c r="B48" s="1">
        <v>44784.320162037038</v>
      </c>
      <c r="C48">
        <v>3.8</v>
      </c>
      <c r="D48">
        <v>3.1</v>
      </c>
      <c r="E48">
        <v>35</v>
      </c>
      <c r="F48">
        <v>0</v>
      </c>
      <c r="G48" t="s">
        <v>32</v>
      </c>
      <c r="H48" t="s">
        <v>36</v>
      </c>
      <c r="J48" s="2"/>
      <c r="K48" s="2"/>
    </row>
    <row r="49" spans="1:11" x14ac:dyDescent="0.25">
      <c r="A49" s="1">
        <v>44784.327152777776</v>
      </c>
      <c r="B49" s="1">
        <v>44784.327106481483</v>
      </c>
      <c r="C49">
        <v>3.8</v>
      </c>
      <c r="D49">
        <v>3.1</v>
      </c>
      <c r="E49">
        <v>35</v>
      </c>
      <c r="F49">
        <v>0</v>
      </c>
      <c r="G49" t="s">
        <v>32</v>
      </c>
      <c r="H49" t="s">
        <v>36</v>
      </c>
      <c r="J49" s="2"/>
      <c r="K49" s="2"/>
    </row>
    <row r="50" spans="1:11" x14ac:dyDescent="0.25">
      <c r="A50" s="1">
        <v>44784.334108796298</v>
      </c>
      <c r="B50" s="1">
        <v>44784.334050925929</v>
      </c>
      <c r="C50">
        <v>3.8</v>
      </c>
      <c r="D50">
        <v>3.1</v>
      </c>
      <c r="E50">
        <v>35</v>
      </c>
      <c r="F50">
        <v>0</v>
      </c>
      <c r="G50" t="s">
        <v>32</v>
      </c>
      <c r="H50" t="s">
        <v>36</v>
      </c>
      <c r="J50" t="str">
        <f>IF(COUNT(I45:I50)&gt;3.5,ROUND(AVERAGE(I45:I50),2),"")</f>
        <v/>
      </c>
      <c r="K50" t="str">
        <f>IF(COUNT(, , , , , , , , , NA, NA, NA, NA, NA, NA, NA, NA, NA, NA, NA, NA, NA, NA, NA)&gt;17.5,ROUND(AVERAGE(, , , , , , , , , 0, 0, 0, 0, 0, 0, 0, 0, 0, 0, 0, 0, 0, 0, 0),2),"NO AVG")</f>
        <v>NO AVG</v>
      </c>
    </row>
    <row r="51" spans="1:11" x14ac:dyDescent="0.25">
      <c r="A51" s="1">
        <v>44784.341053240743</v>
      </c>
      <c r="B51" s="1">
        <v>44784.340995370374</v>
      </c>
      <c r="C51">
        <v>3.8</v>
      </c>
      <c r="D51">
        <v>3.1</v>
      </c>
      <c r="E51">
        <v>35</v>
      </c>
      <c r="F51">
        <v>0</v>
      </c>
      <c r="G51" t="s">
        <v>32</v>
      </c>
      <c r="H51" t="s">
        <v>36</v>
      </c>
      <c r="J51" s="2"/>
      <c r="K51" s="2"/>
    </row>
    <row r="52" spans="1:11" x14ac:dyDescent="0.25">
      <c r="A52" s="1">
        <v>44784.347997685189</v>
      </c>
      <c r="B52" s="1">
        <v>44784.347951388889</v>
      </c>
      <c r="C52">
        <v>3.8</v>
      </c>
      <c r="D52">
        <v>3.1</v>
      </c>
      <c r="E52">
        <v>35</v>
      </c>
      <c r="F52">
        <v>0</v>
      </c>
      <c r="G52" t="s">
        <v>32</v>
      </c>
      <c r="H52" t="s">
        <v>36</v>
      </c>
      <c r="J52" s="2"/>
      <c r="K52" s="2"/>
    </row>
    <row r="53" spans="1:11" x14ac:dyDescent="0.25">
      <c r="A53" s="1">
        <v>44784.354930555557</v>
      </c>
      <c r="B53" s="1">
        <v>44784.354884259257</v>
      </c>
      <c r="C53">
        <v>3.8</v>
      </c>
      <c r="D53">
        <v>3.1</v>
      </c>
      <c r="E53">
        <v>35</v>
      </c>
      <c r="F53">
        <v>0</v>
      </c>
      <c r="G53" t="s">
        <v>32</v>
      </c>
      <c r="H53" t="s">
        <v>36</v>
      </c>
      <c r="J53" s="2"/>
      <c r="K53" s="2"/>
    </row>
    <row r="54" spans="1:11" x14ac:dyDescent="0.25">
      <c r="A54" s="1">
        <v>44784.361886574072</v>
      </c>
      <c r="B54" s="1">
        <v>44784.361828703702</v>
      </c>
      <c r="C54">
        <v>3.8</v>
      </c>
      <c r="D54">
        <v>3.1</v>
      </c>
      <c r="E54">
        <v>35</v>
      </c>
      <c r="F54">
        <v>0</v>
      </c>
      <c r="G54" t="s">
        <v>32</v>
      </c>
      <c r="H54" t="s">
        <v>36</v>
      </c>
      <c r="J54" s="2"/>
      <c r="K54" s="2"/>
    </row>
    <row r="55" spans="1:11" x14ac:dyDescent="0.25">
      <c r="A55" s="1">
        <v>44784.368819444448</v>
      </c>
      <c r="B55" s="1">
        <v>44784.368784722225</v>
      </c>
      <c r="C55">
        <v>3.8</v>
      </c>
      <c r="D55">
        <v>3.1</v>
      </c>
      <c r="E55">
        <v>35</v>
      </c>
      <c r="F55">
        <v>0</v>
      </c>
      <c r="G55" t="s">
        <v>32</v>
      </c>
      <c r="H55" t="s">
        <v>36</v>
      </c>
      <c r="J55" s="2"/>
      <c r="K55" s="2"/>
    </row>
    <row r="56" spans="1:11" x14ac:dyDescent="0.25">
      <c r="A56" s="1">
        <v>44784.375775462962</v>
      </c>
      <c r="B56" s="1">
        <v>44784.375717592593</v>
      </c>
      <c r="C56">
        <v>3.8</v>
      </c>
      <c r="D56">
        <v>3.1</v>
      </c>
      <c r="E56">
        <v>35</v>
      </c>
      <c r="F56">
        <v>0</v>
      </c>
      <c r="G56" t="s">
        <v>32</v>
      </c>
      <c r="H56" t="s">
        <v>36</v>
      </c>
      <c r="J56" t="str">
        <f>IF(COUNT(I51:I56)&gt;3.5,ROUND(AVERAGE(I51:I56),2),"")</f>
        <v/>
      </c>
      <c r="K56" t="str">
        <f>IF(COUNT(, , , , , , , , , , NA, NA, NA, NA, NA, NA, NA, NA, NA, NA, NA, NA, NA, NA)&gt;17.5,ROUND(AVERAGE(, , , , , , , , , , 0, 0, 0, 0, 0, 0, 0, 0, 0, 0, 0, 0, 0, 0),2),"NO AVG")</f>
        <v>NO AVG</v>
      </c>
    </row>
    <row r="57" spans="1:11" x14ac:dyDescent="0.25">
      <c r="A57" s="1">
        <v>44784.382719907408</v>
      </c>
      <c r="B57" s="1">
        <v>44784.382662037038</v>
      </c>
      <c r="C57">
        <v>3.8</v>
      </c>
      <c r="D57">
        <v>3.1</v>
      </c>
      <c r="E57">
        <v>35</v>
      </c>
      <c r="F57">
        <v>0</v>
      </c>
      <c r="G57" t="s">
        <v>32</v>
      </c>
      <c r="H57" t="s">
        <v>36</v>
      </c>
      <c r="J57" s="2"/>
      <c r="K57" s="2"/>
    </row>
    <row r="58" spans="1:11" x14ac:dyDescent="0.25">
      <c r="A58" s="1">
        <v>44784.389664351853</v>
      </c>
      <c r="B58" s="1">
        <v>44784.389618055553</v>
      </c>
      <c r="C58">
        <v>3.8</v>
      </c>
      <c r="D58">
        <v>3.1</v>
      </c>
      <c r="E58">
        <v>35</v>
      </c>
      <c r="F58">
        <v>0</v>
      </c>
      <c r="G58" t="s">
        <v>32</v>
      </c>
      <c r="H58" t="s">
        <v>36</v>
      </c>
      <c r="J58" s="2"/>
      <c r="K58" s="2"/>
    </row>
    <row r="59" spans="1:11" x14ac:dyDescent="0.25">
      <c r="A59" s="1">
        <v>44784.396608796298</v>
      </c>
      <c r="B59" s="1">
        <v>44784.396562499998</v>
      </c>
      <c r="C59">
        <v>3.8</v>
      </c>
      <c r="D59">
        <v>3.1</v>
      </c>
      <c r="E59">
        <v>35</v>
      </c>
      <c r="F59">
        <v>0</v>
      </c>
      <c r="G59" t="s">
        <v>32</v>
      </c>
      <c r="H59" t="s">
        <v>36</v>
      </c>
      <c r="J59" s="2"/>
      <c r="K59" s="2"/>
    </row>
    <row r="60" spans="1:11" x14ac:dyDescent="0.25">
      <c r="A60" s="1">
        <v>44784.403553240743</v>
      </c>
      <c r="B60" s="1">
        <v>44784.403506944444</v>
      </c>
      <c r="C60">
        <v>3.8</v>
      </c>
      <c r="D60">
        <v>3.1</v>
      </c>
      <c r="E60">
        <v>35</v>
      </c>
      <c r="F60">
        <v>0</v>
      </c>
      <c r="G60" t="s">
        <v>32</v>
      </c>
      <c r="H60" t="s">
        <v>36</v>
      </c>
      <c r="J60" s="2"/>
      <c r="K60" s="2"/>
    </row>
    <row r="61" spans="1:11" x14ac:dyDescent="0.25">
      <c r="A61" s="1">
        <v>44784.410497685189</v>
      </c>
      <c r="B61" s="1">
        <v>44784.410451388889</v>
      </c>
      <c r="C61">
        <v>3.8</v>
      </c>
      <c r="D61">
        <v>3.1</v>
      </c>
      <c r="E61">
        <v>35</v>
      </c>
      <c r="F61">
        <v>0</v>
      </c>
      <c r="G61" t="s">
        <v>32</v>
      </c>
      <c r="H61" t="s">
        <v>36</v>
      </c>
      <c r="J61" s="2"/>
      <c r="K61" s="2"/>
    </row>
    <row r="62" spans="1:11" x14ac:dyDescent="0.25">
      <c r="A62" s="1">
        <v>44784.417442129627</v>
      </c>
      <c r="B62" s="1">
        <v>44784.417395833334</v>
      </c>
      <c r="C62">
        <v>3.8</v>
      </c>
      <c r="D62">
        <v>3.1</v>
      </c>
      <c r="E62">
        <v>35</v>
      </c>
      <c r="F62">
        <v>0</v>
      </c>
      <c r="G62" t="s">
        <v>32</v>
      </c>
      <c r="H62" t="s">
        <v>36</v>
      </c>
      <c r="J62" t="str">
        <f>IF(COUNT(I57:I62)&gt;3.5,ROUND(AVERAGE(I57:I62),2),"")</f>
        <v/>
      </c>
      <c r="K62" t="str">
        <f>IF(COUNT(, , , , , , , , , , , NA, NA, NA, NA, NA, NA, NA, NA, NA, NA, NA, NA, NA)&gt;17.5,ROUND(AVERAGE(, , , , , , , , , , , 0, 0, 0, 0, 0, 0, 0, 0, 0, 0, 0, 0, 0),2),"NO AVG")</f>
        <v>NO AVG</v>
      </c>
    </row>
    <row r="63" spans="1:11" x14ac:dyDescent="0.25">
      <c r="A63" s="1">
        <v>44784.424386574072</v>
      </c>
      <c r="B63" s="1">
        <v>44784.424340277779</v>
      </c>
      <c r="C63">
        <v>3.8</v>
      </c>
      <c r="D63">
        <v>3.1</v>
      </c>
      <c r="E63">
        <v>35</v>
      </c>
      <c r="F63">
        <v>0</v>
      </c>
      <c r="G63" t="s">
        <v>32</v>
      </c>
      <c r="H63" t="s">
        <v>36</v>
      </c>
      <c r="J63" s="2"/>
      <c r="K63" s="2"/>
    </row>
    <row r="64" spans="1:11" x14ac:dyDescent="0.25">
      <c r="A64" s="1">
        <v>44784.431331018517</v>
      </c>
      <c r="B64" s="1">
        <v>44784.431284722225</v>
      </c>
      <c r="C64">
        <v>3.8</v>
      </c>
      <c r="D64">
        <v>3.1</v>
      </c>
      <c r="E64">
        <v>35</v>
      </c>
      <c r="F64">
        <v>0</v>
      </c>
      <c r="G64" t="s">
        <v>32</v>
      </c>
      <c r="H64" t="s">
        <v>36</v>
      </c>
      <c r="J64" s="2"/>
      <c r="K64" s="2"/>
    </row>
    <row r="65" spans="1:11" x14ac:dyDescent="0.25">
      <c r="A65" s="1">
        <v>44784.438287037039</v>
      </c>
      <c r="B65" s="1">
        <v>44784.43822916667</v>
      </c>
      <c r="C65">
        <v>3.8</v>
      </c>
      <c r="D65">
        <v>3.1</v>
      </c>
      <c r="E65">
        <v>35</v>
      </c>
      <c r="F65">
        <v>0</v>
      </c>
      <c r="G65" t="s">
        <v>32</v>
      </c>
      <c r="H65" t="s">
        <v>36</v>
      </c>
      <c r="J65" s="2"/>
      <c r="K65" s="2"/>
    </row>
    <row r="66" spans="1:11" x14ac:dyDescent="0.25">
      <c r="A66" s="1">
        <v>44784.445219907408</v>
      </c>
      <c r="B66" s="1">
        <v>44784.445173611108</v>
      </c>
      <c r="C66">
        <v>3.8</v>
      </c>
      <c r="D66">
        <v>3.1</v>
      </c>
      <c r="E66">
        <v>35</v>
      </c>
      <c r="F66">
        <v>0</v>
      </c>
      <c r="G66" t="s">
        <v>32</v>
      </c>
      <c r="H66" t="s">
        <v>36</v>
      </c>
      <c r="J66" s="2"/>
      <c r="K66" s="2"/>
    </row>
    <row r="67" spans="1:11" x14ac:dyDescent="0.25">
      <c r="A67" s="1">
        <v>44784.452164351853</v>
      </c>
      <c r="B67" s="1">
        <v>44784.452118055553</v>
      </c>
      <c r="C67">
        <v>3.8</v>
      </c>
      <c r="D67">
        <v>3.1</v>
      </c>
      <c r="E67">
        <v>35</v>
      </c>
      <c r="F67">
        <v>0</v>
      </c>
      <c r="G67" t="s">
        <v>32</v>
      </c>
      <c r="H67" t="s">
        <v>36</v>
      </c>
      <c r="J67" s="2"/>
      <c r="K67" s="2"/>
    </row>
    <row r="68" spans="1:11" x14ac:dyDescent="0.25">
      <c r="A68" s="1">
        <v>44784.459108796298</v>
      </c>
      <c r="B68" s="1">
        <v>44784.459062499998</v>
      </c>
      <c r="C68">
        <v>3.8</v>
      </c>
      <c r="D68">
        <v>3.1</v>
      </c>
      <c r="E68">
        <v>35</v>
      </c>
      <c r="F68">
        <v>0</v>
      </c>
      <c r="G68" t="s">
        <v>32</v>
      </c>
      <c r="H68" t="s">
        <v>36</v>
      </c>
      <c r="J68" t="str">
        <f>IF(COUNT(I63:I68)&gt;3.5,ROUND(AVERAGE(I63:I68),2),"")</f>
        <v/>
      </c>
      <c r="K68" t="str">
        <f>IF(COUNT(, , , , , , , , , , , , NA, NA, NA, NA, NA, NA, NA, NA, NA, NA, NA, NA)&gt;17.5,ROUND(AVERAGE(, , , , , , , , , , , , 0, 0, 0, 0, 0, 0, 0, 0, 0, 0, 0, 0),2),"NO AVG")</f>
        <v>NO AVG</v>
      </c>
    </row>
    <row r="69" spans="1:11" x14ac:dyDescent="0.25">
      <c r="A69" s="1">
        <v>44784.466053240743</v>
      </c>
      <c r="B69" s="1">
        <v>44784.466006944444</v>
      </c>
      <c r="C69">
        <v>3.8</v>
      </c>
      <c r="D69">
        <v>3.1</v>
      </c>
      <c r="E69">
        <v>35</v>
      </c>
      <c r="F69">
        <v>0</v>
      </c>
      <c r="G69" t="s">
        <v>32</v>
      </c>
      <c r="H69" t="s">
        <v>36</v>
      </c>
      <c r="J69" s="2"/>
      <c r="K69" s="2"/>
    </row>
    <row r="70" spans="1:11" x14ac:dyDescent="0.25">
      <c r="A70" s="1">
        <v>44784.472997685189</v>
      </c>
      <c r="B70" s="1">
        <v>44784.472951388889</v>
      </c>
      <c r="C70">
        <v>3.8</v>
      </c>
      <c r="D70">
        <v>3.1</v>
      </c>
      <c r="E70">
        <v>35</v>
      </c>
      <c r="F70">
        <v>0</v>
      </c>
      <c r="G70" t="s">
        <v>32</v>
      </c>
      <c r="H70" t="s">
        <v>36</v>
      </c>
      <c r="J70" s="2"/>
      <c r="K70" s="2"/>
    </row>
    <row r="71" spans="1:11" x14ac:dyDescent="0.25">
      <c r="A71" s="1">
        <v>44784.479942129627</v>
      </c>
      <c r="B71" s="1">
        <v>44784.479895833334</v>
      </c>
      <c r="C71">
        <v>3.8</v>
      </c>
      <c r="D71">
        <v>3.1</v>
      </c>
      <c r="E71">
        <v>35</v>
      </c>
      <c r="F71">
        <v>0</v>
      </c>
      <c r="G71" t="s">
        <v>32</v>
      </c>
      <c r="H71" t="s">
        <v>36</v>
      </c>
      <c r="J71" s="2"/>
      <c r="K71" s="2"/>
    </row>
    <row r="72" spans="1:11" x14ac:dyDescent="0.25">
      <c r="A72" s="1">
        <v>44784.486909722225</v>
      </c>
      <c r="B72" s="1">
        <v>44784.486840277779</v>
      </c>
      <c r="C72">
        <v>3.8</v>
      </c>
      <c r="D72">
        <v>3.1</v>
      </c>
      <c r="E72">
        <v>35</v>
      </c>
      <c r="F72">
        <v>0</v>
      </c>
      <c r="G72" t="s">
        <v>32</v>
      </c>
      <c r="H72" t="s">
        <v>36</v>
      </c>
      <c r="J72" s="2"/>
      <c r="K72" s="2"/>
    </row>
    <row r="73" spans="1:11" x14ac:dyDescent="0.25">
      <c r="A73" s="1">
        <v>44784.493831018517</v>
      </c>
      <c r="B73" s="1">
        <v>44784.493784722225</v>
      </c>
      <c r="C73">
        <v>3.8</v>
      </c>
      <c r="D73">
        <v>3.1</v>
      </c>
      <c r="E73">
        <v>35</v>
      </c>
      <c r="F73">
        <v>0</v>
      </c>
      <c r="G73" t="s">
        <v>32</v>
      </c>
      <c r="H73" t="s">
        <v>36</v>
      </c>
      <c r="J73" s="2"/>
      <c r="K73" s="2"/>
    </row>
    <row r="74" spans="1:11" x14ac:dyDescent="0.25">
      <c r="A74" s="1">
        <v>44784.500775462962</v>
      </c>
      <c r="B74" s="1">
        <v>44784.50072916667</v>
      </c>
      <c r="C74">
        <v>3.8</v>
      </c>
      <c r="D74">
        <v>3.1</v>
      </c>
      <c r="E74">
        <v>35</v>
      </c>
      <c r="F74">
        <v>0</v>
      </c>
      <c r="G74" t="s">
        <v>32</v>
      </c>
      <c r="H74" t="s">
        <v>36</v>
      </c>
      <c r="J74" t="str">
        <f>IF(COUNT(I69:I74)&gt;3.5,ROUND(AVERAGE(I69:I74),2),"")</f>
        <v/>
      </c>
      <c r="K74" t="str">
        <f>IF(COUNT(, , , , , , , , , , , , , NA, NA, NA, NA, NA, NA, NA, NA, NA, NA, NA)&gt;17.5,ROUND(AVERAGE(, , , , , , , , , , , , , 0, 0, 0, 0, 0, 0, 0, 0, 0, 0, 0),2),"NO AVG")</f>
        <v>NO AVG</v>
      </c>
    </row>
    <row r="75" spans="1:11" x14ac:dyDescent="0.25">
      <c r="A75" s="1">
        <v>44784.507719907408</v>
      </c>
      <c r="B75" s="1">
        <v>44784.507673611108</v>
      </c>
      <c r="C75">
        <v>3.8</v>
      </c>
      <c r="D75">
        <v>3.1</v>
      </c>
      <c r="E75">
        <v>35</v>
      </c>
      <c r="F75">
        <v>0</v>
      </c>
      <c r="G75" t="s">
        <v>32</v>
      </c>
      <c r="H75" t="s">
        <v>36</v>
      </c>
      <c r="J75" s="2"/>
      <c r="K75" s="2"/>
    </row>
    <row r="76" spans="1:11" x14ac:dyDescent="0.25">
      <c r="A76" s="1">
        <v>44784.514664351853</v>
      </c>
      <c r="B76" s="1">
        <v>44784.514618055553</v>
      </c>
      <c r="C76">
        <v>3.8</v>
      </c>
      <c r="D76">
        <v>3.1</v>
      </c>
      <c r="E76">
        <v>35</v>
      </c>
      <c r="F76">
        <v>0</v>
      </c>
      <c r="G76" t="s">
        <v>32</v>
      </c>
      <c r="H76" t="s">
        <v>36</v>
      </c>
      <c r="J76" s="2"/>
      <c r="K76" s="2"/>
    </row>
    <row r="77" spans="1:11" x14ac:dyDescent="0.25">
      <c r="A77" s="1">
        <v>44784.521620370368</v>
      </c>
      <c r="B77" s="1">
        <v>44784.521562499998</v>
      </c>
      <c r="C77">
        <v>3.8</v>
      </c>
      <c r="D77">
        <v>3.1</v>
      </c>
      <c r="E77">
        <v>35</v>
      </c>
      <c r="F77">
        <v>0</v>
      </c>
      <c r="G77" t="s">
        <v>32</v>
      </c>
      <c r="H77" t="s">
        <v>36</v>
      </c>
      <c r="J77" s="2"/>
      <c r="K77" s="2"/>
    </row>
    <row r="78" spans="1:11" x14ac:dyDescent="0.25">
      <c r="A78" s="1">
        <v>44784.52857638889</v>
      </c>
      <c r="B78" s="1">
        <v>44784.528506944444</v>
      </c>
      <c r="C78">
        <v>3.8</v>
      </c>
      <c r="D78">
        <v>3.1</v>
      </c>
      <c r="E78">
        <v>35</v>
      </c>
      <c r="F78">
        <v>0</v>
      </c>
      <c r="G78" t="s">
        <v>32</v>
      </c>
      <c r="H78" t="s">
        <v>36</v>
      </c>
      <c r="J78" s="2"/>
      <c r="K78" s="2"/>
    </row>
    <row r="79" spans="1:11" x14ac:dyDescent="0.25">
      <c r="A79" s="1">
        <v>44784.535509259258</v>
      </c>
      <c r="B79" s="1">
        <v>44784.535451388889</v>
      </c>
      <c r="C79">
        <v>3.8</v>
      </c>
      <c r="D79">
        <v>3.1</v>
      </c>
      <c r="E79">
        <v>35</v>
      </c>
      <c r="F79">
        <v>0</v>
      </c>
      <c r="G79" t="s">
        <v>32</v>
      </c>
      <c r="H79" t="s">
        <v>36</v>
      </c>
      <c r="J79" s="2"/>
      <c r="K79" s="2"/>
    </row>
    <row r="80" spans="1:11" x14ac:dyDescent="0.25">
      <c r="A80" s="1">
        <v>44784.542442129627</v>
      </c>
      <c r="B80" s="1">
        <v>44784.542395833334</v>
      </c>
      <c r="C80">
        <v>3.8</v>
      </c>
      <c r="D80">
        <v>3.1</v>
      </c>
      <c r="E80">
        <v>35</v>
      </c>
      <c r="F80">
        <v>0</v>
      </c>
      <c r="G80" t="s">
        <v>32</v>
      </c>
      <c r="H80" t="s">
        <v>36</v>
      </c>
      <c r="J80" t="str">
        <f>IF(COUNT(I75:I80)&gt;3.5,ROUND(AVERAGE(I75:I80),2),"")</f>
        <v/>
      </c>
      <c r="K80" t="str">
        <f>IF(COUNT(, , , , , , , , , , , , , , NA, NA, NA, NA, NA, NA, NA, NA, NA, NA)&gt;17.5,ROUND(AVERAGE(, , , , , , , , , , , , , , 0, 0, 0, 0, 0, 0, 0, 0, 0, 0),2),"NO AVG")</f>
        <v>NO AVG</v>
      </c>
    </row>
    <row r="81" spans="1:11" x14ac:dyDescent="0.25">
      <c r="A81" s="1">
        <v>44784.549398148149</v>
      </c>
      <c r="B81" s="1">
        <v>44784.549340277779</v>
      </c>
      <c r="C81">
        <v>3.8</v>
      </c>
      <c r="D81">
        <v>3.1</v>
      </c>
      <c r="E81">
        <v>35</v>
      </c>
      <c r="F81">
        <v>0</v>
      </c>
      <c r="G81" t="s">
        <v>32</v>
      </c>
      <c r="H81" t="s">
        <v>36</v>
      </c>
      <c r="J81" s="2"/>
      <c r="K81" s="2"/>
    </row>
    <row r="82" spans="1:11" x14ac:dyDescent="0.25">
      <c r="A82" s="1">
        <v>44784.556828703702</v>
      </c>
      <c r="B82" s="1">
        <v>44784.556284722225</v>
      </c>
      <c r="C82">
        <v>3.8</v>
      </c>
      <c r="D82">
        <v>3.1</v>
      </c>
      <c r="E82">
        <v>35</v>
      </c>
      <c r="F82">
        <v>0</v>
      </c>
      <c r="G82" t="s">
        <v>32</v>
      </c>
      <c r="H82" t="s">
        <v>36</v>
      </c>
      <c r="J82" s="2"/>
      <c r="K82" s="2"/>
    </row>
    <row r="83" spans="1:11" x14ac:dyDescent="0.25">
      <c r="A83" s="1">
        <v>44784.563287037039</v>
      </c>
      <c r="B83" s="1">
        <v>44784.56322916667</v>
      </c>
      <c r="C83">
        <v>3.8</v>
      </c>
      <c r="D83">
        <v>3.1</v>
      </c>
      <c r="E83">
        <v>35</v>
      </c>
      <c r="F83">
        <v>0</v>
      </c>
      <c r="G83" t="s">
        <v>32</v>
      </c>
      <c r="H83" t="s">
        <v>36</v>
      </c>
      <c r="J83" s="2"/>
      <c r="K83" s="2"/>
    </row>
    <row r="84" spans="1:11" x14ac:dyDescent="0.25">
      <c r="A84" s="1">
        <v>44784.570231481484</v>
      </c>
      <c r="B84" s="1">
        <v>44784.570173611108</v>
      </c>
      <c r="C84">
        <v>3.8</v>
      </c>
      <c r="D84">
        <v>3.1</v>
      </c>
      <c r="E84">
        <v>35</v>
      </c>
      <c r="F84">
        <v>0</v>
      </c>
      <c r="G84" t="s">
        <v>32</v>
      </c>
      <c r="H84" t="s">
        <v>36</v>
      </c>
      <c r="J84" s="2"/>
      <c r="K84" s="2"/>
    </row>
    <row r="85" spans="1:11" x14ac:dyDescent="0.25">
      <c r="A85" s="1">
        <v>44784.577175925922</v>
      </c>
      <c r="B85" s="1">
        <v>44784.577118055553</v>
      </c>
      <c r="C85">
        <v>3.8</v>
      </c>
      <c r="D85">
        <v>3.1</v>
      </c>
      <c r="E85">
        <v>35</v>
      </c>
      <c r="F85">
        <v>0</v>
      </c>
      <c r="G85" t="s">
        <v>32</v>
      </c>
      <c r="H85" t="s">
        <v>36</v>
      </c>
      <c r="J85" s="2"/>
      <c r="K85" s="2"/>
    </row>
    <row r="86" spans="1:11" x14ac:dyDescent="0.25">
      <c r="A86" s="1">
        <v>44784.584120370368</v>
      </c>
      <c r="B86" s="1">
        <v>44784.584062499998</v>
      </c>
      <c r="C86">
        <v>3.8</v>
      </c>
      <c r="D86">
        <v>3.1</v>
      </c>
      <c r="E86">
        <v>35</v>
      </c>
      <c r="F86">
        <v>0</v>
      </c>
      <c r="G86" t="s">
        <v>32</v>
      </c>
      <c r="H86" t="s">
        <v>36</v>
      </c>
      <c r="J86" t="str">
        <f>IF(COUNT(I81:I86)&gt;3.5,ROUND(AVERAGE(I81:I86),2),"")</f>
        <v/>
      </c>
      <c r="K86" t="str">
        <f>IF(COUNT(, , , , , , , , , , , , , , , NA, NA, NA, NA, NA, NA, NA, NA, NA)&gt;17.5,ROUND(AVERAGE(, , , , , , , , , , , , , , , 0, 0, 0, 0, 0, 0, 0, 0, 0),2),"NO AVG")</f>
        <v>NO AVG</v>
      </c>
    </row>
    <row r="87" spans="1:11" x14ac:dyDescent="0.25">
      <c r="A87" s="1">
        <v>44784.591064814813</v>
      </c>
      <c r="B87" s="1">
        <v>44784.591006944444</v>
      </c>
      <c r="C87">
        <v>3.8</v>
      </c>
      <c r="D87">
        <v>3.1</v>
      </c>
      <c r="E87">
        <v>35</v>
      </c>
      <c r="F87">
        <v>0</v>
      </c>
      <c r="G87" t="s">
        <v>32</v>
      </c>
      <c r="H87" t="s">
        <v>36</v>
      </c>
      <c r="J87" s="2"/>
      <c r="K87" s="2"/>
    </row>
    <row r="88" spans="1:11" x14ac:dyDescent="0.25">
      <c r="A88" s="1">
        <v>44784.597997685189</v>
      </c>
      <c r="B88" s="1">
        <v>44784.597951388889</v>
      </c>
      <c r="C88">
        <v>3.8</v>
      </c>
      <c r="D88">
        <v>3.1</v>
      </c>
      <c r="E88">
        <v>35</v>
      </c>
      <c r="F88">
        <v>0</v>
      </c>
      <c r="G88" t="s">
        <v>32</v>
      </c>
      <c r="H88" t="s">
        <v>36</v>
      </c>
      <c r="J88" s="2"/>
      <c r="K88" s="2"/>
    </row>
    <row r="89" spans="1:11" x14ac:dyDescent="0.25">
      <c r="A89" s="1">
        <v>44784.604953703703</v>
      </c>
      <c r="B89" s="1">
        <v>44784.604895833334</v>
      </c>
      <c r="C89">
        <v>3.8</v>
      </c>
      <c r="D89">
        <v>3.1</v>
      </c>
      <c r="E89">
        <v>35</v>
      </c>
      <c r="F89">
        <v>0</v>
      </c>
      <c r="G89" t="s">
        <v>32</v>
      </c>
      <c r="H89" t="s">
        <v>36</v>
      </c>
      <c r="J89" s="2"/>
      <c r="K89" s="2"/>
    </row>
    <row r="90" spans="1:11" x14ac:dyDescent="0.25">
      <c r="A90" s="1">
        <v>44784.611898148149</v>
      </c>
      <c r="B90" s="1">
        <v>44784.611840277779</v>
      </c>
      <c r="C90">
        <v>3.8</v>
      </c>
      <c r="D90">
        <v>3.1</v>
      </c>
      <c r="E90">
        <v>35</v>
      </c>
      <c r="F90">
        <v>0</v>
      </c>
      <c r="G90" t="s">
        <v>32</v>
      </c>
      <c r="H90" t="s">
        <v>36</v>
      </c>
      <c r="J90" s="2"/>
      <c r="K90" s="2"/>
    </row>
    <row r="91" spans="1:11" x14ac:dyDescent="0.25">
      <c r="A91" s="1">
        <v>44784.618842592594</v>
      </c>
      <c r="B91" s="1">
        <v>44784.618784722225</v>
      </c>
      <c r="C91">
        <v>3.8</v>
      </c>
      <c r="D91">
        <v>3.1</v>
      </c>
      <c r="E91">
        <v>35</v>
      </c>
      <c r="F91">
        <v>0</v>
      </c>
      <c r="G91" t="s">
        <v>32</v>
      </c>
      <c r="H91" t="s">
        <v>36</v>
      </c>
      <c r="J91" s="2"/>
      <c r="K91" s="2"/>
    </row>
    <row r="92" spans="1:11" x14ac:dyDescent="0.25">
      <c r="A92" s="1">
        <v>44784.625787037039</v>
      </c>
      <c r="B92" s="1">
        <v>44784.62572916667</v>
      </c>
      <c r="C92">
        <v>3.8</v>
      </c>
      <c r="D92">
        <v>3.1</v>
      </c>
      <c r="E92">
        <v>35</v>
      </c>
      <c r="F92">
        <v>0</v>
      </c>
      <c r="G92" t="s">
        <v>32</v>
      </c>
      <c r="H92" t="s">
        <v>36</v>
      </c>
      <c r="J92" t="str">
        <f>IF(COUNT(I87:I92)&gt;3.5,ROUND(AVERAGE(I87:I92),2),"")</f>
        <v/>
      </c>
      <c r="K92" t="str">
        <f>IF(COUNT(, , , , , , , , , , , , , , , , NA, NA, NA, NA, NA, NA, NA, NA)&gt;17.5,ROUND(AVERAGE(, , , , , , , , , , , , , , , , 0, 0, 0, 0, 0, 0, 0, 0),2),"NO AVG")</f>
        <v>NO AVG</v>
      </c>
    </row>
    <row r="93" spans="1:11" x14ac:dyDescent="0.25">
      <c r="A93" s="1">
        <v>44784.632719907408</v>
      </c>
      <c r="B93" s="1">
        <v>44784.632673611108</v>
      </c>
      <c r="C93">
        <v>3.8</v>
      </c>
      <c r="D93">
        <v>3.1</v>
      </c>
      <c r="E93">
        <v>35</v>
      </c>
      <c r="F93">
        <v>0</v>
      </c>
      <c r="G93" t="s">
        <v>32</v>
      </c>
      <c r="H93" t="s">
        <v>36</v>
      </c>
      <c r="J93" s="2"/>
      <c r="K93" s="2"/>
    </row>
    <row r="94" spans="1:11" x14ac:dyDescent="0.25">
      <c r="A94" s="1">
        <v>44784.639652777776</v>
      </c>
      <c r="B94" s="1">
        <v>44784.639618055553</v>
      </c>
      <c r="C94">
        <v>3.8</v>
      </c>
      <c r="D94">
        <v>3.1</v>
      </c>
      <c r="E94">
        <v>35</v>
      </c>
      <c r="F94">
        <v>0</v>
      </c>
      <c r="G94" t="s">
        <v>32</v>
      </c>
      <c r="H94" t="s">
        <v>36</v>
      </c>
      <c r="J94" s="2"/>
      <c r="K94" s="2"/>
    </row>
    <row r="95" spans="1:11" x14ac:dyDescent="0.25">
      <c r="A95" s="1">
        <v>44784.646608796298</v>
      </c>
      <c r="B95" s="1">
        <v>44784.646562499998</v>
      </c>
      <c r="C95">
        <v>3.8</v>
      </c>
      <c r="D95">
        <v>3.1</v>
      </c>
      <c r="E95">
        <v>35</v>
      </c>
      <c r="F95">
        <v>0</v>
      </c>
      <c r="G95" t="s">
        <v>32</v>
      </c>
      <c r="H95" t="s">
        <v>36</v>
      </c>
      <c r="J95" s="2"/>
      <c r="K95" s="2"/>
    </row>
    <row r="96" spans="1:11" x14ac:dyDescent="0.25">
      <c r="A96" s="1">
        <v>44784.653541666667</v>
      </c>
      <c r="B96" s="1">
        <v>44784.653506944444</v>
      </c>
      <c r="C96">
        <v>3.8</v>
      </c>
      <c r="D96">
        <v>3.1</v>
      </c>
      <c r="E96">
        <v>35</v>
      </c>
      <c r="F96">
        <v>0</v>
      </c>
      <c r="G96" t="s">
        <v>32</v>
      </c>
      <c r="H96" t="s">
        <v>36</v>
      </c>
      <c r="J96" s="2"/>
      <c r="K96" s="2"/>
    </row>
    <row r="97" spans="1:11" x14ac:dyDescent="0.25">
      <c r="A97" s="1">
        <v>44784.660497685189</v>
      </c>
      <c r="B97" s="1">
        <v>44784.660451388889</v>
      </c>
      <c r="C97">
        <v>3.8</v>
      </c>
      <c r="D97">
        <v>3.1</v>
      </c>
      <c r="E97">
        <v>35</v>
      </c>
      <c r="F97">
        <v>0</v>
      </c>
      <c r="G97" t="s">
        <v>32</v>
      </c>
      <c r="H97" t="s">
        <v>36</v>
      </c>
      <c r="J97" s="2"/>
      <c r="K97" s="2"/>
    </row>
    <row r="98" spans="1:11" x14ac:dyDescent="0.25">
      <c r="A98" s="1">
        <v>44784.667442129627</v>
      </c>
      <c r="B98" s="1">
        <v>44784.667395833334</v>
      </c>
      <c r="C98">
        <v>3.8</v>
      </c>
      <c r="D98">
        <v>3.1</v>
      </c>
      <c r="E98">
        <v>35</v>
      </c>
      <c r="F98">
        <v>0</v>
      </c>
      <c r="G98" t="s">
        <v>32</v>
      </c>
      <c r="H98" t="s">
        <v>36</v>
      </c>
      <c r="J98" t="str">
        <f>IF(COUNT(I93:I98)&gt;3.5,ROUND(AVERAGE(I93:I98),2),"")</f>
        <v/>
      </c>
      <c r="K98" t="str">
        <f>IF(COUNT(, , , , , , , , , , , , , , , , , NA, NA, NA, NA, NA, NA, NA)&gt;17.5,ROUND(AVERAGE(, , , , , , , , , , , , , , , , , 0, 0, 0, 0, 0, 0, 0),2),"NO AVG")</f>
        <v>NO AVG</v>
      </c>
    </row>
    <row r="99" spans="1:11" x14ac:dyDescent="0.25">
      <c r="A99" s="1">
        <v>44784.674375000002</v>
      </c>
      <c r="B99" s="1">
        <v>44784.674328703702</v>
      </c>
      <c r="C99">
        <v>3.8</v>
      </c>
      <c r="D99">
        <v>3.1</v>
      </c>
      <c r="E99">
        <v>35</v>
      </c>
      <c r="F99">
        <v>0</v>
      </c>
      <c r="G99" t="s">
        <v>32</v>
      </c>
      <c r="H99" t="s">
        <v>36</v>
      </c>
      <c r="J99" s="2"/>
      <c r="K99" s="2"/>
    </row>
    <row r="100" spans="1:11" x14ac:dyDescent="0.25">
      <c r="A100" s="1">
        <v>44784.681319444448</v>
      </c>
      <c r="B100" s="1">
        <v>44784.681273148148</v>
      </c>
      <c r="C100">
        <v>3.8</v>
      </c>
      <c r="D100">
        <v>3.1</v>
      </c>
      <c r="E100">
        <v>35</v>
      </c>
      <c r="F100">
        <v>0</v>
      </c>
      <c r="G100" t="s">
        <v>32</v>
      </c>
      <c r="H100" t="s">
        <v>36</v>
      </c>
      <c r="J100" s="2"/>
      <c r="K100" s="2"/>
    </row>
    <row r="101" spans="1:11" x14ac:dyDescent="0.25">
      <c r="A101" s="1">
        <v>44784.688298611109</v>
      </c>
      <c r="B101" s="1">
        <v>44784.688217592593</v>
      </c>
      <c r="C101">
        <v>3.8</v>
      </c>
      <c r="D101">
        <v>3.1</v>
      </c>
      <c r="E101">
        <v>35</v>
      </c>
      <c r="F101">
        <v>0</v>
      </c>
      <c r="G101" t="s">
        <v>32</v>
      </c>
      <c r="H101" t="s">
        <v>36</v>
      </c>
      <c r="J101" s="2"/>
      <c r="K101" s="2"/>
    </row>
    <row r="102" spans="1:11" x14ac:dyDescent="0.25">
      <c r="A102" s="1">
        <v>44784.695208333331</v>
      </c>
      <c r="B102" s="1">
        <v>44784.695162037038</v>
      </c>
      <c r="C102">
        <v>3.8</v>
      </c>
      <c r="D102">
        <v>3.1</v>
      </c>
      <c r="E102">
        <v>35</v>
      </c>
      <c r="F102">
        <v>0</v>
      </c>
      <c r="G102" t="s">
        <v>32</v>
      </c>
      <c r="H102" t="s">
        <v>36</v>
      </c>
      <c r="J102" s="2"/>
      <c r="K102" s="2"/>
    </row>
    <row r="103" spans="1:11" x14ac:dyDescent="0.25">
      <c r="A103" s="1">
        <v>44784.702152777776</v>
      </c>
      <c r="B103" s="1">
        <v>44784.702106481483</v>
      </c>
      <c r="C103">
        <v>3.8</v>
      </c>
      <c r="D103">
        <v>3.1</v>
      </c>
      <c r="E103">
        <v>35</v>
      </c>
      <c r="F103">
        <v>0</v>
      </c>
      <c r="G103" t="s">
        <v>32</v>
      </c>
      <c r="H103" t="s">
        <v>36</v>
      </c>
      <c r="J103" s="2"/>
      <c r="K103" s="2"/>
    </row>
    <row r="104" spans="1:11" x14ac:dyDescent="0.25">
      <c r="A104" s="1">
        <v>44784.709108796298</v>
      </c>
      <c r="B104" s="1">
        <v>44784.709050925929</v>
      </c>
      <c r="C104">
        <v>3.8</v>
      </c>
      <c r="D104">
        <v>3.1</v>
      </c>
      <c r="E104">
        <v>35</v>
      </c>
      <c r="F104">
        <v>0</v>
      </c>
      <c r="G104" t="s">
        <v>32</v>
      </c>
      <c r="H104" t="s">
        <v>36</v>
      </c>
      <c r="J104" t="str">
        <f>IF(COUNT(I99:I104)&gt;3.5,ROUND(AVERAGE(I99:I104),2),"")</f>
        <v/>
      </c>
      <c r="K104">
        <f>IF(COUNT(, , , , , , , , , , , , , , , , , , NA, NA, NA, NA, NA, NA)&gt;17.5,ROUND(AVERAGE(, , , , , , , , , , , , , , , , , , 0, 0, 0, 0, 0, 0),2),"NO AVG")</f>
        <v>0</v>
      </c>
    </row>
    <row r="105" spans="1:11" x14ac:dyDescent="0.25">
      <c r="A105" s="1">
        <v>44784.716041666667</v>
      </c>
      <c r="B105" s="1">
        <v>44784.715995370374</v>
      </c>
      <c r="C105">
        <v>3.8</v>
      </c>
      <c r="D105">
        <v>3.1</v>
      </c>
      <c r="E105">
        <v>35</v>
      </c>
      <c r="F105">
        <v>0</v>
      </c>
      <c r="G105" t="s">
        <v>32</v>
      </c>
      <c r="H105" t="s">
        <v>36</v>
      </c>
      <c r="J105" s="2"/>
      <c r="K105" s="2"/>
    </row>
    <row r="106" spans="1:11" x14ac:dyDescent="0.25">
      <c r="A106" s="1">
        <v>44784.722986111112</v>
      </c>
      <c r="B106" s="1">
        <v>44784.722939814812</v>
      </c>
      <c r="C106">
        <v>3.8</v>
      </c>
      <c r="D106">
        <v>3.1</v>
      </c>
      <c r="E106">
        <v>35</v>
      </c>
      <c r="F106">
        <v>0</v>
      </c>
      <c r="G106" t="s">
        <v>32</v>
      </c>
      <c r="H106" t="s">
        <v>36</v>
      </c>
      <c r="J106" s="2"/>
      <c r="K106" s="2"/>
    </row>
    <row r="107" spans="1:11" x14ac:dyDescent="0.25">
      <c r="A107" s="1">
        <v>44784.729930555557</v>
      </c>
      <c r="B107" s="1">
        <v>44784.729884259257</v>
      </c>
      <c r="C107">
        <v>3.8</v>
      </c>
      <c r="D107">
        <v>3.1</v>
      </c>
      <c r="E107">
        <v>35</v>
      </c>
      <c r="F107">
        <v>0</v>
      </c>
      <c r="G107" t="s">
        <v>32</v>
      </c>
      <c r="H107" t="s">
        <v>36</v>
      </c>
      <c r="J107" s="2"/>
      <c r="K107" s="2"/>
    </row>
    <row r="108" spans="1:11" x14ac:dyDescent="0.25">
      <c r="A108" s="1">
        <v>44784.736875000002</v>
      </c>
      <c r="B108" s="1">
        <v>44784.736828703702</v>
      </c>
      <c r="C108">
        <v>3.8</v>
      </c>
      <c r="D108">
        <v>3.1</v>
      </c>
      <c r="E108">
        <v>35</v>
      </c>
      <c r="F108">
        <v>0</v>
      </c>
      <c r="G108" t="s">
        <v>32</v>
      </c>
      <c r="H108" t="s">
        <v>36</v>
      </c>
      <c r="J108" s="2"/>
      <c r="K108" s="2"/>
    </row>
    <row r="109" spans="1:11" x14ac:dyDescent="0.25">
      <c r="A109" s="1">
        <v>44784.743819444448</v>
      </c>
      <c r="B109" s="1">
        <v>44784.743773148148</v>
      </c>
      <c r="C109">
        <v>3.8</v>
      </c>
      <c r="D109">
        <v>3.1</v>
      </c>
      <c r="E109">
        <v>35</v>
      </c>
      <c r="F109">
        <v>0</v>
      </c>
      <c r="G109" t="s">
        <v>32</v>
      </c>
      <c r="H109" t="s">
        <v>36</v>
      </c>
      <c r="J109" s="2"/>
      <c r="K109" s="2"/>
    </row>
    <row r="110" spans="1:11" x14ac:dyDescent="0.25">
      <c r="A110" s="1">
        <v>44784.750763888886</v>
      </c>
      <c r="B110" s="1">
        <v>44784.750717592593</v>
      </c>
      <c r="C110">
        <v>3.8</v>
      </c>
      <c r="D110">
        <v>3.1</v>
      </c>
      <c r="E110">
        <v>35</v>
      </c>
      <c r="F110">
        <v>0</v>
      </c>
      <c r="G110" t="s">
        <v>32</v>
      </c>
      <c r="H110" t="s">
        <v>36</v>
      </c>
      <c r="J110" t="str">
        <f>IF(COUNT(I105:I110)&gt;3.5,ROUND(AVERAGE(I105:I110),2),"")</f>
        <v/>
      </c>
      <c r="K110">
        <f>IF(COUNT(, , , , , , , , , , , , , , , , , , , NA, NA, NA, NA, NA)&gt;17.5,ROUND(AVERAGE(, , , , , , , , , , , , , , , , , , , 0, 0, 0, 0, 0),2),"NO AVG")</f>
        <v>0</v>
      </c>
    </row>
    <row r="111" spans="1:11" x14ac:dyDescent="0.25">
      <c r="A111" s="1">
        <v>44784.757708333331</v>
      </c>
      <c r="B111" s="1">
        <v>44784.757662037038</v>
      </c>
      <c r="C111">
        <v>3.8</v>
      </c>
      <c r="D111">
        <v>3.1</v>
      </c>
      <c r="E111">
        <v>35</v>
      </c>
      <c r="F111">
        <v>0</v>
      </c>
      <c r="G111" t="s">
        <v>32</v>
      </c>
      <c r="H111" t="s">
        <v>36</v>
      </c>
      <c r="J111" s="2"/>
      <c r="K111" s="2"/>
    </row>
    <row r="112" spans="1:11" x14ac:dyDescent="0.25">
      <c r="A112" s="1">
        <v>44784.764652777776</v>
      </c>
      <c r="B112" s="1">
        <v>44784.764606481483</v>
      </c>
      <c r="C112">
        <v>3.8</v>
      </c>
      <c r="D112">
        <v>3.1</v>
      </c>
      <c r="E112">
        <v>35</v>
      </c>
      <c r="F112">
        <v>0</v>
      </c>
      <c r="G112" t="s">
        <v>32</v>
      </c>
      <c r="H112" t="s">
        <v>36</v>
      </c>
      <c r="J112" s="2"/>
      <c r="K112" s="2"/>
    </row>
    <row r="113" spans="1:11" x14ac:dyDescent="0.25">
      <c r="A113" s="1">
        <v>44784.771597222221</v>
      </c>
      <c r="B113" s="1">
        <v>44784.771550925929</v>
      </c>
      <c r="C113">
        <v>3.8</v>
      </c>
      <c r="D113">
        <v>3.1</v>
      </c>
      <c r="E113">
        <v>35</v>
      </c>
      <c r="F113">
        <v>0</v>
      </c>
      <c r="G113" t="s">
        <v>32</v>
      </c>
      <c r="H113" t="s">
        <v>36</v>
      </c>
      <c r="J113" s="2"/>
      <c r="K113" s="2"/>
    </row>
    <row r="114" spans="1:11" x14ac:dyDescent="0.25">
      <c r="A114" s="1">
        <v>44784.778541666667</v>
      </c>
      <c r="B114" s="1">
        <v>44784.778495370374</v>
      </c>
      <c r="C114">
        <v>3.8</v>
      </c>
      <c r="D114">
        <v>3.1</v>
      </c>
      <c r="E114">
        <v>35</v>
      </c>
      <c r="F114">
        <v>0</v>
      </c>
      <c r="G114" t="s">
        <v>32</v>
      </c>
      <c r="H114" t="s">
        <v>36</v>
      </c>
      <c r="J114" s="2"/>
      <c r="K114" s="2"/>
    </row>
    <row r="115" spans="1:11" x14ac:dyDescent="0.25">
      <c r="A115" s="1">
        <v>44784.785497685189</v>
      </c>
      <c r="B115" s="1">
        <v>44784.785439814812</v>
      </c>
      <c r="C115">
        <v>3.8</v>
      </c>
      <c r="D115">
        <v>3.1</v>
      </c>
      <c r="E115">
        <v>35</v>
      </c>
      <c r="F115">
        <v>0</v>
      </c>
      <c r="G115" t="s">
        <v>32</v>
      </c>
      <c r="H115" t="s">
        <v>36</v>
      </c>
      <c r="J115" s="2"/>
      <c r="K115" s="2"/>
    </row>
    <row r="116" spans="1:11" x14ac:dyDescent="0.25">
      <c r="A116" s="1">
        <v>44784.792430555557</v>
      </c>
      <c r="B116" s="1">
        <v>44784.792384259257</v>
      </c>
      <c r="C116">
        <v>3.8</v>
      </c>
      <c r="D116">
        <v>3.1</v>
      </c>
      <c r="E116">
        <v>35</v>
      </c>
      <c r="F116">
        <v>0</v>
      </c>
      <c r="G116" t="s">
        <v>32</v>
      </c>
      <c r="H116" t="s">
        <v>36</v>
      </c>
      <c r="J116" t="str">
        <f>IF(COUNT(I111:I116)&gt;3.5,ROUND(AVERAGE(I111:I116),2),"")</f>
        <v/>
      </c>
      <c r="K116">
        <f>IF(COUNT(, , , , , , , , , , , , , , , , , , , , NA, NA, NA, NA)&gt;17.5,ROUND(AVERAGE(, , , , , , , , , , , , , , , , , , , , 0, 0, 0, 0),2),"NO AVG")</f>
        <v>0</v>
      </c>
    </row>
    <row r="117" spans="1:11" x14ac:dyDescent="0.25">
      <c r="A117" s="1">
        <v>44784.799375000002</v>
      </c>
      <c r="B117" s="1">
        <v>44784.799328703702</v>
      </c>
      <c r="C117">
        <v>3.8</v>
      </c>
      <c r="D117">
        <v>3.1</v>
      </c>
      <c r="E117">
        <v>35</v>
      </c>
      <c r="F117">
        <v>0</v>
      </c>
      <c r="G117" t="s">
        <v>32</v>
      </c>
      <c r="H117" t="s">
        <v>36</v>
      </c>
      <c r="J117" s="2"/>
      <c r="K117" s="2"/>
    </row>
    <row r="118" spans="1:11" x14ac:dyDescent="0.25">
      <c r="A118" s="1">
        <v>44784.806377314817</v>
      </c>
      <c r="B118" s="1">
        <v>44784.806273148148</v>
      </c>
      <c r="C118">
        <v>3.8</v>
      </c>
      <c r="D118">
        <v>3.1</v>
      </c>
      <c r="E118">
        <v>35</v>
      </c>
      <c r="F118">
        <v>0</v>
      </c>
      <c r="G118" t="s">
        <v>32</v>
      </c>
      <c r="H118" t="s">
        <v>36</v>
      </c>
      <c r="J118" s="2"/>
      <c r="K118" s="2"/>
    </row>
    <row r="119" spans="1:11" x14ac:dyDescent="0.25">
      <c r="A119" s="1">
        <v>44784.813275462962</v>
      </c>
      <c r="B119" s="1">
        <v>44784.813217592593</v>
      </c>
      <c r="C119">
        <v>3.8</v>
      </c>
      <c r="D119">
        <v>3.1</v>
      </c>
      <c r="E119">
        <v>35</v>
      </c>
      <c r="F119">
        <v>0</v>
      </c>
      <c r="G119" t="s">
        <v>32</v>
      </c>
      <c r="H119" t="s">
        <v>36</v>
      </c>
      <c r="J119" s="2"/>
      <c r="K119" s="2"/>
    </row>
    <row r="120" spans="1:11" x14ac:dyDescent="0.25">
      <c r="A120" s="1">
        <v>44784.820219907408</v>
      </c>
      <c r="B120" s="1">
        <v>44784.820162037038</v>
      </c>
      <c r="C120">
        <v>3.8</v>
      </c>
      <c r="D120">
        <v>3.1</v>
      </c>
      <c r="E120">
        <v>35</v>
      </c>
      <c r="F120">
        <v>0</v>
      </c>
      <c r="G120" t="s">
        <v>32</v>
      </c>
      <c r="H120" t="s">
        <v>36</v>
      </c>
      <c r="J120" s="2"/>
      <c r="K120" s="2"/>
    </row>
    <row r="121" spans="1:11" x14ac:dyDescent="0.25">
      <c r="A121" s="1">
        <v>44784.827164351853</v>
      </c>
      <c r="B121" s="1">
        <v>44784.827106481483</v>
      </c>
      <c r="C121">
        <v>3.8</v>
      </c>
      <c r="D121">
        <v>3.1</v>
      </c>
      <c r="E121">
        <v>35</v>
      </c>
      <c r="F121">
        <v>0</v>
      </c>
      <c r="G121" t="s">
        <v>32</v>
      </c>
      <c r="H121" t="s">
        <v>36</v>
      </c>
      <c r="J121" s="2"/>
      <c r="K121" s="2"/>
    </row>
    <row r="122" spans="1:11" x14ac:dyDescent="0.25">
      <c r="A122" s="1">
        <v>44784.834097222221</v>
      </c>
      <c r="B122" s="1">
        <v>44784.834050925929</v>
      </c>
      <c r="C122">
        <v>3.8</v>
      </c>
      <c r="D122">
        <v>3.1</v>
      </c>
      <c r="E122">
        <v>35</v>
      </c>
      <c r="F122">
        <v>0</v>
      </c>
      <c r="G122" t="s">
        <v>32</v>
      </c>
      <c r="H122" t="s">
        <v>36</v>
      </c>
      <c r="J122" t="str">
        <f>IF(COUNT(I117:I122)&gt;3.5,ROUND(AVERAGE(I117:I122),2),"")</f>
        <v/>
      </c>
      <c r="K122">
        <f>IF(COUNT(, , , , , , , , , , , , , , , , , , , , , NA, NA, NA)&gt;17.5,ROUND(AVERAGE(, , , , , , , , , , , , , , , , , , , , , 0, 0, 0),2),"NO AVG")</f>
        <v>0</v>
      </c>
    </row>
    <row r="123" spans="1:11" x14ac:dyDescent="0.25">
      <c r="A123" s="1">
        <v>44784.841053240743</v>
      </c>
      <c r="B123" s="1">
        <v>44784.840995370374</v>
      </c>
      <c r="C123">
        <v>3.8</v>
      </c>
      <c r="D123">
        <v>3.1</v>
      </c>
      <c r="E123">
        <v>35</v>
      </c>
      <c r="F123">
        <v>0</v>
      </c>
      <c r="G123" t="s">
        <v>32</v>
      </c>
      <c r="H123" t="s">
        <v>36</v>
      </c>
      <c r="J123" s="2"/>
      <c r="K123" s="2"/>
    </row>
    <row r="124" spans="1:11" x14ac:dyDescent="0.25">
      <c r="A124" s="1">
        <v>44784.847986111112</v>
      </c>
      <c r="B124" s="1">
        <v>44784.847939814812</v>
      </c>
      <c r="C124">
        <v>3.8</v>
      </c>
      <c r="D124">
        <v>3.1</v>
      </c>
      <c r="E124">
        <v>35</v>
      </c>
      <c r="F124">
        <v>0</v>
      </c>
      <c r="G124" t="s">
        <v>32</v>
      </c>
      <c r="H124" t="s">
        <v>36</v>
      </c>
      <c r="J124" s="2"/>
      <c r="K124" s="2"/>
    </row>
    <row r="125" spans="1:11" x14ac:dyDescent="0.25">
      <c r="A125" s="1">
        <v>44784.854930555557</v>
      </c>
      <c r="B125" s="1">
        <v>44784.854884259257</v>
      </c>
      <c r="C125">
        <v>3.8</v>
      </c>
      <c r="D125">
        <v>3.1</v>
      </c>
      <c r="E125">
        <v>35</v>
      </c>
      <c r="F125">
        <v>0</v>
      </c>
      <c r="G125" t="s">
        <v>32</v>
      </c>
      <c r="H125" t="s">
        <v>36</v>
      </c>
      <c r="J125" s="2"/>
      <c r="K125" s="2"/>
    </row>
    <row r="126" spans="1:11" x14ac:dyDescent="0.25">
      <c r="A126" s="1">
        <v>44784.861886574072</v>
      </c>
      <c r="B126" s="1">
        <v>44784.861828703702</v>
      </c>
      <c r="C126">
        <v>3.8</v>
      </c>
      <c r="D126">
        <v>3.1</v>
      </c>
      <c r="E126">
        <v>35</v>
      </c>
      <c r="F126">
        <v>0</v>
      </c>
      <c r="G126" t="s">
        <v>32</v>
      </c>
      <c r="H126" t="s">
        <v>36</v>
      </c>
      <c r="J126" s="2"/>
      <c r="K126" s="2"/>
    </row>
    <row r="127" spans="1:11" x14ac:dyDescent="0.25">
      <c r="A127" s="1">
        <v>44784.868831018517</v>
      </c>
      <c r="B127" s="1">
        <v>44784.868773148148</v>
      </c>
      <c r="C127">
        <v>3.8</v>
      </c>
      <c r="D127">
        <v>3.1</v>
      </c>
      <c r="E127">
        <v>35</v>
      </c>
      <c r="F127">
        <v>0</v>
      </c>
      <c r="G127" t="s">
        <v>32</v>
      </c>
      <c r="H127" t="s">
        <v>36</v>
      </c>
      <c r="J127" s="2"/>
      <c r="K127" s="2"/>
    </row>
    <row r="128" spans="1:11" x14ac:dyDescent="0.25">
      <c r="A128" s="1">
        <v>44784.875775462962</v>
      </c>
      <c r="B128" s="1">
        <v>44784.875717592593</v>
      </c>
      <c r="C128">
        <v>3.8</v>
      </c>
      <c r="D128">
        <v>3.1</v>
      </c>
      <c r="E128">
        <v>35</v>
      </c>
      <c r="F128">
        <v>0</v>
      </c>
      <c r="G128" t="s">
        <v>32</v>
      </c>
      <c r="H128" t="s">
        <v>36</v>
      </c>
      <c r="J128" t="str">
        <f>IF(COUNT(I123:I128)&gt;3.5,ROUND(AVERAGE(I123:I128),2),"")</f>
        <v/>
      </c>
      <c r="K128">
        <f>IF(COUNT(, , , , , , , , , , , , , , , , , , , , , , NA, NA)&gt;17.5,ROUND(AVERAGE(, , , , , , , , , , , , , , , , , , , , , , 0, 0),2),"NO AVG")</f>
        <v>0</v>
      </c>
    </row>
    <row r="129" spans="1:11" x14ac:dyDescent="0.25">
      <c r="A129" s="1">
        <v>44784.882719907408</v>
      </c>
      <c r="B129" s="1">
        <v>44784.882662037038</v>
      </c>
      <c r="C129">
        <v>3.8</v>
      </c>
      <c r="D129">
        <v>3.1</v>
      </c>
      <c r="E129">
        <v>35</v>
      </c>
      <c r="F129">
        <v>0</v>
      </c>
      <c r="G129" t="s">
        <v>32</v>
      </c>
      <c r="H129" t="s">
        <v>36</v>
      </c>
      <c r="J129" s="2"/>
      <c r="K129" s="2"/>
    </row>
    <row r="130" spans="1:11" x14ac:dyDescent="0.25">
      <c r="A130" s="1">
        <v>44784.889664351853</v>
      </c>
      <c r="B130" s="1">
        <v>44784.889606481483</v>
      </c>
      <c r="C130">
        <v>3.8</v>
      </c>
      <c r="D130">
        <v>3.1</v>
      </c>
      <c r="E130">
        <v>35</v>
      </c>
      <c r="F130">
        <v>0</v>
      </c>
      <c r="G130" t="s">
        <v>32</v>
      </c>
      <c r="H130" t="s">
        <v>36</v>
      </c>
      <c r="J130" s="2"/>
      <c r="K130" s="2"/>
    </row>
    <row r="131" spans="1:11" x14ac:dyDescent="0.25">
      <c r="A131" s="1">
        <v>44784.896608796298</v>
      </c>
      <c r="B131" s="1">
        <v>44784.896550925929</v>
      </c>
      <c r="C131">
        <v>3.8</v>
      </c>
      <c r="D131">
        <v>3.1</v>
      </c>
      <c r="E131">
        <v>35</v>
      </c>
      <c r="F131">
        <v>0</v>
      </c>
      <c r="G131" t="s">
        <v>32</v>
      </c>
      <c r="H131" t="s">
        <v>36</v>
      </c>
      <c r="J131" s="2"/>
      <c r="K131" s="2"/>
    </row>
    <row r="132" spans="1:11" x14ac:dyDescent="0.25">
      <c r="A132" s="1">
        <v>44784.903541666667</v>
      </c>
      <c r="B132" s="1">
        <v>44784.903495370374</v>
      </c>
      <c r="C132">
        <v>3.8</v>
      </c>
      <c r="D132">
        <v>3.1</v>
      </c>
      <c r="E132">
        <v>35</v>
      </c>
      <c r="F132">
        <v>0</v>
      </c>
      <c r="G132" t="s">
        <v>32</v>
      </c>
      <c r="H132" t="s">
        <v>36</v>
      </c>
      <c r="J132" s="2"/>
      <c r="K132" s="2"/>
    </row>
    <row r="133" spans="1:11" x14ac:dyDescent="0.25">
      <c r="A133" s="1">
        <v>44784.910497685189</v>
      </c>
      <c r="B133" s="1">
        <v>44784.910439814812</v>
      </c>
      <c r="C133">
        <v>3.8</v>
      </c>
      <c r="D133">
        <v>3.1</v>
      </c>
      <c r="E133">
        <v>35</v>
      </c>
      <c r="F133">
        <v>0</v>
      </c>
      <c r="G133" t="s">
        <v>32</v>
      </c>
      <c r="H133" t="s">
        <v>36</v>
      </c>
      <c r="J133" s="2"/>
      <c r="K133" s="2"/>
    </row>
    <row r="134" spans="1:11" x14ac:dyDescent="0.25">
      <c r="A134" s="1">
        <v>44784.917442129627</v>
      </c>
      <c r="B134" s="1">
        <v>44784.917384259257</v>
      </c>
      <c r="C134">
        <v>3.8</v>
      </c>
      <c r="D134">
        <v>3.1</v>
      </c>
      <c r="E134">
        <v>35</v>
      </c>
      <c r="F134">
        <v>0</v>
      </c>
      <c r="G134" t="s">
        <v>32</v>
      </c>
      <c r="H134" t="s">
        <v>36</v>
      </c>
      <c r="J134" t="str">
        <f>IF(COUNT(I129:I134)&gt;3.5,ROUND(AVERAGE(I129:I134),2),"")</f>
        <v/>
      </c>
      <c r="K134">
        <f>IF(COUNT(, , , , , , , , , , , , , , , , , , , , , , , NA)&gt;17.5,ROUND(AVERAGE(, , , , , , , , , , , , , , , , , , , , , , , 0),2),"NO AVG")</f>
        <v>0</v>
      </c>
    </row>
    <row r="135" spans="1:11" x14ac:dyDescent="0.25">
      <c r="A135" s="1">
        <v>44784.924386574072</v>
      </c>
      <c r="B135" s="1">
        <v>44784.924328703702</v>
      </c>
      <c r="C135">
        <v>3.8</v>
      </c>
      <c r="D135">
        <v>3.1</v>
      </c>
      <c r="E135">
        <v>35</v>
      </c>
      <c r="F135">
        <v>0</v>
      </c>
      <c r="G135" t="s">
        <v>32</v>
      </c>
      <c r="H135" t="s">
        <v>36</v>
      </c>
      <c r="J135" s="2"/>
      <c r="K135" s="2"/>
    </row>
    <row r="136" spans="1:11" x14ac:dyDescent="0.25">
      <c r="A136" s="1">
        <v>44784.931331018517</v>
      </c>
      <c r="B136" s="1">
        <v>44784.931273148148</v>
      </c>
      <c r="C136">
        <v>3.8</v>
      </c>
      <c r="D136">
        <v>3.1</v>
      </c>
      <c r="E136">
        <v>35</v>
      </c>
      <c r="F136">
        <v>0</v>
      </c>
      <c r="G136" t="s">
        <v>32</v>
      </c>
      <c r="H136" t="s">
        <v>36</v>
      </c>
      <c r="J136" s="2"/>
      <c r="K136" s="2"/>
    </row>
    <row r="137" spans="1:11" x14ac:dyDescent="0.25">
      <c r="A137" s="1">
        <v>44784.938275462962</v>
      </c>
      <c r="B137" s="1">
        <v>44784.938217592593</v>
      </c>
      <c r="C137">
        <v>3.8</v>
      </c>
      <c r="D137">
        <v>3.1</v>
      </c>
      <c r="E137">
        <v>35</v>
      </c>
      <c r="F137">
        <v>0</v>
      </c>
      <c r="G137" t="s">
        <v>32</v>
      </c>
      <c r="H137" t="s">
        <v>36</v>
      </c>
      <c r="J137" s="2"/>
      <c r="K137" s="2"/>
    </row>
    <row r="138" spans="1:11" x14ac:dyDescent="0.25">
      <c r="A138" s="1">
        <v>44784.945219907408</v>
      </c>
      <c r="B138" s="1">
        <v>44784.945162037038</v>
      </c>
      <c r="C138">
        <v>3.8</v>
      </c>
      <c r="D138">
        <v>3.1</v>
      </c>
      <c r="E138">
        <v>35</v>
      </c>
      <c r="F138">
        <v>0</v>
      </c>
      <c r="G138" t="s">
        <v>32</v>
      </c>
      <c r="H138" t="s">
        <v>36</v>
      </c>
      <c r="J138" s="2"/>
      <c r="K138" s="2"/>
    </row>
    <row r="139" spans="1:11" x14ac:dyDescent="0.25">
      <c r="A139" s="1">
        <v>44784.952164351853</v>
      </c>
      <c r="B139" s="1">
        <v>44784.952106481483</v>
      </c>
      <c r="C139">
        <v>3.8</v>
      </c>
      <c r="D139">
        <v>3.1</v>
      </c>
      <c r="E139">
        <v>35</v>
      </c>
      <c r="F139">
        <v>0</v>
      </c>
      <c r="G139" t="s">
        <v>32</v>
      </c>
      <c r="H139" t="s">
        <v>36</v>
      </c>
      <c r="J139" s="2"/>
      <c r="K139" s="2"/>
    </row>
    <row r="140" spans="1:11" x14ac:dyDescent="0.25">
      <c r="A140" s="1">
        <v>44784.959108796298</v>
      </c>
      <c r="B140" s="1">
        <v>44784.959050925929</v>
      </c>
      <c r="C140">
        <v>3.8</v>
      </c>
      <c r="D140">
        <v>3.1</v>
      </c>
      <c r="E140">
        <v>35</v>
      </c>
      <c r="F140">
        <v>0</v>
      </c>
      <c r="G140" t="s">
        <v>32</v>
      </c>
      <c r="H140" t="s">
        <v>36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</row>
    <row r="141" spans="1:11" x14ac:dyDescent="0.25">
      <c r="A141" s="1">
        <v>44784.966053240743</v>
      </c>
      <c r="B141" s="1">
        <v>44784.965995370374</v>
      </c>
      <c r="C141">
        <v>3.8</v>
      </c>
      <c r="D141">
        <v>3.1</v>
      </c>
      <c r="E141">
        <v>35</v>
      </c>
      <c r="F141">
        <v>0</v>
      </c>
      <c r="G141" t="s">
        <v>32</v>
      </c>
      <c r="H141" t="s">
        <v>36</v>
      </c>
      <c r="J141" s="2"/>
      <c r="K141" s="2"/>
    </row>
    <row r="142" spans="1:11" x14ac:dyDescent="0.25">
      <c r="A142" s="1">
        <v>44784.972997685189</v>
      </c>
      <c r="B142" s="1">
        <v>44784.972939814812</v>
      </c>
      <c r="C142">
        <v>3.8</v>
      </c>
      <c r="D142">
        <v>3.1</v>
      </c>
      <c r="E142">
        <v>35</v>
      </c>
      <c r="F142">
        <v>0</v>
      </c>
      <c r="G142" t="s">
        <v>32</v>
      </c>
      <c r="H142" t="s">
        <v>36</v>
      </c>
      <c r="J142" s="2"/>
      <c r="K142" s="2"/>
    </row>
    <row r="143" spans="1:11" x14ac:dyDescent="0.25">
      <c r="A143" s="1">
        <v>44784.979942129627</v>
      </c>
      <c r="B143" s="1">
        <v>44784.979884259257</v>
      </c>
      <c r="C143">
        <v>3.8</v>
      </c>
      <c r="D143">
        <v>3.1</v>
      </c>
      <c r="E143">
        <v>35</v>
      </c>
      <c r="F143">
        <v>0</v>
      </c>
      <c r="G143" t="s">
        <v>32</v>
      </c>
      <c r="H143" t="s">
        <v>36</v>
      </c>
      <c r="J143" s="2"/>
      <c r="K143" s="2"/>
    </row>
    <row r="144" spans="1:11" x14ac:dyDescent="0.25">
      <c r="A144" s="1">
        <v>44784.986886574072</v>
      </c>
      <c r="B144" s="1">
        <v>44784.986828703702</v>
      </c>
      <c r="C144">
        <v>3.8</v>
      </c>
      <c r="D144">
        <v>3.1</v>
      </c>
      <c r="E144">
        <v>35</v>
      </c>
      <c r="F144">
        <v>0</v>
      </c>
      <c r="G144" t="s">
        <v>32</v>
      </c>
      <c r="H144" t="s">
        <v>36</v>
      </c>
      <c r="J144" s="2"/>
      <c r="K144" s="2"/>
    </row>
    <row r="145" spans="1:12" x14ac:dyDescent="0.25">
      <c r="A145" s="1">
        <v>44784.993831018517</v>
      </c>
      <c r="B145" s="1">
        <v>44784.993773148148</v>
      </c>
      <c r="C145">
        <v>3.8</v>
      </c>
      <c r="D145">
        <v>3.1</v>
      </c>
      <c r="E145">
        <v>35</v>
      </c>
      <c r="F145">
        <v>0</v>
      </c>
      <c r="G145" t="s">
        <v>32</v>
      </c>
      <c r="H145" t="s">
        <v>36</v>
      </c>
      <c r="J145" s="2"/>
      <c r="K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E6857-F8C6-41B3-8606-16982D87A78E}">
  <sheetPr codeName="Sheet10"/>
  <dimension ref="A1:M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3" max="13" width="6.7109375" bestFit="1" customWidth="1"/>
  </cols>
  <sheetData>
    <row r="1" spans="1:13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M1" t="s">
        <v>3</v>
      </c>
    </row>
    <row r="2" spans="1:13" x14ac:dyDescent="0.25">
      <c r="A2" s="1">
        <v>44784.000752314816</v>
      </c>
      <c r="B2" s="1">
        <v>44784.000717592593</v>
      </c>
      <c r="C2">
        <v>2.7</v>
      </c>
      <c r="D2">
        <v>2.2999999999999998</v>
      </c>
      <c r="E2">
        <v>72</v>
      </c>
      <c r="F2">
        <v>0</v>
      </c>
      <c r="G2" t="s">
        <v>33</v>
      </c>
      <c r="H2" t="s">
        <v>36</v>
      </c>
      <c r="I2">
        <v>-1.36</v>
      </c>
      <c r="J2">
        <v>1.26</v>
      </c>
      <c r="K2">
        <f>IF(COUNT(1.26, -0.44, -0.71, -0.9, -1.07, -1.17, -1.11, -1.09, -0.17, 0.97, 2, 2.94, 3.59, 3.2, 2.94, 2.63, 2.74, 2.51, 2.49, 2.41, 2.84, 2.51, 2.03, 1.94)&gt;17.5,ROUND(AVERAGE(1.26, -0.44, -0.71, -0.9, -1.07, -1.17, -1.11, -1.09, -0.17, 0.97, 2, 2.94, 3.59, 3.2, 2.94, 2.63, 2.74, 2.51, 2.49, 2.41, 2.84, 2.51, 2.03, 1.94),2),"NO AVG")</f>
        <v>1.35</v>
      </c>
      <c r="M2" t="s">
        <v>44</v>
      </c>
    </row>
    <row r="3" spans="1:13" x14ac:dyDescent="0.25">
      <c r="A3" s="1">
        <v>44784.007708333331</v>
      </c>
      <c r="B3" s="1">
        <v>44784.007662037038</v>
      </c>
      <c r="C3">
        <v>2.7</v>
      </c>
      <c r="D3">
        <v>2.2000000000000002</v>
      </c>
      <c r="E3">
        <v>73</v>
      </c>
      <c r="F3">
        <v>0</v>
      </c>
      <c r="G3" t="s">
        <v>33</v>
      </c>
      <c r="H3" t="s">
        <v>36</v>
      </c>
      <c r="I3">
        <v>-1.46</v>
      </c>
      <c r="J3" s="2"/>
      <c r="K3" s="2"/>
    </row>
    <row r="4" spans="1:13" x14ac:dyDescent="0.25">
      <c r="A4" s="1">
        <v>44784.014641203707</v>
      </c>
      <c r="B4" s="1">
        <v>44784.014606481483</v>
      </c>
      <c r="C4">
        <v>2.9</v>
      </c>
      <c r="D4">
        <v>2.4</v>
      </c>
      <c r="E4">
        <v>73</v>
      </c>
      <c r="F4">
        <v>0</v>
      </c>
      <c r="G4" t="s">
        <v>33</v>
      </c>
      <c r="H4" t="s">
        <v>36</v>
      </c>
      <c r="I4">
        <v>-1.33</v>
      </c>
      <c r="J4" s="2"/>
      <c r="K4" s="2"/>
    </row>
    <row r="5" spans="1:13" x14ac:dyDescent="0.25">
      <c r="A5" s="1">
        <v>44784.021585648145</v>
      </c>
      <c r="B5" s="1">
        <v>44784.021550925929</v>
      </c>
      <c r="C5">
        <v>2.8</v>
      </c>
      <c r="D5">
        <v>2.2999999999999998</v>
      </c>
      <c r="E5">
        <v>74</v>
      </c>
      <c r="F5">
        <v>0</v>
      </c>
      <c r="G5" t="s">
        <v>33</v>
      </c>
      <c r="H5" t="s">
        <v>36</v>
      </c>
      <c r="I5">
        <v>-1.46</v>
      </c>
      <c r="J5" s="2"/>
      <c r="K5" s="2"/>
    </row>
    <row r="6" spans="1:13" x14ac:dyDescent="0.25">
      <c r="A6" s="1">
        <v>44784.02853009259</v>
      </c>
      <c r="B6" s="1">
        <v>44784.028495370374</v>
      </c>
      <c r="C6">
        <v>2.6</v>
      </c>
      <c r="D6">
        <v>2.2000000000000002</v>
      </c>
      <c r="E6">
        <v>72</v>
      </c>
      <c r="F6">
        <v>0</v>
      </c>
      <c r="G6" t="s">
        <v>33</v>
      </c>
      <c r="H6" t="s">
        <v>36</v>
      </c>
      <c r="I6">
        <v>-1.42</v>
      </c>
      <c r="J6" s="2"/>
      <c r="K6" s="2"/>
    </row>
    <row r="7" spans="1:13" x14ac:dyDescent="0.25">
      <c r="A7" s="1">
        <v>44784.035474537035</v>
      </c>
      <c r="B7" s="1">
        <v>44784.035439814812</v>
      </c>
      <c r="C7">
        <v>2.7</v>
      </c>
      <c r="D7">
        <v>2.1</v>
      </c>
      <c r="E7">
        <v>77</v>
      </c>
      <c r="F7">
        <v>0</v>
      </c>
      <c r="G7" t="s">
        <v>33</v>
      </c>
      <c r="H7" t="s">
        <v>36</v>
      </c>
      <c r="I7">
        <v>-1.77</v>
      </c>
      <c r="J7" s="2"/>
      <c r="K7" s="2"/>
    </row>
    <row r="8" spans="1:13" x14ac:dyDescent="0.25">
      <c r="A8" s="1">
        <v>44784.04241898148</v>
      </c>
      <c r="B8" s="1">
        <v>44784.042384259257</v>
      </c>
      <c r="C8">
        <v>2.8</v>
      </c>
      <c r="D8">
        <v>2.2000000000000002</v>
      </c>
      <c r="E8">
        <v>79</v>
      </c>
      <c r="F8">
        <v>0</v>
      </c>
      <c r="G8" t="s">
        <v>33</v>
      </c>
      <c r="H8" t="s">
        <v>36</v>
      </c>
      <c r="I8">
        <v>-1.85</v>
      </c>
      <c r="J8">
        <f>IF(COUNT(I3:I8)&gt;3.5,ROUND(AVERAGE(I3:I8),2),"")</f>
        <v>-1.55</v>
      </c>
      <c r="K8">
        <f>IF(COUNT(1.26, -1.55, -0.71, -0.9, -1.07, -1.17, -1.11, -1.09, -0.17, 0.97, 2, 2.94, 3.59, 3.2, 2.94, 2.63, 2.74, 2.51, 2.49, 2.41, 2.84, 2.51, 2.03, 1.94)&gt;17.5,ROUND(AVERAGE(1.26, -1.55, -0.71, -0.9, -1.07, -1.17, -1.11, -1.09, -0.17, 0.97, 2, 2.94, 3.59, 3.2, 2.94, 2.63, 2.74, 2.51, 2.49, 2.41, 2.84, 2.51, 2.03, 1.94),2),"NO AVG")</f>
        <v>1.3</v>
      </c>
    </row>
    <row r="9" spans="1:13" x14ac:dyDescent="0.25">
      <c r="A9" s="1">
        <v>44784.049363425926</v>
      </c>
      <c r="B9" s="1">
        <v>44784.049328703702</v>
      </c>
      <c r="C9">
        <v>2.8</v>
      </c>
      <c r="D9">
        <v>2.2000000000000002</v>
      </c>
      <c r="E9">
        <v>83</v>
      </c>
      <c r="F9">
        <v>0</v>
      </c>
      <c r="G9" t="s">
        <v>33</v>
      </c>
      <c r="H9" t="s">
        <v>36</v>
      </c>
      <c r="I9">
        <v>-2.12</v>
      </c>
      <c r="J9" s="2"/>
      <c r="K9" s="2"/>
    </row>
    <row r="10" spans="1:13" x14ac:dyDescent="0.25">
      <c r="A10" s="1">
        <v>44784.056307870371</v>
      </c>
      <c r="B10" s="1">
        <v>44784.056273148148</v>
      </c>
      <c r="C10">
        <v>2.7</v>
      </c>
      <c r="D10">
        <v>2.2000000000000002</v>
      </c>
      <c r="E10">
        <v>80</v>
      </c>
      <c r="F10">
        <v>0</v>
      </c>
      <c r="G10" t="s">
        <v>33</v>
      </c>
      <c r="H10" t="s">
        <v>36</v>
      </c>
      <c r="I10">
        <v>-1.95</v>
      </c>
      <c r="J10" s="2"/>
      <c r="K10" s="2"/>
    </row>
    <row r="11" spans="1:13" x14ac:dyDescent="0.25">
      <c r="A11" s="1">
        <v>44784.063252314816</v>
      </c>
      <c r="B11" s="1">
        <v>44784.063217592593</v>
      </c>
      <c r="C11">
        <v>2.6</v>
      </c>
      <c r="D11">
        <v>2.2000000000000002</v>
      </c>
      <c r="E11">
        <v>79</v>
      </c>
      <c r="F11">
        <v>0</v>
      </c>
      <c r="G11" t="s">
        <v>33</v>
      </c>
      <c r="H11" t="s">
        <v>36</v>
      </c>
      <c r="I11">
        <v>-1.91</v>
      </c>
      <c r="J11" s="2"/>
      <c r="K11" s="2"/>
    </row>
    <row r="12" spans="1:13" x14ac:dyDescent="0.25">
      <c r="A12" s="1">
        <v>44784.070196759261</v>
      </c>
      <c r="B12" s="1">
        <v>44784.070162037038</v>
      </c>
      <c r="C12">
        <v>2.7</v>
      </c>
      <c r="D12">
        <v>2.2000000000000002</v>
      </c>
      <c r="E12">
        <v>77</v>
      </c>
      <c r="F12">
        <v>0</v>
      </c>
      <c r="G12" t="s">
        <v>33</v>
      </c>
      <c r="H12" t="s">
        <v>36</v>
      </c>
      <c r="I12">
        <v>-1.74</v>
      </c>
      <c r="J12" s="2"/>
      <c r="K12" s="2"/>
    </row>
    <row r="13" spans="1:13" x14ac:dyDescent="0.25">
      <c r="A13" s="1">
        <v>44784.077152777776</v>
      </c>
      <c r="B13" s="1">
        <v>44784.077106481483</v>
      </c>
      <c r="C13">
        <v>2.8</v>
      </c>
      <c r="D13">
        <v>2.2999999999999998</v>
      </c>
      <c r="E13">
        <v>82</v>
      </c>
      <c r="F13">
        <v>0</v>
      </c>
      <c r="G13" t="s">
        <v>33</v>
      </c>
      <c r="H13" t="s">
        <v>36</v>
      </c>
      <c r="I13">
        <v>-2.02</v>
      </c>
      <c r="J13" s="2"/>
      <c r="K13" s="2"/>
    </row>
    <row r="14" spans="1:13" x14ac:dyDescent="0.25">
      <c r="A14" s="1">
        <v>44784.084085648145</v>
      </c>
      <c r="B14" s="1">
        <v>44784.084050925929</v>
      </c>
      <c r="C14">
        <v>2.9</v>
      </c>
      <c r="D14">
        <v>2.4</v>
      </c>
      <c r="E14">
        <v>80</v>
      </c>
      <c r="F14">
        <v>0</v>
      </c>
      <c r="G14" t="s">
        <v>33</v>
      </c>
      <c r="H14" t="s">
        <v>36</v>
      </c>
      <c r="I14">
        <v>-1.82</v>
      </c>
      <c r="J14">
        <f>IF(COUNT(I9:I14)&gt;3.5,ROUND(AVERAGE(I9:I14),2),"")</f>
        <v>-1.93</v>
      </c>
      <c r="K14">
        <f>IF(COUNT(1.26, -1.55, -1.93, -0.9, -1.07, -1.17, -1.11, -1.09, -0.17, 0.97, 2, 2.94, 3.59, 3.2, 2.94, 2.63, 2.74, 2.51, 2.49, 2.41, 2.84, 2.51, 2.03, 1.94)&gt;17.5,ROUND(AVERAGE(1.26, -1.55, -1.93, -0.9, -1.07, -1.17, -1.11, -1.09, -0.17, 0.97, 2, 2.94, 3.59, 3.2, 2.94, 2.63, 2.74, 2.51, 2.49, 2.41, 2.84, 2.51, 2.03, 1.94),2),"NO AVG")</f>
        <v>1.25</v>
      </c>
    </row>
    <row r="15" spans="1:13" x14ac:dyDescent="0.25">
      <c r="A15" s="1">
        <v>44784.09103009259</v>
      </c>
      <c r="B15" s="1">
        <v>44784.090995370374</v>
      </c>
      <c r="C15">
        <v>3.1</v>
      </c>
      <c r="D15">
        <v>2.5</v>
      </c>
      <c r="E15">
        <v>82</v>
      </c>
      <c r="F15">
        <v>0</v>
      </c>
      <c r="G15" t="s">
        <v>33</v>
      </c>
      <c r="H15" t="s">
        <v>36</v>
      </c>
      <c r="I15">
        <v>-1.87</v>
      </c>
      <c r="J15" s="2"/>
      <c r="K15" s="2"/>
    </row>
    <row r="16" spans="1:13" x14ac:dyDescent="0.25">
      <c r="A16" s="1">
        <v>44784.097986111112</v>
      </c>
      <c r="B16" s="1">
        <v>44784.097939814812</v>
      </c>
      <c r="C16">
        <v>3.5</v>
      </c>
      <c r="D16">
        <v>3</v>
      </c>
      <c r="E16">
        <v>88</v>
      </c>
      <c r="F16">
        <v>0</v>
      </c>
      <c r="G16" t="s">
        <v>33</v>
      </c>
      <c r="H16" t="s">
        <v>36</v>
      </c>
      <c r="I16">
        <v>-2.02</v>
      </c>
      <c r="J16" s="2"/>
      <c r="K16" s="2"/>
    </row>
    <row r="17" spans="1:11" x14ac:dyDescent="0.25">
      <c r="A17" s="1">
        <v>44784.10491898148</v>
      </c>
      <c r="B17" s="1">
        <v>44784.104884259257</v>
      </c>
      <c r="C17">
        <v>3.9</v>
      </c>
      <c r="D17">
        <v>3.3</v>
      </c>
      <c r="E17">
        <v>95</v>
      </c>
      <c r="F17">
        <v>0</v>
      </c>
      <c r="G17" t="s">
        <v>33</v>
      </c>
      <c r="H17" t="s">
        <v>36</v>
      </c>
      <c r="I17">
        <v>-2.29</v>
      </c>
      <c r="J17" s="2"/>
      <c r="K17" s="2"/>
    </row>
    <row r="18" spans="1:11" x14ac:dyDescent="0.25">
      <c r="A18" s="1">
        <v>44784.111863425926</v>
      </c>
      <c r="B18" s="1">
        <v>44784.111828703702</v>
      </c>
      <c r="C18">
        <v>3.9</v>
      </c>
      <c r="D18">
        <v>3.3</v>
      </c>
      <c r="E18">
        <v>87</v>
      </c>
      <c r="F18">
        <v>0</v>
      </c>
      <c r="G18" t="s">
        <v>33</v>
      </c>
      <c r="H18" t="s">
        <v>36</v>
      </c>
      <c r="I18">
        <v>-1.73</v>
      </c>
      <c r="J18" s="2"/>
      <c r="K18" s="2"/>
    </row>
    <row r="19" spans="1:11" x14ac:dyDescent="0.25">
      <c r="A19" s="1">
        <v>44784.118807870371</v>
      </c>
      <c r="B19" s="1">
        <v>44784.118773148148</v>
      </c>
      <c r="C19">
        <v>3.8</v>
      </c>
      <c r="D19">
        <v>3.2</v>
      </c>
      <c r="E19">
        <v>85</v>
      </c>
      <c r="F19">
        <v>0</v>
      </c>
      <c r="G19" t="s">
        <v>33</v>
      </c>
      <c r="H19" t="s">
        <v>36</v>
      </c>
      <c r="I19">
        <v>-1.66</v>
      </c>
      <c r="J19" s="2"/>
      <c r="K19" s="2"/>
    </row>
    <row r="20" spans="1:11" x14ac:dyDescent="0.25">
      <c r="A20" s="1">
        <v>44784.125763888886</v>
      </c>
      <c r="B20" s="1">
        <v>44784.125717592593</v>
      </c>
      <c r="C20">
        <v>3.8</v>
      </c>
      <c r="D20">
        <v>3.2</v>
      </c>
      <c r="E20">
        <v>89</v>
      </c>
      <c r="F20">
        <v>0</v>
      </c>
      <c r="G20" t="s">
        <v>33</v>
      </c>
      <c r="H20" t="s">
        <v>36</v>
      </c>
      <c r="I20">
        <v>-1.94</v>
      </c>
      <c r="J20">
        <f>IF(COUNT(I15:I20)&gt;3.5,ROUND(AVERAGE(I15:I20),2),"")</f>
        <v>-1.92</v>
      </c>
      <c r="K20">
        <f>IF(COUNT(1.26, -1.55, -1.93, -1.92, -1.07, -1.17, -1.11, -1.09, -0.17, 0.97, 2, 2.94, 3.59, 3.2, 2.94, 2.63, 2.74, 2.51, 2.49, 2.41, 2.84, 2.51, 2.03, 1.94)&gt;17.5,ROUND(AVERAGE(1.26, -1.55, -1.93, -1.92, -1.07, -1.17, -1.11, -1.09, -0.17, 0.97, 2, 2.94, 3.59, 3.2, 2.94, 2.63, 2.74, 2.51, 2.49, 2.41, 2.84, 2.51, 2.03, 1.94),2),"NO AVG")</f>
        <v>1.21</v>
      </c>
    </row>
    <row r="21" spans="1:11" x14ac:dyDescent="0.25">
      <c r="A21" s="1">
        <v>44784.132696759261</v>
      </c>
      <c r="B21" s="1">
        <v>44784.132662037038</v>
      </c>
      <c r="C21">
        <v>3.7</v>
      </c>
      <c r="D21">
        <v>3</v>
      </c>
      <c r="E21">
        <v>86</v>
      </c>
      <c r="F21">
        <v>0</v>
      </c>
      <c r="G21" t="s">
        <v>33</v>
      </c>
      <c r="H21" t="s">
        <v>36</v>
      </c>
      <c r="I21">
        <v>-1.82</v>
      </c>
      <c r="J21" s="2"/>
      <c r="K21" s="2"/>
    </row>
    <row r="22" spans="1:11" x14ac:dyDescent="0.25">
      <c r="A22" s="1">
        <v>44784.139652777776</v>
      </c>
      <c r="B22" s="1">
        <v>44784.139606481483</v>
      </c>
      <c r="C22">
        <v>3.8</v>
      </c>
      <c r="D22">
        <v>3</v>
      </c>
      <c r="E22">
        <v>85</v>
      </c>
      <c r="F22">
        <v>0</v>
      </c>
      <c r="G22" t="s">
        <v>33</v>
      </c>
      <c r="H22" t="s">
        <v>36</v>
      </c>
      <c r="I22">
        <v>-1.72</v>
      </c>
      <c r="J22" s="2"/>
      <c r="K22" s="2"/>
    </row>
    <row r="23" spans="1:11" x14ac:dyDescent="0.25">
      <c r="A23" s="1">
        <v>44784.146597222221</v>
      </c>
      <c r="B23" s="1">
        <v>44784.146550925929</v>
      </c>
      <c r="C23">
        <v>3.7</v>
      </c>
      <c r="D23">
        <v>3.1</v>
      </c>
      <c r="E23">
        <v>85</v>
      </c>
      <c r="F23">
        <v>0</v>
      </c>
      <c r="G23" t="s">
        <v>33</v>
      </c>
      <c r="H23" t="s">
        <v>36</v>
      </c>
      <c r="I23">
        <v>-1.72</v>
      </c>
      <c r="J23" s="2"/>
      <c r="K23" s="2"/>
    </row>
    <row r="24" spans="1:11" x14ac:dyDescent="0.25">
      <c r="A24" s="1">
        <v>44784.153541666667</v>
      </c>
      <c r="B24" s="1">
        <v>44784.153495370374</v>
      </c>
      <c r="C24">
        <v>3.8</v>
      </c>
      <c r="D24">
        <v>3.2</v>
      </c>
      <c r="E24">
        <v>87</v>
      </c>
      <c r="F24">
        <v>0</v>
      </c>
      <c r="G24" t="s">
        <v>33</v>
      </c>
      <c r="H24" t="s">
        <v>36</v>
      </c>
      <c r="I24">
        <v>-1.8</v>
      </c>
      <c r="J24" s="2"/>
      <c r="K24" s="2"/>
    </row>
    <row r="25" spans="1:11" x14ac:dyDescent="0.25">
      <c r="A25" s="1">
        <v>44784.160486111112</v>
      </c>
      <c r="B25" s="1">
        <v>44784.160439814812</v>
      </c>
      <c r="C25">
        <v>3.7</v>
      </c>
      <c r="D25">
        <v>3.1</v>
      </c>
      <c r="E25">
        <v>86</v>
      </c>
      <c r="F25">
        <v>0</v>
      </c>
      <c r="G25" t="s">
        <v>33</v>
      </c>
      <c r="H25" t="s">
        <v>36</v>
      </c>
      <c r="I25">
        <v>-1.79</v>
      </c>
      <c r="J25" s="2"/>
      <c r="K25" s="2"/>
    </row>
    <row r="26" spans="1:11" x14ac:dyDescent="0.25">
      <c r="A26" s="1">
        <v>44784.167430555557</v>
      </c>
      <c r="B26" s="1">
        <v>44784.167384259257</v>
      </c>
      <c r="C26">
        <v>3.7</v>
      </c>
      <c r="D26">
        <v>3.1</v>
      </c>
      <c r="E26">
        <v>86</v>
      </c>
      <c r="F26">
        <v>0</v>
      </c>
      <c r="G26" t="s">
        <v>33</v>
      </c>
      <c r="H26" t="s">
        <v>36</v>
      </c>
      <c r="I26">
        <v>-1.79</v>
      </c>
      <c r="J26">
        <f>IF(COUNT(I21:I26)&gt;3.5,ROUND(AVERAGE(I21:I26),2),"")</f>
        <v>-1.77</v>
      </c>
      <c r="K26">
        <f>IF(COUNT(1.26, -1.55, -1.93, -1.92, -1.77, -1.17, -1.11, -1.09, -0.17, 0.97, 2, 2.94, 3.59, 3.2, 2.94, 2.63, 2.74, 2.51, 2.49, 2.41, 2.84, 2.51, 2.03, 1.94)&gt;17.5,ROUND(AVERAGE(1.26, -1.55, -1.93, -1.92, -1.77, -1.17, -1.11, -1.09, -0.17, 0.97, 2, 2.94, 3.59, 3.2, 2.94, 2.63, 2.74, 2.51, 2.49, 2.41, 2.84, 2.51, 2.03, 1.94),2),"NO AVG")</f>
        <v>1.18</v>
      </c>
    </row>
    <row r="27" spans="1:11" x14ac:dyDescent="0.25">
      <c r="A27" s="1">
        <v>44784.174375000002</v>
      </c>
      <c r="B27" s="1">
        <v>44784.174328703702</v>
      </c>
      <c r="C27">
        <v>3.9</v>
      </c>
      <c r="D27">
        <v>3.4</v>
      </c>
      <c r="E27">
        <v>88</v>
      </c>
      <c r="F27">
        <v>0</v>
      </c>
      <c r="G27" t="s">
        <v>33</v>
      </c>
      <c r="H27" t="s">
        <v>36</v>
      </c>
      <c r="I27">
        <v>-1.77</v>
      </c>
      <c r="J27" s="2"/>
      <c r="K27" s="2"/>
    </row>
    <row r="28" spans="1:11" x14ac:dyDescent="0.25">
      <c r="A28" s="1"/>
      <c r="B28" s="1">
        <v>44784.180555555555</v>
      </c>
      <c r="J28" s="2"/>
      <c r="K28" s="2"/>
    </row>
    <row r="29" spans="1:11" x14ac:dyDescent="0.25">
      <c r="A29" s="1">
        <v>44784.188252314816</v>
      </c>
      <c r="B29" s="1">
        <v>44784.188217592593</v>
      </c>
      <c r="C29">
        <v>4.7</v>
      </c>
      <c r="D29">
        <v>4</v>
      </c>
      <c r="E29">
        <v>84</v>
      </c>
      <c r="F29">
        <v>0</v>
      </c>
      <c r="G29" t="s">
        <v>33</v>
      </c>
      <c r="H29" t="s">
        <v>36</v>
      </c>
      <c r="I29">
        <v>-1.07</v>
      </c>
      <c r="J29" s="2"/>
      <c r="K29" s="2"/>
    </row>
    <row r="30" spans="1:11" x14ac:dyDescent="0.25">
      <c r="A30" s="1">
        <v>44784.195208333331</v>
      </c>
      <c r="B30" s="1">
        <v>44784.195162037038</v>
      </c>
      <c r="C30">
        <v>4.7</v>
      </c>
      <c r="D30">
        <v>4</v>
      </c>
      <c r="E30">
        <v>85</v>
      </c>
      <c r="F30">
        <v>0</v>
      </c>
      <c r="G30" t="s">
        <v>33</v>
      </c>
      <c r="H30" t="s">
        <v>36</v>
      </c>
      <c r="I30">
        <v>-1.1399999999999999</v>
      </c>
      <c r="J30" s="2"/>
      <c r="K30" s="2"/>
    </row>
    <row r="31" spans="1:11" x14ac:dyDescent="0.25">
      <c r="A31" s="1">
        <v>44784.202164351853</v>
      </c>
      <c r="B31" s="1">
        <v>44784.20212962963</v>
      </c>
      <c r="C31">
        <v>4.9000000000000004</v>
      </c>
      <c r="D31">
        <v>4.0999999999999996</v>
      </c>
      <c r="E31">
        <v>85</v>
      </c>
      <c r="F31">
        <v>0</v>
      </c>
      <c r="G31" t="s">
        <v>33</v>
      </c>
      <c r="H31" t="s">
        <v>36</v>
      </c>
      <c r="I31">
        <v>-1.04</v>
      </c>
      <c r="J31" s="2"/>
      <c r="K31" s="2"/>
    </row>
    <row r="32" spans="1:11" x14ac:dyDescent="0.25">
      <c r="A32" s="1">
        <v>44784.209097222221</v>
      </c>
      <c r="B32" s="1">
        <v>44784.209050925929</v>
      </c>
      <c r="C32">
        <v>4.8</v>
      </c>
      <c r="D32">
        <v>3.9</v>
      </c>
      <c r="E32">
        <v>86</v>
      </c>
      <c r="F32">
        <v>0</v>
      </c>
      <c r="G32" t="s">
        <v>33</v>
      </c>
      <c r="H32" t="s">
        <v>36</v>
      </c>
      <c r="I32">
        <v>-1.21</v>
      </c>
      <c r="J32">
        <f>IF(COUNT(I27:I32)&gt;3.5,ROUND(AVERAGE(I27:I32),2),"")</f>
        <v>-1.25</v>
      </c>
      <c r="K32">
        <f>IF(COUNT(1.26, -1.55, -1.93, -1.92, -1.77, -1.25, -1.11, -1.09, -0.17, 0.97, 2, 2.94, 3.59, 3.2, 2.94, 2.63, 2.74, 2.51, 2.49, 2.41, 2.84, 2.51, 2.03, 1.94)&gt;17.5,ROUND(AVERAGE(1.26, -1.55, -1.93, -1.92, -1.77, -1.25, -1.11, -1.09, -0.17, 0.97, 2, 2.94, 3.59, 3.2, 2.94, 2.63, 2.74, 2.51, 2.49, 2.41, 2.84, 2.51, 2.03, 1.94),2),"NO AVG")</f>
        <v>1.18</v>
      </c>
    </row>
    <row r="33" spans="1:11" x14ac:dyDescent="0.25">
      <c r="A33" s="1">
        <v>44784.216053240743</v>
      </c>
      <c r="B33" s="1">
        <v>44784.215995370374</v>
      </c>
      <c r="C33">
        <v>5.2</v>
      </c>
      <c r="D33">
        <v>4.0999999999999996</v>
      </c>
      <c r="E33">
        <v>86</v>
      </c>
      <c r="F33">
        <v>0</v>
      </c>
      <c r="G33" t="s">
        <v>33</v>
      </c>
      <c r="H33" t="s">
        <v>36</v>
      </c>
      <c r="I33">
        <v>-1.02</v>
      </c>
      <c r="J33" s="2"/>
      <c r="K33" s="2"/>
    </row>
    <row r="34" spans="1:11" x14ac:dyDescent="0.25">
      <c r="A34" s="1">
        <v>44784.222986111112</v>
      </c>
      <c r="B34" s="1">
        <v>44784.222939814812</v>
      </c>
      <c r="C34">
        <v>5</v>
      </c>
      <c r="D34">
        <v>4.0999999999999996</v>
      </c>
      <c r="E34">
        <v>87</v>
      </c>
      <c r="F34">
        <v>0</v>
      </c>
      <c r="G34" t="s">
        <v>33</v>
      </c>
      <c r="H34" t="s">
        <v>36</v>
      </c>
      <c r="I34">
        <v>-1.1499999999999999</v>
      </c>
      <c r="J34" s="2"/>
      <c r="K34" s="2"/>
    </row>
    <row r="35" spans="1:11" x14ac:dyDescent="0.25">
      <c r="A35" s="1">
        <v>44784.229930555557</v>
      </c>
      <c r="B35" s="1">
        <v>44784.229884259257</v>
      </c>
      <c r="C35">
        <v>4.9000000000000004</v>
      </c>
      <c r="D35">
        <v>4</v>
      </c>
      <c r="E35">
        <v>86</v>
      </c>
      <c r="F35">
        <v>0</v>
      </c>
      <c r="G35" t="s">
        <v>33</v>
      </c>
      <c r="H35" t="s">
        <v>36</v>
      </c>
      <c r="I35">
        <v>-1.1499999999999999</v>
      </c>
      <c r="J35" s="2"/>
      <c r="K35" s="2"/>
    </row>
    <row r="36" spans="1:11" x14ac:dyDescent="0.25">
      <c r="A36" s="1">
        <v>44784.236875000002</v>
      </c>
      <c r="B36" s="1">
        <v>44784.236840277779</v>
      </c>
      <c r="C36">
        <v>4.9000000000000004</v>
      </c>
      <c r="D36">
        <v>4.0999999999999996</v>
      </c>
      <c r="E36">
        <v>86</v>
      </c>
      <c r="F36">
        <v>0</v>
      </c>
      <c r="G36" t="s">
        <v>33</v>
      </c>
      <c r="H36" t="s">
        <v>36</v>
      </c>
      <c r="I36">
        <v>-1.1200000000000001</v>
      </c>
      <c r="J36" s="2"/>
      <c r="K36" s="2"/>
    </row>
    <row r="37" spans="1:11" x14ac:dyDescent="0.25">
      <c r="A37" s="1">
        <v>44784.243819444448</v>
      </c>
      <c r="B37" s="1">
        <v>44784.243773148148</v>
      </c>
      <c r="C37">
        <v>4.9000000000000004</v>
      </c>
      <c r="D37">
        <v>4.2</v>
      </c>
      <c r="E37">
        <v>87</v>
      </c>
      <c r="F37">
        <v>0</v>
      </c>
      <c r="G37" t="s">
        <v>33</v>
      </c>
      <c r="H37" t="s">
        <v>36</v>
      </c>
      <c r="I37">
        <v>-1.1499999999999999</v>
      </c>
      <c r="J37" s="2"/>
      <c r="K37" s="2"/>
    </row>
    <row r="38" spans="1:11" x14ac:dyDescent="0.25">
      <c r="A38" s="1">
        <v>44784.250775462962</v>
      </c>
      <c r="B38" s="1">
        <v>44784.25072916667</v>
      </c>
      <c r="C38">
        <v>4.8</v>
      </c>
      <c r="D38">
        <v>4</v>
      </c>
      <c r="E38">
        <v>86</v>
      </c>
      <c r="F38">
        <v>0</v>
      </c>
      <c r="G38" t="s">
        <v>33</v>
      </c>
      <c r="H38" t="s">
        <v>36</v>
      </c>
      <c r="I38">
        <v>-1.18</v>
      </c>
      <c r="J38">
        <f>IF(COUNT(I33:I38)&gt;3.5,ROUND(AVERAGE(I33:I38),2),"")</f>
        <v>-1.1299999999999999</v>
      </c>
      <c r="K38">
        <f>IF(COUNT(1.26, -1.55, -1.93, -1.92, -1.77, -1.25, -1.13, -1.09, -0.17, 0.97, 2, 2.94, 3.59, 3.2, 2.94, 2.63, 2.74, 2.51, 2.49, 2.41, 2.84, 2.51, 2.03, 1.94)&gt;17.5,ROUND(AVERAGE(1.26, -1.55, -1.93, -1.92, -1.77, -1.25, -1.13, -1.09, -0.17, 0.97, 2, 2.94, 3.59, 3.2, 2.94, 2.63, 2.74, 2.51, 2.49, 2.41, 2.84, 2.51, 2.03, 1.94),2),"NO AVG")</f>
        <v>1.17</v>
      </c>
    </row>
    <row r="39" spans="1:11" x14ac:dyDescent="0.25">
      <c r="A39" s="1">
        <v>44784.257708333331</v>
      </c>
      <c r="B39" s="1">
        <v>44784.257662037038</v>
      </c>
      <c r="C39">
        <v>5</v>
      </c>
      <c r="D39">
        <v>4.2</v>
      </c>
      <c r="E39">
        <v>86</v>
      </c>
      <c r="F39">
        <v>0</v>
      </c>
      <c r="G39" t="s">
        <v>33</v>
      </c>
      <c r="H39" t="s">
        <v>36</v>
      </c>
      <c r="I39">
        <v>-1.05</v>
      </c>
      <c r="J39" s="2"/>
      <c r="K39" s="2"/>
    </row>
    <row r="40" spans="1:11" x14ac:dyDescent="0.25">
      <c r="A40" s="1">
        <v>44784.264652777776</v>
      </c>
      <c r="B40" s="1">
        <v>44784.264606481483</v>
      </c>
      <c r="C40">
        <v>4.9000000000000004</v>
      </c>
      <c r="D40">
        <v>4.2</v>
      </c>
      <c r="E40">
        <v>87</v>
      </c>
      <c r="F40">
        <v>0</v>
      </c>
      <c r="G40" t="s">
        <v>33</v>
      </c>
      <c r="H40" t="s">
        <v>36</v>
      </c>
      <c r="I40">
        <v>-1.1499999999999999</v>
      </c>
      <c r="J40" s="2"/>
      <c r="K40" s="2"/>
    </row>
    <row r="41" spans="1:11" x14ac:dyDescent="0.25">
      <c r="A41" s="1">
        <v>44784.271597222221</v>
      </c>
      <c r="B41" s="1">
        <v>44784.271550925929</v>
      </c>
      <c r="C41">
        <v>5.2</v>
      </c>
      <c r="D41">
        <v>4.5</v>
      </c>
      <c r="E41">
        <v>95</v>
      </c>
      <c r="F41">
        <v>0</v>
      </c>
      <c r="G41" t="s">
        <v>33</v>
      </c>
      <c r="H41" t="s">
        <v>36</v>
      </c>
      <c r="I41">
        <v>-1.53</v>
      </c>
      <c r="J41" s="2"/>
      <c r="K41" s="2"/>
    </row>
    <row r="42" spans="1:11" x14ac:dyDescent="0.25">
      <c r="A42" s="1">
        <v>44784.278541666667</v>
      </c>
      <c r="B42" s="1">
        <v>44784.278495370374</v>
      </c>
      <c r="C42">
        <v>5.7</v>
      </c>
      <c r="D42">
        <v>4.5999999999999996</v>
      </c>
      <c r="E42">
        <v>97</v>
      </c>
      <c r="F42">
        <v>0</v>
      </c>
      <c r="G42" t="s">
        <v>33</v>
      </c>
      <c r="H42" t="s">
        <v>36</v>
      </c>
      <c r="I42">
        <v>-1.49</v>
      </c>
      <c r="J42" s="2"/>
      <c r="K42" s="2"/>
    </row>
    <row r="43" spans="1:11" x14ac:dyDescent="0.25">
      <c r="A43" s="1">
        <v>44784.285486111112</v>
      </c>
      <c r="B43" s="1">
        <v>44784.285439814812</v>
      </c>
      <c r="C43">
        <v>5.8</v>
      </c>
      <c r="D43">
        <v>4.8</v>
      </c>
      <c r="E43">
        <v>99</v>
      </c>
      <c r="F43">
        <v>0</v>
      </c>
      <c r="G43" t="s">
        <v>33</v>
      </c>
      <c r="H43" t="s">
        <v>36</v>
      </c>
      <c r="I43">
        <v>-1.54</v>
      </c>
      <c r="J43" s="2"/>
      <c r="K43" s="2"/>
    </row>
    <row r="44" spans="1:11" x14ac:dyDescent="0.25">
      <c r="A44" s="1">
        <v>44784.292430555557</v>
      </c>
      <c r="B44" s="1">
        <v>44784.292384259257</v>
      </c>
      <c r="C44">
        <v>6.1</v>
      </c>
      <c r="D44">
        <v>4.9000000000000004</v>
      </c>
      <c r="E44">
        <v>100</v>
      </c>
      <c r="F44">
        <v>0</v>
      </c>
      <c r="G44" t="s">
        <v>33</v>
      </c>
      <c r="H44" t="s">
        <v>36</v>
      </c>
      <c r="I44">
        <v>-1.49</v>
      </c>
      <c r="J44">
        <f>IF(COUNT(I39:I44)&gt;3.5,ROUND(AVERAGE(I39:I44),2),"")</f>
        <v>-1.38</v>
      </c>
      <c r="K44">
        <f>IF(COUNT(1.26, -1.55, -1.93, -1.92, -1.77, -1.25, -1.13, -1.38, -0.17, 0.97, 2, 2.94, 3.59, 3.2, 2.94, 2.63, 2.74, 2.51, 2.49, 2.41, 2.84, 2.51, 2.03, 1.94)&gt;17.5,ROUND(AVERAGE(1.26, -1.55, -1.93, -1.92, -1.77, -1.25, -1.13, -1.38, -0.17, 0.97, 2, 2.94, 3.59, 3.2, 2.94, 2.63, 2.74, 2.51, 2.49, 2.41, 2.84, 2.51, 2.03, 1.94),2),"NO AVG")</f>
        <v>1.1599999999999999</v>
      </c>
    </row>
    <row r="45" spans="1:11" x14ac:dyDescent="0.25">
      <c r="A45" s="1">
        <v>44784.299375000002</v>
      </c>
      <c r="B45" s="1">
        <v>44784.299340277779</v>
      </c>
      <c r="C45">
        <v>6</v>
      </c>
      <c r="D45">
        <v>4.8</v>
      </c>
      <c r="E45">
        <v>100</v>
      </c>
      <c r="F45">
        <v>0</v>
      </c>
      <c r="G45" t="s">
        <v>33</v>
      </c>
      <c r="H45" t="s">
        <v>36</v>
      </c>
      <c r="I45">
        <v>-1.55</v>
      </c>
      <c r="J45" s="2"/>
      <c r="K45" s="2"/>
    </row>
    <row r="46" spans="1:11" x14ac:dyDescent="0.25">
      <c r="A46" s="1">
        <v>44784.306319444448</v>
      </c>
      <c r="B46" s="1">
        <v>44784.306273148148</v>
      </c>
      <c r="C46">
        <v>6.1</v>
      </c>
      <c r="D46">
        <v>5</v>
      </c>
      <c r="E46">
        <v>100</v>
      </c>
      <c r="F46">
        <v>0</v>
      </c>
      <c r="G46" t="s">
        <v>33</v>
      </c>
      <c r="H46" t="s">
        <v>36</v>
      </c>
      <c r="I46">
        <v>-1.45</v>
      </c>
      <c r="J46" s="2"/>
      <c r="K46" s="2"/>
    </row>
    <row r="47" spans="1:11" x14ac:dyDescent="0.25">
      <c r="A47" s="1">
        <v>44784.313263888886</v>
      </c>
      <c r="B47" s="1">
        <v>44784.313217592593</v>
      </c>
      <c r="C47">
        <v>6.1</v>
      </c>
      <c r="D47">
        <v>5</v>
      </c>
      <c r="E47">
        <v>100</v>
      </c>
      <c r="F47">
        <v>0</v>
      </c>
      <c r="G47" t="s">
        <v>33</v>
      </c>
      <c r="H47" t="s">
        <v>36</v>
      </c>
      <c r="I47">
        <v>-1.45</v>
      </c>
      <c r="J47" s="2"/>
      <c r="K47" s="2"/>
    </row>
    <row r="48" spans="1:11" x14ac:dyDescent="0.25">
      <c r="A48" s="1">
        <v>44784.320208333331</v>
      </c>
      <c r="B48" s="1">
        <v>44784.320162037038</v>
      </c>
      <c r="C48">
        <v>6.1</v>
      </c>
      <c r="D48">
        <v>5.0999999999999996</v>
      </c>
      <c r="E48">
        <v>96</v>
      </c>
      <c r="F48">
        <v>0</v>
      </c>
      <c r="G48" t="s">
        <v>33</v>
      </c>
      <c r="H48" t="s">
        <v>36</v>
      </c>
      <c r="I48">
        <v>-1.1399999999999999</v>
      </c>
      <c r="J48" s="2"/>
      <c r="K48" s="2"/>
    </row>
    <row r="49" spans="1:11" x14ac:dyDescent="0.25">
      <c r="A49" s="1">
        <v>44784.327152777776</v>
      </c>
      <c r="B49" s="1">
        <v>44784.327106481483</v>
      </c>
      <c r="C49">
        <v>6.7</v>
      </c>
      <c r="D49">
        <v>5.7</v>
      </c>
      <c r="E49">
        <v>95</v>
      </c>
      <c r="F49">
        <v>0</v>
      </c>
      <c r="G49" t="s">
        <v>33</v>
      </c>
      <c r="H49" t="s">
        <v>36</v>
      </c>
      <c r="I49">
        <v>-0.71</v>
      </c>
      <c r="J49" s="2"/>
      <c r="K49" s="2"/>
    </row>
    <row r="50" spans="1:11" x14ac:dyDescent="0.25">
      <c r="A50" s="1">
        <v>44784.334097222221</v>
      </c>
      <c r="B50" s="1">
        <v>44784.334050925929</v>
      </c>
      <c r="C50">
        <v>6.8</v>
      </c>
      <c r="D50">
        <v>5.7</v>
      </c>
      <c r="E50">
        <v>85</v>
      </c>
      <c r="F50">
        <v>0</v>
      </c>
      <c r="G50" t="s">
        <v>33</v>
      </c>
      <c r="H50" t="s">
        <v>36</v>
      </c>
      <c r="I50">
        <v>0.02</v>
      </c>
      <c r="J50">
        <f>IF(COUNT(I45:I50)&gt;3.5,ROUND(AVERAGE(I45:I50),2),"")</f>
        <v>-1.05</v>
      </c>
      <c r="K50">
        <f>IF(COUNT(1.26, -1.55, -1.93, -1.92, -1.77, -1.25, -1.13, -1.38, -1.05, 0.97, 2, 2.94, 3.59, 3.2, 2.94, 2.63, 2.74, 2.51, 2.49, 2.41, 2.84, 2.51, 2.03, 1.94)&gt;17.5,ROUND(AVERAGE(1.26, -1.55, -1.93, -1.92, -1.77, -1.25, -1.13, -1.38, -1.05, 0.97, 2, 2.94, 3.59, 3.2, 2.94, 2.63, 2.74, 2.51, 2.49, 2.41, 2.84, 2.51, 2.03, 1.94),2),"NO AVG")</f>
        <v>1.1299999999999999</v>
      </c>
    </row>
    <row r="51" spans="1:11" x14ac:dyDescent="0.25">
      <c r="A51" s="1">
        <v>44784.341041666667</v>
      </c>
      <c r="B51" s="1">
        <v>44784.340995370374</v>
      </c>
      <c r="C51">
        <v>7.3</v>
      </c>
      <c r="D51">
        <v>6.2</v>
      </c>
      <c r="E51">
        <v>84</v>
      </c>
      <c r="F51">
        <v>0</v>
      </c>
      <c r="G51" t="s">
        <v>33</v>
      </c>
      <c r="H51" t="s">
        <v>36</v>
      </c>
      <c r="I51">
        <v>0.4</v>
      </c>
      <c r="J51" s="2"/>
      <c r="K51" s="2"/>
    </row>
    <row r="52" spans="1:11" x14ac:dyDescent="0.25">
      <c r="A52" s="1">
        <v>44784.347986111112</v>
      </c>
      <c r="B52" s="1">
        <v>44784.347951388889</v>
      </c>
      <c r="C52">
        <v>7.8</v>
      </c>
      <c r="D52">
        <v>6.8</v>
      </c>
      <c r="E52">
        <v>76</v>
      </c>
      <c r="F52">
        <v>0</v>
      </c>
      <c r="G52" t="s">
        <v>33</v>
      </c>
      <c r="H52" t="s">
        <v>36</v>
      </c>
      <c r="I52">
        <v>1.29</v>
      </c>
      <c r="J52" s="2"/>
      <c r="K52" s="2"/>
    </row>
    <row r="53" spans="1:11" x14ac:dyDescent="0.25">
      <c r="A53" s="1">
        <v>44784.354930555557</v>
      </c>
      <c r="B53" s="1">
        <v>44784.354884259257</v>
      </c>
      <c r="C53">
        <v>7.2</v>
      </c>
      <c r="D53">
        <v>6.4</v>
      </c>
      <c r="E53">
        <v>72</v>
      </c>
      <c r="F53">
        <v>0</v>
      </c>
      <c r="G53" t="s">
        <v>33</v>
      </c>
      <c r="H53" t="s">
        <v>36</v>
      </c>
      <c r="I53">
        <v>1.27</v>
      </c>
      <c r="J53" s="2"/>
      <c r="K53" s="2"/>
    </row>
    <row r="54" spans="1:11" x14ac:dyDescent="0.25">
      <c r="A54" s="1">
        <v>44784.361875000002</v>
      </c>
      <c r="B54" s="1">
        <v>44784.361828703702</v>
      </c>
      <c r="C54">
        <v>6.9</v>
      </c>
      <c r="D54">
        <v>6.2</v>
      </c>
      <c r="E54">
        <v>70</v>
      </c>
      <c r="F54">
        <v>0</v>
      </c>
      <c r="G54" t="s">
        <v>33</v>
      </c>
      <c r="H54" t="s">
        <v>36</v>
      </c>
      <c r="I54">
        <v>1.26</v>
      </c>
      <c r="J54" s="2"/>
      <c r="K54" s="2"/>
    </row>
    <row r="55" spans="1:11" x14ac:dyDescent="0.25">
      <c r="A55" s="1">
        <v>44784.368819444448</v>
      </c>
      <c r="B55" s="1">
        <v>44784.368784722225</v>
      </c>
      <c r="C55">
        <v>6.2</v>
      </c>
      <c r="D55">
        <v>5.6</v>
      </c>
      <c r="E55">
        <v>69</v>
      </c>
      <c r="F55">
        <v>0</v>
      </c>
      <c r="G55" t="s">
        <v>33</v>
      </c>
      <c r="H55" t="s">
        <v>36</v>
      </c>
      <c r="I55">
        <v>0.93</v>
      </c>
      <c r="J55" s="2"/>
      <c r="K55" s="2"/>
    </row>
    <row r="56" spans="1:11" x14ac:dyDescent="0.25">
      <c r="A56" s="1">
        <v>44784.375763888886</v>
      </c>
      <c r="B56" s="1">
        <v>44784.375717592593</v>
      </c>
      <c r="C56">
        <v>5.7</v>
      </c>
      <c r="D56">
        <v>5.0999999999999996</v>
      </c>
      <c r="E56">
        <v>63</v>
      </c>
      <c r="F56">
        <v>0</v>
      </c>
      <c r="G56" t="s">
        <v>33</v>
      </c>
      <c r="H56" t="s">
        <v>36</v>
      </c>
      <c r="I56">
        <v>1.04</v>
      </c>
      <c r="J56">
        <f>IF(COUNT(I51:I56)&gt;3.5,ROUND(AVERAGE(I51:I56),2),"")</f>
        <v>1.03</v>
      </c>
      <c r="K56">
        <f>IF(COUNT(1.26, -1.55, -1.93, -1.92, -1.77, -1.25, -1.13, -1.38, -1.05, 1.03, 2, 2.94, 3.59, 3.2, 2.94, 2.63, 2.74, 2.51, 2.49, 2.41, 2.84, 2.51, 2.03, 1.94)&gt;17.5,ROUND(AVERAGE(1.26, -1.55, -1.93, -1.92, -1.77, -1.25, -1.13, -1.38, -1.05, 1.03, 2, 2.94, 3.59, 3.2, 2.94, 2.63, 2.74, 2.51, 2.49, 2.41, 2.84, 2.51, 2.03, 1.94),2),"NO AVG")</f>
        <v>1.1299999999999999</v>
      </c>
    </row>
    <row r="57" spans="1:11" x14ac:dyDescent="0.25">
      <c r="A57" s="1">
        <v>44784.382708333331</v>
      </c>
      <c r="B57" s="1">
        <v>44784.382662037038</v>
      </c>
      <c r="C57">
        <v>5.3</v>
      </c>
      <c r="D57">
        <v>4.8</v>
      </c>
      <c r="E57">
        <v>62</v>
      </c>
      <c r="F57">
        <v>0</v>
      </c>
      <c r="G57" t="s">
        <v>33</v>
      </c>
      <c r="H57" t="s">
        <v>36</v>
      </c>
      <c r="I57">
        <v>0.9</v>
      </c>
      <c r="J57" s="2"/>
      <c r="K57" s="2"/>
    </row>
    <row r="58" spans="1:11" x14ac:dyDescent="0.25">
      <c r="A58" s="1">
        <v>44784.389652777776</v>
      </c>
      <c r="B58" s="1">
        <v>44784.389618055553</v>
      </c>
      <c r="C58">
        <v>5.2</v>
      </c>
      <c r="D58">
        <v>4.7</v>
      </c>
      <c r="E58">
        <v>65</v>
      </c>
      <c r="F58">
        <v>0</v>
      </c>
      <c r="G58" t="s">
        <v>33</v>
      </c>
      <c r="H58" t="s">
        <v>36</v>
      </c>
      <c r="I58">
        <v>0.63</v>
      </c>
      <c r="J58" s="2"/>
      <c r="K58" s="2"/>
    </row>
    <row r="59" spans="1:11" x14ac:dyDescent="0.25">
      <c r="A59" s="1">
        <v>44784.396608796298</v>
      </c>
      <c r="B59" s="1">
        <v>44784.396562499998</v>
      </c>
      <c r="C59">
        <v>5.2</v>
      </c>
      <c r="D59">
        <v>4.7</v>
      </c>
      <c r="E59">
        <v>58</v>
      </c>
      <c r="F59">
        <v>0</v>
      </c>
      <c r="G59" t="s">
        <v>33</v>
      </c>
      <c r="H59" t="s">
        <v>36</v>
      </c>
      <c r="I59">
        <v>1.1200000000000001</v>
      </c>
      <c r="J59" s="2"/>
      <c r="K59" s="2"/>
    </row>
    <row r="60" spans="1:11" x14ac:dyDescent="0.25">
      <c r="A60" s="1">
        <v>44784.403553240743</v>
      </c>
      <c r="B60" s="1">
        <v>44784.403506944444</v>
      </c>
      <c r="C60">
        <v>5</v>
      </c>
      <c r="D60">
        <v>4.5</v>
      </c>
      <c r="E60">
        <v>58</v>
      </c>
      <c r="F60">
        <v>0</v>
      </c>
      <c r="G60" t="s">
        <v>33</v>
      </c>
      <c r="H60" t="s">
        <v>36</v>
      </c>
      <c r="I60">
        <v>1</v>
      </c>
      <c r="J60" s="2"/>
      <c r="K60" s="2"/>
    </row>
    <row r="61" spans="1:11" x14ac:dyDescent="0.25">
      <c r="A61" s="1">
        <v>44784.410497685189</v>
      </c>
      <c r="B61" s="1">
        <v>44784.410451388889</v>
      </c>
      <c r="C61">
        <v>5.2</v>
      </c>
      <c r="D61">
        <v>4.5</v>
      </c>
      <c r="E61">
        <v>60</v>
      </c>
      <c r="F61">
        <v>0</v>
      </c>
      <c r="G61" t="s">
        <v>33</v>
      </c>
      <c r="H61" t="s">
        <v>36</v>
      </c>
      <c r="I61">
        <v>0.92</v>
      </c>
      <c r="J61" s="2"/>
      <c r="K61" s="2"/>
    </row>
    <row r="62" spans="1:11" x14ac:dyDescent="0.25">
      <c r="A62" s="1">
        <v>44784.417430555557</v>
      </c>
      <c r="B62" s="1">
        <v>44784.417395833334</v>
      </c>
      <c r="C62">
        <v>5.2</v>
      </c>
      <c r="D62">
        <v>4.5</v>
      </c>
      <c r="E62">
        <v>61</v>
      </c>
      <c r="F62">
        <v>0</v>
      </c>
      <c r="G62" t="s">
        <v>33</v>
      </c>
      <c r="H62" t="s">
        <v>36</v>
      </c>
      <c r="I62">
        <v>0.85</v>
      </c>
      <c r="J62">
        <f>IF(COUNT(I57:I62)&gt;3.5,ROUND(AVERAGE(I57:I62),2),"")</f>
        <v>0.9</v>
      </c>
      <c r="K62">
        <f>IF(COUNT(1.26, -1.55, -1.93, -1.92, -1.77, -1.25, -1.13, -1.38, -1.05, 1.03, 0.9, 2.94, 3.59, 3.2, 2.94, 2.63, 2.74, 2.51, 2.49, 2.41, 2.84, 2.51, 2.03, 1.94)&gt;17.5,ROUND(AVERAGE(1.26, -1.55, -1.93, -1.92, -1.77, -1.25, -1.13, -1.38, -1.05, 1.03, 0.9, 2.94, 3.59, 3.2, 2.94, 2.63, 2.74, 2.51, 2.49, 2.41, 2.84, 2.51, 2.03, 1.94),2),"NO AVG")</f>
        <v>1.08</v>
      </c>
    </row>
    <row r="63" spans="1:11" x14ac:dyDescent="0.25">
      <c r="A63" s="1">
        <v>44784.424386574072</v>
      </c>
      <c r="B63" s="1">
        <v>44784.424340277779</v>
      </c>
      <c r="C63">
        <v>5</v>
      </c>
      <c r="D63">
        <v>4.4000000000000004</v>
      </c>
      <c r="E63">
        <v>55</v>
      </c>
      <c r="F63">
        <v>0</v>
      </c>
      <c r="G63" t="s">
        <v>33</v>
      </c>
      <c r="H63" t="s">
        <v>36</v>
      </c>
      <c r="I63">
        <v>1.18</v>
      </c>
      <c r="J63" s="2"/>
      <c r="K63" s="2"/>
    </row>
    <row r="64" spans="1:11" x14ac:dyDescent="0.25">
      <c r="A64" s="1">
        <v>44784.431319444448</v>
      </c>
      <c r="B64" s="1">
        <v>44784.431284722225</v>
      </c>
      <c r="C64">
        <v>4.9000000000000004</v>
      </c>
      <c r="D64">
        <v>4.5</v>
      </c>
      <c r="E64">
        <v>56</v>
      </c>
      <c r="F64">
        <v>0</v>
      </c>
      <c r="G64" t="s">
        <v>33</v>
      </c>
      <c r="H64" t="s">
        <v>36</v>
      </c>
      <c r="I64">
        <v>1.1100000000000001</v>
      </c>
      <c r="J64" s="2"/>
      <c r="K64" s="2"/>
    </row>
    <row r="65" spans="1:11" x14ac:dyDescent="0.25">
      <c r="A65" s="1">
        <v>44784.438275462962</v>
      </c>
      <c r="B65" s="1">
        <v>44784.43822916667</v>
      </c>
      <c r="C65">
        <v>5</v>
      </c>
      <c r="D65">
        <v>4.5</v>
      </c>
      <c r="E65">
        <v>51</v>
      </c>
      <c r="F65">
        <v>0</v>
      </c>
      <c r="G65" t="s">
        <v>33</v>
      </c>
      <c r="H65" t="s">
        <v>36</v>
      </c>
      <c r="I65">
        <v>1.49</v>
      </c>
      <c r="J65" s="2"/>
      <c r="K65" s="2"/>
    </row>
    <row r="66" spans="1:11" x14ac:dyDescent="0.25">
      <c r="A66" s="1">
        <v>44784.445219907408</v>
      </c>
      <c r="B66" s="1">
        <v>44784.445173611108</v>
      </c>
      <c r="C66">
        <v>5</v>
      </c>
      <c r="D66">
        <v>4.5</v>
      </c>
      <c r="E66">
        <v>51</v>
      </c>
      <c r="F66">
        <v>0</v>
      </c>
      <c r="G66" t="s">
        <v>33</v>
      </c>
      <c r="H66" t="s">
        <v>36</v>
      </c>
      <c r="I66">
        <v>1.49</v>
      </c>
      <c r="J66" s="2"/>
      <c r="K66" s="2"/>
    </row>
    <row r="67" spans="1:11" x14ac:dyDescent="0.25">
      <c r="A67" s="1">
        <v>44784.452164351853</v>
      </c>
      <c r="B67" s="1">
        <v>44784.452118055553</v>
      </c>
      <c r="C67">
        <v>4.9000000000000004</v>
      </c>
      <c r="D67">
        <v>4.4000000000000004</v>
      </c>
      <c r="E67">
        <v>45</v>
      </c>
      <c r="F67">
        <v>0</v>
      </c>
      <c r="G67" t="s">
        <v>33</v>
      </c>
      <c r="H67" t="s">
        <v>36</v>
      </c>
      <c r="I67">
        <v>1.85</v>
      </c>
      <c r="J67" s="2"/>
      <c r="K67" s="2"/>
    </row>
    <row r="68" spans="1:11" x14ac:dyDescent="0.25">
      <c r="A68" s="1">
        <v>44784.459108796298</v>
      </c>
      <c r="B68" s="1">
        <v>44784.459062499998</v>
      </c>
      <c r="C68">
        <v>4.7</v>
      </c>
      <c r="D68">
        <v>4.0999999999999996</v>
      </c>
      <c r="E68">
        <v>42</v>
      </c>
      <c r="F68">
        <v>0</v>
      </c>
      <c r="G68" t="s">
        <v>33</v>
      </c>
      <c r="H68" t="s">
        <v>36</v>
      </c>
      <c r="I68">
        <v>1.9</v>
      </c>
      <c r="J68">
        <f>IF(COUNT(I63:I68)&gt;3.5,ROUND(AVERAGE(I63:I68),2),"")</f>
        <v>1.5</v>
      </c>
      <c r="K68">
        <f>IF(COUNT(1.26, -1.55, -1.93, -1.92, -1.77, -1.25, -1.13, -1.38, -1.05, 1.03, 0.9, 1.5, 3.59, 3.2, 2.94, 2.63, 2.74, 2.51, 2.49, 2.41, 2.84, 2.51, 2.03, 1.94)&gt;17.5,ROUND(AVERAGE(1.26, -1.55, -1.93, -1.92, -1.77, -1.25, -1.13, -1.38, -1.05, 1.03, 0.9, 1.5, 3.59, 3.2, 2.94, 2.63, 2.74, 2.51, 2.49, 2.41, 2.84, 2.51, 2.03, 1.94),2),"NO AVG")</f>
        <v>1.02</v>
      </c>
    </row>
    <row r="69" spans="1:11" x14ac:dyDescent="0.25">
      <c r="A69" s="1">
        <v>44784.466053240743</v>
      </c>
      <c r="B69" s="1">
        <v>44784.466006944444</v>
      </c>
      <c r="C69">
        <v>4.2</v>
      </c>
      <c r="D69">
        <v>3.6</v>
      </c>
      <c r="E69">
        <v>36</v>
      </c>
      <c r="F69">
        <v>0</v>
      </c>
      <c r="G69" t="s">
        <v>33</v>
      </c>
      <c r="H69" t="s">
        <v>36</v>
      </c>
      <c r="I69">
        <v>2.02</v>
      </c>
      <c r="J69" s="2"/>
      <c r="K69" s="2"/>
    </row>
    <row r="70" spans="1:11" x14ac:dyDescent="0.25">
      <c r="A70" s="1">
        <v>44784.472997685189</v>
      </c>
      <c r="B70" s="1">
        <v>44784.472951388889</v>
      </c>
      <c r="C70">
        <v>4</v>
      </c>
      <c r="D70">
        <v>3.4</v>
      </c>
      <c r="E70">
        <v>35</v>
      </c>
      <c r="F70">
        <v>0</v>
      </c>
      <c r="G70" t="s">
        <v>33</v>
      </c>
      <c r="H70" t="s">
        <v>36</v>
      </c>
      <c r="I70">
        <v>1.97</v>
      </c>
      <c r="J70" s="2"/>
      <c r="K70" s="2"/>
    </row>
    <row r="71" spans="1:11" x14ac:dyDescent="0.25">
      <c r="A71" s="1">
        <v>44784.479942129627</v>
      </c>
      <c r="B71" s="1">
        <v>44784.479895833334</v>
      </c>
      <c r="C71">
        <v>3.8</v>
      </c>
      <c r="D71">
        <v>3.3</v>
      </c>
      <c r="E71">
        <v>34</v>
      </c>
      <c r="F71">
        <v>0</v>
      </c>
      <c r="G71" t="s">
        <v>33</v>
      </c>
      <c r="H71" t="s">
        <v>36</v>
      </c>
      <c r="I71">
        <v>1.95</v>
      </c>
      <c r="J71" s="2"/>
      <c r="K71" s="2"/>
    </row>
    <row r="72" spans="1:11" x14ac:dyDescent="0.25">
      <c r="A72" s="1">
        <v>44784.486898148149</v>
      </c>
      <c r="B72" s="1">
        <v>44784.486840277779</v>
      </c>
      <c r="C72">
        <v>3.8</v>
      </c>
      <c r="D72">
        <v>3.3</v>
      </c>
      <c r="E72">
        <v>36</v>
      </c>
      <c r="F72">
        <v>0</v>
      </c>
      <c r="G72" t="s">
        <v>33</v>
      </c>
      <c r="H72" t="s">
        <v>36</v>
      </c>
      <c r="I72">
        <v>1.81</v>
      </c>
      <c r="J72" s="2"/>
      <c r="K72" s="2"/>
    </row>
    <row r="73" spans="1:11" x14ac:dyDescent="0.25">
      <c r="A73" s="1">
        <v>44784.493831018517</v>
      </c>
      <c r="B73" s="1">
        <v>44784.493784722225</v>
      </c>
      <c r="C73">
        <v>4</v>
      </c>
      <c r="D73">
        <v>3.5</v>
      </c>
      <c r="E73">
        <v>36</v>
      </c>
      <c r="F73">
        <v>0</v>
      </c>
      <c r="G73" t="s">
        <v>33</v>
      </c>
      <c r="H73" t="s">
        <v>36</v>
      </c>
      <c r="I73">
        <v>1.93</v>
      </c>
      <c r="J73" s="2"/>
      <c r="K73" s="2"/>
    </row>
    <row r="74" spans="1:11" x14ac:dyDescent="0.25">
      <c r="A74" s="1">
        <v>44784.500775462962</v>
      </c>
      <c r="B74" s="1">
        <v>44784.50072916667</v>
      </c>
      <c r="C74">
        <v>4.2</v>
      </c>
      <c r="D74">
        <v>3.8</v>
      </c>
      <c r="E74">
        <v>37</v>
      </c>
      <c r="F74">
        <v>0</v>
      </c>
      <c r="G74" t="s">
        <v>33</v>
      </c>
      <c r="H74" t="s">
        <v>36</v>
      </c>
      <c r="I74">
        <v>2.0099999999999998</v>
      </c>
      <c r="J74">
        <f>IF(COUNT(I69:I74)&gt;3.5,ROUND(AVERAGE(I69:I74),2),"")</f>
        <v>1.95</v>
      </c>
      <c r="K74">
        <f>IF(COUNT(1.26, -1.55, -1.93, -1.92, -1.77, -1.25, -1.13, -1.38, -1.05, 1.03, 0.9, 1.5, 1.95, 3.2, 2.94, 2.63, 2.74, 2.51, 2.49, 2.41, 2.84, 2.51, 2.03, 1.94)&gt;17.5,ROUND(AVERAGE(1.26, -1.55, -1.93, -1.92, -1.77, -1.25, -1.13, -1.38, -1.05, 1.03, 0.9, 1.5, 1.95, 3.2, 2.94, 2.63, 2.74, 2.51, 2.49, 2.41, 2.84, 2.51, 2.03, 1.94),2),"NO AVG")</f>
        <v>0.95</v>
      </c>
    </row>
    <row r="75" spans="1:11" x14ac:dyDescent="0.25">
      <c r="A75" s="1">
        <v>44784.507719907408</v>
      </c>
      <c r="B75" s="1">
        <v>44784.507673611108</v>
      </c>
      <c r="C75">
        <v>4.3</v>
      </c>
      <c r="D75">
        <v>3.8</v>
      </c>
      <c r="E75">
        <v>37</v>
      </c>
      <c r="F75">
        <v>0</v>
      </c>
      <c r="G75" t="s">
        <v>33</v>
      </c>
      <c r="H75" t="s">
        <v>36</v>
      </c>
      <c r="I75">
        <v>2.04</v>
      </c>
      <c r="J75" s="2"/>
      <c r="K75" s="2"/>
    </row>
    <row r="76" spans="1:11" x14ac:dyDescent="0.25">
      <c r="A76" s="1">
        <v>44784.514664351853</v>
      </c>
      <c r="B76" s="1">
        <v>44784.514618055553</v>
      </c>
      <c r="C76">
        <v>4.4000000000000004</v>
      </c>
      <c r="D76">
        <v>3.9</v>
      </c>
      <c r="E76">
        <v>37</v>
      </c>
      <c r="F76">
        <v>0</v>
      </c>
      <c r="G76" t="s">
        <v>33</v>
      </c>
      <c r="H76" t="s">
        <v>36</v>
      </c>
      <c r="I76">
        <v>2.1</v>
      </c>
      <c r="J76" s="2"/>
      <c r="K76" s="2"/>
    </row>
    <row r="77" spans="1:11" x14ac:dyDescent="0.25">
      <c r="A77" s="1">
        <v>44784.521608796298</v>
      </c>
      <c r="B77" s="1">
        <v>44784.521562499998</v>
      </c>
      <c r="C77">
        <v>4.5</v>
      </c>
      <c r="D77">
        <v>3.9</v>
      </c>
      <c r="E77">
        <v>37</v>
      </c>
      <c r="F77">
        <v>0</v>
      </c>
      <c r="G77" t="s">
        <v>33</v>
      </c>
      <c r="H77" t="s">
        <v>36</v>
      </c>
      <c r="I77">
        <v>2.13</v>
      </c>
      <c r="J77" s="2"/>
      <c r="K77" s="2"/>
    </row>
    <row r="78" spans="1:11" x14ac:dyDescent="0.25">
      <c r="A78" s="1">
        <v>44784.528564814813</v>
      </c>
      <c r="B78" s="1">
        <v>44784.528506944444</v>
      </c>
      <c r="C78">
        <v>4.5999999999999996</v>
      </c>
      <c r="D78">
        <v>4</v>
      </c>
      <c r="E78">
        <v>36</v>
      </c>
      <c r="F78">
        <v>0</v>
      </c>
      <c r="G78" t="s">
        <v>33</v>
      </c>
      <c r="H78" t="s">
        <v>36</v>
      </c>
      <c r="I78">
        <v>2.2599999999999998</v>
      </c>
      <c r="J78" s="2"/>
      <c r="K78" s="2"/>
    </row>
    <row r="79" spans="1:11" x14ac:dyDescent="0.25">
      <c r="A79" s="1">
        <v>44784.535497685189</v>
      </c>
      <c r="B79" s="1">
        <v>44784.535451388889</v>
      </c>
      <c r="C79">
        <v>4.5</v>
      </c>
      <c r="D79">
        <v>3.8</v>
      </c>
      <c r="E79">
        <v>33</v>
      </c>
      <c r="F79">
        <v>0</v>
      </c>
      <c r="G79" t="s">
        <v>33</v>
      </c>
      <c r="H79" t="s">
        <v>36</v>
      </c>
      <c r="I79">
        <v>2.38</v>
      </c>
      <c r="J79" s="2"/>
      <c r="K79" s="2"/>
    </row>
    <row r="80" spans="1:11" x14ac:dyDescent="0.25">
      <c r="A80" s="1">
        <v>44784.542442129627</v>
      </c>
      <c r="B80" s="1">
        <v>44784.542395833334</v>
      </c>
      <c r="C80">
        <v>4.3</v>
      </c>
      <c r="D80">
        <v>3.8</v>
      </c>
      <c r="E80">
        <v>33</v>
      </c>
      <c r="F80">
        <v>0</v>
      </c>
      <c r="G80" t="s">
        <v>33</v>
      </c>
      <c r="H80" t="s">
        <v>36</v>
      </c>
      <c r="I80">
        <v>2.3199999999999998</v>
      </c>
      <c r="J80">
        <f>IF(COUNT(I75:I80)&gt;3.5,ROUND(AVERAGE(I75:I80),2),"")</f>
        <v>2.21</v>
      </c>
      <c r="K80">
        <f>IF(COUNT(1.26, -1.55, -1.93, -1.92, -1.77, -1.25, -1.13, -1.38, -1.05, 1.03, 0.9, 1.5, 1.95, 2.21, 2.94, 2.63, 2.74, 2.51, 2.49, 2.41, 2.84, 2.51, 2.03, 1.94)&gt;17.5,ROUND(AVERAGE(1.26, -1.55, -1.93, -1.92, -1.77, -1.25, -1.13, -1.38, -1.05, 1.03, 0.9, 1.5, 1.95, 2.21, 2.94, 2.63, 2.74, 2.51, 2.49, 2.41, 2.84, 2.51, 2.03, 1.94),2),"NO AVG")</f>
        <v>0.91</v>
      </c>
    </row>
    <row r="81" spans="1:11" x14ac:dyDescent="0.25">
      <c r="A81" s="1">
        <v>44784.549386574072</v>
      </c>
      <c r="B81" s="1">
        <v>44784.549340277779</v>
      </c>
      <c r="C81">
        <v>4.2</v>
      </c>
      <c r="D81">
        <v>3.7</v>
      </c>
      <c r="E81">
        <v>30</v>
      </c>
      <c r="F81">
        <v>0</v>
      </c>
      <c r="G81" t="s">
        <v>33</v>
      </c>
      <c r="H81" t="s">
        <v>36</v>
      </c>
      <c r="I81">
        <v>2.4700000000000002</v>
      </c>
      <c r="J81" s="2"/>
      <c r="K81" s="2"/>
    </row>
    <row r="82" spans="1:11" x14ac:dyDescent="0.25">
      <c r="A82" s="1">
        <v>44784.556828703702</v>
      </c>
      <c r="B82" s="1">
        <v>44784.556284722225</v>
      </c>
      <c r="C82">
        <v>4</v>
      </c>
      <c r="D82">
        <v>3.6</v>
      </c>
      <c r="E82">
        <v>30</v>
      </c>
      <c r="F82">
        <v>0</v>
      </c>
      <c r="G82" t="s">
        <v>33</v>
      </c>
      <c r="H82" t="s">
        <v>36</v>
      </c>
      <c r="I82">
        <v>2.38</v>
      </c>
      <c r="J82" s="2"/>
      <c r="K82" s="2"/>
    </row>
    <row r="83" spans="1:11" x14ac:dyDescent="0.25">
      <c r="A83" s="1">
        <v>44784.563275462962</v>
      </c>
      <c r="B83" s="1">
        <v>44784.56322916667</v>
      </c>
      <c r="C83">
        <v>3.8</v>
      </c>
      <c r="D83">
        <v>3.5</v>
      </c>
      <c r="E83">
        <v>29</v>
      </c>
      <c r="F83">
        <v>0</v>
      </c>
      <c r="G83" t="s">
        <v>33</v>
      </c>
      <c r="H83" t="s">
        <v>36</v>
      </c>
      <c r="I83">
        <v>2.36</v>
      </c>
      <c r="J83" s="2"/>
      <c r="K83" s="2"/>
    </row>
    <row r="84" spans="1:11" x14ac:dyDescent="0.25">
      <c r="A84" s="1">
        <v>44784.570219907408</v>
      </c>
      <c r="B84" s="1">
        <v>44784.570173611108</v>
      </c>
      <c r="C84">
        <v>3.9</v>
      </c>
      <c r="D84">
        <v>3.6</v>
      </c>
      <c r="E84">
        <v>30</v>
      </c>
      <c r="F84">
        <v>0</v>
      </c>
      <c r="G84" t="s">
        <v>33</v>
      </c>
      <c r="H84" t="s">
        <v>36</v>
      </c>
      <c r="I84">
        <v>2.35</v>
      </c>
      <c r="J84" s="2"/>
      <c r="K84" s="2"/>
    </row>
    <row r="85" spans="1:11" x14ac:dyDescent="0.25">
      <c r="A85" s="1">
        <v>44784.577164351853</v>
      </c>
      <c r="B85" s="1">
        <v>44784.577118055553</v>
      </c>
      <c r="C85">
        <v>4</v>
      </c>
      <c r="D85">
        <v>3.7</v>
      </c>
      <c r="E85">
        <v>31</v>
      </c>
      <c r="F85">
        <v>0</v>
      </c>
      <c r="G85" t="s">
        <v>33</v>
      </c>
      <c r="H85" t="s">
        <v>36</v>
      </c>
      <c r="I85">
        <v>2.34</v>
      </c>
      <c r="J85" s="2"/>
      <c r="K85" s="2"/>
    </row>
    <row r="86" spans="1:11" x14ac:dyDescent="0.25">
      <c r="A86" s="1">
        <v>44784.584120370368</v>
      </c>
      <c r="B86" s="1">
        <v>44784.584062499998</v>
      </c>
      <c r="C86">
        <v>4.0999999999999996</v>
      </c>
      <c r="D86">
        <v>3.8</v>
      </c>
      <c r="E86">
        <v>31</v>
      </c>
      <c r="F86">
        <v>0</v>
      </c>
      <c r="G86" t="s">
        <v>33</v>
      </c>
      <c r="H86" t="s">
        <v>36</v>
      </c>
      <c r="I86">
        <v>2.4</v>
      </c>
      <c r="J86">
        <f>IF(COUNT(I81:I86)&gt;3.5,ROUND(AVERAGE(I81:I86),2),"")</f>
        <v>2.38</v>
      </c>
      <c r="K86">
        <f>IF(COUNT(1.26, -1.55, -1.93, -1.92, -1.77, -1.25, -1.13, -1.38, -1.05, 1.03, 0.9, 1.5, 1.95, 2.21, 2.38, 2.63, 2.74, 2.51, 2.49, 2.41, 2.84, 2.51, 2.03, 1.94)&gt;17.5,ROUND(AVERAGE(1.26, -1.55, -1.93, -1.92, -1.77, -1.25, -1.13, -1.38, -1.05, 1.03, 0.9, 1.5, 1.95, 2.21, 2.38, 2.63, 2.74, 2.51, 2.49, 2.41, 2.84, 2.51, 2.03, 1.94),2),"NO AVG")</f>
        <v>0.89</v>
      </c>
    </row>
    <row r="87" spans="1:11" x14ac:dyDescent="0.25">
      <c r="A87" s="1">
        <v>44784.591053240743</v>
      </c>
      <c r="B87" s="1">
        <v>44784.591006944444</v>
      </c>
      <c r="C87">
        <v>4.4000000000000004</v>
      </c>
      <c r="D87">
        <v>3.8</v>
      </c>
      <c r="E87">
        <v>31</v>
      </c>
      <c r="F87">
        <v>0</v>
      </c>
      <c r="G87" t="s">
        <v>33</v>
      </c>
      <c r="H87" t="s">
        <v>36</v>
      </c>
      <c r="I87">
        <v>2.4900000000000002</v>
      </c>
      <c r="J87" s="2"/>
      <c r="K87" s="2"/>
    </row>
    <row r="88" spans="1:11" x14ac:dyDescent="0.25">
      <c r="A88" s="1">
        <v>44784.597997685189</v>
      </c>
      <c r="B88" s="1">
        <v>44784.597951388889</v>
      </c>
      <c r="C88">
        <v>4.5</v>
      </c>
      <c r="D88">
        <v>4</v>
      </c>
      <c r="E88">
        <v>31</v>
      </c>
      <c r="F88">
        <v>0</v>
      </c>
      <c r="G88" t="s">
        <v>33</v>
      </c>
      <c r="H88" t="s">
        <v>36</v>
      </c>
      <c r="I88">
        <v>2.58</v>
      </c>
      <c r="J88" s="2"/>
      <c r="K88" s="2"/>
    </row>
    <row r="89" spans="1:11" x14ac:dyDescent="0.25">
      <c r="A89" s="1">
        <v>44784.604953703703</v>
      </c>
      <c r="B89" s="1">
        <v>44784.604895833334</v>
      </c>
      <c r="C89">
        <v>4.5999999999999996</v>
      </c>
      <c r="D89">
        <v>4</v>
      </c>
      <c r="E89">
        <v>31</v>
      </c>
      <c r="F89">
        <v>0</v>
      </c>
      <c r="G89" t="s">
        <v>33</v>
      </c>
      <c r="H89" t="s">
        <v>36</v>
      </c>
      <c r="I89">
        <v>2.61</v>
      </c>
      <c r="J89" s="2"/>
      <c r="K89" s="2"/>
    </row>
    <row r="90" spans="1:11" x14ac:dyDescent="0.25">
      <c r="A90" s="1">
        <v>44784.611886574072</v>
      </c>
      <c r="B90" s="1">
        <v>44784.611840277779</v>
      </c>
      <c r="C90">
        <v>4.7</v>
      </c>
      <c r="D90">
        <v>4.0999999999999996</v>
      </c>
      <c r="E90">
        <v>30</v>
      </c>
      <c r="F90">
        <v>0</v>
      </c>
      <c r="G90" t="s">
        <v>33</v>
      </c>
      <c r="H90" t="s">
        <v>36</v>
      </c>
      <c r="I90">
        <v>2.74</v>
      </c>
      <c r="J90" s="2"/>
      <c r="K90" s="2"/>
    </row>
    <row r="91" spans="1:11" x14ac:dyDescent="0.25">
      <c r="A91" s="1">
        <v>44784.618842592594</v>
      </c>
      <c r="B91" s="1">
        <v>44784.618784722225</v>
      </c>
      <c r="C91">
        <v>4.9000000000000004</v>
      </c>
      <c r="D91">
        <v>4.2</v>
      </c>
      <c r="E91">
        <v>28</v>
      </c>
      <c r="F91">
        <v>0</v>
      </c>
      <c r="G91" t="s">
        <v>33</v>
      </c>
      <c r="H91" t="s">
        <v>36</v>
      </c>
      <c r="I91">
        <v>2.98</v>
      </c>
      <c r="J91" s="2"/>
      <c r="K91" s="2"/>
    </row>
    <row r="92" spans="1:11" x14ac:dyDescent="0.25">
      <c r="A92" s="1">
        <v>44784.625787037039</v>
      </c>
      <c r="B92" s="1">
        <v>44784.62572916667</v>
      </c>
      <c r="C92">
        <v>4.9000000000000004</v>
      </c>
      <c r="D92">
        <v>4.4000000000000004</v>
      </c>
      <c r="E92">
        <v>30</v>
      </c>
      <c r="F92">
        <v>0</v>
      </c>
      <c r="G92" t="s">
        <v>33</v>
      </c>
      <c r="H92" t="s">
        <v>36</v>
      </c>
      <c r="I92">
        <v>2.9</v>
      </c>
      <c r="J92">
        <f>IF(COUNT(I87:I92)&gt;3.5,ROUND(AVERAGE(I87:I92),2),"")</f>
        <v>2.72</v>
      </c>
      <c r="K92">
        <f>IF(COUNT(1.26, -1.55, -1.93, -1.92, -1.77, -1.25, -1.13, -1.38, -1.05, 1.03, 0.9, 1.5, 1.95, 2.21, 2.38, 2.72, 2.74, 2.51, 2.49, 2.41, 2.84, 2.51, 2.03, 1.94)&gt;17.5,ROUND(AVERAGE(1.26, -1.55, -1.93, -1.92, -1.77, -1.25, -1.13, -1.38, -1.05, 1.03, 0.9, 1.5, 1.95, 2.21, 2.38, 2.72, 2.74, 2.51, 2.49, 2.41, 2.84, 2.51, 2.03, 1.94),2),"NO AVG")</f>
        <v>0.89</v>
      </c>
    </row>
    <row r="93" spans="1:11" x14ac:dyDescent="0.25">
      <c r="A93" s="1">
        <v>44784.632719907408</v>
      </c>
      <c r="B93" s="1">
        <v>44784.632673611108</v>
      </c>
      <c r="C93">
        <v>4.9000000000000004</v>
      </c>
      <c r="D93">
        <v>4.3</v>
      </c>
      <c r="E93">
        <v>29</v>
      </c>
      <c r="F93">
        <v>0</v>
      </c>
      <c r="G93" t="s">
        <v>33</v>
      </c>
      <c r="H93" t="s">
        <v>36</v>
      </c>
      <c r="I93">
        <v>2.94</v>
      </c>
      <c r="J93" s="2"/>
      <c r="K93" s="2"/>
    </row>
    <row r="94" spans="1:11" x14ac:dyDescent="0.25">
      <c r="A94" s="1">
        <v>44784.639652777776</v>
      </c>
      <c r="B94" s="1">
        <v>44784.639618055553</v>
      </c>
      <c r="C94">
        <v>5.0999999999999996</v>
      </c>
      <c r="D94">
        <v>4.5</v>
      </c>
      <c r="E94">
        <v>29</v>
      </c>
      <c r="F94">
        <v>0</v>
      </c>
      <c r="G94" t="s">
        <v>33</v>
      </c>
      <c r="H94" t="s">
        <v>36</v>
      </c>
      <c r="I94">
        <v>3.06</v>
      </c>
      <c r="J94" s="2"/>
      <c r="K94" s="2"/>
    </row>
    <row r="95" spans="1:11" x14ac:dyDescent="0.25">
      <c r="A95" s="1">
        <v>44784.646597222221</v>
      </c>
      <c r="B95" s="1">
        <v>44784.646562499998</v>
      </c>
      <c r="C95">
        <v>5.0999999999999996</v>
      </c>
      <c r="D95">
        <v>4.5</v>
      </c>
      <c r="E95">
        <v>30</v>
      </c>
      <c r="F95">
        <v>0</v>
      </c>
      <c r="G95" t="s">
        <v>33</v>
      </c>
      <c r="H95" t="s">
        <v>36</v>
      </c>
      <c r="I95">
        <v>2.99</v>
      </c>
      <c r="J95" s="2"/>
      <c r="K95" s="2"/>
    </row>
    <row r="96" spans="1:11" x14ac:dyDescent="0.25">
      <c r="A96" s="1">
        <v>44784.653541666667</v>
      </c>
      <c r="B96" s="1">
        <v>44784.653506944444</v>
      </c>
      <c r="C96">
        <v>5.0999999999999996</v>
      </c>
      <c r="D96">
        <v>4.7</v>
      </c>
      <c r="E96">
        <v>31</v>
      </c>
      <c r="F96">
        <v>0</v>
      </c>
      <c r="G96" t="s">
        <v>33</v>
      </c>
      <c r="H96" t="s">
        <v>36</v>
      </c>
      <c r="I96">
        <v>2.98</v>
      </c>
      <c r="J96" s="2"/>
      <c r="K96" s="2"/>
    </row>
    <row r="97" spans="1:11" x14ac:dyDescent="0.25">
      <c r="A97" s="1">
        <v>44784.660486111112</v>
      </c>
      <c r="B97" s="1">
        <v>44784.660451388889</v>
      </c>
      <c r="C97">
        <v>5.2</v>
      </c>
      <c r="D97">
        <v>4.7</v>
      </c>
      <c r="E97">
        <v>32</v>
      </c>
      <c r="F97">
        <v>0</v>
      </c>
      <c r="G97" t="s">
        <v>33</v>
      </c>
      <c r="H97" t="s">
        <v>36</v>
      </c>
      <c r="I97">
        <v>2.94</v>
      </c>
      <c r="J97" s="2"/>
      <c r="K97" s="2"/>
    </row>
    <row r="98" spans="1:11" x14ac:dyDescent="0.25">
      <c r="A98" s="1">
        <v>44784.667430555557</v>
      </c>
      <c r="B98" s="1">
        <v>44784.667395833334</v>
      </c>
      <c r="C98">
        <v>5.3</v>
      </c>
      <c r="D98">
        <v>4.5999999999999996</v>
      </c>
      <c r="E98">
        <v>31</v>
      </c>
      <c r="F98">
        <v>0</v>
      </c>
      <c r="G98" t="s">
        <v>33</v>
      </c>
      <c r="H98" t="s">
        <v>36</v>
      </c>
      <c r="I98">
        <v>3.01</v>
      </c>
      <c r="J98">
        <f>IF(COUNT(I93:I98)&gt;3.5,ROUND(AVERAGE(I93:I98),2),"")</f>
        <v>2.99</v>
      </c>
      <c r="K98">
        <f>IF(COUNT(1.26, -1.55, -1.93, -1.92, -1.77, -1.25, -1.13, -1.38, -1.05, 1.03, 0.9, 1.5, 1.95, 2.21, 2.38, 2.72, 2.99, 2.51, 2.49, 2.41, 2.84, 2.51, 2.03, 1.94)&gt;17.5,ROUND(AVERAGE(1.26, -1.55, -1.93, -1.92, -1.77, -1.25, -1.13, -1.38, -1.05, 1.03, 0.9, 1.5, 1.95, 2.21, 2.38, 2.72, 2.99, 2.51, 2.49, 2.41, 2.84, 2.51, 2.03, 1.94),2),"NO AVG")</f>
        <v>0.9</v>
      </c>
    </row>
    <row r="99" spans="1:11" x14ac:dyDescent="0.25">
      <c r="A99" s="1">
        <v>44784.674375000002</v>
      </c>
      <c r="B99" s="1">
        <v>44784.674328703702</v>
      </c>
      <c r="C99">
        <v>5.2</v>
      </c>
      <c r="D99">
        <v>4.5</v>
      </c>
      <c r="E99">
        <v>31</v>
      </c>
      <c r="F99">
        <v>0</v>
      </c>
      <c r="G99" t="s">
        <v>33</v>
      </c>
      <c r="H99" t="s">
        <v>36</v>
      </c>
      <c r="I99">
        <v>2.95</v>
      </c>
      <c r="J99" s="2"/>
      <c r="K99" s="2"/>
    </row>
    <row r="100" spans="1:11" x14ac:dyDescent="0.25">
      <c r="A100" s="1">
        <v>44784.681307870371</v>
      </c>
      <c r="B100" s="1">
        <v>44784.681273148148</v>
      </c>
      <c r="C100">
        <v>5.0999999999999996</v>
      </c>
      <c r="D100">
        <v>4.5999999999999996</v>
      </c>
      <c r="E100">
        <v>31</v>
      </c>
      <c r="F100">
        <v>0</v>
      </c>
      <c r="G100" t="s">
        <v>33</v>
      </c>
      <c r="H100" t="s">
        <v>36</v>
      </c>
      <c r="I100">
        <v>2.95</v>
      </c>
      <c r="J100" s="2"/>
      <c r="K100" s="2"/>
    </row>
    <row r="101" spans="1:11" x14ac:dyDescent="0.25">
      <c r="A101" s="1">
        <v>44784.688298611109</v>
      </c>
      <c r="B101" s="1">
        <v>44784.688217592593</v>
      </c>
      <c r="C101">
        <v>5</v>
      </c>
      <c r="D101">
        <v>4.5</v>
      </c>
      <c r="E101">
        <v>30</v>
      </c>
      <c r="F101">
        <v>0</v>
      </c>
      <c r="G101" t="s">
        <v>33</v>
      </c>
      <c r="H101" t="s">
        <v>36</v>
      </c>
      <c r="I101">
        <v>2.96</v>
      </c>
      <c r="J101" s="2"/>
      <c r="K101" s="2"/>
    </row>
    <row r="102" spans="1:11" x14ac:dyDescent="0.25">
      <c r="A102" s="1">
        <v>44784.695196759261</v>
      </c>
      <c r="B102" s="1">
        <v>44784.695162037038</v>
      </c>
      <c r="C102">
        <v>4.8</v>
      </c>
      <c r="D102">
        <v>4.4000000000000004</v>
      </c>
      <c r="E102">
        <v>30</v>
      </c>
      <c r="F102">
        <v>0</v>
      </c>
      <c r="G102" t="s">
        <v>33</v>
      </c>
      <c r="H102" t="s">
        <v>36</v>
      </c>
      <c r="I102">
        <v>2.87</v>
      </c>
      <c r="J102" s="2"/>
      <c r="K102" s="2"/>
    </row>
    <row r="103" spans="1:11" x14ac:dyDescent="0.25">
      <c r="A103" s="1">
        <v>44784.702141203707</v>
      </c>
      <c r="B103" s="1">
        <v>44784.702106481483</v>
      </c>
      <c r="C103">
        <v>4.9000000000000004</v>
      </c>
      <c r="D103">
        <v>4.3</v>
      </c>
      <c r="E103">
        <v>30</v>
      </c>
      <c r="F103">
        <v>0</v>
      </c>
      <c r="G103" t="s">
        <v>33</v>
      </c>
      <c r="H103" t="s">
        <v>36</v>
      </c>
      <c r="I103">
        <v>2.87</v>
      </c>
      <c r="J103" s="2"/>
      <c r="K103" s="2"/>
    </row>
    <row r="104" spans="1:11" x14ac:dyDescent="0.25">
      <c r="A104" s="1">
        <v>44784.709097222221</v>
      </c>
      <c r="B104" s="1">
        <v>44784.709050925929</v>
      </c>
      <c r="C104">
        <v>4.8</v>
      </c>
      <c r="D104">
        <v>4.4000000000000004</v>
      </c>
      <c r="E104">
        <v>29</v>
      </c>
      <c r="F104">
        <v>0</v>
      </c>
      <c r="G104" t="s">
        <v>33</v>
      </c>
      <c r="H104" t="s">
        <v>36</v>
      </c>
      <c r="I104">
        <v>2.94</v>
      </c>
      <c r="J104">
        <f>IF(COUNT(I99:I104)&gt;3.5,ROUND(AVERAGE(I99:I104),2),"")</f>
        <v>2.92</v>
      </c>
      <c r="K104">
        <f>IF(COUNT(1.26, -1.55, -1.93, -1.92, -1.77, -1.25, -1.13, -1.38, -1.05, 1.03, 0.9, 1.5, 1.95, 2.21, 2.38, 2.72, 2.99, 2.92, 2.49, 2.41, 2.84, 2.51, 2.03, 1.94)&gt;17.5,ROUND(AVERAGE(1.26, -1.55, -1.93, -1.92, -1.77, -1.25, -1.13, -1.38, -1.05, 1.03, 0.9, 1.5, 1.95, 2.21, 2.38, 2.72, 2.99, 2.92, 2.49, 2.41, 2.84, 2.51, 2.03, 1.94),2),"NO AVG")</f>
        <v>0.92</v>
      </c>
    </row>
    <row r="105" spans="1:11" x14ac:dyDescent="0.25">
      <c r="A105" s="1">
        <v>44784.716041666667</v>
      </c>
      <c r="B105" s="1">
        <v>44784.715995370374</v>
      </c>
      <c r="C105">
        <v>5</v>
      </c>
      <c r="D105">
        <v>4.4000000000000004</v>
      </c>
      <c r="E105">
        <v>29</v>
      </c>
      <c r="F105">
        <v>0</v>
      </c>
      <c r="G105" t="s">
        <v>33</v>
      </c>
      <c r="H105" t="s">
        <v>36</v>
      </c>
      <c r="I105">
        <v>3</v>
      </c>
      <c r="J105" s="2"/>
      <c r="K105" s="2"/>
    </row>
    <row r="106" spans="1:11" x14ac:dyDescent="0.25">
      <c r="A106" s="1">
        <v>44784.722974537035</v>
      </c>
      <c r="B106" s="1">
        <v>44784.722939814812</v>
      </c>
      <c r="C106">
        <v>5</v>
      </c>
      <c r="D106">
        <v>4.5999999999999996</v>
      </c>
      <c r="E106">
        <v>28</v>
      </c>
      <c r="F106">
        <v>0</v>
      </c>
      <c r="G106" t="s">
        <v>33</v>
      </c>
      <c r="H106" t="s">
        <v>36</v>
      </c>
      <c r="I106">
        <v>3.13</v>
      </c>
      <c r="J106" s="2"/>
      <c r="K106" s="2"/>
    </row>
    <row r="107" spans="1:11" x14ac:dyDescent="0.25">
      <c r="A107" s="1">
        <v>44784.72991898148</v>
      </c>
      <c r="B107" s="1">
        <v>44784.729884259257</v>
      </c>
      <c r="C107">
        <v>5.0999999999999996</v>
      </c>
      <c r="D107">
        <v>4.4000000000000004</v>
      </c>
      <c r="E107">
        <v>28</v>
      </c>
      <c r="F107">
        <v>0</v>
      </c>
      <c r="G107" t="s">
        <v>33</v>
      </c>
      <c r="H107" t="s">
        <v>36</v>
      </c>
      <c r="I107">
        <v>3.1</v>
      </c>
      <c r="J107" s="2"/>
      <c r="K107" s="2"/>
    </row>
    <row r="108" spans="1:11" x14ac:dyDescent="0.25">
      <c r="A108" s="1">
        <v>44784.736875000002</v>
      </c>
      <c r="B108" s="1">
        <v>44784.736828703702</v>
      </c>
      <c r="C108">
        <v>5.3</v>
      </c>
      <c r="D108">
        <v>4.7</v>
      </c>
      <c r="E108">
        <v>28</v>
      </c>
      <c r="F108">
        <v>0</v>
      </c>
      <c r="G108" t="s">
        <v>33</v>
      </c>
      <c r="H108" t="s">
        <v>36</v>
      </c>
      <c r="I108">
        <v>3.25</v>
      </c>
      <c r="J108" s="2"/>
      <c r="K108" s="2"/>
    </row>
    <row r="109" spans="1:11" x14ac:dyDescent="0.25">
      <c r="A109" s="1">
        <v>44784.743807870371</v>
      </c>
      <c r="B109" s="1">
        <v>44784.743773148148</v>
      </c>
      <c r="C109">
        <v>5.4</v>
      </c>
      <c r="D109">
        <v>4.8</v>
      </c>
      <c r="E109">
        <v>30</v>
      </c>
      <c r="F109">
        <v>0</v>
      </c>
      <c r="G109" t="s">
        <v>33</v>
      </c>
      <c r="H109" t="s">
        <v>36</v>
      </c>
      <c r="I109">
        <v>3.17</v>
      </c>
      <c r="J109" s="2"/>
      <c r="K109" s="2"/>
    </row>
    <row r="110" spans="1:11" x14ac:dyDescent="0.25">
      <c r="A110" s="1">
        <v>44784.750763888886</v>
      </c>
      <c r="B110" s="1">
        <v>44784.750717592593</v>
      </c>
      <c r="C110">
        <v>5.8</v>
      </c>
      <c r="D110">
        <v>5.0999999999999996</v>
      </c>
      <c r="E110">
        <v>32</v>
      </c>
      <c r="F110">
        <v>0</v>
      </c>
      <c r="G110" t="s">
        <v>33</v>
      </c>
      <c r="H110" t="s">
        <v>36</v>
      </c>
      <c r="I110">
        <v>3.24</v>
      </c>
      <c r="J110">
        <f>IF(COUNT(I105:I110)&gt;3.5,ROUND(AVERAGE(I105:I110),2),"")</f>
        <v>3.15</v>
      </c>
      <c r="K110">
        <f>IF(COUNT(1.26, -1.55, -1.93, -1.92, -1.77, -1.25, -1.13, -1.38, -1.05, 1.03, 0.9, 1.5, 1.95, 2.21, 2.38, 2.72, 2.99, 2.92, 3.15, 2.41, 2.84, 2.51, 2.03, 1.94)&gt;17.5,ROUND(AVERAGE(1.26, -1.55, -1.93, -1.92, -1.77, -1.25, -1.13, -1.38, -1.05, 1.03, 0.9, 1.5, 1.95, 2.21, 2.38, 2.72, 2.99, 2.92, 3.15, 2.41, 2.84, 2.51, 2.03, 1.94),2),"NO AVG")</f>
        <v>0.95</v>
      </c>
    </row>
    <row r="111" spans="1:11" x14ac:dyDescent="0.25">
      <c r="A111" s="1">
        <v>44784.757708333331</v>
      </c>
      <c r="B111" s="1">
        <v>44784.757662037038</v>
      </c>
      <c r="C111">
        <v>6</v>
      </c>
      <c r="D111">
        <v>5.4</v>
      </c>
      <c r="E111">
        <v>32</v>
      </c>
      <c r="F111">
        <v>0</v>
      </c>
      <c r="G111" t="s">
        <v>33</v>
      </c>
      <c r="H111" t="s">
        <v>36</v>
      </c>
      <c r="I111">
        <v>3.4</v>
      </c>
      <c r="J111" s="2"/>
      <c r="K111" s="2"/>
    </row>
    <row r="112" spans="1:11" x14ac:dyDescent="0.25">
      <c r="A112" s="1">
        <v>44784.764652777776</v>
      </c>
      <c r="B112" s="1">
        <v>44784.764606481483</v>
      </c>
      <c r="C112">
        <v>6.4</v>
      </c>
      <c r="D112">
        <v>5.7</v>
      </c>
      <c r="E112">
        <v>32</v>
      </c>
      <c r="F112">
        <v>0</v>
      </c>
      <c r="G112" t="s">
        <v>33</v>
      </c>
      <c r="H112" t="s">
        <v>36</v>
      </c>
      <c r="I112">
        <v>3.61</v>
      </c>
      <c r="J112" s="2"/>
      <c r="K112" s="2"/>
    </row>
    <row r="113" spans="1:11" x14ac:dyDescent="0.25">
      <c r="A113" s="1">
        <v>44784.771585648145</v>
      </c>
      <c r="B113" s="1">
        <v>44784.771550925929</v>
      </c>
      <c r="C113">
        <v>6.6</v>
      </c>
      <c r="D113">
        <v>5.9</v>
      </c>
      <c r="E113">
        <v>34</v>
      </c>
      <c r="F113">
        <v>0</v>
      </c>
      <c r="G113" t="s">
        <v>33</v>
      </c>
      <c r="H113" t="s">
        <v>36</v>
      </c>
      <c r="I113">
        <v>3.59</v>
      </c>
      <c r="J113" s="2"/>
      <c r="K113" s="2"/>
    </row>
    <row r="114" spans="1:11" x14ac:dyDescent="0.25">
      <c r="A114" s="1">
        <v>44784.778541666667</v>
      </c>
      <c r="B114" s="1">
        <v>44784.778495370374</v>
      </c>
      <c r="C114">
        <v>6.8</v>
      </c>
      <c r="D114">
        <v>6.1</v>
      </c>
      <c r="E114">
        <v>34</v>
      </c>
      <c r="F114">
        <v>0</v>
      </c>
      <c r="G114" t="s">
        <v>33</v>
      </c>
      <c r="H114" t="s">
        <v>36</v>
      </c>
      <c r="I114">
        <v>3.71</v>
      </c>
      <c r="J114" s="2"/>
      <c r="K114" s="2"/>
    </row>
    <row r="115" spans="1:11" x14ac:dyDescent="0.25">
      <c r="A115" s="1">
        <v>44784.785497685189</v>
      </c>
      <c r="B115" s="1">
        <v>44784.785439814812</v>
      </c>
      <c r="C115">
        <v>6.8</v>
      </c>
      <c r="D115">
        <v>6.1</v>
      </c>
      <c r="E115">
        <v>35</v>
      </c>
      <c r="F115">
        <v>0</v>
      </c>
      <c r="G115" t="s">
        <v>33</v>
      </c>
      <c r="H115" t="s">
        <v>36</v>
      </c>
      <c r="I115">
        <v>3.64</v>
      </c>
      <c r="J115" s="2"/>
      <c r="K115" s="2"/>
    </row>
    <row r="116" spans="1:11" x14ac:dyDescent="0.25">
      <c r="A116" s="1">
        <v>44784.792430555557</v>
      </c>
      <c r="B116" s="1">
        <v>44784.792384259257</v>
      </c>
      <c r="C116">
        <v>6.9</v>
      </c>
      <c r="D116">
        <v>6.2</v>
      </c>
      <c r="E116">
        <v>36</v>
      </c>
      <c r="F116">
        <v>0</v>
      </c>
      <c r="G116" t="s">
        <v>33</v>
      </c>
      <c r="H116" t="s">
        <v>36</v>
      </c>
      <c r="I116">
        <v>3.64</v>
      </c>
      <c r="J116">
        <f>IF(COUNT(I111:I116)&gt;3.5,ROUND(AVERAGE(I111:I116),2),"")</f>
        <v>3.6</v>
      </c>
      <c r="K116">
        <f>IF(COUNT(1.26, -1.55, -1.93, -1.92, -1.77, -1.25, -1.13, -1.38, -1.05, 1.03, 0.9, 1.5, 1.95, 2.21, 2.38, 2.72, 2.99, 2.92, 3.15, 3.6, 2.84, 2.51, 2.03, 1.94)&gt;17.5,ROUND(AVERAGE(1.26, -1.55, -1.93, -1.92, -1.77, -1.25, -1.13, -1.38, -1.05, 1.03, 0.9, 1.5, 1.95, 2.21, 2.38, 2.72, 2.99, 2.92, 3.15, 3.6, 2.84, 2.51, 2.03, 1.94),2),"NO AVG")</f>
        <v>1</v>
      </c>
    </row>
    <row r="117" spans="1:11" x14ac:dyDescent="0.25">
      <c r="A117" s="1">
        <v>44784.799375000002</v>
      </c>
      <c r="B117" s="1">
        <v>44784.799328703702</v>
      </c>
      <c r="C117">
        <v>7</v>
      </c>
      <c r="D117">
        <v>6.5</v>
      </c>
      <c r="E117">
        <v>36</v>
      </c>
      <c r="F117">
        <v>0</v>
      </c>
      <c r="G117" t="s">
        <v>33</v>
      </c>
      <c r="H117" t="s">
        <v>36</v>
      </c>
      <c r="I117">
        <v>3.76</v>
      </c>
      <c r="J117" s="2"/>
      <c r="K117" s="2"/>
    </row>
    <row r="118" spans="1:11" x14ac:dyDescent="0.25">
      <c r="A118" s="1">
        <v>44784.80636574074</v>
      </c>
      <c r="B118" s="1">
        <v>44784.806273148148</v>
      </c>
      <c r="C118">
        <v>7.1</v>
      </c>
      <c r="D118">
        <v>6.4</v>
      </c>
      <c r="E118">
        <v>36</v>
      </c>
      <c r="F118">
        <v>0</v>
      </c>
      <c r="G118" t="s">
        <v>33</v>
      </c>
      <c r="H118" t="s">
        <v>36</v>
      </c>
      <c r="I118">
        <v>3.76</v>
      </c>
      <c r="J118" s="2"/>
      <c r="K118" s="2"/>
    </row>
    <row r="119" spans="1:11" x14ac:dyDescent="0.25">
      <c r="A119" s="1">
        <v>44784.813275462962</v>
      </c>
      <c r="B119" s="1">
        <v>44784.813217592593</v>
      </c>
      <c r="C119">
        <v>7.2</v>
      </c>
      <c r="D119">
        <v>6.5</v>
      </c>
      <c r="E119">
        <v>37</v>
      </c>
      <c r="F119">
        <v>0</v>
      </c>
      <c r="G119" t="s">
        <v>33</v>
      </c>
      <c r="H119" t="s">
        <v>36</v>
      </c>
      <c r="I119">
        <v>3.75</v>
      </c>
      <c r="J119" s="2"/>
      <c r="K119" s="2"/>
    </row>
    <row r="120" spans="1:11" x14ac:dyDescent="0.25">
      <c r="A120" s="1">
        <v>44784.820208333331</v>
      </c>
      <c r="B120" s="1">
        <v>44784.820162037038</v>
      </c>
      <c r="C120">
        <v>7.4</v>
      </c>
      <c r="D120">
        <v>6.6</v>
      </c>
      <c r="E120">
        <v>38</v>
      </c>
      <c r="F120">
        <v>0</v>
      </c>
      <c r="G120" t="s">
        <v>33</v>
      </c>
      <c r="H120" t="s">
        <v>36</v>
      </c>
      <c r="I120">
        <v>3.77</v>
      </c>
      <c r="J120" s="2"/>
      <c r="K120" s="2"/>
    </row>
    <row r="121" spans="1:11" x14ac:dyDescent="0.25">
      <c r="A121" s="1">
        <v>44784.827152777776</v>
      </c>
      <c r="B121" s="1">
        <v>44784.827106481483</v>
      </c>
      <c r="C121">
        <v>7.5</v>
      </c>
      <c r="D121">
        <v>6.6</v>
      </c>
      <c r="E121">
        <v>38</v>
      </c>
      <c r="F121">
        <v>0</v>
      </c>
      <c r="G121" t="s">
        <v>33</v>
      </c>
      <c r="H121" t="s">
        <v>36</v>
      </c>
      <c r="I121">
        <v>3.8</v>
      </c>
      <c r="J121" s="2"/>
      <c r="K121" s="2"/>
    </row>
    <row r="122" spans="1:11" x14ac:dyDescent="0.25">
      <c r="A122" s="1">
        <v>44784.834097222221</v>
      </c>
      <c r="B122" s="1">
        <v>44784.834050925929</v>
      </c>
      <c r="C122">
        <v>6.9</v>
      </c>
      <c r="D122">
        <v>6</v>
      </c>
      <c r="E122">
        <v>41</v>
      </c>
      <c r="F122">
        <v>0</v>
      </c>
      <c r="G122" t="s">
        <v>33</v>
      </c>
      <c r="H122" t="s">
        <v>36</v>
      </c>
      <c r="I122">
        <v>3.22</v>
      </c>
      <c r="J122">
        <f>IF(COUNT(I117:I122)&gt;3.5,ROUND(AVERAGE(I117:I122),2),"")</f>
        <v>3.68</v>
      </c>
      <c r="K122">
        <f>IF(COUNT(1.26, -1.55, -1.93, -1.92, -1.77, -1.25, -1.13, -1.38, -1.05, 1.03, 0.9, 1.5, 1.95, 2.21, 2.38, 2.72, 2.99, 2.92, 3.15, 3.6, 3.68, 2.51, 2.03, 1.94)&gt;17.5,ROUND(AVERAGE(1.26, -1.55, -1.93, -1.92, -1.77, -1.25, -1.13, -1.38, -1.05, 1.03, 0.9, 1.5, 1.95, 2.21, 2.38, 2.72, 2.99, 2.92, 3.15, 3.6, 3.68, 2.51, 2.03, 1.94),2),"NO AVG")</f>
        <v>1.03</v>
      </c>
    </row>
    <row r="123" spans="1:11" x14ac:dyDescent="0.25">
      <c r="A123" s="1">
        <v>44784.841041666667</v>
      </c>
      <c r="B123" s="1">
        <v>44784.840995370374</v>
      </c>
      <c r="C123">
        <v>6.3</v>
      </c>
      <c r="D123">
        <v>5.4</v>
      </c>
      <c r="E123">
        <v>44</v>
      </c>
      <c r="F123">
        <v>0</v>
      </c>
      <c r="G123" t="s">
        <v>33</v>
      </c>
      <c r="H123" t="s">
        <v>36</v>
      </c>
      <c r="I123">
        <v>2.65</v>
      </c>
      <c r="J123" s="2"/>
      <c r="K123" s="2"/>
    </row>
    <row r="124" spans="1:11" x14ac:dyDescent="0.25">
      <c r="A124" s="1">
        <v>44784.847986111112</v>
      </c>
      <c r="B124" s="1">
        <v>44784.847939814812</v>
      </c>
      <c r="C124">
        <v>5.8</v>
      </c>
      <c r="D124">
        <v>5.0999999999999996</v>
      </c>
      <c r="E124">
        <v>46</v>
      </c>
      <c r="F124">
        <v>0</v>
      </c>
      <c r="G124" t="s">
        <v>33</v>
      </c>
      <c r="H124" t="s">
        <v>36</v>
      </c>
      <c r="I124">
        <v>2.2599999999999998</v>
      </c>
      <c r="J124" s="2"/>
      <c r="K124" s="2"/>
    </row>
    <row r="125" spans="1:11" x14ac:dyDescent="0.25">
      <c r="A125" s="1">
        <v>44784.854930555557</v>
      </c>
      <c r="B125" s="1">
        <v>44784.854884259257</v>
      </c>
      <c r="C125">
        <v>5.5</v>
      </c>
      <c r="D125">
        <v>4.8</v>
      </c>
      <c r="E125">
        <v>46</v>
      </c>
      <c r="F125">
        <v>0</v>
      </c>
      <c r="G125" t="s">
        <v>33</v>
      </c>
      <c r="H125" t="s">
        <v>36</v>
      </c>
      <c r="I125">
        <v>2.08</v>
      </c>
      <c r="J125" s="2"/>
      <c r="K125" s="2"/>
    </row>
    <row r="126" spans="1:11" x14ac:dyDescent="0.25">
      <c r="A126" s="1">
        <v>44784.861875000002</v>
      </c>
      <c r="B126" s="1">
        <v>44784.861828703702</v>
      </c>
      <c r="C126">
        <v>5.3</v>
      </c>
      <c r="D126">
        <v>4.5999999999999996</v>
      </c>
      <c r="E126">
        <v>46</v>
      </c>
      <c r="F126">
        <v>0</v>
      </c>
      <c r="G126" t="s">
        <v>33</v>
      </c>
      <c r="H126" t="s">
        <v>36</v>
      </c>
      <c r="I126">
        <v>1.96</v>
      </c>
      <c r="J126" s="2"/>
      <c r="K126" s="2"/>
    </row>
    <row r="127" spans="1:11" x14ac:dyDescent="0.25">
      <c r="A127" s="1">
        <v>44784.868819444448</v>
      </c>
      <c r="B127" s="1">
        <v>44784.868773148148</v>
      </c>
      <c r="C127">
        <v>5.2</v>
      </c>
      <c r="D127">
        <v>4.5999999999999996</v>
      </c>
      <c r="E127">
        <v>45</v>
      </c>
      <c r="F127">
        <v>0</v>
      </c>
      <c r="G127" t="s">
        <v>33</v>
      </c>
      <c r="H127" t="s">
        <v>36</v>
      </c>
      <c r="I127">
        <v>2</v>
      </c>
      <c r="J127" s="2"/>
      <c r="K127" s="2"/>
    </row>
    <row r="128" spans="1:11" x14ac:dyDescent="0.25">
      <c r="A128" s="1">
        <v>44784.875763888886</v>
      </c>
      <c r="B128" s="1">
        <v>44784.875717592593</v>
      </c>
      <c r="C128">
        <v>5.2</v>
      </c>
      <c r="D128">
        <v>4.5</v>
      </c>
      <c r="E128">
        <v>45</v>
      </c>
      <c r="F128">
        <v>0</v>
      </c>
      <c r="G128" t="s">
        <v>33</v>
      </c>
      <c r="H128" t="s">
        <v>36</v>
      </c>
      <c r="I128">
        <v>1.97</v>
      </c>
      <c r="J128">
        <f>IF(COUNT(I123:I128)&gt;3.5,ROUND(AVERAGE(I123:I128),2),"")</f>
        <v>2.15</v>
      </c>
      <c r="K128">
        <f>IF(COUNT(1.26, -1.55, -1.93, -1.92, -1.77, -1.25, -1.13, -1.38, -1.05, 1.03, 0.9, 1.5, 1.95, 2.21, 2.38, 2.72, 2.99, 2.92, 3.15, 3.6, 3.68, 2.15, 2.03, 1.94)&gt;17.5,ROUND(AVERAGE(1.26, -1.55, -1.93, -1.92, -1.77, -1.25, -1.13, -1.38, -1.05, 1.03, 0.9, 1.5, 1.95, 2.21, 2.38, 2.72, 2.99, 2.92, 3.15, 3.6, 3.68, 2.15, 2.03, 1.94),2),"NO AVG")</f>
        <v>1.02</v>
      </c>
    </row>
    <row r="129" spans="1:11" x14ac:dyDescent="0.25">
      <c r="A129" s="1">
        <v>44784.882708333331</v>
      </c>
      <c r="B129" s="1">
        <v>44784.882662037038</v>
      </c>
      <c r="C129">
        <v>5.3</v>
      </c>
      <c r="D129">
        <v>4.5999999999999996</v>
      </c>
      <c r="E129">
        <v>47</v>
      </c>
      <c r="F129">
        <v>0</v>
      </c>
      <c r="G129" t="s">
        <v>33</v>
      </c>
      <c r="H129" t="s">
        <v>36</v>
      </c>
      <c r="I129">
        <v>1.89</v>
      </c>
      <c r="J129" s="2"/>
      <c r="K129" s="2"/>
    </row>
    <row r="130" spans="1:11" x14ac:dyDescent="0.25">
      <c r="A130" s="1">
        <v>44784.889652777776</v>
      </c>
      <c r="B130" s="1">
        <v>44784.889606481483</v>
      </c>
      <c r="C130">
        <v>5.3</v>
      </c>
      <c r="D130">
        <v>4.7</v>
      </c>
      <c r="E130">
        <v>47</v>
      </c>
      <c r="F130">
        <v>0</v>
      </c>
      <c r="G130" t="s">
        <v>33</v>
      </c>
      <c r="H130" t="s">
        <v>36</v>
      </c>
      <c r="I130">
        <v>1.92</v>
      </c>
      <c r="J130" s="2"/>
      <c r="K130" s="2"/>
    </row>
    <row r="131" spans="1:11" x14ac:dyDescent="0.25">
      <c r="A131" s="1">
        <v>44784.896597222221</v>
      </c>
      <c r="B131" s="1">
        <v>44784.896550925929</v>
      </c>
      <c r="C131">
        <v>5</v>
      </c>
      <c r="D131">
        <v>4.5</v>
      </c>
      <c r="E131">
        <v>48</v>
      </c>
      <c r="F131">
        <v>0</v>
      </c>
      <c r="G131" t="s">
        <v>33</v>
      </c>
      <c r="H131" t="s">
        <v>36</v>
      </c>
      <c r="I131">
        <v>1.7</v>
      </c>
      <c r="J131" s="2"/>
      <c r="K131" s="2"/>
    </row>
    <row r="132" spans="1:11" x14ac:dyDescent="0.25">
      <c r="A132" s="1">
        <v>44784.903541666667</v>
      </c>
      <c r="B132" s="1">
        <v>44784.903495370374</v>
      </c>
      <c r="C132">
        <v>4.9000000000000004</v>
      </c>
      <c r="D132">
        <v>4.4000000000000004</v>
      </c>
      <c r="E132">
        <v>50</v>
      </c>
      <c r="F132">
        <v>0</v>
      </c>
      <c r="G132" t="s">
        <v>33</v>
      </c>
      <c r="H132" t="s">
        <v>36</v>
      </c>
      <c r="I132">
        <v>1.5</v>
      </c>
      <c r="J132" s="2"/>
      <c r="K132" s="2"/>
    </row>
    <row r="133" spans="1:11" x14ac:dyDescent="0.25">
      <c r="A133" s="1">
        <v>44784.910486111112</v>
      </c>
      <c r="B133" s="1">
        <v>44784.910439814812</v>
      </c>
      <c r="C133">
        <v>5.4</v>
      </c>
      <c r="D133">
        <v>4.9000000000000004</v>
      </c>
      <c r="E133">
        <v>52</v>
      </c>
      <c r="F133">
        <v>0</v>
      </c>
      <c r="G133" t="s">
        <v>33</v>
      </c>
      <c r="H133" t="s">
        <v>36</v>
      </c>
      <c r="I133">
        <v>1.66</v>
      </c>
      <c r="J133" s="2"/>
      <c r="K133" s="2"/>
    </row>
    <row r="134" spans="1:11" x14ac:dyDescent="0.25">
      <c r="A134" s="1">
        <v>44784.917430555557</v>
      </c>
      <c r="B134" s="1">
        <v>44784.917384259257</v>
      </c>
      <c r="C134">
        <v>5.6</v>
      </c>
      <c r="D134">
        <v>5</v>
      </c>
      <c r="E134">
        <v>53</v>
      </c>
      <c r="F134">
        <v>0</v>
      </c>
      <c r="G134" t="s">
        <v>33</v>
      </c>
      <c r="H134" t="s">
        <v>36</v>
      </c>
      <c r="I134">
        <v>1.68</v>
      </c>
      <c r="J134">
        <f>IF(COUNT(I129:I134)&gt;3.5,ROUND(AVERAGE(I129:I134),2),"")</f>
        <v>1.73</v>
      </c>
      <c r="K134">
        <f>IF(COUNT(1.26, -1.55, -1.93, -1.92, -1.77, -1.25, -1.13, -1.38, -1.05, 1.03, 0.9, 1.5, 1.95, 2.21, 2.38, 2.72, 2.99, 2.92, 3.15, 3.6, 3.68, 2.15, 1.73, 1.94)&gt;17.5,ROUND(AVERAGE(1.26, -1.55, -1.93, -1.92, -1.77, -1.25, -1.13, -1.38, -1.05, 1.03, 0.9, 1.5, 1.95, 2.21, 2.38, 2.72, 2.99, 2.92, 3.15, 3.6, 3.68, 2.15, 1.73, 1.94),2),"NO AVG")</f>
        <v>1.01</v>
      </c>
    </row>
    <row r="135" spans="1:11" x14ac:dyDescent="0.25">
      <c r="A135" s="1">
        <v>44784.924386574072</v>
      </c>
      <c r="B135" s="1">
        <v>44784.924328703702</v>
      </c>
      <c r="C135">
        <v>5.6</v>
      </c>
      <c r="D135">
        <v>4.9000000000000004</v>
      </c>
      <c r="E135">
        <v>55</v>
      </c>
      <c r="F135">
        <v>0</v>
      </c>
      <c r="G135" t="s">
        <v>33</v>
      </c>
      <c r="H135" t="s">
        <v>36</v>
      </c>
      <c r="I135">
        <v>1.51</v>
      </c>
      <c r="J135" s="2"/>
      <c r="K135" s="2"/>
    </row>
    <row r="136" spans="1:11" x14ac:dyDescent="0.25">
      <c r="A136" s="1">
        <v>44784.931319444448</v>
      </c>
      <c r="B136" s="1">
        <v>44784.931273148148</v>
      </c>
      <c r="C136">
        <v>5.4</v>
      </c>
      <c r="D136">
        <v>4.8</v>
      </c>
      <c r="E136">
        <v>56</v>
      </c>
      <c r="F136">
        <v>0</v>
      </c>
      <c r="G136" t="s">
        <v>33</v>
      </c>
      <c r="H136" t="s">
        <v>36</v>
      </c>
      <c r="I136">
        <v>1.35</v>
      </c>
      <c r="J136" s="2"/>
      <c r="K136" s="2"/>
    </row>
    <row r="137" spans="1:11" x14ac:dyDescent="0.25">
      <c r="A137" s="1">
        <v>44784.938263888886</v>
      </c>
      <c r="B137" s="1">
        <v>44784.938217592593</v>
      </c>
      <c r="C137">
        <v>5.5</v>
      </c>
      <c r="D137">
        <v>4.9000000000000004</v>
      </c>
      <c r="E137">
        <v>57</v>
      </c>
      <c r="F137">
        <v>0</v>
      </c>
      <c r="G137" t="s">
        <v>33</v>
      </c>
      <c r="H137" t="s">
        <v>36</v>
      </c>
      <c r="I137">
        <v>1.34</v>
      </c>
      <c r="J137" s="2"/>
      <c r="K137" s="2"/>
    </row>
    <row r="138" spans="1:11" x14ac:dyDescent="0.25">
      <c r="A138" s="1">
        <v>44784.945208333331</v>
      </c>
      <c r="B138" s="1">
        <v>44784.945162037038</v>
      </c>
      <c r="C138">
        <v>5.8</v>
      </c>
      <c r="D138">
        <v>4.9000000000000004</v>
      </c>
      <c r="E138">
        <v>58</v>
      </c>
      <c r="F138">
        <v>0</v>
      </c>
      <c r="G138" t="s">
        <v>33</v>
      </c>
      <c r="H138" t="s">
        <v>36</v>
      </c>
      <c r="I138">
        <v>1.36</v>
      </c>
      <c r="J138" s="2"/>
      <c r="K138" s="2"/>
    </row>
    <row r="139" spans="1:11" x14ac:dyDescent="0.25">
      <c r="A139" s="1">
        <v>44784.952164351853</v>
      </c>
      <c r="B139" s="1">
        <v>44784.952106481483</v>
      </c>
      <c r="C139">
        <v>5.8</v>
      </c>
      <c r="D139">
        <v>4.9000000000000004</v>
      </c>
      <c r="E139">
        <v>59</v>
      </c>
      <c r="F139">
        <v>0</v>
      </c>
      <c r="G139" t="s">
        <v>33</v>
      </c>
      <c r="H139" t="s">
        <v>36</v>
      </c>
      <c r="I139">
        <v>1.29</v>
      </c>
      <c r="J139" s="2"/>
      <c r="K139" s="2"/>
    </row>
    <row r="140" spans="1:11" x14ac:dyDescent="0.25">
      <c r="A140" s="1">
        <v>44784.959108796298</v>
      </c>
      <c r="B140" s="1">
        <v>44784.959050925929</v>
      </c>
      <c r="C140">
        <v>5.8</v>
      </c>
      <c r="D140">
        <v>5</v>
      </c>
      <c r="E140">
        <v>59</v>
      </c>
      <c r="F140">
        <v>0</v>
      </c>
      <c r="G140" t="s">
        <v>33</v>
      </c>
      <c r="H140" t="s">
        <v>36</v>
      </c>
      <c r="I140">
        <v>1.32</v>
      </c>
      <c r="J140">
        <f>IF(COUNT(I135:I140)&gt;3.5,ROUND(AVERAGE(I135:I140),2),"")</f>
        <v>1.36</v>
      </c>
      <c r="K140">
        <f>IF(COUNT(1.26, -1.55, -1.93, -1.92, -1.77, -1.25, -1.13, -1.38, -1.05, 1.03, 0.9, 1.5, 1.95, 2.21, 2.38, 2.72, 2.99, 2.92, 3.15, 3.6, 3.68, 2.15, 1.73, 1.36)&gt;17.5,ROUND(AVERAGE(1.26, -1.55, -1.93, -1.92, -1.77, -1.25, -1.13, -1.38, -1.05, 1.03, 0.9, 1.5, 1.95, 2.21, 2.38, 2.72, 2.99, 2.92, 3.15, 3.6, 3.68, 2.15, 1.73, 1.36),2),"NO AVG")</f>
        <v>0.98</v>
      </c>
    </row>
    <row r="141" spans="1:11" x14ac:dyDescent="0.25">
      <c r="A141" s="1">
        <v>44784.966053240743</v>
      </c>
      <c r="B141" s="1">
        <v>44784.965995370374</v>
      </c>
      <c r="C141">
        <v>5.8</v>
      </c>
      <c r="D141">
        <v>4.9000000000000004</v>
      </c>
      <c r="E141">
        <v>60</v>
      </c>
      <c r="F141">
        <v>0</v>
      </c>
      <c r="G141" t="s">
        <v>33</v>
      </c>
      <c r="H141" t="s">
        <v>36</v>
      </c>
      <c r="I141">
        <v>1.22</v>
      </c>
      <c r="J141" s="2"/>
      <c r="K141" s="2"/>
    </row>
    <row r="142" spans="1:11" x14ac:dyDescent="0.25">
      <c r="A142" s="1">
        <v>44784.972997685189</v>
      </c>
      <c r="B142" s="1">
        <v>44784.972939814812</v>
      </c>
      <c r="C142">
        <v>5.8</v>
      </c>
      <c r="D142">
        <v>4.8</v>
      </c>
      <c r="E142">
        <v>61</v>
      </c>
      <c r="F142">
        <v>0</v>
      </c>
      <c r="G142" t="s">
        <v>33</v>
      </c>
      <c r="H142" t="s">
        <v>36</v>
      </c>
      <c r="I142">
        <v>1.1200000000000001</v>
      </c>
      <c r="J142" s="2"/>
      <c r="K142" s="2"/>
    </row>
    <row r="143" spans="1:11" x14ac:dyDescent="0.25">
      <c r="A143" s="1">
        <v>44784.979942129627</v>
      </c>
      <c r="B143" s="1">
        <v>44784.979884259257</v>
      </c>
      <c r="C143">
        <v>5.6</v>
      </c>
      <c r="D143">
        <v>4.9000000000000004</v>
      </c>
      <c r="E143">
        <v>63</v>
      </c>
      <c r="F143">
        <v>0</v>
      </c>
      <c r="G143" t="s">
        <v>33</v>
      </c>
      <c r="H143" t="s">
        <v>36</v>
      </c>
      <c r="I143">
        <v>0.95</v>
      </c>
      <c r="J143" s="2"/>
      <c r="K143" s="2"/>
    </row>
    <row r="144" spans="1:11" x14ac:dyDescent="0.25">
      <c r="A144" s="1">
        <v>44784.986875000002</v>
      </c>
      <c r="B144" s="1">
        <v>44784.986828703702</v>
      </c>
      <c r="C144">
        <v>5.7</v>
      </c>
      <c r="D144">
        <v>4.9000000000000004</v>
      </c>
      <c r="E144">
        <v>64</v>
      </c>
      <c r="F144">
        <v>0</v>
      </c>
      <c r="G144" t="s">
        <v>33</v>
      </c>
      <c r="H144" t="s">
        <v>36</v>
      </c>
      <c r="I144">
        <v>0.91</v>
      </c>
      <c r="J144" s="2"/>
      <c r="K144" s="2"/>
    </row>
    <row r="145" spans="1:12" x14ac:dyDescent="0.25">
      <c r="A145" s="1">
        <v>44784.993819444448</v>
      </c>
      <c r="B145" s="1">
        <v>44784.993773148148</v>
      </c>
      <c r="C145">
        <v>5.9</v>
      </c>
      <c r="D145">
        <v>5.0999999999999996</v>
      </c>
      <c r="E145">
        <v>67</v>
      </c>
      <c r="F145">
        <v>0</v>
      </c>
      <c r="G145" t="s">
        <v>33</v>
      </c>
      <c r="H145" t="s">
        <v>36</v>
      </c>
      <c r="I145">
        <v>0.82</v>
      </c>
      <c r="J145" s="2"/>
      <c r="K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835EC-A9D7-4DE0-AE45-5BF2679C51A5}">
  <sheetPr codeName="Sheet9"/>
  <dimension ref="A1:M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3" max="13" width="14.7109375" bestFit="1" customWidth="1"/>
  </cols>
  <sheetData>
    <row r="1" spans="1:13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M1" t="s">
        <v>3</v>
      </c>
    </row>
    <row r="2" spans="1:13" x14ac:dyDescent="0.25">
      <c r="A2" s="1">
        <v>44784.000752314816</v>
      </c>
      <c r="B2" s="1">
        <v>44784.000717592593</v>
      </c>
      <c r="C2">
        <v>1.2</v>
      </c>
      <c r="D2">
        <v>0</v>
      </c>
      <c r="E2">
        <v>64</v>
      </c>
      <c r="F2">
        <v>0</v>
      </c>
      <c r="G2" t="s">
        <v>43</v>
      </c>
      <c r="H2" t="s">
        <v>36</v>
      </c>
      <c r="K2" t="str">
        <f>IF(COUNT(, NA, NA, NA, NA, NA, NA, NA, NA, NA, NA, NA, NA, NA, NA, NA, NA, NA, NA, NA, NA, NA, NA, NA)&gt;17.5,ROUND(AVERAGE(, 0, 0, 0, 0, 0, 0, 0, 0, 0, 0, 0, 0, 0, 0, 0, 0, 0, 0, 0, 0, 0, 0, 0),2),"NO AVG")</f>
        <v>NO AVG</v>
      </c>
      <c r="M2" t="s">
        <v>42</v>
      </c>
    </row>
    <row r="3" spans="1:13" x14ac:dyDescent="0.25">
      <c r="A3" s="1">
        <v>44784.007708333331</v>
      </c>
      <c r="B3" s="1">
        <v>44784.007662037038</v>
      </c>
      <c r="C3">
        <v>1.2</v>
      </c>
      <c r="D3">
        <v>0</v>
      </c>
      <c r="E3">
        <v>65</v>
      </c>
      <c r="F3">
        <v>0</v>
      </c>
      <c r="G3" t="s">
        <v>43</v>
      </c>
      <c r="H3" t="s">
        <v>36</v>
      </c>
      <c r="J3" s="2"/>
      <c r="K3" s="2"/>
    </row>
    <row r="4" spans="1:13" x14ac:dyDescent="0.25">
      <c r="A4" s="1">
        <v>44784.01462962963</v>
      </c>
      <c r="B4" s="1">
        <v>44784.014606481483</v>
      </c>
      <c r="C4">
        <v>1.4</v>
      </c>
      <c r="D4">
        <v>0</v>
      </c>
      <c r="E4">
        <v>65</v>
      </c>
      <c r="F4">
        <v>0</v>
      </c>
      <c r="G4" t="s">
        <v>43</v>
      </c>
      <c r="H4" t="s">
        <v>36</v>
      </c>
      <c r="J4" s="2"/>
      <c r="K4" s="2"/>
    </row>
    <row r="5" spans="1:13" x14ac:dyDescent="0.25">
      <c r="A5" s="1">
        <v>44784.021585648145</v>
      </c>
      <c r="B5" s="1">
        <v>44784.021550925929</v>
      </c>
      <c r="C5">
        <v>1.5</v>
      </c>
      <c r="D5">
        <v>0</v>
      </c>
      <c r="E5">
        <v>65</v>
      </c>
      <c r="F5">
        <v>0</v>
      </c>
      <c r="G5" t="s">
        <v>43</v>
      </c>
      <c r="H5" t="s">
        <v>36</v>
      </c>
      <c r="J5" s="2"/>
      <c r="K5" s="2"/>
    </row>
    <row r="6" spans="1:13" x14ac:dyDescent="0.25">
      <c r="A6" s="1">
        <v>44784.02853009259</v>
      </c>
      <c r="B6" s="1">
        <v>44784.028495370374</v>
      </c>
      <c r="C6">
        <v>1.4</v>
      </c>
      <c r="D6">
        <v>0</v>
      </c>
      <c r="E6">
        <v>66</v>
      </c>
      <c r="F6">
        <v>0</v>
      </c>
      <c r="G6" t="s">
        <v>43</v>
      </c>
      <c r="H6" t="s">
        <v>36</v>
      </c>
      <c r="J6" s="2"/>
      <c r="K6" s="2"/>
    </row>
    <row r="7" spans="1:13" x14ac:dyDescent="0.25">
      <c r="A7" s="1">
        <v>44784.035474537035</v>
      </c>
      <c r="B7" s="1">
        <v>44784.035439814812</v>
      </c>
      <c r="C7">
        <v>1.5</v>
      </c>
      <c r="D7">
        <v>0</v>
      </c>
      <c r="E7">
        <v>66</v>
      </c>
      <c r="F7">
        <v>0</v>
      </c>
      <c r="G7" t="s">
        <v>43</v>
      </c>
      <c r="H7" t="s">
        <v>36</v>
      </c>
      <c r="J7" s="2"/>
      <c r="K7" s="2"/>
    </row>
    <row r="8" spans="1:13" x14ac:dyDescent="0.25">
      <c r="A8" s="1">
        <v>44784.04241898148</v>
      </c>
      <c r="B8" s="1">
        <v>44784.042384259257</v>
      </c>
      <c r="C8">
        <v>1.6</v>
      </c>
      <c r="D8">
        <v>0</v>
      </c>
      <c r="E8">
        <v>66</v>
      </c>
      <c r="F8">
        <v>0</v>
      </c>
      <c r="G8" t="s">
        <v>43</v>
      </c>
      <c r="H8" t="s">
        <v>36</v>
      </c>
      <c r="J8" t="str">
        <f>IF(COUNT(I3:I8)&gt;3.5,ROUND(AVERAGE(I3:I8),2),"")</f>
        <v/>
      </c>
      <c r="K8" t="str">
        <f>IF(COUNT(, , NA, NA, NA, NA, NA, NA, NA, NA, NA, NA, NA, NA, NA, NA, NA, NA, NA, NA, NA, NA, NA, NA)&gt;17.5,ROUND(AVERAGE(, , 0, 0, 0, 0, 0, 0, 0, 0, 0, 0, 0, 0, 0, 0, 0, 0, 0, 0, 0, 0, 0, 0),2),"NO AVG")</f>
        <v>NO AVG</v>
      </c>
    </row>
    <row r="9" spans="1:13" x14ac:dyDescent="0.25">
      <c r="A9" s="1">
        <v>44784.049363425926</v>
      </c>
      <c r="B9" s="1">
        <v>44784.049328703702</v>
      </c>
      <c r="C9">
        <v>1.5</v>
      </c>
      <c r="D9">
        <v>0</v>
      </c>
      <c r="E9">
        <v>66</v>
      </c>
      <c r="F9">
        <v>0</v>
      </c>
      <c r="G9" t="s">
        <v>43</v>
      </c>
      <c r="H9" t="s">
        <v>36</v>
      </c>
      <c r="J9" s="2"/>
      <c r="K9" s="2"/>
    </row>
    <row r="10" spans="1:13" x14ac:dyDescent="0.25">
      <c r="A10" s="1">
        <v>44784.056307870371</v>
      </c>
      <c r="B10" s="1">
        <v>44784.056273148148</v>
      </c>
      <c r="C10">
        <v>1.6</v>
      </c>
      <c r="D10">
        <v>0</v>
      </c>
      <c r="E10">
        <v>66</v>
      </c>
      <c r="F10">
        <v>0</v>
      </c>
      <c r="G10" t="s">
        <v>43</v>
      </c>
      <c r="H10" t="s">
        <v>36</v>
      </c>
      <c r="J10" s="2"/>
      <c r="K10" s="2"/>
    </row>
    <row r="11" spans="1:13" x14ac:dyDescent="0.25">
      <c r="A11" s="1">
        <v>44784.063252314816</v>
      </c>
      <c r="B11" s="1">
        <v>44784.063217592593</v>
      </c>
      <c r="C11">
        <v>1.6</v>
      </c>
      <c r="D11">
        <v>0</v>
      </c>
      <c r="E11">
        <v>66</v>
      </c>
      <c r="F11">
        <v>0</v>
      </c>
      <c r="G11" t="s">
        <v>43</v>
      </c>
      <c r="H11" t="s">
        <v>36</v>
      </c>
      <c r="J11" s="2"/>
      <c r="K11" s="2"/>
    </row>
    <row r="12" spans="1:13" x14ac:dyDescent="0.25">
      <c r="A12" s="1">
        <v>44784.070196759261</v>
      </c>
      <c r="B12" s="1">
        <v>44784.070162037038</v>
      </c>
      <c r="C12">
        <v>1.7</v>
      </c>
      <c r="D12">
        <v>0</v>
      </c>
      <c r="E12">
        <v>66</v>
      </c>
      <c r="F12">
        <v>0</v>
      </c>
      <c r="G12" t="s">
        <v>43</v>
      </c>
      <c r="H12" t="s">
        <v>36</v>
      </c>
      <c r="J12" s="2"/>
      <c r="K12" s="2"/>
    </row>
    <row r="13" spans="1:13" x14ac:dyDescent="0.25">
      <c r="A13" s="1">
        <v>44784.077141203707</v>
      </c>
      <c r="B13" s="1">
        <v>44784.077106481483</v>
      </c>
      <c r="C13">
        <v>1.8</v>
      </c>
      <c r="D13">
        <v>0</v>
      </c>
      <c r="E13">
        <v>66</v>
      </c>
      <c r="F13">
        <v>0</v>
      </c>
      <c r="G13" t="s">
        <v>43</v>
      </c>
      <c r="H13" t="s">
        <v>36</v>
      </c>
      <c r="J13" s="2"/>
      <c r="K13" s="2"/>
    </row>
    <row r="14" spans="1:13" x14ac:dyDescent="0.25">
      <c r="A14" s="1">
        <v>44784.084085648145</v>
      </c>
      <c r="B14" s="1">
        <v>44784.084050925929</v>
      </c>
      <c r="C14">
        <v>1.9</v>
      </c>
      <c r="D14">
        <v>0</v>
      </c>
      <c r="E14">
        <v>66</v>
      </c>
      <c r="F14">
        <v>0</v>
      </c>
      <c r="G14" t="s">
        <v>43</v>
      </c>
      <c r="H14" t="s">
        <v>36</v>
      </c>
      <c r="J14" t="str">
        <f>IF(COUNT(I9:I14)&gt;3.5,ROUND(AVERAGE(I9:I14),2),"")</f>
        <v/>
      </c>
      <c r="K14" t="str">
        <f>IF(COUNT(, , , NA, NA, NA, NA, NA, NA, NA, NA, NA, NA, NA, NA, NA, NA, NA, NA, NA, NA, NA, NA, NA)&gt;17.5,ROUND(AVERAGE(, , , 0, 0, 0, 0, 0, 0, 0, 0, 0, 0, 0, 0, 0, 0, 0, 0, 0, 0, 0, 0, 0),2),"NO AVG")</f>
        <v>NO AVG</v>
      </c>
    </row>
    <row r="15" spans="1:13" x14ac:dyDescent="0.25">
      <c r="A15" s="1">
        <v>44784.09103009259</v>
      </c>
      <c r="B15" s="1">
        <v>44784.090995370374</v>
      </c>
      <c r="C15">
        <v>1.9</v>
      </c>
      <c r="D15">
        <v>0</v>
      </c>
      <c r="E15">
        <v>66</v>
      </c>
      <c r="F15">
        <v>0</v>
      </c>
      <c r="G15" t="s">
        <v>43</v>
      </c>
      <c r="H15" t="s">
        <v>36</v>
      </c>
      <c r="J15" s="2"/>
      <c r="K15" s="2"/>
    </row>
    <row r="16" spans="1:13" x14ac:dyDescent="0.25">
      <c r="A16" s="1">
        <v>44784.097986111112</v>
      </c>
      <c r="B16" s="1">
        <v>44784.097939814812</v>
      </c>
      <c r="C16">
        <v>2.1</v>
      </c>
      <c r="D16">
        <v>0</v>
      </c>
      <c r="E16">
        <v>66</v>
      </c>
      <c r="F16">
        <v>0</v>
      </c>
      <c r="G16" t="s">
        <v>43</v>
      </c>
      <c r="H16" t="s">
        <v>36</v>
      </c>
      <c r="J16" s="2"/>
      <c r="K16" s="2"/>
    </row>
    <row r="17" spans="1:11" x14ac:dyDescent="0.25">
      <c r="A17" s="1">
        <v>44784.10491898148</v>
      </c>
      <c r="B17" s="1">
        <v>44784.104884259257</v>
      </c>
      <c r="C17">
        <v>2.1</v>
      </c>
      <c r="D17">
        <v>0</v>
      </c>
      <c r="E17">
        <v>66</v>
      </c>
      <c r="F17">
        <v>0</v>
      </c>
      <c r="G17" t="s">
        <v>43</v>
      </c>
      <c r="H17" t="s">
        <v>36</v>
      </c>
      <c r="J17" s="2"/>
      <c r="K17" s="2"/>
    </row>
    <row r="18" spans="1:11" x14ac:dyDescent="0.25">
      <c r="A18" s="1">
        <v>44784.111863425926</v>
      </c>
      <c r="B18" s="1">
        <v>44784.111828703702</v>
      </c>
      <c r="C18">
        <v>2</v>
      </c>
      <c r="D18">
        <v>0</v>
      </c>
      <c r="E18">
        <v>66</v>
      </c>
      <c r="F18">
        <v>0</v>
      </c>
      <c r="G18" t="s">
        <v>43</v>
      </c>
      <c r="H18" t="s">
        <v>36</v>
      </c>
      <c r="J18" s="2"/>
      <c r="K18" s="2"/>
    </row>
    <row r="19" spans="1:11" x14ac:dyDescent="0.25">
      <c r="A19" s="1">
        <v>44784.118807870371</v>
      </c>
      <c r="B19" s="1">
        <v>44784.118773148148</v>
      </c>
      <c r="C19">
        <v>2.1</v>
      </c>
      <c r="D19">
        <v>0</v>
      </c>
      <c r="E19">
        <v>67</v>
      </c>
      <c r="F19">
        <v>0</v>
      </c>
      <c r="G19" t="s">
        <v>43</v>
      </c>
      <c r="H19" t="s">
        <v>36</v>
      </c>
      <c r="J19" s="2"/>
      <c r="K19" s="2"/>
    </row>
    <row r="20" spans="1:11" x14ac:dyDescent="0.25">
      <c r="A20" s="1">
        <v>44784.125752314816</v>
      </c>
      <c r="B20" s="1">
        <v>44784.125717592593</v>
      </c>
      <c r="C20">
        <v>2.1</v>
      </c>
      <c r="D20">
        <v>0</v>
      </c>
      <c r="E20">
        <v>67</v>
      </c>
      <c r="F20">
        <v>0</v>
      </c>
      <c r="G20" t="s">
        <v>43</v>
      </c>
      <c r="H20" t="s">
        <v>36</v>
      </c>
      <c r="J20" t="str">
        <f>IF(COUNT(I15:I20)&gt;3.5,ROUND(AVERAGE(I15:I20),2),"")</f>
        <v/>
      </c>
      <c r="K20" t="str">
        <f>IF(COUNT(, , , , NA, NA, NA, NA, NA, NA, NA, NA, NA, NA, NA, NA, NA, NA, NA, NA, NA, NA, NA, NA)&gt;17.5,ROUND(AVERAGE(, , , , 0, 0, 0, 0, 0, 0, 0, 0, 0, 0, 0, 0, 0, 0, 0, 0, 0, 0, 0, 0),2),"NO AVG")</f>
        <v>NO AVG</v>
      </c>
    </row>
    <row r="21" spans="1:11" x14ac:dyDescent="0.25">
      <c r="A21" s="1">
        <v>44784.132696759261</v>
      </c>
      <c r="B21" s="1">
        <v>44784.132662037038</v>
      </c>
      <c r="C21">
        <v>2</v>
      </c>
      <c r="D21">
        <v>0</v>
      </c>
      <c r="E21">
        <v>67</v>
      </c>
      <c r="F21">
        <v>0</v>
      </c>
      <c r="G21" t="s">
        <v>43</v>
      </c>
      <c r="H21" t="s">
        <v>36</v>
      </c>
      <c r="J21" s="2"/>
      <c r="K21" s="2"/>
    </row>
    <row r="22" spans="1:11" x14ac:dyDescent="0.25">
      <c r="A22" s="1">
        <v>44784.139641203707</v>
      </c>
      <c r="B22" s="1">
        <v>44784.139606481483</v>
      </c>
      <c r="C22">
        <v>2</v>
      </c>
      <c r="D22">
        <v>0</v>
      </c>
      <c r="E22">
        <v>67</v>
      </c>
      <c r="F22">
        <v>0</v>
      </c>
      <c r="G22" t="s">
        <v>43</v>
      </c>
      <c r="H22" t="s">
        <v>36</v>
      </c>
      <c r="J22" s="2"/>
      <c r="K22" s="2"/>
    </row>
    <row r="23" spans="1:11" x14ac:dyDescent="0.25">
      <c r="A23" s="1">
        <v>44784.146585648145</v>
      </c>
      <c r="B23" s="1">
        <v>44784.146550925929</v>
      </c>
      <c r="C23">
        <v>2.2000000000000002</v>
      </c>
      <c r="D23">
        <v>0</v>
      </c>
      <c r="E23">
        <v>68</v>
      </c>
      <c r="F23">
        <v>0</v>
      </c>
      <c r="G23" t="s">
        <v>43</v>
      </c>
      <c r="H23" t="s">
        <v>36</v>
      </c>
      <c r="J23" s="2"/>
      <c r="K23" s="2"/>
    </row>
    <row r="24" spans="1:11" x14ac:dyDescent="0.25">
      <c r="A24" s="1">
        <v>44784.153541666667</v>
      </c>
      <c r="B24" s="1">
        <v>44784.153495370374</v>
      </c>
      <c r="C24">
        <v>2.2999999999999998</v>
      </c>
      <c r="D24">
        <v>0</v>
      </c>
      <c r="E24">
        <v>68</v>
      </c>
      <c r="F24">
        <v>0</v>
      </c>
      <c r="G24" t="s">
        <v>43</v>
      </c>
      <c r="H24" t="s">
        <v>36</v>
      </c>
      <c r="J24" s="2"/>
      <c r="K24" s="2"/>
    </row>
    <row r="25" spans="1:11" x14ac:dyDescent="0.25">
      <c r="A25" s="1">
        <v>44784.160474537035</v>
      </c>
      <c r="B25" s="1">
        <v>44784.160439814812</v>
      </c>
      <c r="C25">
        <v>2.2999999999999998</v>
      </c>
      <c r="D25">
        <v>0</v>
      </c>
      <c r="E25">
        <v>68</v>
      </c>
      <c r="F25">
        <v>0</v>
      </c>
      <c r="G25" t="s">
        <v>43</v>
      </c>
      <c r="H25" t="s">
        <v>36</v>
      </c>
      <c r="J25" s="2"/>
      <c r="K25" s="2"/>
    </row>
    <row r="26" spans="1:11" x14ac:dyDescent="0.25">
      <c r="A26" s="1">
        <v>44784.16741898148</v>
      </c>
      <c r="B26" s="1">
        <v>44784.167384259257</v>
      </c>
      <c r="C26">
        <v>2.5</v>
      </c>
      <c r="D26">
        <v>0</v>
      </c>
      <c r="E26">
        <v>68</v>
      </c>
      <c r="F26">
        <v>0</v>
      </c>
      <c r="G26" t="s">
        <v>43</v>
      </c>
      <c r="H26" t="s">
        <v>36</v>
      </c>
      <c r="J26" t="str">
        <f>IF(COUNT(I21:I26)&gt;3.5,ROUND(AVERAGE(I21:I26),2),"")</f>
        <v/>
      </c>
      <c r="K26" t="str">
        <f>IF(COUNT(, , , , , NA, NA, NA, NA, NA, NA, NA, NA, NA, NA, NA, NA, NA, NA, NA, NA, NA, NA, NA)&gt;17.5,ROUND(AVERAGE(, , , , , 0, 0, 0, 0, 0, 0, 0, 0, 0, 0, 0, 0, 0, 0, 0, 0, 0, 0, 0),2),"NO AVG")</f>
        <v>NO AVG</v>
      </c>
    </row>
    <row r="27" spans="1:11" x14ac:dyDescent="0.25">
      <c r="A27" s="1">
        <v>44784.174375000002</v>
      </c>
      <c r="B27" s="1">
        <v>44784.174328703702</v>
      </c>
      <c r="C27">
        <v>2.4</v>
      </c>
      <c r="D27">
        <v>0</v>
      </c>
      <c r="E27">
        <v>69</v>
      </c>
      <c r="F27">
        <v>0</v>
      </c>
      <c r="G27" t="s">
        <v>43</v>
      </c>
      <c r="H27" t="s">
        <v>36</v>
      </c>
      <c r="J27" s="2"/>
      <c r="K27" s="2"/>
    </row>
    <row r="28" spans="1:11" x14ac:dyDescent="0.25">
      <c r="A28" s="1"/>
      <c r="B28" s="1">
        <v>44784.180555555555</v>
      </c>
      <c r="J28" s="2"/>
      <c r="K28" s="2"/>
    </row>
    <row r="29" spans="1:11" x14ac:dyDescent="0.25">
      <c r="A29" s="1">
        <v>44784.188252314816</v>
      </c>
      <c r="B29" s="1">
        <v>44784.188217592593</v>
      </c>
      <c r="C29">
        <v>2.2999999999999998</v>
      </c>
      <c r="D29">
        <v>0</v>
      </c>
      <c r="E29">
        <v>69</v>
      </c>
      <c r="F29">
        <v>0</v>
      </c>
      <c r="G29" t="s">
        <v>43</v>
      </c>
      <c r="H29" t="s">
        <v>36</v>
      </c>
      <c r="J29" s="2"/>
      <c r="K29" s="2"/>
    </row>
    <row r="30" spans="1:11" x14ac:dyDescent="0.25">
      <c r="A30" s="1">
        <v>44784.195196759261</v>
      </c>
      <c r="B30" s="1">
        <v>44784.195162037038</v>
      </c>
      <c r="C30">
        <v>2.5</v>
      </c>
      <c r="D30">
        <v>0</v>
      </c>
      <c r="E30">
        <v>70</v>
      </c>
      <c r="F30">
        <v>0</v>
      </c>
      <c r="G30" t="s">
        <v>43</v>
      </c>
      <c r="H30" t="s">
        <v>36</v>
      </c>
      <c r="J30" s="2"/>
      <c r="K30" s="2"/>
    </row>
    <row r="31" spans="1:11" x14ac:dyDescent="0.25">
      <c r="A31" s="1">
        <v>44784.202164351853</v>
      </c>
      <c r="B31" s="1">
        <v>44784.20212962963</v>
      </c>
      <c r="C31">
        <v>2.6</v>
      </c>
      <c r="D31">
        <v>0</v>
      </c>
      <c r="E31">
        <v>69</v>
      </c>
      <c r="F31">
        <v>0</v>
      </c>
      <c r="G31" t="s">
        <v>43</v>
      </c>
      <c r="H31" t="s">
        <v>36</v>
      </c>
      <c r="J31" s="2"/>
      <c r="K31" s="2"/>
    </row>
    <row r="32" spans="1:11" x14ac:dyDescent="0.25">
      <c r="A32" s="1">
        <v>44784.209085648145</v>
      </c>
      <c r="B32" s="1">
        <v>44784.209050925929</v>
      </c>
      <c r="C32">
        <v>2.6</v>
      </c>
      <c r="D32">
        <v>0</v>
      </c>
      <c r="E32">
        <v>70</v>
      </c>
      <c r="F32">
        <v>0</v>
      </c>
      <c r="G32" t="s">
        <v>43</v>
      </c>
      <c r="H32" t="s">
        <v>36</v>
      </c>
      <c r="J32" t="str">
        <f>IF(COUNT(I27:I32)&gt;3.5,ROUND(AVERAGE(I27:I32),2),"")</f>
        <v/>
      </c>
      <c r="K32" t="str">
        <f>IF(COUNT(, , , , , , NA, NA, NA, NA, NA, NA, NA, NA, NA, NA, NA, NA, NA, NA, NA, NA, NA, NA)&gt;17.5,ROUND(AVERAGE(, , , , , , 0, 0, 0, 0, 0, 0, 0, 0, 0, 0, 0, 0, 0, 0, 0, 0, 0, 0),2),"NO AVG")</f>
        <v>NO AVG</v>
      </c>
    </row>
    <row r="33" spans="1:11" x14ac:dyDescent="0.25">
      <c r="A33" s="1">
        <v>44784.216053240743</v>
      </c>
      <c r="B33" s="1">
        <v>44784.215995370374</v>
      </c>
      <c r="C33">
        <v>2.7</v>
      </c>
      <c r="D33">
        <v>0</v>
      </c>
      <c r="E33">
        <v>70</v>
      </c>
      <c r="F33">
        <v>0</v>
      </c>
      <c r="G33" t="s">
        <v>43</v>
      </c>
      <c r="H33" t="s">
        <v>36</v>
      </c>
      <c r="J33" s="2"/>
      <c r="K33" s="2"/>
    </row>
    <row r="34" spans="1:11" x14ac:dyDescent="0.25">
      <c r="A34" s="1">
        <v>44784.222986111112</v>
      </c>
      <c r="B34" s="1">
        <v>44784.222939814812</v>
      </c>
      <c r="C34">
        <v>2.8</v>
      </c>
      <c r="D34">
        <v>0</v>
      </c>
      <c r="E34">
        <v>70</v>
      </c>
      <c r="F34">
        <v>0</v>
      </c>
      <c r="G34" t="s">
        <v>43</v>
      </c>
      <c r="H34" t="s">
        <v>36</v>
      </c>
      <c r="J34" s="2"/>
      <c r="K34" s="2"/>
    </row>
    <row r="35" spans="1:11" x14ac:dyDescent="0.25">
      <c r="A35" s="1">
        <v>44784.229930555557</v>
      </c>
      <c r="B35" s="1">
        <v>44784.229884259257</v>
      </c>
      <c r="C35">
        <v>2.7</v>
      </c>
      <c r="D35">
        <v>0</v>
      </c>
      <c r="E35">
        <v>71</v>
      </c>
      <c r="F35">
        <v>0</v>
      </c>
      <c r="G35" t="s">
        <v>43</v>
      </c>
      <c r="H35" t="s">
        <v>36</v>
      </c>
      <c r="J35" s="2"/>
      <c r="K35" s="2"/>
    </row>
    <row r="36" spans="1:11" x14ac:dyDescent="0.25">
      <c r="A36" s="1">
        <v>44784.236875000002</v>
      </c>
      <c r="B36" s="1">
        <v>44784.236840277779</v>
      </c>
      <c r="C36">
        <v>2.8</v>
      </c>
      <c r="D36">
        <v>0</v>
      </c>
      <c r="E36">
        <v>71</v>
      </c>
      <c r="F36">
        <v>0</v>
      </c>
      <c r="G36" t="s">
        <v>43</v>
      </c>
      <c r="H36" t="s">
        <v>36</v>
      </c>
      <c r="J36" s="2"/>
      <c r="K36" s="2"/>
    </row>
    <row r="37" spans="1:11" x14ac:dyDescent="0.25">
      <c r="A37" s="1">
        <v>44784.243819444448</v>
      </c>
      <c r="B37" s="1">
        <v>44784.243773148148</v>
      </c>
      <c r="C37">
        <v>2.9</v>
      </c>
      <c r="D37">
        <v>0</v>
      </c>
      <c r="E37">
        <v>71</v>
      </c>
      <c r="F37">
        <v>0</v>
      </c>
      <c r="G37" t="s">
        <v>43</v>
      </c>
      <c r="H37" t="s">
        <v>36</v>
      </c>
      <c r="J37" s="2"/>
      <c r="K37" s="2"/>
    </row>
    <row r="38" spans="1:11" x14ac:dyDescent="0.25">
      <c r="A38" s="1">
        <v>44784.250775462962</v>
      </c>
      <c r="B38" s="1">
        <v>44784.25072916667</v>
      </c>
      <c r="C38">
        <v>2.9</v>
      </c>
      <c r="D38">
        <v>0</v>
      </c>
      <c r="E38">
        <v>71</v>
      </c>
      <c r="F38">
        <v>0</v>
      </c>
      <c r="G38" t="s">
        <v>43</v>
      </c>
      <c r="H38" t="s">
        <v>36</v>
      </c>
      <c r="J38" t="str">
        <f>IF(COUNT(I33:I38)&gt;3.5,ROUND(AVERAGE(I33:I38),2),"")</f>
        <v/>
      </c>
      <c r="K38" t="str">
        <f>IF(COUNT(, , , , , , , NA, NA, NA, NA, NA, NA, NA, NA, NA, NA, NA, NA, NA, NA, NA, NA, NA)&gt;17.5,ROUND(AVERAGE(, , , , , , , 0, 0, 0, 0, 0, 0, 0, 0, 0, 0, 0, 0, 0, 0, 0, 0, 0),2),"NO AVG")</f>
        <v>NO AVG</v>
      </c>
    </row>
    <row r="39" spans="1:11" x14ac:dyDescent="0.25">
      <c r="A39" s="1">
        <v>44784.257708333331</v>
      </c>
      <c r="B39" s="1">
        <v>44784.257662037038</v>
      </c>
      <c r="C39">
        <v>3</v>
      </c>
      <c r="D39">
        <v>0</v>
      </c>
      <c r="E39">
        <v>71</v>
      </c>
      <c r="F39">
        <v>0</v>
      </c>
      <c r="G39" t="s">
        <v>43</v>
      </c>
      <c r="H39" t="s">
        <v>36</v>
      </c>
      <c r="J39" s="2"/>
      <c r="K39" s="2"/>
    </row>
    <row r="40" spans="1:11" x14ac:dyDescent="0.25">
      <c r="A40" s="1">
        <v>44784.264652777776</v>
      </c>
      <c r="B40" s="1">
        <v>44784.264606481483</v>
      </c>
      <c r="C40">
        <v>5.0999999999999996</v>
      </c>
      <c r="D40">
        <v>0</v>
      </c>
      <c r="E40">
        <v>71</v>
      </c>
      <c r="F40">
        <v>0</v>
      </c>
      <c r="G40" t="s">
        <v>43</v>
      </c>
      <c r="H40" t="s">
        <v>36</v>
      </c>
      <c r="J40" s="2"/>
      <c r="K40" s="2"/>
    </row>
    <row r="41" spans="1:11" x14ac:dyDescent="0.25">
      <c r="A41" s="1">
        <v>44784.271597222221</v>
      </c>
      <c r="B41" s="1">
        <v>44784.271550925929</v>
      </c>
      <c r="C41">
        <v>4.3</v>
      </c>
      <c r="D41">
        <v>0</v>
      </c>
      <c r="E41">
        <v>71</v>
      </c>
      <c r="F41">
        <v>0</v>
      </c>
      <c r="G41" t="s">
        <v>43</v>
      </c>
      <c r="H41" t="s">
        <v>36</v>
      </c>
      <c r="J41" s="2"/>
      <c r="K41" s="2"/>
    </row>
    <row r="42" spans="1:11" x14ac:dyDescent="0.25">
      <c r="A42" s="1">
        <v>44784.278541666667</v>
      </c>
      <c r="B42" s="1">
        <v>44784.278495370374</v>
      </c>
      <c r="C42">
        <v>3.7</v>
      </c>
      <c r="D42">
        <v>0</v>
      </c>
      <c r="E42">
        <v>71</v>
      </c>
      <c r="F42">
        <v>0</v>
      </c>
      <c r="G42" t="s">
        <v>43</v>
      </c>
      <c r="H42" t="s">
        <v>36</v>
      </c>
      <c r="J42" s="2"/>
      <c r="K42" s="2"/>
    </row>
    <row r="43" spans="1:11" x14ac:dyDescent="0.25">
      <c r="A43" s="1">
        <v>44784.285486111112</v>
      </c>
      <c r="B43" s="1">
        <v>44784.285439814812</v>
      </c>
      <c r="C43">
        <v>3.5</v>
      </c>
      <c r="D43">
        <v>0</v>
      </c>
      <c r="E43">
        <v>70</v>
      </c>
      <c r="F43">
        <v>0</v>
      </c>
      <c r="G43" t="s">
        <v>43</v>
      </c>
      <c r="H43" t="s">
        <v>36</v>
      </c>
      <c r="J43" s="2"/>
      <c r="K43" s="2"/>
    </row>
    <row r="44" spans="1:11" x14ac:dyDescent="0.25">
      <c r="A44" s="1">
        <v>44784.292430555557</v>
      </c>
      <c r="B44" s="1">
        <v>44784.292384259257</v>
      </c>
      <c r="C44">
        <v>3.4</v>
      </c>
      <c r="D44">
        <v>0</v>
      </c>
      <c r="E44">
        <v>70</v>
      </c>
      <c r="F44">
        <v>0</v>
      </c>
      <c r="G44" t="s">
        <v>43</v>
      </c>
      <c r="H44" t="s">
        <v>36</v>
      </c>
      <c r="J44" t="str">
        <f>IF(COUNT(I39:I44)&gt;3.5,ROUND(AVERAGE(I39:I44),2),"")</f>
        <v/>
      </c>
      <c r="K44" t="str">
        <f>IF(COUNT(, , , , , , , , NA, NA, NA, NA, NA, NA, NA, NA, NA, NA, NA, NA, NA, NA, NA, NA)&gt;17.5,ROUND(AVERAGE(, , , , , , , , 0, 0, 0, 0, 0, 0, 0, 0, 0, 0, 0, 0, 0, 0, 0, 0),2),"NO AVG")</f>
        <v>NO AVG</v>
      </c>
    </row>
    <row r="45" spans="1:11" x14ac:dyDescent="0.25">
      <c r="A45" s="1">
        <v>44784.299375000002</v>
      </c>
      <c r="B45" s="1">
        <v>44784.299340277779</v>
      </c>
      <c r="C45">
        <v>3.2</v>
      </c>
      <c r="D45">
        <v>0</v>
      </c>
      <c r="E45">
        <v>70</v>
      </c>
      <c r="F45">
        <v>0</v>
      </c>
      <c r="G45" t="s">
        <v>43</v>
      </c>
      <c r="H45" t="s">
        <v>36</v>
      </c>
      <c r="J45" s="2"/>
      <c r="K45" s="2"/>
    </row>
    <row r="46" spans="1:11" x14ac:dyDescent="0.25">
      <c r="A46" s="1">
        <v>44784.306319444448</v>
      </c>
      <c r="B46" s="1">
        <v>44784.306273148148</v>
      </c>
      <c r="C46">
        <v>3.3</v>
      </c>
      <c r="D46">
        <v>0</v>
      </c>
      <c r="E46">
        <v>69</v>
      </c>
      <c r="F46">
        <v>0</v>
      </c>
      <c r="G46" t="s">
        <v>43</v>
      </c>
      <c r="H46" t="s">
        <v>36</v>
      </c>
      <c r="J46" s="2"/>
      <c r="K46" s="2"/>
    </row>
    <row r="47" spans="1:11" x14ac:dyDescent="0.25">
      <c r="A47" s="1">
        <v>44784.313263888886</v>
      </c>
      <c r="B47" s="1">
        <v>44784.313217592593</v>
      </c>
      <c r="C47">
        <v>3.3</v>
      </c>
      <c r="D47">
        <v>0</v>
      </c>
      <c r="E47">
        <v>69</v>
      </c>
      <c r="F47">
        <v>0</v>
      </c>
      <c r="G47" t="s">
        <v>43</v>
      </c>
      <c r="H47" t="s">
        <v>36</v>
      </c>
      <c r="J47" s="2"/>
      <c r="K47" s="2"/>
    </row>
    <row r="48" spans="1:11" x14ac:dyDescent="0.25">
      <c r="A48" s="1">
        <v>44784.320208333331</v>
      </c>
      <c r="B48" s="1">
        <v>44784.320162037038</v>
      </c>
      <c r="C48">
        <v>3.4</v>
      </c>
      <c r="D48">
        <v>0</v>
      </c>
      <c r="E48">
        <v>69</v>
      </c>
      <c r="F48">
        <v>0</v>
      </c>
      <c r="G48" t="s">
        <v>43</v>
      </c>
      <c r="H48" t="s">
        <v>36</v>
      </c>
      <c r="J48" s="2"/>
      <c r="K48" s="2"/>
    </row>
    <row r="49" spans="1:11" x14ac:dyDescent="0.25">
      <c r="A49" s="1">
        <v>44784.327152777776</v>
      </c>
      <c r="B49" s="1">
        <v>44784.327106481483</v>
      </c>
      <c r="C49">
        <v>3.7</v>
      </c>
      <c r="D49">
        <v>0</v>
      </c>
      <c r="E49">
        <v>67</v>
      </c>
      <c r="F49">
        <v>0</v>
      </c>
      <c r="G49" t="s">
        <v>43</v>
      </c>
      <c r="H49" t="s">
        <v>36</v>
      </c>
      <c r="J49" s="2"/>
      <c r="K49" s="2"/>
    </row>
    <row r="50" spans="1:11" x14ac:dyDescent="0.25">
      <c r="A50" s="1">
        <v>44784.334097222221</v>
      </c>
      <c r="B50" s="1">
        <v>44784.334050925929</v>
      </c>
      <c r="C50">
        <v>4</v>
      </c>
      <c r="D50">
        <v>0</v>
      </c>
      <c r="E50">
        <v>65</v>
      </c>
      <c r="F50">
        <v>0</v>
      </c>
      <c r="G50" t="s">
        <v>43</v>
      </c>
      <c r="H50" t="s">
        <v>36</v>
      </c>
      <c r="J50" t="str">
        <f>IF(COUNT(I45:I50)&gt;3.5,ROUND(AVERAGE(I45:I50),2),"")</f>
        <v/>
      </c>
      <c r="K50" t="str">
        <f>IF(COUNT(, , , , , , , , , NA, NA, NA, NA, NA, NA, NA, NA, NA, NA, NA, NA, NA, NA, NA)&gt;17.5,ROUND(AVERAGE(, , , , , , , , , 0, 0, 0, 0, 0, 0, 0, 0, 0, 0, 0, 0, 0, 0, 0),2),"NO AVG")</f>
        <v>NO AVG</v>
      </c>
    </row>
    <row r="51" spans="1:11" x14ac:dyDescent="0.25">
      <c r="A51" s="1">
        <v>44784.341041666667</v>
      </c>
      <c r="B51" s="1">
        <v>44784.340995370374</v>
      </c>
      <c r="C51">
        <v>4.3</v>
      </c>
      <c r="D51">
        <v>0</v>
      </c>
      <c r="E51">
        <v>65</v>
      </c>
      <c r="F51">
        <v>0</v>
      </c>
      <c r="G51" t="s">
        <v>43</v>
      </c>
      <c r="H51" t="s">
        <v>36</v>
      </c>
      <c r="J51" s="2"/>
      <c r="K51" s="2"/>
    </row>
    <row r="52" spans="1:11" x14ac:dyDescent="0.25">
      <c r="A52" s="1">
        <v>44784.347986111112</v>
      </c>
      <c r="B52" s="1">
        <v>44784.347951388889</v>
      </c>
      <c r="C52">
        <v>4.7</v>
      </c>
      <c r="D52">
        <v>0</v>
      </c>
      <c r="E52">
        <v>64</v>
      </c>
      <c r="F52">
        <v>0</v>
      </c>
      <c r="G52" t="s">
        <v>43</v>
      </c>
      <c r="H52" t="s">
        <v>36</v>
      </c>
      <c r="J52" s="2"/>
      <c r="K52" s="2"/>
    </row>
    <row r="53" spans="1:11" x14ac:dyDescent="0.25">
      <c r="A53" s="1">
        <v>44784.354930555557</v>
      </c>
      <c r="B53" s="1">
        <v>44784.354884259257</v>
      </c>
      <c r="C53">
        <v>5.0999999999999996</v>
      </c>
      <c r="D53">
        <v>0</v>
      </c>
      <c r="E53">
        <v>64</v>
      </c>
      <c r="F53">
        <v>0</v>
      </c>
      <c r="G53" t="s">
        <v>43</v>
      </c>
      <c r="H53" t="s">
        <v>36</v>
      </c>
      <c r="J53" s="2"/>
      <c r="K53" s="2"/>
    </row>
    <row r="54" spans="1:11" x14ac:dyDescent="0.25">
      <c r="A54" s="1">
        <v>44784.361875000002</v>
      </c>
      <c r="B54" s="1">
        <v>44784.361828703702</v>
      </c>
      <c r="C54">
        <v>5.3</v>
      </c>
      <c r="D54">
        <v>0</v>
      </c>
      <c r="E54">
        <v>62</v>
      </c>
      <c r="F54">
        <v>0</v>
      </c>
      <c r="G54" t="s">
        <v>43</v>
      </c>
      <c r="H54" t="s">
        <v>36</v>
      </c>
      <c r="J54" s="2"/>
      <c r="K54" s="2"/>
    </row>
    <row r="55" spans="1:11" x14ac:dyDescent="0.25">
      <c r="A55" s="1">
        <v>44784.368819444448</v>
      </c>
      <c r="B55" s="1">
        <v>44784.368784722225</v>
      </c>
      <c r="C55">
        <v>5.4</v>
      </c>
      <c r="D55">
        <v>0</v>
      </c>
      <c r="E55">
        <v>61</v>
      </c>
      <c r="F55">
        <v>0</v>
      </c>
      <c r="G55" t="s">
        <v>43</v>
      </c>
      <c r="H55" t="s">
        <v>36</v>
      </c>
      <c r="J55" s="2"/>
      <c r="K55" s="2"/>
    </row>
    <row r="56" spans="1:11" x14ac:dyDescent="0.25">
      <c r="A56" s="1">
        <v>44784.375763888886</v>
      </c>
      <c r="B56" s="1">
        <v>44784.375717592593</v>
      </c>
      <c r="C56">
        <v>5.4</v>
      </c>
      <c r="D56">
        <v>0</v>
      </c>
      <c r="E56">
        <v>60</v>
      </c>
      <c r="F56">
        <v>0</v>
      </c>
      <c r="G56" t="s">
        <v>43</v>
      </c>
      <c r="H56" t="s">
        <v>36</v>
      </c>
      <c r="J56" t="str">
        <f>IF(COUNT(I51:I56)&gt;3.5,ROUND(AVERAGE(I51:I56),2),"")</f>
        <v/>
      </c>
      <c r="K56" t="str">
        <f>IF(COUNT(, , , , , , , , , , NA, NA, NA, NA, NA, NA, NA, NA, NA, NA, NA, NA, NA, NA)&gt;17.5,ROUND(AVERAGE(, , , , , , , , , , 0, 0, 0, 0, 0, 0, 0, 0, 0, 0, 0, 0, 0, 0),2),"NO AVG")</f>
        <v>NO AVG</v>
      </c>
    </row>
    <row r="57" spans="1:11" x14ac:dyDescent="0.25">
      <c r="A57" s="1">
        <v>44784.382708333331</v>
      </c>
      <c r="B57" s="1">
        <v>44784.382662037038</v>
      </c>
      <c r="C57">
        <v>5.5</v>
      </c>
      <c r="D57">
        <v>0</v>
      </c>
      <c r="E57">
        <v>59</v>
      </c>
      <c r="F57">
        <v>0</v>
      </c>
      <c r="G57" t="s">
        <v>43</v>
      </c>
      <c r="H57" t="s">
        <v>36</v>
      </c>
      <c r="J57" s="2"/>
      <c r="K57" s="2"/>
    </row>
    <row r="58" spans="1:11" x14ac:dyDescent="0.25">
      <c r="A58" s="1">
        <v>44784.389652777776</v>
      </c>
      <c r="B58" s="1">
        <v>44784.389618055553</v>
      </c>
      <c r="C58">
        <v>5.7</v>
      </c>
      <c r="D58">
        <v>0</v>
      </c>
      <c r="E58">
        <v>59</v>
      </c>
      <c r="F58">
        <v>0</v>
      </c>
      <c r="G58" t="s">
        <v>43</v>
      </c>
      <c r="H58" t="s">
        <v>36</v>
      </c>
      <c r="J58" s="2"/>
      <c r="K58" s="2"/>
    </row>
    <row r="59" spans="1:11" x14ac:dyDescent="0.25">
      <c r="A59" s="1">
        <v>44784.396608796298</v>
      </c>
      <c r="B59" s="1">
        <v>44784.396562499998</v>
      </c>
      <c r="C59">
        <v>5.9</v>
      </c>
      <c r="D59">
        <v>0</v>
      </c>
      <c r="E59">
        <v>60</v>
      </c>
      <c r="F59">
        <v>0</v>
      </c>
      <c r="G59" t="s">
        <v>43</v>
      </c>
      <c r="H59" t="s">
        <v>36</v>
      </c>
      <c r="J59" s="2"/>
      <c r="K59" s="2"/>
    </row>
    <row r="60" spans="1:11" x14ac:dyDescent="0.25">
      <c r="A60" s="1">
        <v>44784.403541666667</v>
      </c>
      <c r="B60" s="1">
        <v>44784.403506944444</v>
      </c>
      <c r="C60">
        <v>6.2</v>
      </c>
      <c r="D60">
        <v>0</v>
      </c>
      <c r="E60">
        <v>57</v>
      </c>
      <c r="F60">
        <v>0</v>
      </c>
      <c r="G60" t="s">
        <v>43</v>
      </c>
      <c r="H60" t="s">
        <v>36</v>
      </c>
      <c r="J60" s="2"/>
      <c r="K60" s="2"/>
    </row>
    <row r="61" spans="1:11" x14ac:dyDescent="0.25">
      <c r="A61" s="1">
        <v>44784.410497685189</v>
      </c>
      <c r="B61" s="1">
        <v>44784.410451388889</v>
      </c>
      <c r="C61">
        <v>6.3</v>
      </c>
      <c r="D61">
        <v>0</v>
      </c>
      <c r="E61">
        <v>58</v>
      </c>
      <c r="F61">
        <v>0</v>
      </c>
      <c r="G61" t="s">
        <v>43</v>
      </c>
      <c r="H61" t="s">
        <v>36</v>
      </c>
      <c r="J61" s="2"/>
      <c r="K61" s="2"/>
    </row>
    <row r="62" spans="1:11" x14ac:dyDescent="0.25">
      <c r="A62" s="1">
        <v>44784.417430555557</v>
      </c>
      <c r="B62" s="1">
        <v>44784.417395833334</v>
      </c>
      <c r="C62">
        <v>6.5</v>
      </c>
      <c r="D62">
        <v>0</v>
      </c>
      <c r="E62">
        <v>56</v>
      </c>
      <c r="F62">
        <v>0</v>
      </c>
      <c r="G62" t="s">
        <v>43</v>
      </c>
      <c r="H62" t="s">
        <v>36</v>
      </c>
      <c r="J62" t="str">
        <f>IF(COUNT(I57:I62)&gt;3.5,ROUND(AVERAGE(I57:I62),2),"")</f>
        <v/>
      </c>
      <c r="K62" t="str">
        <f>IF(COUNT(, , , , , , , , , , , NA, NA, NA, NA, NA, NA, NA, NA, NA, NA, NA, NA, NA)&gt;17.5,ROUND(AVERAGE(, , , , , , , , , , , 0, 0, 0, 0, 0, 0, 0, 0, 0, 0, 0, 0, 0),2),"NO AVG")</f>
        <v>NO AVG</v>
      </c>
    </row>
    <row r="63" spans="1:11" x14ac:dyDescent="0.25">
      <c r="A63" s="1">
        <v>44784.424386574072</v>
      </c>
      <c r="B63" s="1">
        <v>44784.424340277779</v>
      </c>
      <c r="C63">
        <v>6.6</v>
      </c>
      <c r="D63">
        <v>0</v>
      </c>
      <c r="E63">
        <v>56</v>
      </c>
      <c r="F63">
        <v>0</v>
      </c>
      <c r="G63" t="s">
        <v>43</v>
      </c>
      <c r="H63" t="s">
        <v>36</v>
      </c>
      <c r="J63" s="2"/>
      <c r="K63" s="2"/>
    </row>
    <row r="64" spans="1:11" x14ac:dyDescent="0.25">
      <c r="A64" s="1">
        <v>44784.431319444448</v>
      </c>
      <c r="B64" s="1">
        <v>44784.431284722225</v>
      </c>
      <c r="C64">
        <v>6.6</v>
      </c>
      <c r="D64">
        <v>0</v>
      </c>
      <c r="E64">
        <v>54</v>
      </c>
      <c r="F64">
        <v>0</v>
      </c>
      <c r="G64" t="s">
        <v>43</v>
      </c>
      <c r="H64" t="s">
        <v>36</v>
      </c>
      <c r="J64" s="2"/>
      <c r="K64" s="2"/>
    </row>
    <row r="65" spans="1:11" x14ac:dyDescent="0.25">
      <c r="A65" s="1">
        <v>44784.438275462962</v>
      </c>
      <c r="B65" s="1">
        <v>44784.43822916667</v>
      </c>
      <c r="C65">
        <v>6.7</v>
      </c>
      <c r="D65">
        <v>0</v>
      </c>
      <c r="E65">
        <v>49</v>
      </c>
      <c r="F65">
        <v>0</v>
      </c>
      <c r="G65" t="s">
        <v>43</v>
      </c>
      <c r="H65" t="s">
        <v>36</v>
      </c>
      <c r="J65" s="2"/>
      <c r="K65" s="2"/>
    </row>
    <row r="66" spans="1:11" x14ac:dyDescent="0.25">
      <c r="A66" s="1">
        <v>44784.445208333331</v>
      </c>
      <c r="B66" s="1">
        <v>44784.445173611108</v>
      </c>
      <c r="C66">
        <v>6.6</v>
      </c>
      <c r="D66">
        <v>0</v>
      </c>
      <c r="E66">
        <v>50</v>
      </c>
      <c r="F66">
        <v>0</v>
      </c>
      <c r="G66" t="s">
        <v>43</v>
      </c>
      <c r="H66" t="s">
        <v>36</v>
      </c>
      <c r="J66" s="2"/>
      <c r="K66" s="2"/>
    </row>
    <row r="67" spans="1:11" x14ac:dyDescent="0.25">
      <c r="A67" s="1">
        <v>44784.452152777776</v>
      </c>
      <c r="B67" s="1">
        <v>44784.452118055553</v>
      </c>
      <c r="C67">
        <v>6.3</v>
      </c>
      <c r="D67">
        <v>0</v>
      </c>
      <c r="E67">
        <v>47</v>
      </c>
      <c r="F67">
        <v>0</v>
      </c>
      <c r="G67" t="s">
        <v>43</v>
      </c>
      <c r="H67" t="s">
        <v>36</v>
      </c>
      <c r="J67" s="2"/>
      <c r="K67" s="2"/>
    </row>
    <row r="68" spans="1:11" x14ac:dyDescent="0.25">
      <c r="A68" s="1">
        <v>44784.459097222221</v>
      </c>
      <c r="B68" s="1">
        <v>44784.459062499998</v>
      </c>
      <c r="C68">
        <v>6.1</v>
      </c>
      <c r="D68">
        <v>0</v>
      </c>
      <c r="E68">
        <v>45</v>
      </c>
      <c r="F68">
        <v>0</v>
      </c>
      <c r="G68" t="s">
        <v>43</v>
      </c>
      <c r="H68" t="s">
        <v>36</v>
      </c>
      <c r="J68" t="str">
        <f>IF(COUNT(I63:I68)&gt;3.5,ROUND(AVERAGE(I63:I68),2),"")</f>
        <v/>
      </c>
      <c r="K68" t="str">
        <f>IF(COUNT(, , , , , , , , , , , , NA, NA, NA, NA, NA, NA, NA, NA, NA, NA, NA, NA)&gt;17.5,ROUND(AVERAGE(, , , , , , , , , , , , 0, 0, 0, 0, 0, 0, 0, 0, 0, 0, 0, 0),2),"NO AVG")</f>
        <v>NO AVG</v>
      </c>
    </row>
    <row r="69" spans="1:11" x14ac:dyDescent="0.25">
      <c r="A69" s="1">
        <v>44784.466053240743</v>
      </c>
      <c r="B69" s="1">
        <v>44784.466006944444</v>
      </c>
      <c r="C69">
        <v>6.1</v>
      </c>
      <c r="D69">
        <v>0</v>
      </c>
      <c r="E69">
        <v>44</v>
      </c>
      <c r="F69">
        <v>0</v>
      </c>
      <c r="G69" t="s">
        <v>43</v>
      </c>
      <c r="H69" t="s">
        <v>36</v>
      </c>
      <c r="J69" s="2"/>
      <c r="K69" s="2"/>
    </row>
    <row r="70" spans="1:11" x14ac:dyDescent="0.25">
      <c r="A70" s="1">
        <v>44784.472986111112</v>
      </c>
      <c r="B70" s="1">
        <v>44784.472951388889</v>
      </c>
      <c r="C70">
        <v>5.9</v>
      </c>
      <c r="D70">
        <v>0</v>
      </c>
      <c r="E70">
        <v>45</v>
      </c>
      <c r="F70">
        <v>0</v>
      </c>
      <c r="G70" t="s">
        <v>43</v>
      </c>
      <c r="H70" t="s">
        <v>36</v>
      </c>
      <c r="J70" s="2"/>
      <c r="K70" s="2"/>
    </row>
    <row r="71" spans="1:11" x14ac:dyDescent="0.25">
      <c r="A71" s="1">
        <v>44784.479930555557</v>
      </c>
      <c r="B71" s="1">
        <v>44784.479895833334</v>
      </c>
      <c r="C71">
        <v>5.9</v>
      </c>
      <c r="D71">
        <v>0</v>
      </c>
      <c r="E71">
        <v>46</v>
      </c>
      <c r="F71">
        <v>0</v>
      </c>
      <c r="G71" t="s">
        <v>43</v>
      </c>
      <c r="H71" t="s">
        <v>36</v>
      </c>
      <c r="J71" s="2"/>
      <c r="K71" s="2"/>
    </row>
    <row r="72" spans="1:11" x14ac:dyDescent="0.25">
      <c r="A72" s="1">
        <v>44784.486898148149</v>
      </c>
      <c r="B72" s="1">
        <v>44784.486840277779</v>
      </c>
      <c r="C72">
        <v>6.2</v>
      </c>
      <c r="D72">
        <v>0</v>
      </c>
      <c r="E72">
        <v>46</v>
      </c>
      <c r="F72">
        <v>0</v>
      </c>
      <c r="G72" t="s">
        <v>43</v>
      </c>
      <c r="H72" t="s">
        <v>36</v>
      </c>
      <c r="J72" s="2"/>
      <c r="K72" s="2"/>
    </row>
    <row r="73" spans="1:11" x14ac:dyDescent="0.25">
      <c r="A73" s="1">
        <v>44784.493831018517</v>
      </c>
      <c r="B73" s="1">
        <v>44784.493784722225</v>
      </c>
      <c r="C73">
        <v>6.3</v>
      </c>
      <c r="D73">
        <v>0</v>
      </c>
      <c r="E73">
        <v>46</v>
      </c>
      <c r="F73">
        <v>0</v>
      </c>
      <c r="G73" t="s">
        <v>43</v>
      </c>
      <c r="H73" t="s">
        <v>36</v>
      </c>
      <c r="J73" s="2"/>
      <c r="K73" s="2"/>
    </row>
    <row r="74" spans="1:11" x14ac:dyDescent="0.25">
      <c r="A74" s="1">
        <v>44784.500775462962</v>
      </c>
      <c r="B74" s="1">
        <v>44784.50072916667</v>
      </c>
      <c r="C74">
        <v>6.3</v>
      </c>
      <c r="D74">
        <v>0</v>
      </c>
      <c r="E74">
        <v>44</v>
      </c>
      <c r="F74">
        <v>0</v>
      </c>
      <c r="G74" t="s">
        <v>43</v>
      </c>
      <c r="H74" t="s">
        <v>36</v>
      </c>
      <c r="J74" t="str">
        <f>IF(COUNT(I69:I74)&gt;3.5,ROUND(AVERAGE(I69:I74),2),"")</f>
        <v/>
      </c>
      <c r="K74" t="str">
        <f>IF(COUNT(, , , , , , , , , , , , , NA, NA, NA, NA, NA, NA, NA, NA, NA, NA, NA)&gt;17.5,ROUND(AVERAGE(, , , , , , , , , , , , , 0, 0, 0, 0, 0, 0, 0, 0, 0, 0, 0),2),"NO AVG")</f>
        <v>NO AVG</v>
      </c>
    </row>
    <row r="75" spans="1:11" x14ac:dyDescent="0.25">
      <c r="A75" s="1">
        <v>44784.507719907408</v>
      </c>
      <c r="B75" s="1">
        <v>44784.507673611108</v>
      </c>
      <c r="C75">
        <v>6.5</v>
      </c>
      <c r="D75">
        <v>0</v>
      </c>
      <c r="E75">
        <v>46</v>
      </c>
      <c r="F75">
        <v>0</v>
      </c>
      <c r="G75" t="s">
        <v>43</v>
      </c>
      <c r="H75" t="s">
        <v>36</v>
      </c>
      <c r="J75" s="2"/>
      <c r="K75" s="2"/>
    </row>
    <row r="76" spans="1:11" x14ac:dyDescent="0.25">
      <c r="A76" s="1">
        <v>44784.514664351853</v>
      </c>
      <c r="B76" s="1">
        <v>44784.514618055553</v>
      </c>
      <c r="C76">
        <v>6.7</v>
      </c>
      <c r="D76">
        <v>0</v>
      </c>
      <c r="E76">
        <v>45</v>
      </c>
      <c r="F76">
        <v>0</v>
      </c>
      <c r="G76" t="s">
        <v>43</v>
      </c>
      <c r="H76" t="s">
        <v>36</v>
      </c>
      <c r="J76" s="2"/>
      <c r="K76" s="2"/>
    </row>
    <row r="77" spans="1:11" x14ac:dyDescent="0.25">
      <c r="A77" s="1">
        <v>44784.521608796298</v>
      </c>
      <c r="B77" s="1">
        <v>44784.521562499998</v>
      </c>
      <c r="C77">
        <v>6.8</v>
      </c>
      <c r="D77">
        <v>0</v>
      </c>
      <c r="E77">
        <v>44</v>
      </c>
      <c r="F77">
        <v>0</v>
      </c>
      <c r="G77" t="s">
        <v>43</v>
      </c>
      <c r="H77" t="s">
        <v>36</v>
      </c>
      <c r="J77" s="2"/>
      <c r="K77" s="2"/>
    </row>
    <row r="78" spans="1:11" x14ac:dyDescent="0.25">
      <c r="A78" s="1">
        <v>44784.528564814813</v>
      </c>
      <c r="B78" s="1">
        <v>44784.528506944444</v>
      </c>
      <c r="C78">
        <v>6.5</v>
      </c>
      <c r="D78">
        <v>0</v>
      </c>
      <c r="E78">
        <v>43</v>
      </c>
      <c r="F78">
        <v>0</v>
      </c>
      <c r="G78" t="s">
        <v>43</v>
      </c>
      <c r="H78" t="s">
        <v>36</v>
      </c>
      <c r="J78" s="2"/>
      <c r="K78" s="2"/>
    </row>
    <row r="79" spans="1:11" x14ac:dyDescent="0.25">
      <c r="A79" s="1">
        <v>44784.535497685189</v>
      </c>
      <c r="B79" s="1">
        <v>44784.535451388889</v>
      </c>
      <c r="C79">
        <v>6.3</v>
      </c>
      <c r="D79">
        <v>0</v>
      </c>
      <c r="E79">
        <v>40</v>
      </c>
      <c r="F79">
        <v>0</v>
      </c>
      <c r="G79" t="s">
        <v>43</v>
      </c>
      <c r="H79" t="s">
        <v>36</v>
      </c>
      <c r="J79" s="2"/>
      <c r="K79" s="2"/>
    </row>
    <row r="80" spans="1:11" x14ac:dyDescent="0.25">
      <c r="A80" s="1">
        <v>44784.542442129627</v>
      </c>
      <c r="B80" s="1">
        <v>44784.542395833334</v>
      </c>
      <c r="C80">
        <v>6</v>
      </c>
      <c r="D80">
        <v>0</v>
      </c>
      <c r="E80">
        <v>38</v>
      </c>
      <c r="F80">
        <v>0</v>
      </c>
      <c r="G80" t="s">
        <v>43</v>
      </c>
      <c r="H80" t="s">
        <v>36</v>
      </c>
      <c r="J80" t="str">
        <f>IF(COUNT(I75:I80)&gt;3.5,ROUND(AVERAGE(I75:I80),2),"")</f>
        <v/>
      </c>
      <c r="K80" t="str">
        <f>IF(COUNT(, , , , , , , , , , , , , , NA, NA, NA, NA, NA, NA, NA, NA, NA, NA)&gt;17.5,ROUND(AVERAGE(, , , , , , , , , , , , , , 0, 0, 0, 0, 0, 0, 0, 0, 0, 0),2),"NO AVG")</f>
        <v>NO AVG</v>
      </c>
    </row>
    <row r="81" spans="1:11" x14ac:dyDescent="0.25">
      <c r="A81" s="1">
        <v>44784.549386574072</v>
      </c>
      <c r="B81" s="1">
        <v>44784.549340277779</v>
      </c>
      <c r="C81">
        <v>5.9</v>
      </c>
      <c r="D81">
        <v>0</v>
      </c>
      <c r="E81">
        <v>37</v>
      </c>
      <c r="F81">
        <v>0</v>
      </c>
      <c r="G81" t="s">
        <v>43</v>
      </c>
      <c r="H81" t="s">
        <v>36</v>
      </c>
      <c r="J81" s="2"/>
      <c r="K81" s="2"/>
    </row>
    <row r="82" spans="1:11" x14ac:dyDescent="0.25">
      <c r="A82" s="1">
        <v>44784.556817129633</v>
      </c>
      <c r="B82" s="1">
        <v>44784.556284722225</v>
      </c>
      <c r="C82">
        <v>5.8</v>
      </c>
      <c r="D82">
        <v>0</v>
      </c>
      <c r="E82">
        <v>36</v>
      </c>
      <c r="F82">
        <v>0</v>
      </c>
      <c r="G82" t="s">
        <v>43</v>
      </c>
      <c r="H82" t="s">
        <v>36</v>
      </c>
      <c r="J82" s="2"/>
      <c r="K82" s="2"/>
    </row>
    <row r="83" spans="1:11" x14ac:dyDescent="0.25">
      <c r="A83" s="1">
        <v>44784.563275462962</v>
      </c>
      <c r="B83" s="1">
        <v>44784.56322916667</v>
      </c>
      <c r="C83">
        <v>5.7</v>
      </c>
      <c r="D83">
        <v>0</v>
      </c>
      <c r="E83">
        <v>39</v>
      </c>
      <c r="F83">
        <v>0</v>
      </c>
      <c r="G83" t="s">
        <v>43</v>
      </c>
      <c r="H83" t="s">
        <v>36</v>
      </c>
      <c r="J83" s="2"/>
      <c r="K83" s="2"/>
    </row>
    <row r="84" spans="1:11" x14ac:dyDescent="0.25">
      <c r="A84" s="1">
        <v>44784.570219907408</v>
      </c>
      <c r="B84" s="1">
        <v>44784.570173611108</v>
      </c>
      <c r="C84">
        <v>5.9</v>
      </c>
      <c r="D84">
        <v>0</v>
      </c>
      <c r="E84">
        <v>42</v>
      </c>
      <c r="F84">
        <v>0</v>
      </c>
      <c r="G84" t="s">
        <v>43</v>
      </c>
      <c r="H84" t="s">
        <v>36</v>
      </c>
      <c r="J84" s="2"/>
      <c r="K84" s="2"/>
    </row>
    <row r="85" spans="1:11" x14ac:dyDescent="0.25">
      <c r="A85" s="1">
        <v>44784.577164351853</v>
      </c>
      <c r="B85" s="1">
        <v>44784.577118055553</v>
      </c>
      <c r="C85">
        <v>6.5</v>
      </c>
      <c r="D85">
        <v>0</v>
      </c>
      <c r="E85">
        <v>42</v>
      </c>
      <c r="F85">
        <v>0</v>
      </c>
      <c r="G85" t="s">
        <v>43</v>
      </c>
      <c r="H85" t="s">
        <v>36</v>
      </c>
      <c r="J85" s="2"/>
      <c r="K85" s="2"/>
    </row>
    <row r="86" spans="1:11" x14ac:dyDescent="0.25">
      <c r="A86" s="1">
        <v>44784.584108796298</v>
      </c>
      <c r="B86" s="1">
        <v>44784.584062499998</v>
      </c>
      <c r="C86">
        <v>7.1</v>
      </c>
      <c r="D86">
        <v>0</v>
      </c>
      <c r="E86">
        <v>46</v>
      </c>
      <c r="F86">
        <v>0</v>
      </c>
      <c r="G86" t="s">
        <v>43</v>
      </c>
      <c r="H86" t="s">
        <v>36</v>
      </c>
      <c r="J86" t="str">
        <f>IF(COUNT(I81:I86)&gt;3.5,ROUND(AVERAGE(I81:I86),2),"")</f>
        <v/>
      </c>
      <c r="K86" t="str">
        <f>IF(COUNT(, , , , , , , , , , , , , , , NA, NA, NA, NA, NA, NA, NA, NA, NA)&gt;17.5,ROUND(AVERAGE(, , , , , , , , , , , , , , , 0, 0, 0, 0, 0, 0, 0, 0, 0),2),"NO AVG")</f>
        <v>NO AVG</v>
      </c>
    </row>
    <row r="87" spans="1:11" x14ac:dyDescent="0.25">
      <c r="A87" s="1">
        <v>44784.591053240743</v>
      </c>
      <c r="B87" s="1">
        <v>44784.591006944444</v>
      </c>
      <c r="C87">
        <v>7.4</v>
      </c>
      <c r="D87">
        <v>0</v>
      </c>
      <c r="E87">
        <v>44</v>
      </c>
      <c r="F87">
        <v>0</v>
      </c>
      <c r="G87" t="s">
        <v>43</v>
      </c>
      <c r="H87" t="s">
        <v>36</v>
      </c>
      <c r="J87" s="2"/>
      <c r="K87" s="2"/>
    </row>
    <row r="88" spans="1:11" x14ac:dyDescent="0.25">
      <c r="A88" s="1">
        <v>44784.597997685189</v>
      </c>
      <c r="B88" s="1">
        <v>44784.597951388889</v>
      </c>
      <c r="C88">
        <v>6.8</v>
      </c>
      <c r="D88">
        <v>0</v>
      </c>
      <c r="E88">
        <v>41</v>
      </c>
      <c r="F88">
        <v>0</v>
      </c>
      <c r="G88" t="s">
        <v>43</v>
      </c>
      <c r="H88" t="s">
        <v>36</v>
      </c>
      <c r="J88" s="2"/>
      <c r="K88" s="2"/>
    </row>
    <row r="89" spans="1:11" x14ac:dyDescent="0.25">
      <c r="A89" s="1">
        <v>44784.604942129627</v>
      </c>
      <c r="B89" s="1">
        <v>44784.604895833334</v>
      </c>
      <c r="C89">
        <v>6.2</v>
      </c>
      <c r="D89">
        <v>0</v>
      </c>
      <c r="E89">
        <v>42</v>
      </c>
      <c r="F89">
        <v>0</v>
      </c>
      <c r="G89" t="s">
        <v>43</v>
      </c>
      <c r="H89" t="s">
        <v>36</v>
      </c>
      <c r="J89" s="2"/>
      <c r="K89" s="2"/>
    </row>
    <row r="90" spans="1:11" x14ac:dyDescent="0.25">
      <c r="A90" s="1">
        <v>44784.611886574072</v>
      </c>
      <c r="B90" s="1">
        <v>44784.611840277779</v>
      </c>
      <c r="C90">
        <v>5.6</v>
      </c>
      <c r="D90">
        <v>0</v>
      </c>
      <c r="E90">
        <v>39</v>
      </c>
      <c r="F90">
        <v>0</v>
      </c>
      <c r="G90" t="s">
        <v>43</v>
      </c>
      <c r="H90" t="s">
        <v>36</v>
      </c>
      <c r="J90" s="2"/>
      <c r="K90" s="2"/>
    </row>
    <row r="91" spans="1:11" x14ac:dyDescent="0.25">
      <c r="A91" s="1">
        <v>44784.618831018517</v>
      </c>
      <c r="B91" s="1">
        <v>44784.618784722225</v>
      </c>
      <c r="C91">
        <v>5</v>
      </c>
      <c r="D91">
        <v>0</v>
      </c>
      <c r="E91">
        <v>38</v>
      </c>
      <c r="F91">
        <v>0</v>
      </c>
      <c r="G91" t="s">
        <v>43</v>
      </c>
      <c r="H91" t="s">
        <v>36</v>
      </c>
      <c r="J91" s="2"/>
      <c r="K91" s="2"/>
    </row>
    <row r="92" spans="1:11" x14ac:dyDescent="0.25">
      <c r="A92" s="1">
        <v>44784.625775462962</v>
      </c>
      <c r="B92" s="1">
        <v>44784.62572916667</v>
      </c>
      <c r="C92">
        <v>4.5</v>
      </c>
      <c r="D92">
        <v>0</v>
      </c>
      <c r="E92">
        <v>40</v>
      </c>
      <c r="F92">
        <v>0</v>
      </c>
      <c r="G92" t="s">
        <v>43</v>
      </c>
      <c r="H92" t="s">
        <v>36</v>
      </c>
      <c r="J92" t="str">
        <f>IF(COUNT(I87:I92)&gt;3.5,ROUND(AVERAGE(I87:I92),2),"")</f>
        <v/>
      </c>
      <c r="K92" t="str">
        <f>IF(COUNT(, , , , , , , , , , , , , , , , NA, NA, NA, NA, NA, NA, NA, NA)&gt;17.5,ROUND(AVERAGE(, , , , , , , , , , , , , , , , 0, 0, 0, 0, 0, 0, 0, 0),2),"NO AVG")</f>
        <v>NO AVG</v>
      </c>
    </row>
    <row r="93" spans="1:11" x14ac:dyDescent="0.25">
      <c r="A93" s="1">
        <v>44784.632708333331</v>
      </c>
      <c r="B93" s="1">
        <v>44784.632673611108</v>
      </c>
      <c r="C93">
        <v>3.8</v>
      </c>
      <c r="D93">
        <v>0</v>
      </c>
      <c r="E93">
        <v>38</v>
      </c>
      <c r="F93">
        <v>0</v>
      </c>
      <c r="G93" t="s">
        <v>43</v>
      </c>
      <c r="H93" t="s">
        <v>36</v>
      </c>
      <c r="J93" s="2"/>
      <c r="K93" s="2"/>
    </row>
    <row r="94" spans="1:11" x14ac:dyDescent="0.25">
      <c r="A94" s="1">
        <v>44784.639641203707</v>
      </c>
      <c r="B94" s="1">
        <v>44784.639618055553</v>
      </c>
      <c r="C94">
        <v>3.6</v>
      </c>
      <c r="D94">
        <v>0</v>
      </c>
      <c r="E94">
        <v>39</v>
      </c>
      <c r="F94">
        <v>0</v>
      </c>
      <c r="G94" t="s">
        <v>43</v>
      </c>
      <c r="H94" t="s">
        <v>36</v>
      </c>
      <c r="J94" s="2"/>
      <c r="K94" s="2"/>
    </row>
    <row r="95" spans="1:11" x14ac:dyDescent="0.25">
      <c r="A95" s="1">
        <v>44784.646597222221</v>
      </c>
      <c r="B95" s="1">
        <v>44784.646562499998</v>
      </c>
      <c r="C95">
        <v>3.4</v>
      </c>
      <c r="D95">
        <v>0</v>
      </c>
      <c r="E95">
        <v>38</v>
      </c>
      <c r="F95">
        <v>0</v>
      </c>
      <c r="G95" t="s">
        <v>43</v>
      </c>
      <c r="H95" t="s">
        <v>36</v>
      </c>
      <c r="J95" s="2"/>
      <c r="K95" s="2"/>
    </row>
    <row r="96" spans="1:11" x14ac:dyDescent="0.25">
      <c r="A96" s="1">
        <v>44784.653541666667</v>
      </c>
      <c r="B96" s="1">
        <v>44784.653506944444</v>
      </c>
      <c r="C96">
        <v>3.2</v>
      </c>
      <c r="D96">
        <v>0</v>
      </c>
      <c r="E96">
        <v>39</v>
      </c>
      <c r="F96">
        <v>0</v>
      </c>
      <c r="G96" t="s">
        <v>43</v>
      </c>
      <c r="H96" t="s">
        <v>36</v>
      </c>
      <c r="J96" s="2"/>
      <c r="K96" s="2"/>
    </row>
    <row r="97" spans="1:11" x14ac:dyDescent="0.25">
      <c r="A97" s="1">
        <v>44784.660486111112</v>
      </c>
      <c r="B97" s="1">
        <v>44784.660451388889</v>
      </c>
      <c r="C97">
        <v>2.9</v>
      </c>
      <c r="D97">
        <v>0</v>
      </c>
      <c r="E97">
        <v>37</v>
      </c>
      <c r="F97">
        <v>0</v>
      </c>
      <c r="G97" t="s">
        <v>43</v>
      </c>
      <c r="H97" t="s">
        <v>36</v>
      </c>
      <c r="J97" s="2"/>
      <c r="K97" s="2"/>
    </row>
    <row r="98" spans="1:11" x14ac:dyDescent="0.25">
      <c r="A98" s="1">
        <v>44784.667430555557</v>
      </c>
      <c r="B98" s="1">
        <v>44784.667395833334</v>
      </c>
      <c r="C98">
        <v>2.9</v>
      </c>
      <c r="D98">
        <v>0</v>
      </c>
      <c r="E98">
        <v>38</v>
      </c>
      <c r="F98">
        <v>0</v>
      </c>
      <c r="G98" t="s">
        <v>43</v>
      </c>
      <c r="H98" t="s">
        <v>36</v>
      </c>
      <c r="J98" t="str">
        <f>IF(COUNT(I93:I98)&gt;3.5,ROUND(AVERAGE(I93:I98),2),"")</f>
        <v/>
      </c>
      <c r="K98" t="str">
        <f>IF(COUNT(, , , , , , , , , , , , , , , , , NA, NA, NA, NA, NA, NA, NA)&gt;17.5,ROUND(AVERAGE(, , , , , , , , , , , , , , , , , 0, 0, 0, 0, 0, 0, 0),2),"NO AVG")</f>
        <v>NO AVG</v>
      </c>
    </row>
    <row r="99" spans="1:11" x14ac:dyDescent="0.25">
      <c r="A99" s="1">
        <v>44784.674363425926</v>
      </c>
      <c r="B99" s="1">
        <v>44784.674328703702</v>
      </c>
      <c r="C99">
        <v>2.9</v>
      </c>
      <c r="D99">
        <v>0</v>
      </c>
      <c r="E99">
        <v>37</v>
      </c>
      <c r="F99">
        <v>0</v>
      </c>
      <c r="G99" t="s">
        <v>43</v>
      </c>
      <c r="H99" t="s">
        <v>36</v>
      </c>
      <c r="J99" s="2"/>
      <c r="K99" s="2"/>
    </row>
    <row r="100" spans="1:11" x14ac:dyDescent="0.25">
      <c r="A100" s="1">
        <v>44784.681307870371</v>
      </c>
      <c r="B100" s="1">
        <v>44784.681273148148</v>
      </c>
      <c r="C100">
        <v>2.8</v>
      </c>
      <c r="D100">
        <v>0</v>
      </c>
      <c r="E100">
        <v>36</v>
      </c>
      <c r="F100">
        <v>0</v>
      </c>
      <c r="G100" t="s">
        <v>43</v>
      </c>
      <c r="H100" t="s">
        <v>36</v>
      </c>
      <c r="J100" s="2"/>
      <c r="K100" s="2"/>
    </row>
    <row r="101" spans="1:11" x14ac:dyDescent="0.25">
      <c r="A101" s="1">
        <v>44784.688287037039</v>
      </c>
      <c r="B101" s="1">
        <v>44784.688217592593</v>
      </c>
      <c r="C101">
        <v>2.9</v>
      </c>
      <c r="D101">
        <v>0</v>
      </c>
      <c r="E101">
        <v>38</v>
      </c>
      <c r="F101">
        <v>0</v>
      </c>
      <c r="G101" t="s">
        <v>43</v>
      </c>
      <c r="H101" t="s">
        <v>36</v>
      </c>
      <c r="J101" s="2"/>
      <c r="K101" s="2"/>
    </row>
    <row r="102" spans="1:11" x14ac:dyDescent="0.25">
      <c r="A102" s="1">
        <v>44784.695196759261</v>
      </c>
      <c r="B102" s="1">
        <v>44784.695162037038</v>
      </c>
      <c r="C102">
        <v>2.9</v>
      </c>
      <c r="D102">
        <v>0</v>
      </c>
      <c r="E102">
        <v>38</v>
      </c>
      <c r="F102">
        <v>0</v>
      </c>
      <c r="G102" t="s">
        <v>43</v>
      </c>
      <c r="H102" t="s">
        <v>36</v>
      </c>
      <c r="J102" s="2"/>
      <c r="K102" s="2"/>
    </row>
    <row r="103" spans="1:11" x14ac:dyDescent="0.25">
      <c r="A103" s="1">
        <v>44784.702141203707</v>
      </c>
      <c r="B103" s="1">
        <v>44784.702106481483</v>
      </c>
      <c r="C103">
        <v>3</v>
      </c>
      <c r="D103">
        <v>0</v>
      </c>
      <c r="E103">
        <v>42</v>
      </c>
      <c r="F103">
        <v>0</v>
      </c>
      <c r="G103" t="s">
        <v>43</v>
      </c>
      <c r="H103" t="s">
        <v>36</v>
      </c>
      <c r="J103" s="2"/>
      <c r="K103" s="2"/>
    </row>
    <row r="104" spans="1:11" x14ac:dyDescent="0.25">
      <c r="A104" s="1">
        <v>44784.709097222221</v>
      </c>
      <c r="B104" s="1">
        <v>44784.709050925929</v>
      </c>
      <c r="C104">
        <v>6</v>
      </c>
      <c r="D104">
        <v>0</v>
      </c>
      <c r="E104">
        <v>46</v>
      </c>
      <c r="F104">
        <v>0</v>
      </c>
      <c r="G104" t="s">
        <v>43</v>
      </c>
      <c r="H104" t="s">
        <v>36</v>
      </c>
      <c r="J104" t="str">
        <f>IF(COUNT(I99:I104)&gt;3.5,ROUND(AVERAGE(I99:I104),2),"")</f>
        <v/>
      </c>
      <c r="K104">
        <f>IF(COUNT(, , , , , , , , , , , , , , , , , , NA, NA, NA, NA, NA, NA)&gt;17.5,ROUND(AVERAGE(, , , , , , , , , , , , , , , , , , 0, 0, 0, 0, 0, 0),2),"NO AVG")</f>
        <v>0</v>
      </c>
    </row>
    <row r="105" spans="1:11" x14ac:dyDescent="0.25">
      <c r="A105" s="1">
        <v>44784.71603009259</v>
      </c>
      <c r="B105" s="1">
        <v>44784.715995370374</v>
      </c>
      <c r="C105">
        <v>8</v>
      </c>
      <c r="D105">
        <v>0</v>
      </c>
      <c r="E105">
        <v>48</v>
      </c>
      <c r="F105">
        <v>0</v>
      </c>
      <c r="G105" t="s">
        <v>43</v>
      </c>
      <c r="H105" t="s">
        <v>36</v>
      </c>
      <c r="J105" s="2"/>
      <c r="K105" s="2"/>
    </row>
    <row r="106" spans="1:11" x14ac:dyDescent="0.25">
      <c r="A106" s="1">
        <v>44784.722974537035</v>
      </c>
      <c r="B106" s="1">
        <v>44784.722939814812</v>
      </c>
      <c r="C106">
        <v>9.1</v>
      </c>
      <c r="D106">
        <v>0</v>
      </c>
      <c r="E106">
        <v>50</v>
      </c>
      <c r="F106">
        <v>0</v>
      </c>
      <c r="G106" t="s">
        <v>43</v>
      </c>
      <c r="H106" t="s">
        <v>36</v>
      </c>
      <c r="J106" s="2"/>
      <c r="K106" s="2"/>
    </row>
    <row r="107" spans="1:11" x14ac:dyDescent="0.25">
      <c r="A107" s="1">
        <v>44784.72991898148</v>
      </c>
      <c r="B107" s="1">
        <v>44784.729884259257</v>
      </c>
      <c r="C107">
        <v>9.6999999999999993</v>
      </c>
      <c r="D107">
        <v>0</v>
      </c>
      <c r="E107">
        <v>49</v>
      </c>
      <c r="F107">
        <v>0</v>
      </c>
      <c r="G107" t="s">
        <v>43</v>
      </c>
      <c r="H107" t="s">
        <v>36</v>
      </c>
      <c r="J107" s="2"/>
      <c r="K107" s="2"/>
    </row>
    <row r="108" spans="1:11" x14ac:dyDescent="0.25">
      <c r="A108" s="1">
        <v>44784.736863425926</v>
      </c>
      <c r="B108" s="1">
        <v>44784.736828703702</v>
      </c>
      <c r="C108">
        <v>9.9</v>
      </c>
      <c r="D108">
        <v>0</v>
      </c>
      <c r="E108">
        <v>49</v>
      </c>
      <c r="F108">
        <v>0</v>
      </c>
      <c r="G108" t="s">
        <v>43</v>
      </c>
      <c r="H108" t="s">
        <v>36</v>
      </c>
      <c r="J108" s="2"/>
      <c r="K108" s="2"/>
    </row>
    <row r="109" spans="1:11" x14ac:dyDescent="0.25">
      <c r="A109" s="1">
        <v>44784.743807870371</v>
      </c>
      <c r="B109" s="1">
        <v>44784.743773148148</v>
      </c>
      <c r="C109">
        <v>10</v>
      </c>
      <c r="D109">
        <v>0</v>
      </c>
      <c r="E109">
        <v>51</v>
      </c>
      <c r="F109">
        <v>0</v>
      </c>
      <c r="G109" t="s">
        <v>43</v>
      </c>
      <c r="H109" t="s">
        <v>36</v>
      </c>
      <c r="J109" s="2"/>
      <c r="K109" s="2"/>
    </row>
    <row r="110" spans="1:11" x14ac:dyDescent="0.25">
      <c r="A110" s="1">
        <v>44784.750763888886</v>
      </c>
      <c r="B110" s="1">
        <v>44784.750717592593</v>
      </c>
      <c r="C110">
        <v>10.3</v>
      </c>
      <c r="D110">
        <v>0</v>
      </c>
      <c r="E110">
        <v>51</v>
      </c>
      <c r="F110">
        <v>0</v>
      </c>
      <c r="G110" t="s">
        <v>43</v>
      </c>
      <c r="H110" t="s">
        <v>36</v>
      </c>
      <c r="J110" t="str">
        <f>IF(COUNT(I105:I110)&gt;3.5,ROUND(AVERAGE(I105:I110),2),"")</f>
        <v/>
      </c>
      <c r="K110">
        <f>IF(COUNT(, , , , , , , , , , , , , , , , , , , NA, NA, NA, NA, NA)&gt;17.5,ROUND(AVERAGE(, , , , , , , , , , , , , , , , , , , 0, 0, 0, 0, 0),2),"NO AVG")</f>
        <v>0</v>
      </c>
    </row>
    <row r="111" spans="1:11" x14ac:dyDescent="0.25">
      <c r="A111" s="1">
        <v>44784.757696759261</v>
      </c>
      <c r="B111" s="1">
        <v>44784.757662037038</v>
      </c>
      <c r="C111">
        <v>10.3</v>
      </c>
      <c r="D111">
        <v>0</v>
      </c>
      <c r="E111">
        <v>51</v>
      </c>
      <c r="F111">
        <v>0</v>
      </c>
      <c r="G111" t="s">
        <v>43</v>
      </c>
      <c r="H111" t="s">
        <v>36</v>
      </c>
      <c r="J111" s="2"/>
      <c r="K111" s="2"/>
    </row>
    <row r="112" spans="1:11" x14ac:dyDescent="0.25">
      <c r="A112" s="1">
        <v>44784.764641203707</v>
      </c>
      <c r="B112" s="1">
        <v>44784.764606481483</v>
      </c>
      <c r="C112">
        <v>10.3</v>
      </c>
      <c r="D112">
        <v>0</v>
      </c>
      <c r="E112">
        <v>53</v>
      </c>
      <c r="F112">
        <v>0</v>
      </c>
      <c r="G112" t="s">
        <v>43</v>
      </c>
      <c r="H112" t="s">
        <v>36</v>
      </c>
      <c r="J112" s="2"/>
      <c r="K112" s="2"/>
    </row>
    <row r="113" spans="1:11" x14ac:dyDescent="0.25">
      <c r="A113" s="1">
        <v>44784.771585648145</v>
      </c>
      <c r="B113" s="1">
        <v>44784.771550925929</v>
      </c>
      <c r="C113">
        <v>10.6</v>
      </c>
      <c r="D113">
        <v>0</v>
      </c>
      <c r="E113">
        <v>55</v>
      </c>
      <c r="F113">
        <v>0</v>
      </c>
      <c r="G113" t="s">
        <v>43</v>
      </c>
      <c r="H113" t="s">
        <v>36</v>
      </c>
      <c r="J113" s="2"/>
      <c r="K113" s="2"/>
    </row>
    <row r="114" spans="1:11" x14ac:dyDescent="0.25">
      <c r="A114" s="1">
        <v>44784.77853009259</v>
      </c>
      <c r="B114" s="1">
        <v>44784.778495370374</v>
      </c>
      <c r="C114">
        <v>10.6</v>
      </c>
      <c r="D114">
        <v>0</v>
      </c>
      <c r="E114">
        <v>55</v>
      </c>
      <c r="F114">
        <v>0</v>
      </c>
      <c r="G114" t="s">
        <v>43</v>
      </c>
      <c r="H114" t="s">
        <v>36</v>
      </c>
      <c r="J114" s="2"/>
      <c r="K114" s="2"/>
    </row>
    <row r="115" spans="1:11" x14ac:dyDescent="0.25">
      <c r="A115" s="1">
        <v>44784.785497685189</v>
      </c>
      <c r="B115" s="1">
        <v>44784.785439814812</v>
      </c>
      <c r="C115">
        <v>10.5</v>
      </c>
      <c r="D115">
        <v>0</v>
      </c>
      <c r="E115">
        <v>55</v>
      </c>
      <c r="F115">
        <v>0</v>
      </c>
      <c r="G115" t="s">
        <v>43</v>
      </c>
      <c r="H115" t="s">
        <v>36</v>
      </c>
      <c r="J115" s="2"/>
      <c r="K115" s="2"/>
    </row>
    <row r="116" spans="1:11" x14ac:dyDescent="0.25">
      <c r="A116" s="1">
        <v>44784.79241898148</v>
      </c>
      <c r="B116" s="1">
        <v>44784.792384259257</v>
      </c>
      <c r="C116">
        <v>10.6</v>
      </c>
      <c r="D116">
        <v>0</v>
      </c>
      <c r="E116">
        <v>55</v>
      </c>
      <c r="F116">
        <v>0</v>
      </c>
      <c r="G116" t="s">
        <v>43</v>
      </c>
      <c r="H116" t="s">
        <v>36</v>
      </c>
      <c r="J116" t="str">
        <f>IF(COUNT(I111:I116)&gt;3.5,ROUND(AVERAGE(I111:I116),2),"")</f>
        <v/>
      </c>
      <c r="K116">
        <f>IF(COUNT(, , , , , , , , , , , , , , , , , , , , NA, NA, NA, NA)&gt;17.5,ROUND(AVERAGE(, , , , , , , , , , , , , , , , , , , , 0, 0, 0, 0),2),"NO AVG")</f>
        <v>0</v>
      </c>
    </row>
    <row r="117" spans="1:11" x14ac:dyDescent="0.25">
      <c r="A117" s="1">
        <v>44784.799363425926</v>
      </c>
      <c r="B117" s="1">
        <v>44784.799328703702</v>
      </c>
      <c r="C117">
        <v>10.7</v>
      </c>
      <c r="D117">
        <v>0</v>
      </c>
      <c r="E117">
        <v>56</v>
      </c>
      <c r="F117">
        <v>0</v>
      </c>
      <c r="G117" t="s">
        <v>43</v>
      </c>
      <c r="H117" t="s">
        <v>36</v>
      </c>
      <c r="J117" s="2"/>
      <c r="K117" s="2"/>
    </row>
    <row r="118" spans="1:11" x14ac:dyDescent="0.25">
      <c r="A118" s="1">
        <v>44784.80636574074</v>
      </c>
      <c r="B118" s="1">
        <v>44784.806273148148</v>
      </c>
      <c r="C118">
        <v>10.5</v>
      </c>
      <c r="D118">
        <v>0</v>
      </c>
      <c r="E118">
        <v>57</v>
      </c>
      <c r="F118">
        <v>0</v>
      </c>
      <c r="G118" t="s">
        <v>43</v>
      </c>
      <c r="H118" t="s">
        <v>36</v>
      </c>
      <c r="J118" s="2"/>
      <c r="K118" s="2"/>
    </row>
    <row r="119" spans="1:11" x14ac:dyDescent="0.25">
      <c r="A119" s="1">
        <v>44784.813263888886</v>
      </c>
      <c r="B119" s="1">
        <v>44784.813217592593</v>
      </c>
      <c r="C119">
        <v>10.8</v>
      </c>
      <c r="D119">
        <v>0</v>
      </c>
      <c r="E119">
        <v>58</v>
      </c>
      <c r="F119">
        <v>0</v>
      </c>
      <c r="G119" t="s">
        <v>43</v>
      </c>
      <c r="H119" t="s">
        <v>36</v>
      </c>
      <c r="J119" s="2"/>
      <c r="K119" s="2"/>
    </row>
    <row r="120" spans="1:11" x14ac:dyDescent="0.25">
      <c r="A120" s="1">
        <v>44784.820208333331</v>
      </c>
      <c r="B120" s="1">
        <v>44784.820162037038</v>
      </c>
      <c r="C120">
        <v>10.6</v>
      </c>
      <c r="D120">
        <v>0</v>
      </c>
      <c r="E120">
        <v>59</v>
      </c>
      <c r="F120">
        <v>0</v>
      </c>
      <c r="G120" t="s">
        <v>43</v>
      </c>
      <c r="H120" t="s">
        <v>36</v>
      </c>
      <c r="J120" s="2"/>
      <c r="K120" s="2"/>
    </row>
    <row r="121" spans="1:11" x14ac:dyDescent="0.25">
      <c r="A121" s="1">
        <v>44784.827152777776</v>
      </c>
      <c r="B121" s="1">
        <v>44784.827106481483</v>
      </c>
      <c r="C121">
        <v>10.7</v>
      </c>
      <c r="D121">
        <v>0</v>
      </c>
      <c r="E121">
        <v>59</v>
      </c>
      <c r="F121">
        <v>0</v>
      </c>
      <c r="G121" t="s">
        <v>43</v>
      </c>
      <c r="H121" t="s">
        <v>36</v>
      </c>
      <c r="J121" s="2"/>
      <c r="K121" s="2"/>
    </row>
    <row r="122" spans="1:11" x14ac:dyDescent="0.25">
      <c r="A122" s="1">
        <v>44784.834085648145</v>
      </c>
      <c r="B122" s="1">
        <v>44784.834050925929</v>
      </c>
      <c r="C122">
        <v>10.9</v>
      </c>
      <c r="D122">
        <v>0</v>
      </c>
      <c r="E122">
        <v>60</v>
      </c>
      <c r="F122">
        <v>0</v>
      </c>
      <c r="G122" t="s">
        <v>43</v>
      </c>
      <c r="H122" t="s">
        <v>36</v>
      </c>
      <c r="J122" t="str">
        <f>IF(COUNT(I117:I122)&gt;3.5,ROUND(AVERAGE(I117:I122),2),"")</f>
        <v/>
      </c>
      <c r="K122">
        <f>IF(COUNT(, , , , , , , , , , , , , , , , , , , , , NA, NA, NA)&gt;17.5,ROUND(AVERAGE(, , , , , , , , , , , , , , , , , , , , , 0, 0, 0),2),"NO AVG")</f>
        <v>0</v>
      </c>
    </row>
    <row r="123" spans="1:11" x14ac:dyDescent="0.25">
      <c r="A123" s="1">
        <v>44784.841041666667</v>
      </c>
      <c r="B123" s="1">
        <v>44784.840995370374</v>
      </c>
      <c r="C123">
        <v>11.1</v>
      </c>
      <c r="D123">
        <v>0</v>
      </c>
      <c r="E123">
        <v>61</v>
      </c>
      <c r="F123">
        <v>0</v>
      </c>
      <c r="G123" t="s">
        <v>43</v>
      </c>
      <c r="H123" t="s">
        <v>36</v>
      </c>
      <c r="J123" s="2"/>
      <c r="K123" s="2"/>
    </row>
    <row r="124" spans="1:11" x14ac:dyDescent="0.25">
      <c r="A124" s="1">
        <v>44784.847986111112</v>
      </c>
      <c r="B124" s="1">
        <v>44784.847939814812</v>
      </c>
      <c r="C124">
        <v>11.5</v>
      </c>
      <c r="D124">
        <v>0</v>
      </c>
      <c r="E124">
        <v>62</v>
      </c>
      <c r="F124">
        <v>0</v>
      </c>
      <c r="G124" t="s">
        <v>43</v>
      </c>
      <c r="H124" t="s">
        <v>36</v>
      </c>
      <c r="J124" s="2"/>
      <c r="K124" s="2"/>
    </row>
    <row r="125" spans="1:11" x14ac:dyDescent="0.25">
      <c r="A125" s="1">
        <v>44784.85491898148</v>
      </c>
      <c r="B125" s="1">
        <v>44784.854884259257</v>
      </c>
      <c r="C125">
        <v>11.7</v>
      </c>
      <c r="D125">
        <v>0</v>
      </c>
      <c r="E125">
        <v>63</v>
      </c>
      <c r="F125">
        <v>0</v>
      </c>
      <c r="G125" t="s">
        <v>43</v>
      </c>
      <c r="H125" t="s">
        <v>36</v>
      </c>
      <c r="J125" s="2"/>
      <c r="K125" s="2"/>
    </row>
    <row r="126" spans="1:11" x14ac:dyDescent="0.25">
      <c r="A126" s="1">
        <v>44784.861875000002</v>
      </c>
      <c r="B126" s="1">
        <v>44784.861828703702</v>
      </c>
      <c r="C126">
        <v>11.9</v>
      </c>
      <c r="D126">
        <v>0</v>
      </c>
      <c r="E126">
        <v>64</v>
      </c>
      <c r="F126">
        <v>0</v>
      </c>
      <c r="G126" t="s">
        <v>43</v>
      </c>
      <c r="H126" t="s">
        <v>36</v>
      </c>
      <c r="J126" s="2"/>
      <c r="K126" s="2"/>
    </row>
    <row r="127" spans="1:11" x14ac:dyDescent="0.25">
      <c r="A127" s="1">
        <v>44784.868819444448</v>
      </c>
      <c r="B127" s="1">
        <v>44784.868773148148</v>
      </c>
      <c r="C127">
        <v>12.1</v>
      </c>
      <c r="D127">
        <v>0</v>
      </c>
      <c r="E127">
        <v>65</v>
      </c>
      <c r="F127">
        <v>0</v>
      </c>
      <c r="G127" t="s">
        <v>43</v>
      </c>
      <c r="H127" t="s">
        <v>36</v>
      </c>
      <c r="J127" s="2"/>
      <c r="K127" s="2"/>
    </row>
    <row r="128" spans="1:11" x14ac:dyDescent="0.25">
      <c r="A128" s="1">
        <v>44784.875763888886</v>
      </c>
      <c r="B128" s="1">
        <v>44784.875717592593</v>
      </c>
      <c r="C128">
        <v>12.3</v>
      </c>
      <c r="D128">
        <v>0</v>
      </c>
      <c r="E128">
        <v>66</v>
      </c>
      <c r="F128">
        <v>0</v>
      </c>
      <c r="G128" t="s">
        <v>43</v>
      </c>
      <c r="H128" t="s">
        <v>36</v>
      </c>
      <c r="J128" t="str">
        <f>IF(COUNT(I123:I128)&gt;3.5,ROUND(AVERAGE(I123:I128),2),"")</f>
        <v/>
      </c>
      <c r="K128">
        <f>IF(COUNT(, , , , , , , , , , , , , , , , , , , , , , NA, NA)&gt;17.5,ROUND(AVERAGE(, , , , , , , , , , , , , , , , , , , , , , 0, 0),2),"NO AVG")</f>
        <v>0</v>
      </c>
    </row>
    <row r="129" spans="1:11" x14ac:dyDescent="0.25">
      <c r="A129" s="1">
        <v>44784.882708333331</v>
      </c>
      <c r="B129" s="1">
        <v>44784.882662037038</v>
      </c>
      <c r="C129">
        <v>12.5</v>
      </c>
      <c r="D129">
        <v>0</v>
      </c>
      <c r="E129">
        <v>67</v>
      </c>
      <c r="F129">
        <v>0</v>
      </c>
      <c r="G129" t="s">
        <v>43</v>
      </c>
      <c r="H129" t="s">
        <v>36</v>
      </c>
      <c r="J129" s="2"/>
      <c r="K129" s="2"/>
    </row>
    <row r="130" spans="1:11" x14ac:dyDescent="0.25">
      <c r="A130" s="1">
        <v>44784.889652777776</v>
      </c>
      <c r="B130" s="1">
        <v>44784.889606481483</v>
      </c>
      <c r="C130">
        <v>12.6</v>
      </c>
      <c r="D130">
        <v>0</v>
      </c>
      <c r="E130">
        <v>67</v>
      </c>
      <c r="F130">
        <v>0</v>
      </c>
      <c r="G130" t="s">
        <v>43</v>
      </c>
      <c r="H130" t="s">
        <v>36</v>
      </c>
      <c r="J130" s="2"/>
      <c r="K130" s="2"/>
    </row>
    <row r="131" spans="1:11" x14ac:dyDescent="0.25">
      <c r="A131" s="1">
        <v>44784.896597222221</v>
      </c>
      <c r="B131" s="1">
        <v>44784.896550925929</v>
      </c>
      <c r="C131">
        <v>12.8</v>
      </c>
      <c r="D131">
        <v>0</v>
      </c>
      <c r="E131">
        <v>68</v>
      </c>
      <c r="F131">
        <v>0</v>
      </c>
      <c r="G131" t="s">
        <v>43</v>
      </c>
      <c r="H131" t="s">
        <v>36</v>
      </c>
      <c r="J131" s="2"/>
      <c r="K131" s="2"/>
    </row>
    <row r="132" spans="1:11" x14ac:dyDescent="0.25">
      <c r="A132" s="1">
        <v>44784.903541666667</v>
      </c>
      <c r="B132" s="1">
        <v>44784.903495370374</v>
      </c>
      <c r="C132">
        <v>13.2</v>
      </c>
      <c r="D132">
        <v>0</v>
      </c>
      <c r="E132">
        <v>68</v>
      </c>
      <c r="F132">
        <v>0</v>
      </c>
      <c r="G132" t="s">
        <v>43</v>
      </c>
      <c r="H132" t="s">
        <v>36</v>
      </c>
      <c r="J132" s="2"/>
      <c r="K132" s="2"/>
    </row>
    <row r="133" spans="1:11" x14ac:dyDescent="0.25">
      <c r="A133" s="1">
        <v>44784.910486111112</v>
      </c>
      <c r="B133" s="1">
        <v>44784.910439814812</v>
      </c>
      <c r="C133">
        <v>13</v>
      </c>
      <c r="D133">
        <v>0</v>
      </c>
      <c r="E133">
        <v>69</v>
      </c>
      <c r="F133">
        <v>0</v>
      </c>
      <c r="G133" t="s">
        <v>43</v>
      </c>
      <c r="H133" t="s">
        <v>36</v>
      </c>
      <c r="J133" s="2"/>
      <c r="K133" s="2"/>
    </row>
    <row r="134" spans="1:11" x14ac:dyDescent="0.25">
      <c r="A134" s="1">
        <v>44784.917430555557</v>
      </c>
      <c r="B134" s="1">
        <v>44784.917384259257</v>
      </c>
      <c r="C134">
        <v>13.3</v>
      </c>
      <c r="D134">
        <v>0</v>
      </c>
      <c r="E134">
        <v>69</v>
      </c>
      <c r="F134">
        <v>0</v>
      </c>
      <c r="G134" t="s">
        <v>43</v>
      </c>
      <c r="H134" t="s">
        <v>36</v>
      </c>
      <c r="J134" t="str">
        <f>IF(COUNT(I129:I134)&gt;3.5,ROUND(AVERAGE(I129:I134),2),"")</f>
        <v/>
      </c>
      <c r="K134">
        <f>IF(COUNT(, , , , , , , , , , , , , , , , , , , , , , , NA)&gt;17.5,ROUND(AVERAGE(, , , , , , , , , , , , , , , , , , , , , , , 0),2),"NO AVG")</f>
        <v>0</v>
      </c>
    </row>
    <row r="135" spans="1:11" x14ac:dyDescent="0.25">
      <c r="A135" s="1">
        <v>44784.924375000002</v>
      </c>
      <c r="B135" s="1">
        <v>44784.924328703702</v>
      </c>
      <c r="C135">
        <v>13.8</v>
      </c>
      <c r="D135">
        <v>0</v>
      </c>
      <c r="E135">
        <v>69</v>
      </c>
      <c r="F135">
        <v>0</v>
      </c>
      <c r="G135" t="s">
        <v>43</v>
      </c>
      <c r="H135" t="s">
        <v>36</v>
      </c>
      <c r="J135" s="2"/>
      <c r="K135" s="2"/>
    </row>
    <row r="136" spans="1:11" x14ac:dyDescent="0.25">
      <c r="A136" s="1">
        <v>44784.931319444448</v>
      </c>
      <c r="B136" s="1">
        <v>44784.931273148148</v>
      </c>
      <c r="C136">
        <v>13.7</v>
      </c>
      <c r="D136">
        <v>0</v>
      </c>
      <c r="E136">
        <v>70</v>
      </c>
      <c r="F136">
        <v>0</v>
      </c>
      <c r="G136" t="s">
        <v>43</v>
      </c>
      <c r="H136" t="s">
        <v>36</v>
      </c>
      <c r="J136" s="2"/>
      <c r="K136" s="2"/>
    </row>
    <row r="137" spans="1:11" x14ac:dyDescent="0.25">
      <c r="A137" s="1">
        <v>44784.938263888886</v>
      </c>
      <c r="B137" s="1">
        <v>44784.938217592593</v>
      </c>
      <c r="C137">
        <v>13.4</v>
      </c>
      <c r="D137">
        <v>0</v>
      </c>
      <c r="E137">
        <v>69</v>
      </c>
      <c r="F137">
        <v>0</v>
      </c>
      <c r="G137" t="s">
        <v>43</v>
      </c>
      <c r="H137" t="s">
        <v>36</v>
      </c>
      <c r="J137" s="2"/>
      <c r="K137" s="2"/>
    </row>
    <row r="138" spans="1:11" x14ac:dyDescent="0.25">
      <c r="A138" s="1">
        <v>44784.945208333331</v>
      </c>
      <c r="B138" s="1">
        <v>44784.945162037038</v>
      </c>
      <c r="C138">
        <v>13.4</v>
      </c>
      <c r="D138">
        <v>0</v>
      </c>
      <c r="E138">
        <v>69</v>
      </c>
      <c r="F138">
        <v>0</v>
      </c>
      <c r="G138" t="s">
        <v>43</v>
      </c>
      <c r="H138" t="s">
        <v>36</v>
      </c>
      <c r="J138" s="2"/>
      <c r="K138" s="2"/>
    </row>
    <row r="139" spans="1:11" x14ac:dyDescent="0.25">
      <c r="A139" s="1">
        <v>44784.952152777776</v>
      </c>
      <c r="B139" s="1">
        <v>44784.952106481483</v>
      </c>
      <c r="C139">
        <v>13.4</v>
      </c>
      <c r="D139">
        <v>0</v>
      </c>
      <c r="E139">
        <v>69</v>
      </c>
      <c r="F139">
        <v>0</v>
      </c>
      <c r="G139" t="s">
        <v>43</v>
      </c>
      <c r="H139" t="s">
        <v>36</v>
      </c>
      <c r="J139" s="2"/>
      <c r="K139" s="2"/>
    </row>
    <row r="140" spans="1:11" x14ac:dyDescent="0.25">
      <c r="A140" s="1">
        <v>44784.959097222221</v>
      </c>
      <c r="B140" s="1">
        <v>44784.959050925929</v>
      </c>
      <c r="C140">
        <v>13.6</v>
      </c>
      <c r="D140">
        <v>0</v>
      </c>
      <c r="E140">
        <v>69</v>
      </c>
      <c r="F140">
        <v>0</v>
      </c>
      <c r="G140" t="s">
        <v>43</v>
      </c>
      <c r="H140" t="s">
        <v>36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</row>
    <row r="141" spans="1:11" x14ac:dyDescent="0.25">
      <c r="A141" s="1">
        <v>44784.966041666667</v>
      </c>
      <c r="B141" s="1">
        <v>44784.965995370374</v>
      </c>
      <c r="C141">
        <v>13.4</v>
      </c>
      <c r="D141">
        <v>0</v>
      </c>
      <c r="E141">
        <v>70</v>
      </c>
      <c r="F141">
        <v>0</v>
      </c>
      <c r="G141" t="s">
        <v>43</v>
      </c>
      <c r="H141" t="s">
        <v>36</v>
      </c>
      <c r="J141" s="2"/>
      <c r="K141" s="2"/>
    </row>
    <row r="142" spans="1:11" x14ac:dyDescent="0.25">
      <c r="A142" s="1">
        <v>44784.972986111112</v>
      </c>
      <c r="B142" s="1">
        <v>44784.972939814812</v>
      </c>
      <c r="C142">
        <v>13.4</v>
      </c>
      <c r="D142">
        <v>0</v>
      </c>
      <c r="E142">
        <v>70</v>
      </c>
      <c r="F142">
        <v>0</v>
      </c>
      <c r="G142" t="s">
        <v>43</v>
      </c>
      <c r="H142" t="s">
        <v>36</v>
      </c>
      <c r="J142" s="2"/>
      <c r="K142" s="2"/>
    </row>
    <row r="143" spans="1:11" x14ac:dyDescent="0.25">
      <c r="A143" s="1">
        <v>44784.979930555557</v>
      </c>
      <c r="B143" s="1">
        <v>44784.979884259257</v>
      </c>
      <c r="C143">
        <v>13.6</v>
      </c>
      <c r="D143">
        <v>0</v>
      </c>
      <c r="E143">
        <v>69</v>
      </c>
      <c r="F143">
        <v>0</v>
      </c>
      <c r="G143" t="s">
        <v>43</v>
      </c>
      <c r="H143" t="s">
        <v>36</v>
      </c>
      <c r="J143" s="2"/>
      <c r="K143" s="2"/>
    </row>
    <row r="144" spans="1:11" x14ac:dyDescent="0.25">
      <c r="A144" s="1">
        <v>44784.986875000002</v>
      </c>
      <c r="B144" s="1">
        <v>44784.986828703702</v>
      </c>
      <c r="C144">
        <v>13.5</v>
      </c>
      <c r="D144">
        <v>0</v>
      </c>
      <c r="E144">
        <v>69</v>
      </c>
      <c r="F144">
        <v>0</v>
      </c>
      <c r="G144" t="s">
        <v>43</v>
      </c>
      <c r="H144" t="s">
        <v>36</v>
      </c>
      <c r="J144" s="2"/>
      <c r="K144" s="2"/>
    </row>
    <row r="145" spans="1:12" x14ac:dyDescent="0.25">
      <c r="A145" s="1">
        <v>44784.993819444448</v>
      </c>
      <c r="B145" s="1">
        <v>44784.993773148148</v>
      </c>
      <c r="C145">
        <v>12.6</v>
      </c>
      <c r="D145">
        <v>0</v>
      </c>
      <c r="E145">
        <v>67</v>
      </c>
      <c r="F145">
        <v>0</v>
      </c>
      <c r="G145" t="s">
        <v>43</v>
      </c>
      <c r="H145" t="s">
        <v>36</v>
      </c>
      <c r="J145" s="2"/>
      <c r="K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B5AD9-724C-49D3-9EA1-C8FAB454EB91}">
  <sheetPr codeName="Sheet8"/>
  <dimension ref="A1:M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3" max="13" width="6" bestFit="1" customWidth="1"/>
  </cols>
  <sheetData>
    <row r="1" spans="1:13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M1" t="s">
        <v>3</v>
      </c>
    </row>
    <row r="2" spans="1:13" x14ac:dyDescent="0.25">
      <c r="A2" s="1">
        <v>44784.000752314816</v>
      </c>
      <c r="B2" s="1">
        <v>44784.000717592593</v>
      </c>
      <c r="C2">
        <v>4.8</v>
      </c>
      <c r="D2">
        <v>3.2</v>
      </c>
      <c r="E2">
        <v>61</v>
      </c>
      <c r="F2">
        <v>0</v>
      </c>
      <c r="G2" t="s">
        <v>33</v>
      </c>
      <c r="H2" t="s">
        <v>36</v>
      </c>
      <c r="I2">
        <v>0.33</v>
      </c>
      <c r="J2">
        <v>2.19</v>
      </c>
      <c r="K2">
        <f>IF(COUNT(2.19, 1.3, 0.96, 1.67, 1.81, 1.61, 1.43, 1.37, 1.84, 1.92, 2.7, 3.25, 2.91, 2.85, 3.05, 3.24, 3.5, 3.33, 2.52, 2.28, 1.84, 1.73, 1.78, 2.86)&gt;17.5,ROUND(AVERAGE(2.19, 1.3, 0.96, 1.67, 1.81, 1.61, 1.43, 1.37, 1.84, 1.92, 2.7, 3.25, 2.91, 2.85, 3.05, 3.24, 3.5, 3.33, 2.52, 2.28, 1.84, 1.73, 1.78, 2.86),2),"NO AVG")</f>
        <v>2.25</v>
      </c>
      <c r="M2" t="s">
        <v>41</v>
      </c>
    </row>
    <row r="3" spans="1:13" x14ac:dyDescent="0.25">
      <c r="A3" s="1">
        <v>44784.007708333331</v>
      </c>
      <c r="B3" s="1">
        <v>44784.007662037038</v>
      </c>
      <c r="C3">
        <v>4.5</v>
      </c>
      <c r="D3">
        <v>3</v>
      </c>
      <c r="E3">
        <v>61</v>
      </c>
      <c r="F3">
        <v>0</v>
      </c>
      <c r="G3" t="s">
        <v>33</v>
      </c>
      <c r="H3" t="s">
        <v>36</v>
      </c>
      <c r="I3">
        <v>0.18</v>
      </c>
      <c r="J3" s="2"/>
      <c r="K3" s="2"/>
    </row>
    <row r="4" spans="1:13" x14ac:dyDescent="0.25">
      <c r="A4" s="1">
        <v>44784.01462962963</v>
      </c>
      <c r="B4" s="1">
        <v>44784.014606481483</v>
      </c>
      <c r="C4">
        <v>4.5</v>
      </c>
      <c r="D4">
        <v>3</v>
      </c>
      <c r="E4">
        <v>61</v>
      </c>
      <c r="F4">
        <v>0</v>
      </c>
      <c r="G4" t="s">
        <v>33</v>
      </c>
      <c r="H4" t="s">
        <v>36</v>
      </c>
      <c r="I4">
        <v>0.18</v>
      </c>
      <c r="J4" s="2"/>
      <c r="K4" s="2"/>
    </row>
    <row r="5" spans="1:13" x14ac:dyDescent="0.25">
      <c r="A5" s="1">
        <v>44784.021574074075</v>
      </c>
      <c r="B5" s="1">
        <v>44784.021550925929</v>
      </c>
      <c r="C5">
        <v>4.7</v>
      </c>
      <c r="D5">
        <v>2.9</v>
      </c>
      <c r="E5">
        <v>61</v>
      </c>
      <c r="F5">
        <v>0</v>
      </c>
      <c r="G5" t="s">
        <v>33</v>
      </c>
      <c r="H5" t="s">
        <v>36</v>
      </c>
      <c r="I5">
        <v>0.21</v>
      </c>
      <c r="J5" s="2"/>
      <c r="K5" s="2"/>
    </row>
    <row r="6" spans="1:13" x14ac:dyDescent="0.25">
      <c r="A6" s="1">
        <v>44784.02853009259</v>
      </c>
      <c r="B6" s="1">
        <v>44784.028495370374</v>
      </c>
      <c r="C6">
        <v>4.0999999999999996</v>
      </c>
      <c r="D6">
        <v>2.9</v>
      </c>
      <c r="E6">
        <v>61</v>
      </c>
      <c r="F6">
        <v>0</v>
      </c>
      <c r="G6" t="s">
        <v>33</v>
      </c>
      <c r="H6" t="s">
        <v>36</v>
      </c>
      <c r="I6">
        <v>0.02</v>
      </c>
      <c r="J6" s="2"/>
      <c r="K6" s="2"/>
    </row>
    <row r="7" spans="1:13" x14ac:dyDescent="0.25">
      <c r="A7" s="1">
        <v>44784.035474537035</v>
      </c>
      <c r="B7" s="1">
        <v>44784.035439814812</v>
      </c>
      <c r="C7">
        <v>4.0999999999999996</v>
      </c>
      <c r="D7">
        <v>2.8</v>
      </c>
      <c r="E7">
        <v>61</v>
      </c>
      <c r="F7">
        <v>0</v>
      </c>
      <c r="G7" t="s">
        <v>33</v>
      </c>
      <c r="H7" t="s">
        <v>36</v>
      </c>
      <c r="I7">
        <v>-0.01</v>
      </c>
      <c r="J7" s="2"/>
      <c r="K7" s="2"/>
    </row>
    <row r="8" spans="1:13" x14ac:dyDescent="0.25">
      <c r="A8" s="1">
        <v>44784.04241898148</v>
      </c>
      <c r="B8" s="1">
        <v>44784.042384259257</v>
      </c>
      <c r="C8">
        <v>3.8</v>
      </c>
      <c r="D8">
        <v>2.9</v>
      </c>
      <c r="E8">
        <v>63</v>
      </c>
      <c r="F8">
        <v>0</v>
      </c>
      <c r="G8" t="s">
        <v>33</v>
      </c>
      <c r="H8" t="s">
        <v>36</v>
      </c>
      <c r="I8">
        <v>-0.21</v>
      </c>
      <c r="J8">
        <f>IF(COUNT(I3:I8)&gt;3.5,ROUND(AVERAGE(I3:I8),2),"")</f>
        <v>0.06</v>
      </c>
      <c r="K8">
        <f>IF(COUNT(2.19, 0.06, 0.96, 1.67, 1.81, 1.61, 1.43, 1.37, 1.84, 1.92, 2.7, 3.25, 2.91, 2.85, 3.05, 3.24, 3.5, 3.33, 2.52, 2.28, 1.84, 1.73, 1.78, 2.86)&gt;17.5,ROUND(AVERAGE(2.19, 0.06, 0.96, 1.67, 1.81, 1.61, 1.43, 1.37, 1.84, 1.92, 2.7, 3.25, 2.91, 2.85, 3.05, 3.24, 3.5, 3.33, 2.52, 2.28, 1.84, 1.73, 1.78, 2.86),2),"NO AVG")</f>
        <v>2.2000000000000002</v>
      </c>
    </row>
    <row r="9" spans="1:13" x14ac:dyDescent="0.25">
      <c r="A9" s="1">
        <v>44784.049363425926</v>
      </c>
      <c r="B9" s="1">
        <v>44784.049328703702</v>
      </c>
      <c r="C9">
        <v>3.9</v>
      </c>
      <c r="D9">
        <v>2.9</v>
      </c>
      <c r="E9">
        <v>64</v>
      </c>
      <c r="F9">
        <v>0</v>
      </c>
      <c r="G9" t="s">
        <v>33</v>
      </c>
      <c r="H9" t="s">
        <v>36</v>
      </c>
      <c r="I9">
        <v>-0.25</v>
      </c>
      <c r="J9" s="2"/>
      <c r="K9" s="2"/>
    </row>
    <row r="10" spans="1:13" x14ac:dyDescent="0.25">
      <c r="A10" s="1">
        <v>44784.056307870371</v>
      </c>
      <c r="B10" s="1">
        <v>44784.056273148148</v>
      </c>
      <c r="C10">
        <v>4.5</v>
      </c>
      <c r="D10">
        <v>3</v>
      </c>
      <c r="E10">
        <v>64</v>
      </c>
      <c r="F10">
        <v>0</v>
      </c>
      <c r="G10" t="s">
        <v>33</v>
      </c>
      <c r="H10" t="s">
        <v>36</v>
      </c>
      <c r="I10">
        <v>-0.03</v>
      </c>
      <c r="J10" s="2"/>
      <c r="K10" s="2"/>
    </row>
    <row r="11" spans="1:13" x14ac:dyDescent="0.25">
      <c r="A11" s="1">
        <v>44784.063252314816</v>
      </c>
      <c r="B11" s="1">
        <v>44784.063217592593</v>
      </c>
      <c r="C11">
        <v>4.8</v>
      </c>
      <c r="D11">
        <v>3</v>
      </c>
      <c r="E11">
        <v>65</v>
      </c>
      <c r="F11">
        <v>0</v>
      </c>
      <c r="G11" t="s">
        <v>33</v>
      </c>
      <c r="H11" t="s">
        <v>36</v>
      </c>
      <c r="I11">
        <v>-0.01</v>
      </c>
      <c r="J11" s="2"/>
      <c r="K11" s="2"/>
    </row>
    <row r="12" spans="1:13" x14ac:dyDescent="0.25">
      <c r="A12" s="1">
        <v>44784.070196759261</v>
      </c>
      <c r="B12" s="1">
        <v>44784.070162037038</v>
      </c>
      <c r="C12">
        <v>4.9000000000000004</v>
      </c>
      <c r="D12">
        <v>3.2</v>
      </c>
      <c r="E12">
        <v>65</v>
      </c>
      <c r="F12">
        <v>0</v>
      </c>
      <c r="G12" t="s">
        <v>33</v>
      </c>
      <c r="H12" t="s">
        <v>36</v>
      </c>
      <c r="I12">
        <v>0.08</v>
      </c>
      <c r="J12" s="2"/>
      <c r="K12" s="2"/>
    </row>
    <row r="13" spans="1:13" x14ac:dyDescent="0.25">
      <c r="A13" s="1">
        <v>44784.077141203707</v>
      </c>
      <c r="B13" s="1">
        <v>44784.077106481483</v>
      </c>
      <c r="C13">
        <v>4.9000000000000004</v>
      </c>
      <c r="D13">
        <v>3.4</v>
      </c>
      <c r="E13">
        <v>66</v>
      </c>
      <c r="F13">
        <v>0</v>
      </c>
      <c r="G13" t="s">
        <v>33</v>
      </c>
      <c r="H13" t="s">
        <v>36</v>
      </c>
      <c r="I13">
        <v>7.0000000000000007E-2</v>
      </c>
      <c r="J13" s="2"/>
      <c r="K13" s="2"/>
    </row>
    <row r="14" spans="1:13" x14ac:dyDescent="0.25">
      <c r="A14" s="1">
        <v>44784.084085648145</v>
      </c>
      <c r="B14" s="1">
        <v>44784.084050925929</v>
      </c>
      <c r="C14">
        <v>4.8</v>
      </c>
      <c r="D14">
        <v>3.4</v>
      </c>
      <c r="E14">
        <v>67</v>
      </c>
      <c r="F14">
        <v>0</v>
      </c>
      <c r="G14" t="s">
        <v>33</v>
      </c>
      <c r="H14" t="s">
        <v>36</v>
      </c>
      <c r="I14">
        <v>-0.03</v>
      </c>
      <c r="J14">
        <f>IF(COUNT(I9:I14)&gt;3.5,ROUND(AVERAGE(I9:I14),2),"")</f>
        <v>-0.03</v>
      </c>
      <c r="K14">
        <f>IF(COUNT(2.19, 0.06, -0.03, 1.67, 1.81, 1.61, 1.43, 1.37, 1.84, 1.92, 2.7, 3.25, 2.91, 2.85, 3.05, 3.24, 3.5, 3.33, 2.52, 2.28, 1.84, 1.73, 1.78, 2.86)&gt;17.5,ROUND(AVERAGE(2.19, 0.06, -0.03, 1.67, 1.81, 1.61, 1.43, 1.37, 1.84, 1.92, 2.7, 3.25, 2.91, 2.85, 3.05, 3.24, 3.5, 3.33, 2.52, 2.28, 1.84, 1.73, 1.78, 2.86),2),"NO AVG")</f>
        <v>2.15</v>
      </c>
    </row>
    <row r="15" spans="1:13" x14ac:dyDescent="0.25">
      <c r="A15" s="1">
        <v>44784.09103009259</v>
      </c>
      <c r="B15" s="1">
        <v>44784.090995370374</v>
      </c>
      <c r="C15">
        <v>4.8</v>
      </c>
      <c r="D15">
        <v>3.6</v>
      </c>
      <c r="E15">
        <v>67</v>
      </c>
      <c r="F15">
        <v>0</v>
      </c>
      <c r="G15" t="s">
        <v>33</v>
      </c>
      <c r="H15" t="s">
        <v>36</v>
      </c>
      <c r="I15">
        <v>0.03</v>
      </c>
      <c r="J15" s="2"/>
      <c r="K15" s="2"/>
    </row>
    <row r="16" spans="1:13" x14ac:dyDescent="0.25">
      <c r="A16" s="1">
        <v>44784.097974537035</v>
      </c>
      <c r="B16" s="1">
        <v>44784.097939814812</v>
      </c>
      <c r="C16">
        <v>4.9000000000000004</v>
      </c>
      <c r="D16">
        <v>3.7</v>
      </c>
      <c r="E16">
        <v>67</v>
      </c>
      <c r="F16">
        <v>0</v>
      </c>
      <c r="G16" t="s">
        <v>33</v>
      </c>
      <c r="H16" t="s">
        <v>36</v>
      </c>
      <c r="I16">
        <v>0.09</v>
      </c>
      <c r="J16" s="2"/>
      <c r="K16" s="2"/>
    </row>
    <row r="17" spans="1:11" x14ac:dyDescent="0.25">
      <c r="A17" s="1">
        <v>44784.10491898148</v>
      </c>
      <c r="B17" s="1">
        <v>44784.104884259257</v>
      </c>
      <c r="C17">
        <v>5.4</v>
      </c>
      <c r="D17">
        <v>3.8</v>
      </c>
      <c r="E17">
        <v>67</v>
      </c>
      <c r="F17">
        <v>0</v>
      </c>
      <c r="G17" t="s">
        <v>33</v>
      </c>
      <c r="H17" t="s">
        <v>36</v>
      </c>
      <c r="I17">
        <v>0.28000000000000003</v>
      </c>
      <c r="J17" s="2"/>
      <c r="K17" s="2"/>
    </row>
    <row r="18" spans="1:11" x14ac:dyDescent="0.25">
      <c r="A18" s="1">
        <v>44784.111863425926</v>
      </c>
      <c r="B18" s="1">
        <v>44784.111828703702</v>
      </c>
      <c r="C18">
        <v>5.5</v>
      </c>
      <c r="D18">
        <v>3.9</v>
      </c>
      <c r="E18">
        <v>67</v>
      </c>
      <c r="F18">
        <v>0</v>
      </c>
      <c r="G18" t="s">
        <v>33</v>
      </c>
      <c r="H18" t="s">
        <v>36</v>
      </c>
      <c r="I18">
        <v>0.34</v>
      </c>
      <c r="J18" s="2"/>
      <c r="K18" s="2"/>
    </row>
    <row r="19" spans="1:11" x14ac:dyDescent="0.25">
      <c r="A19" s="1">
        <v>44784.118807870371</v>
      </c>
      <c r="B19" s="1">
        <v>44784.118773148148</v>
      </c>
      <c r="C19">
        <v>5.2</v>
      </c>
      <c r="D19">
        <v>4</v>
      </c>
      <c r="E19">
        <v>67</v>
      </c>
      <c r="F19">
        <v>0</v>
      </c>
      <c r="G19" t="s">
        <v>33</v>
      </c>
      <c r="H19" t="s">
        <v>36</v>
      </c>
      <c r="I19">
        <v>0.28000000000000003</v>
      </c>
      <c r="J19" s="2"/>
      <c r="K19" s="2"/>
    </row>
    <row r="20" spans="1:11" x14ac:dyDescent="0.25">
      <c r="A20" s="1">
        <v>44784.125752314816</v>
      </c>
      <c r="B20" s="1">
        <v>44784.125717592593</v>
      </c>
      <c r="C20">
        <v>5.7</v>
      </c>
      <c r="D20">
        <v>4</v>
      </c>
      <c r="E20">
        <v>68</v>
      </c>
      <c r="F20">
        <v>0</v>
      </c>
      <c r="G20" t="s">
        <v>33</v>
      </c>
      <c r="H20" t="s">
        <v>36</v>
      </c>
      <c r="I20">
        <v>0.36</v>
      </c>
      <c r="J20">
        <f>IF(COUNT(I15:I20)&gt;3.5,ROUND(AVERAGE(I15:I20),2),"")</f>
        <v>0.23</v>
      </c>
      <c r="K20">
        <f>IF(COUNT(2.19, 0.06, -0.03, 0.23, 1.81, 1.61, 1.43, 1.37, 1.84, 1.92, 2.7, 3.25, 2.91, 2.85, 3.05, 3.24, 3.5, 3.33, 2.52, 2.28, 1.84, 1.73, 1.78, 2.86)&gt;17.5,ROUND(AVERAGE(2.19, 0.06, -0.03, 0.23, 1.81, 1.61, 1.43, 1.37, 1.84, 1.92, 2.7, 3.25, 2.91, 2.85, 3.05, 3.24, 3.5, 3.33, 2.52, 2.28, 1.84, 1.73, 1.78, 2.86),2),"NO AVG")</f>
        <v>2.09</v>
      </c>
    </row>
    <row r="21" spans="1:11" x14ac:dyDescent="0.25">
      <c r="A21" s="1">
        <v>44784.132696759261</v>
      </c>
      <c r="B21" s="1">
        <v>44784.132662037038</v>
      </c>
      <c r="C21">
        <v>5.3</v>
      </c>
      <c r="D21">
        <v>4</v>
      </c>
      <c r="E21">
        <v>67</v>
      </c>
      <c r="F21">
        <v>0</v>
      </c>
      <c r="G21" t="s">
        <v>33</v>
      </c>
      <c r="H21" t="s">
        <v>36</v>
      </c>
      <c r="I21">
        <v>0.31</v>
      </c>
      <c r="J21" s="2"/>
      <c r="K21" s="2"/>
    </row>
    <row r="22" spans="1:11" x14ac:dyDescent="0.25">
      <c r="A22" s="1">
        <v>44784.139641203707</v>
      </c>
      <c r="B22" s="1">
        <v>44784.139606481483</v>
      </c>
      <c r="C22">
        <v>4.8</v>
      </c>
      <c r="D22">
        <v>3.9</v>
      </c>
      <c r="E22">
        <v>67</v>
      </c>
      <c r="F22">
        <v>0</v>
      </c>
      <c r="G22" t="s">
        <v>33</v>
      </c>
      <c r="H22" t="s">
        <v>36</v>
      </c>
      <c r="I22">
        <v>0.12</v>
      </c>
      <c r="J22" s="2"/>
      <c r="K22" s="2"/>
    </row>
    <row r="23" spans="1:11" x14ac:dyDescent="0.25">
      <c r="A23" s="1">
        <v>44784.146585648145</v>
      </c>
      <c r="B23" s="1">
        <v>44784.146550925929</v>
      </c>
      <c r="C23">
        <v>4.9000000000000004</v>
      </c>
      <c r="D23">
        <v>3.9</v>
      </c>
      <c r="E23">
        <v>68</v>
      </c>
      <c r="F23">
        <v>0</v>
      </c>
      <c r="G23" t="s">
        <v>33</v>
      </c>
      <c r="H23" t="s">
        <v>36</v>
      </c>
      <c r="I23">
        <v>0.08</v>
      </c>
      <c r="J23" s="2"/>
      <c r="K23" s="2"/>
    </row>
    <row r="24" spans="1:11" x14ac:dyDescent="0.25">
      <c r="A24" s="1">
        <v>44784.15353009259</v>
      </c>
      <c r="B24" s="1">
        <v>44784.153495370374</v>
      </c>
      <c r="C24">
        <v>4.9000000000000004</v>
      </c>
      <c r="D24">
        <v>4</v>
      </c>
      <c r="E24">
        <v>69</v>
      </c>
      <c r="F24">
        <v>0</v>
      </c>
      <c r="G24" t="s">
        <v>33</v>
      </c>
      <c r="H24" t="s">
        <v>36</v>
      </c>
      <c r="I24">
        <v>0.04</v>
      </c>
      <c r="J24" s="2"/>
      <c r="K24" s="2"/>
    </row>
    <row r="25" spans="1:11" x14ac:dyDescent="0.25">
      <c r="A25" s="1">
        <v>44784.160474537035</v>
      </c>
      <c r="B25" s="1">
        <v>44784.160439814812</v>
      </c>
      <c r="C25">
        <v>5.3</v>
      </c>
      <c r="D25">
        <v>4.0999999999999996</v>
      </c>
      <c r="E25">
        <v>69</v>
      </c>
      <c r="F25">
        <v>0</v>
      </c>
      <c r="G25" t="s">
        <v>33</v>
      </c>
      <c r="H25" t="s">
        <v>36</v>
      </c>
      <c r="I25">
        <v>0.2</v>
      </c>
      <c r="J25" s="2"/>
      <c r="K25" s="2"/>
    </row>
    <row r="26" spans="1:11" x14ac:dyDescent="0.25">
      <c r="A26" s="1">
        <v>44784.16741898148</v>
      </c>
      <c r="B26" s="1">
        <v>44784.167384259257</v>
      </c>
      <c r="C26">
        <v>5.8</v>
      </c>
      <c r="D26">
        <v>4.2</v>
      </c>
      <c r="E26">
        <v>70</v>
      </c>
      <c r="F26">
        <v>0</v>
      </c>
      <c r="G26" t="s">
        <v>33</v>
      </c>
      <c r="H26" t="s">
        <v>36</v>
      </c>
      <c r="I26">
        <v>0.31</v>
      </c>
      <c r="J26">
        <f>IF(COUNT(I21:I26)&gt;3.5,ROUND(AVERAGE(I21:I26),2),"")</f>
        <v>0.18</v>
      </c>
      <c r="K26">
        <f>IF(COUNT(2.19, 0.06, -0.03, 0.23, 0.18, 1.61, 1.43, 1.37, 1.84, 1.92, 2.7, 3.25, 2.91, 2.85, 3.05, 3.24, 3.5, 3.33, 2.52, 2.28, 1.84, 1.73, 1.78, 2.86)&gt;17.5,ROUND(AVERAGE(2.19, 0.06, -0.03, 0.23, 0.18, 1.61, 1.43, 1.37, 1.84, 1.92, 2.7, 3.25, 2.91, 2.85, 3.05, 3.24, 3.5, 3.33, 2.52, 2.28, 1.84, 1.73, 1.78, 2.86),2),"NO AVG")</f>
        <v>2.0299999999999998</v>
      </c>
    </row>
    <row r="27" spans="1:11" x14ac:dyDescent="0.25">
      <c r="A27" s="1">
        <v>44784.174375000002</v>
      </c>
      <c r="B27" s="1">
        <v>44784.174328703702</v>
      </c>
      <c r="C27">
        <v>5.5</v>
      </c>
      <c r="D27">
        <v>4.2</v>
      </c>
      <c r="E27">
        <v>70</v>
      </c>
      <c r="F27">
        <v>0</v>
      </c>
      <c r="G27" t="s">
        <v>33</v>
      </c>
      <c r="H27" t="s">
        <v>36</v>
      </c>
      <c r="I27">
        <v>0.22</v>
      </c>
      <c r="J27" s="2"/>
      <c r="K27" s="2"/>
    </row>
    <row r="28" spans="1:11" x14ac:dyDescent="0.25">
      <c r="A28" s="1"/>
      <c r="B28" s="1">
        <v>44784.180555555555</v>
      </c>
      <c r="J28" s="2"/>
      <c r="K28" s="2"/>
    </row>
    <row r="29" spans="1:11" x14ac:dyDescent="0.25">
      <c r="A29" s="1">
        <v>44784.188252314816</v>
      </c>
      <c r="B29" s="1">
        <v>44784.188217592593</v>
      </c>
      <c r="C29">
        <v>5.6</v>
      </c>
      <c r="D29">
        <v>4.2</v>
      </c>
      <c r="E29">
        <v>70</v>
      </c>
      <c r="F29">
        <v>0</v>
      </c>
      <c r="G29" t="s">
        <v>33</v>
      </c>
      <c r="H29" t="s">
        <v>36</v>
      </c>
      <c r="I29">
        <v>0.25</v>
      </c>
      <c r="J29" s="2"/>
      <c r="K29" s="2"/>
    </row>
    <row r="30" spans="1:11" x14ac:dyDescent="0.25">
      <c r="A30" s="1">
        <v>44784.195196759261</v>
      </c>
      <c r="B30" s="1">
        <v>44784.195162037038</v>
      </c>
      <c r="C30">
        <v>5.9</v>
      </c>
      <c r="D30">
        <v>4.5999999999999996</v>
      </c>
      <c r="E30">
        <v>70</v>
      </c>
      <c r="F30">
        <v>0</v>
      </c>
      <c r="G30" t="s">
        <v>33</v>
      </c>
      <c r="H30" t="s">
        <v>36</v>
      </c>
      <c r="I30">
        <v>0.46</v>
      </c>
      <c r="J30" s="2"/>
      <c r="K30" s="2"/>
    </row>
    <row r="31" spans="1:11" x14ac:dyDescent="0.25">
      <c r="A31" s="1">
        <v>44784.202152777776</v>
      </c>
      <c r="B31" s="1">
        <v>44784.20212962963</v>
      </c>
      <c r="C31">
        <v>5.9</v>
      </c>
      <c r="D31">
        <v>4.7</v>
      </c>
      <c r="E31">
        <v>72</v>
      </c>
      <c r="F31">
        <v>0</v>
      </c>
      <c r="G31" t="s">
        <v>33</v>
      </c>
      <c r="H31" t="s">
        <v>36</v>
      </c>
      <c r="I31">
        <v>0.35</v>
      </c>
      <c r="J31" s="2"/>
      <c r="K31" s="2"/>
    </row>
    <row r="32" spans="1:11" x14ac:dyDescent="0.25">
      <c r="A32" s="1">
        <v>44784.209085648145</v>
      </c>
      <c r="B32" s="1">
        <v>44784.209050925929</v>
      </c>
      <c r="C32">
        <v>5.7</v>
      </c>
      <c r="D32">
        <v>4.7</v>
      </c>
      <c r="E32">
        <v>72</v>
      </c>
      <c r="F32">
        <v>0</v>
      </c>
      <c r="G32" t="s">
        <v>33</v>
      </c>
      <c r="H32" t="s">
        <v>36</v>
      </c>
      <c r="I32">
        <v>0.28999999999999998</v>
      </c>
      <c r="J32">
        <f>IF(COUNT(I27:I32)&gt;3.5,ROUND(AVERAGE(I27:I32),2),"")</f>
        <v>0.31</v>
      </c>
      <c r="K32">
        <f>IF(COUNT(2.19, 0.06, -0.03, 0.23, 0.18, 0.31, 1.43, 1.37, 1.84, 1.92, 2.7, 3.25, 2.91, 2.85, 3.05, 3.24, 3.5, 3.33, 2.52, 2.28, 1.84, 1.73, 1.78, 2.86)&gt;17.5,ROUND(AVERAGE(2.19, 0.06, -0.03, 0.23, 0.18, 0.31, 1.43, 1.37, 1.84, 1.92, 2.7, 3.25, 2.91, 2.85, 3.05, 3.24, 3.5, 3.33, 2.52, 2.28, 1.84, 1.73, 1.78, 2.86),2),"NO AVG")</f>
        <v>1.97</v>
      </c>
    </row>
    <row r="33" spans="1:11" x14ac:dyDescent="0.25">
      <c r="A33" s="1">
        <v>44784.216053240743</v>
      </c>
      <c r="B33" s="1">
        <v>44784.215995370374</v>
      </c>
      <c r="C33">
        <v>5.5</v>
      </c>
      <c r="D33">
        <v>4.8</v>
      </c>
      <c r="E33">
        <v>72</v>
      </c>
      <c r="F33">
        <v>0</v>
      </c>
      <c r="G33" t="s">
        <v>33</v>
      </c>
      <c r="H33" t="s">
        <v>36</v>
      </c>
      <c r="I33">
        <v>0.26</v>
      </c>
      <c r="J33" s="2"/>
      <c r="K33" s="2"/>
    </row>
    <row r="34" spans="1:11" x14ac:dyDescent="0.25">
      <c r="A34" s="1">
        <v>44784.222986111112</v>
      </c>
      <c r="B34" s="1">
        <v>44784.222939814812</v>
      </c>
      <c r="C34">
        <v>6.2</v>
      </c>
      <c r="D34">
        <v>4.9000000000000004</v>
      </c>
      <c r="E34">
        <v>71</v>
      </c>
      <c r="F34">
        <v>0</v>
      </c>
      <c r="G34" t="s">
        <v>33</v>
      </c>
      <c r="H34" t="s">
        <v>36</v>
      </c>
      <c r="I34">
        <v>0.57999999999999996</v>
      </c>
      <c r="J34" s="2"/>
      <c r="K34" s="2"/>
    </row>
    <row r="35" spans="1:11" x14ac:dyDescent="0.25">
      <c r="A35" s="1">
        <v>44784.22991898148</v>
      </c>
      <c r="B35" s="1">
        <v>44784.229884259257</v>
      </c>
      <c r="C35">
        <v>6.3</v>
      </c>
      <c r="D35">
        <v>4.9000000000000004</v>
      </c>
      <c r="E35">
        <v>71</v>
      </c>
      <c r="F35">
        <v>0</v>
      </c>
      <c r="G35" t="s">
        <v>33</v>
      </c>
      <c r="H35" t="s">
        <v>36</v>
      </c>
      <c r="I35">
        <v>0.61</v>
      </c>
      <c r="J35" s="2"/>
      <c r="K35" s="2"/>
    </row>
    <row r="36" spans="1:11" x14ac:dyDescent="0.25">
      <c r="A36" s="1">
        <v>44784.236863425926</v>
      </c>
      <c r="B36" s="1">
        <v>44784.236840277779</v>
      </c>
      <c r="C36">
        <v>6.3</v>
      </c>
      <c r="D36">
        <v>4.7</v>
      </c>
      <c r="E36">
        <v>70</v>
      </c>
      <c r="F36">
        <v>0</v>
      </c>
      <c r="G36" t="s">
        <v>33</v>
      </c>
      <c r="H36" t="s">
        <v>36</v>
      </c>
      <c r="I36">
        <v>0.61</v>
      </c>
      <c r="J36" s="2"/>
      <c r="K36" s="2"/>
    </row>
    <row r="37" spans="1:11" x14ac:dyDescent="0.25">
      <c r="A37" s="1">
        <v>44784.243807870371</v>
      </c>
      <c r="B37" s="1">
        <v>44784.243773148148</v>
      </c>
      <c r="C37">
        <v>6.5</v>
      </c>
      <c r="D37">
        <v>4.9000000000000004</v>
      </c>
      <c r="E37">
        <v>70</v>
      </c>
      <c r="F37">
        <v>0</v>
      </c>
      <c r="G37" t="s">
        <v>33</v>
      </c>
      <c r="H37" t="s">
        <v>36</v>
      </c>
      <c r="I37">
        <v>0.74</v>
      </c>
      <c r="J37" s="2"/>
      <c r="K37" s="2"/>
    </row>
    <row r="38" spans="1:11" x14ac:dyDescent="0.25">
      <c r="A38" s="1">
        <v>44784.250763888886</v>
      </c>
      <c r="B38" s="1">
        <v>44784.25072916667</v>
      </c>
      <c r="C38">
        <v>6.5</v>
      </c>
      <c r="D38">
        <v>5.0999999999999996</v>
      </c>
      <c r="E38">
        <v>69</v>
      </c>
      <c r="F38">
        <v>0</v>
      </c>
      <c r="G38" t="s">
        <v>33</v>
      </c>
      <c r="H38" t="s">
        <v>36</v>
      </c>
      <c r="I38">
        <v>0.87</v>
      </c>
      <c r="J38">
        <f>IF(COUNT(I33:I38)&gt;3.5,ROUND(AVERAGE(I33:I38),2),"")</f>
        <v>0.61</v>
      </c>
      <c r="K38">
        <f>IF(COUNT(2.19, 0.06, -0.03, 0.23, 0.18, 0.31, 0.61, 1.37, 1.84, 1.92, 2.7, 3.25, 2.91, 2.85, 3.05, 3.24, 3.5, 3.33, 2.52, 2.28, 1.84, 1.73, 1.78, 2.86)&gt;17.5,ROUND(AVERAGE(2.19, 0.06, -0.03, 0.23, 0.18, 0.31, 0.61, 1.37, 1.84, 1.92, 2.7, 3.25, 2.91, 2.85, 3.05, 3.24, 3.5, 3.33, 2.52, 2.28, 1.84, 1.73, 1.78, 2.86),2),"NO AVG")</f>
        <v>1.94</v>
      </c>
    </row>
    <row r="39" spans="1:11" x14ac:dyDescent="0.25">
      <c r="A39" s="1">
        <v>44784.257708333331</v>
      </c>
      <c r="B39" s="1">
        <v>44784.257662037038</v>
      </c>
      <c r="C39">
        <v>6.9</v>
      </c>
      <c r="D39">
        <v>5.0999999999999996</v>
      </c>
      <c r="E39">
        <v>69</v>
      </c>
      <c r="F39">
        <v>0</v>
      </c>
      <c r="G39" t="s">
        <v>33</v>
      </c>
      <c r="H39" t="s">
        <v>36</v>
      </c>
      <c r="I39">
        <v>0.99</v>
      </c>
      <c r="J39" s="2"/>
      <c r="K39" s="2"/>
    </row>
    <row r="40" spans="1:11" x14ac:dyDescent="0.25">
      <c r="A40" s="1">
        <v>44784.264652777776</v>
      </c>
      <c r="B40" s="1">
        <v>44784.264606481483</v>
      </c>
      <c r="C40">
        <v>7.1</v>
      </c>
      <c r="D40">
        <v>5</v>
      </c>
      <c r="E40">
        <v>68</v>
      </c>
      <c r="F40">
        <v>0</v>
      </c>
      <c r="G40" t="s">
        <v>33</v>
      </c>
      <c r="H40" t="s">
        <v>36</v>
      </c>
      <c r="I40">
        <v>1.0900000000000001</v>
      </c>
      <c r="J40" s="2"/>
      <c r="K40" s="2"/>
    </row>
    <row r="41" spans="1:11" x14ac:dyDescent="0.25">
      <c r="A41" s="1">
        <v>44784.271597222221</v>
      </c>
      <c r="B41" s="1">
        <v>44784.271550925929</v>
      </c>
      <c r="C41">
        <v>7.2</v>
      </c>
      <c r="D41">
        <v>5</v>
      </c>
      <c r="E41">
        <v>68</v>
      </c>
      <c r="F41">
        <v>0</v>
      </c>
      <c r="G41" t="s">
        <v>33</v>
      </c>
      <c r="H41" t="s">
        <v>36</v>
      </c>
      <c r="I41">
        <v>1.1200000000000001</v>
      </c>
      <c r="J41" s="2"/>
      <c r="K41" s="2"/>
    </row>
    <row r="42" spans="1:11" x14ac:dyDescent="0.25">
      <c r="A42" s="1">
        <v>44784.27853009259</v>
      </c>
      <c r="B42" s="1">
        <v>44784.278495370374</v>
      </c>
      <c r="C42">
        <v>6.7</v>
      </c>
      <c r="D42">
        <v>5.0999999999999996</v>
      </c>
      <c r="E42">
        <v>68</v>
      </c>
      <c r="F42">
        <v>0</v>
      </c>
      <c r="G42" t="s">
        <v>33</v>
      </c>
      <c r="H42" t="s">
        <v>36</v>
      </c>
      <c r="I42">
        <v>1</v>
      </c>
      <c r="J42" s="2"/>
      <c r="K42" s="2"/>
    </row>
    <row r="43" spans="1:11" x14ac:dyDescent="0.25">
      <c r="A43" s="1">
        <v>44784.285486111112</v>
      </c>
      <c r="B43" s="1">
        <v>44784.285439814812</v>
      </c>
      <c r="C43">
        <v>7.1</v>
      </c>
      <c r="D43">
        <v>5.2</v>
      </c>
      <c r="E43">
        <v>67</v>
      </c>
      <c r="F43">
        <v>0</v>
      </c>
      <c r="G43" t="s">
        <v>33</v>
      </c>
      <c r="H43" t="s">
        <v>36</v>
      </c>
      <c r="I43">
        <v>1.22</v>
      </c>
      <c r="J43" s="2"/>
      <c r="K43" s="2"/>
    </row>
    <row r="44" spans="1:11" x14ac:dyDescent="0.25">
      <c r="A44" s="1">
        <v>44784.292430555557</v>
      </c>
      <c r="B44" s="1">
        <v>44784.292384259257</v>
      </c>
      <c r="C44">
        <v>6.7</v>
      </c>
      <c r="D44">
        <v>5.0999999999999996</v>
      </c>
      <c r="E44">
        <v>67</v>
      </c>
      <c r="F44">
        <v>0</v>
      </c>
      <c r="G44" t="s">
        <v>33</v>
      </c>
      <c r="H44" t="s">
        <v>36</v>
      </c>
      <c r="I44">
        <v>1.07</v>
      </c>
      <c r="J44">
        <f>IF(COUNT(I39:I44)&gt;3.5,ROUND(AVERAGE(I39:I44),2),"")</f>
        <v>1.08</v>
      </c>
      <c r="K44">
        <f>IF(COUNT(2.19, 0.06, -0.03, 0.23, 0.18, 0.31, 0.61, 1.08, 1.84, 1.92, 2.7, 3.25, 2.91, 2.85, 3.05, 3.24, 3.5, 3.33, 2.52, 2.28, 1.84, 1.73, 1.78, 2.86)&gt;17.5,ROUND(AVERAGE(2.19, 0.06, -0.03, 0.23, 0.18, 0.31, 0.61, 1.08, 1.84, 1.92, 2.7, 3.25, 2.91, 2.85, 3.05, 3.24, 3.5, 3.33, 2.52, 2.28, 1.84, 1.73, 1.78, 2.86),2),"NO AVG")</f>
        <v>1.93</v>
      </c>
    </row>
    <row r="45" spans="1:11" x14ac:dyDescent="0.25">
      <c r="A45" s="1">
        <v>44784.299375000002</v>
      </c>
      <c r="B45" s="1">
        <v>44784.299340277779</v>
      </c>
      <c r="C45">
        <v>6.8</v>
      </c>
      <c r="D45">
        <v>5</v>
      </c>
      <c r="E45">
        <v>66</v>
      </c>
      <c r="F45">
        <v>0</v>
      </c>
      <c r="G45" t="s">
        <v>33</v>
      </c>
      <c r="H45" t="s">
        <v>36</v>
      </c>
      <c r="I45">
        <v>1.1399999999999999</v>
      </c>
      <c r="J45" s="2"/>
      <c r="K45" s="2"/>
    </row>
    <row r="46" spans="1:11" x14ac:dyDescent="0.25">
      <c r="A46" s="1">
        <v>44784.306307870371</v>
      </c>
      <c r="B46" s="1">
        <v>44784.306273148148</v>
      </c>
      <c r="C46">
        <v>6.3</v>
      </c>
      <c r="D46">
        <v>5</v>
      </c>
      <c r="E46">
        <v>66</v>
      </c>
      <c r="F46">
        <v>0</v>
      </c>
      <c r="G46" t="s">
        <v>33</v>
      </c>
      <c r="H46" t="s">
        <v>36</v>
      </c>
      <c r="I46">
        <v>0.99</v>
      </c>
      <c r="J46" s="2"/>
      <c r="K46" s="2"/>
    </row>
    <row r="47" spans="1:11" x14ac:dyDescent="0.25">
      <c r="A47" s="1">
        <v>44784.313252314816</v>
      </c>
      <c r="B47" s="1">
        <v>44784.313217592593</v>
      </c>
      <c r="C47">
        <v>5.9</v>
      </c>
      <c r="D47">
        <v>5</v>
      </c>
      <c r="E47">
        <v>66</v>
      </c>
      <c r="F47">
        <v>0</v>
      </c>
      <c r="G47" t="s">
        <v>33</v>
      </c>
      <c r="H47" t="s">
        <v>36</v>
      </c>
      <c r="I47">
        <v>0.86</v>
      </c>
      <c r="J47" s="2"/>
      <c r="K47" s="2"/>
    </row>
    <row r="48" spans="1:11" x14ac:dyDescent="0.25">
      <c r="A48" s="1">
        <v>44784.320208333331</v>
      </c>
      <c r="B48" s="1">
        <v>44784.320162037038</v>
      </c>
      <c r="C48">
        <v>6</v>
      </c>
      <c r="D48">
        <v>5</v>
      </c>
      <c r="E48">
        <v>65</v>
      </c>
      <c r="F48">
        <v>0</v>
      </c>
      <c r="G48" t="s">
        <v>33</v>
      </c>
      <c r="H48" t="s">
        <v>36</v>
      </c>
      <c r="I48">
        <v>0.96</v>
      </c>
      <c r="J48" s="2"/>
      <c r="K48" s="2"/>
    </row>
    <row r="49" spans="1:11" x14ac:dyDescent="0.25">
      <c r="A49" s="1">
        <v>44784.327152777776</v>
      </c>
      <c r="B49" s="1">
        <v>44784.327106481483</v>
      </c>
      <c r="C49">
        <v>5.9</v>
      </c>
      <c r="D49">
        <v>4.9000000000000004</v>
      </c>
      <c r="E49">
        <v>64</v>
      </c>
      <c r="F49">
        <v>0</v>
      </c>
      <c r="G49" t="s">
        <v>33</v>
      </c>
      <c r="H49" t="s">
        <v>36</v>
      </c>
      <c r="I49">
        <v>0.97</v>
      </c>
      <c r="J49" s="2"/>
      <c r="K49" s="2"/>
    </row>
    <row r="50" spans="1:11" x14ac:dyDescent="0.25">
      <c r="A50" s="1">
        <v>44784.334097222221</v>
      </c>
      <c r="B50" s="1">
        <v>44784.334050925929</v>
      </c>
      <c r="C50">
        <v>6.4</v>
      </c>
      <c r="D50">
        <v>5</v>
      </c>
      <c r="E50">
        <v>64</v>
      </c>
      <c r="F50">
        <v>0</v>
      </c>
      <c r="G50" t="s">
        <v>33</v>
      </c>
      <c r="H50" t="s">
        <v>36</v>
      </c>
      <c r="I50">
        <v>1.1599999999999999</v>
      </c>
      <c r="J50">
        <f>IF(COUNT(I45:I50)&gt;3.5,ROUND(AVERAGE(I45:I50),2),"")</f>
        <v>1.01</v>
      </c>
      <c r="K50">
        <f>IF(COUNT(2.19, 0.06, -0.03, 0.23, 0.18, 0.31, 0.61, 1.08, 1.01, 1.92, 2.7, 3.25, 2.91, 2.85, 3.05, 3.24, 3.5, 3.33, 2.52, 2.28, 1.84, 1.73, 1.78, 2.86)&gt;17.5,ROUND(AVERAGE(2.19, 0.06, -0.03, 0.23, 0.18, 0.31, 0.61, 1.08, 1.01, 1.92, 2.7, 3.25, 2.91, 2.85, 3.05, 3.24, 3.5, 3.33, 2.52, 2.28, 1.84, 1.73, 1.78, 2.86),2),"NO AVG")</f>
        <v>1.89</v>
      </c>
    </row>
    <row r="51" spans="1:11" x14ac:dyDescent="0.25">
      <c r="A51" s="1">
        <v>44784.341041666667</v>
      </c>
      <c r="B51" s="1">
        <v>44784.340995370374</v>
      </c>
      <c r="C51">
        <v>6.8</v>
      </c>
      <c r="D51">
        <v>5.2</v>
      </c>
      <c r="E51">
        <v>63</v>
      </c>
      <c r="F51">
        <v>0</v>
      </c>
      <c r="G51" t="s">
        <v>33</v>
      </c>
      <c r="H51" t="s">
        <v>36</v>
      </c>
      <c r="I51">
        <v>1.41</v>
      </c>
      <c r="J51" s="2"/>
      <c r="K51" s="2"/>
    </row>
    <row r="52" spans="1:11" x14ac:dyDescent="0.25">
      <c r="A52" s="1">
        <v>44784.347986111112</v>
      </c>
      <c r="B52" s="1">
        <v>44784.347951388889</v>
      </c>
      <c r="C52">
        <v>7</v>
      </c>
      <c r="D52">
        <v>5.4</v>
      </c>
      <c r="E52">
        <v>62</v>
      </c>
      <c r="F52">
        <v>0</v>
      </c>
      <c r="G52" t="s">
        <v>33</v>
      </c>
      <c r="H52" t="s">
        <v>36</v>
      </c>
      <c r="I52">
        <v>1.6</v>
      </c>
      <c r="J52" s="2"/>
      <c r="K52" s="2"/>
    </row>
    <row r="53" spans="1:11" x14ac:dyDescent="0.25">
      <c r="A53" s="1">
        <v>44784.354930555557</v>
      </c>
      <c r="B53" s="1">
        <v>44784.354884259257</v>
      </c>
      <c r="C53">
        <v>6.9</v>
      </c>
      <c r="D53">
        <v>5.4</v>
      </c>
      <c r="E53">
        <v>58</v>
      </c>
      <c r="F53">
        <v>0</v>
      </c>
      <c r="G53" t="s">
        <v>33</v>
      </c>
      <c r="H53" t="s">
        <v>36</v>
      </c>
      <c r="I53">
        <v>1.85</v>
      </c>
      <c r="J53" s="2"/>
      <c r="K53" s="2"/>
    </row>
    <row r="54" spans="1:11" x14ac:dyDescent="0.25">
      <c r="A54" s="1">
        <v>44784.361875000002</v>
      </c>
      <c r="B54" s="1">
        <v>44784.361828703702</v>
      </c>
      <c r="C54">
        <v>6.7</v>
      </c>
      <c r="D54">
        <v>5.4</v>
      </c>
      <c r="E54">
        <v>55</v>
      </c>
      <c r="F54">
        <v>0</v>
      </c>
      <c r="G54" t="s">
        <v>33</v>
      </c>
      <c r="H54" t="s">
        <v>36</v>
      </c>
      <c r="I54">
        <v>2</v>
      </c>
      <c r="J54" s="2"/>
      <c r="K54" s="2"/>
    </row>
    <row r="55" spans="1:11" x14ac:dyDescent="0.25">
      <c r="A55" s="1">
        <v>44784.368819444448</v>
      </c>
      <c r="B55" s="1">
        <v>44784.368784722225</v>
      </c>
      <c r="C55">
        <v>6.7</v>
      </c>
      <c r="D55">
        <v>5.7</v>
      </c>
      <c r="E55">
        <v>55</v>
      </c>
      <c r="F55">
        <v>0</v>
      </c>
      <c r="G55" t="s">
        <v>33</v>
      </c>
      <c r="H55" t="s">
        <v>36</v>
      </c>
      <c r="I55">
        <v>2.09</v>
      </c>
      <c r="J55" s="2"/>
      <c r="K55" s="2"/>
    </row>
    <row r="56" spans="1:11" x14ac:dyDescent="0.25">
      <c r="A56" s="1">
        <v>44784.375763888886</v>
      </c>
      <c r="B56" s="1">
        <v>44784.375717592593</v>
      </c>
      <c r="C56">
        <v>7</v>
      </c>
      <c r="D56">
        <v>5.9</v>
      </c>
      <c r="E56">
        <v>56</v>
      </c>
      <c r="F56">
        <v>0</v>
      </c>
      <c r="G56" t="s">
        <v>33</v>
      </c>
      <c r="H56" t="s">
        <v>36</v>
      </c>
      <c r="I56">
        <v>2.17</v>
      </c>
      <c r="J56">
        <f>IF(COUNT(I51:I56)&gt;3.5,ROUND(AVERAGE(I51:I56),2),"")</f>
        <v>1.85</v>
      </c>
      <c r="K56">
        <f>IF(COUNT(2.19, 0.06, -0.03, 0.23, 0.18, 0.31, 0.61, 1.08, 1.01, 1.85, 2.7, 3.25, 2.91, 2.85, 3.05, 3.24, 3.5, 3.33, 2.52, 2.28, 1.84, 1.73, 1.78, 2.86)&gt;17.5,ROUND(AVERAGE(2.19, 0.06, -0.03, 0.23, 0.18, 0.31, 0.61, 1.08, 1.01, 1.85, 2.7, 3.25, 2.91, 2.85, 3.05, 3.24, 3.5, 3.33, 2.52, 2.28, 1.84, 1.73, 1.78, 2.86),2),"NO AVG")</f>
        <v>1.89</v>
      </c>
    </row>
    <row r="57" spans="1:11" x14ac:dyDescent="0.25">
      <c r="A57" s="1">
        <v>44784.382708333331</v>
      </c>
      <c r="B57" s="1">
        <v>44784.382662037038</v>
      </c>
      <c r="C57">
        <v>7</v>
      </c>
      <c r="D57">
        <v>6</v>
      </c>
      <c r="E57">
        <v>56</v>
      </c>
      <c r="F57">
        <v>0</v>
      </c>
      <c r="G57" t="s">
        <v>33</v>
      </c>
      <c r="H57" t="s">
        <v>36</v>
      </c>
      <c r="I57">
        <v>2.2000000000000002</v>
      </c>
      <c r="J57" s="2"/>
      <c r="K57" s="2"/>
    </row>
    <row r="58" spans="1:11" x14ac:dyDescent="0.25">
      <c r="A58" s="1">
        <v>44784.389652777776</v>
      </c>
      <c r="B58" s="1">
        <v>44784.389618055553</v>
      </c>
      <c r="C58">
        <v>7.4</v>
      </c>
      <c r="D58">
        <v>6</v>
      </c>
      <c r="E58">
        <v>55</v>
      </c>
      <c r="F58">
        <v>0</v>
      </c>
      <c r="G58" t="s">
        <v>33</v>
      </c>
      <c r="H58" t="s">
        <v>36</v>
      </c>
      <c r="I58">
        <v>2.4</v>
      </c>
      <c r="J58" s="2"/>
      <c r="K58" s="2"/>
    </row>
    <row r="59" spans="1:11" x14ac:dyDescent="0.25">
      <c r="A59" s="1">
        <v>44784.396597222221</v>
      </c>
      <c r="B59" s="1">
        <v>44784.396562499998</v>
      </c>
      <c r="C59">
        <v>7.6</v>
      </c>
      <c r="D59">
        <v>6</v>
      </c>
      <c r="E59">
        <v>54</v>
      </c>
      <c r="F59">
        <v>0</v>
      </c>
      <c r="G59" t="s">
        <v>33</v>
      </c>
      <c r="H59" t="s">
        <v>36</v>
      </c>
      <c r="I59">
        <v>2.5299999999999998</v>
      </c>
      <c r="J59" s="2"/>
      <c r="K59" s="2"/>
    </row>
    <row r="60" spans="1:11" x14ac:dyDescent="0.25">
      <c r="A60" s="1">
        <v>44784.403541666667</v>
      </c>
      <c r="B60" s="1">
        <v>44784.403506944444</v>
      </c>
      <c r="C60">
        <v>7.7</v>
      </c>
      <c r="D60">
        <v>6.2</v>
      </c>
      <c r="E60">
        <v>53</v>
      </c>
      <c r="F60">
        <v>0</v>
      </c>
      <c r="G60" t="s">
        <v>33</v>
      </c>
      <c r="H60" t="s">
        <v>36</v>
      </c>
      <c r="I60">
        <v>2.69</v>
      </c>
      <c r="J60" s="2"/>
      <c r="K60" s="2"/>
    </row>
    <row r="61" spans="1:11" x14ac:dyDescent="0.25">
      <c r="A61" s="1">
        <v>44784.410486111112</v>
      </c>
      <c r="B61" s="1">
        <v>44784.410451388889</v>
      </c>
      <c r="C61">
        <v>7.5</v>
      </c>
      <c r="D61">
        <v>6.3</v>
      </c>
      <c r="E61">
        <v>52</v>
      </c>
      <c r="F61">
        <v>0</v>
      </c>
      <c r="G61" t="s">
        <v>33</v>
      </c>
      <c r="H61" t="s">
        <v>36</v>
      </c>
      <c r="I61">
        <v>2.73</v>
      </c>
      <c r="J61" s="2"/>
      <c r="K61" s="2"/>
    </row>
    <row r="62" spans="1:11" x14ac:dyDescent="0.25">
      <c r="A62" s="1">
        <v>44784.417430555557</v>
      </c>
      <c r="B62" s="1">
        <v>44784.417395833334</v>
      </c>
      <c r="C62">
        <v>7.7</v>
      </c>
      <c r="D62">
        <v>6.2</v>
      </c>
      <c r="E62">
        <v>50</v>
      </c>
      <c r="F62">
        <v>0</v>
      </c>
      <c r="G62" t="s">
        <v>33</v>
      </c>
      <c r="H62" t="s">
        <v>36</v>
      </c>
      <c r="I62">
        <v>2.9</v>
      </c>
      <c r="J62">
        <f>IF(COUNT(I57:I62)&gt;3.5,ROUND(AVERAGE(I57:I62),2),"")</f>
        <v>2.58</v>
      </c>
      <c r="K62">
        <f>IF(COUNT(2.19, 0.06, -0.03, 0.23, 0.18, 0.31, 0.61, 1.08, 1.01, 1.85, 2.58, 3.25, 2.91, 2.85, 3.05, 3.24, 3.5, 3.33, 2.52, 2.28, 1.84, 1.73, 1.78, 2.86)&gt;17.5,ROUND(AVERAGE(2.19, 0.06, -0.03, 0.23, 0.18, 0.31, 0.61, 1.08, 1.01, 1.85, 2.58, 3.25, 2.91, 2.85, 3.05, 3.24, 3.5, 3.33, 2.52, 2.28, 1.84, 1.73, 1.78, 2.86),2),"NO AVG")</f>
        <v>1.88</v>
      </c>
    </row>
    <row r="63" spans="1:11" x14ac:dyDescent="0.25">
      <c r="A63" s="1">
        <v>44784.424375000002</v>
      </c>
      <c r="B63" s="1">
        <v>44784.424340277779</v>
      </c>
      <c r="C63">
        <v>7.7</v>
      </c>
      <c r="D63">
        <v>6.2</v>
      </c>
      <c r="E63">
        <v>49</v>
      </c>
      <c r="F63">
        <v>0</v>
      </c>
      <c r="G63" t="s">
        <v>33</v>
      </c>
      <c r="H63" t="s">
        <v>36</v>
      </c>
      <c r="I63">
        <v>2.97</v>
      </c>
      <c r="J63" s="2"/>
      <c r="K63" s="2"/>
    </row>
    <row r="64" spans="1:11" x14ac:dyDescent="0.25">
      <c r="A64" s="1">
        <v>44784.431319444448</v>
      </c>
      <c r="B64" s="1">
        <v>44784.431284722225</v>
      </c>
      <c r="C64">
        <v>7.6</v>
      </c>
      <c r="D64">
        <v>6.3</v>
      </c>
      <c r="E64">
        <v>48</v>
      </c>
      <c r="F64">
        <v>0</v>
      </c>
      <c r="G64" t="s">
        <v>33</v>
      </c>
      <c r="H64" t="s">
        <v>36</v>
      </c>
      <c r="I64">
        <v>3.04</v>
      </c>
      <c r="J64" s="2"/>
      <c r="K64" s="2"/>
    </row>
    <row r="65" spans="1:11" x14ac:dyDescent="0.25">
      <c r="A65" s="1">
        <v>44784.438275462962</v>
      </c>
      <c r="B65" s="1">
        <v>44784.43822916667</v>
      </c>
      <c r="C65">
        <v>7.6</v>
      </c>
      <c r="D65">
        <v>6.3</v>
      </c>
      <c r="E65">
        <v>48</v>
      </c>
      <c r="F65">
        <v>0</v>
      </c>
      <c r="G65" t="s">
        <v>33</v>
      </c>
      <c r="H65" t="s">
        <v>36</v>
      </c>
      <c r="I65">
        <v>3.04</v>
      </c>
      <c r="J65" s="2"/>
      <c r="K65" s="2"/>
    </row>
    <row r="66" spans="1:11" x14ac:dyDescent="0.25">
      <c r="A66" s="1">
        <v>44784.445208333331</v>
      </c>
      <c r="B66" s="1">
        <v>44784.445173611108</v>
      </c>
      <c r="C66">
        <v>7.5</v>
      </c>
      <c r="D66">
        <v>6.5</v>
      </c>
      <c r="E66">
        <v>48</v>
      </c>
      <c r="F66">
        <v>0</v>
      </c>
      <c r="G66" t="s">
        <v>33</v>
      </c>
      <c r="H66" t="s">
        <v>36</v>
      </c>
      <c r="I66">
        <v>3.07</v>
      </c>
      <c r="J66" s="2"/>
      <c r="K66" s="2"/>
    </row>
    <row r="67" spans="1:11" x14ac:dyDescent="0.25">
      <c r="A67" s="1">
        <v>44784.452152777776</v>
      </c>
      <c r="B67" s="1">
        <v>44784.452118055553</v>
      </c>
      <c r="C67">
        <v>7.7</v>
      </c>
      <c r="D67">
        <v>6.4</v>
      </c>
      <c r="E67">
        <v>48</v>
      </c>
      <c r="F67">
        <v>0</v>
      </c>
      <c r="G67" t="s">
        <v>33</v>
      </c>
      <c r="H67" t="s">
        <v>36</v>
      </c>
      <c r="I67">
        <v>3.1</v>
      </c>
      <c r="J67" s="2"/>
      <c r="K67" s="2"/>
    </row>
    <row r="68" spans="1:11" x14ac:dyDescent="0.25">
      <c r="A68" s="1">
        <v>44784.459097222221</v>
      </c>
      <c r="B68" s="1">
        <v>44784.459062499998</v>
      </c>
      <c r="C68">
        <v>7.5</v>
      </c>
      <c r="D68">
        <v>6.5</v>
      </c>
      <c r="E68">
        <v>46</v>
      </c>
      <c r="F68">
        <v>0</v>
      </c>
      <c r="G68" t="s">
        <v>33</v>
      </c>
      <c r="H68" t="s">
        <v>36</v>
      </c>
      <c r="I68">
        <v>3.21</v>
      </c>
      <c r="J68">
        <f>IF(COUNT(I63:I68)&gt;3.5,ROUND(AVERAGE(I63:I68),2),"")</f>
        <v>3.07</v>
      </c>
      <c r="K68">
        <f>IF(COUNT(2.19, 0.06, -0.03, 0.23, 0.18, 0.31, 0.61, 1.08, 1.01, 1.85, 2.58, 3.07, 2.91, 2.85, 3.05, 3.24, 3.5, 3.33, 2.52, 2.28, 1.84, 1.73, 1.78, 2.86)&gt;17.5,ROUND(AVERAGE(2.19, 0.06, -0.03, 0.23, 0.18, 0.31, 0.61, 1.08, 1.01, 1.85, 2.58, 3.07, 2.91, 2.85, 3.05, 3.24, 3.5, 3.33, 2.52, 2.28, 1.84, 1.73, 1.78, 2.86),2),"NO AVG")</f>
        <v>1.88</v>
      </c>
    </row>
    <row r="69" spans="1:11" x14ac:dyDescent="0.25">
      <c r="A69" s="1">
        <v>44784.466041666667</v>
      </c>
      <c r="B69" s="1">
        <v>44784.466006944444</v>
      </c>
      <c r="C69">
        <v>7.5</v>
      </c>
      <c r="D69">
        <v>6.4</v>
      </c>
      <c r="E69">
        <v>46</v>
      </c>
      <c r="F69">
        <v>0</v>
      </c>
      <c r="G69" t="s">
        <v>33</v>
      </c>
      <c r="H69" t="s">
        <v>36</v>
      </c>
      <c r="I69">
        <v>3.18</v>
      </c>
      <c r="J69" s="2"/>
      <c r="K69" s="2"/>
    </row>
    <row r="70" spans="1:11" x14ac:dyDescent="0.25">
      <c r="A70" s="1">
        <v>44784.472986111112</v>
      </c>
      <c r="B70" s="1">
        <v>44784.472951388889</v>
      </c>
      <c r="C70">
        <v>7.6</v>
      </c>
      <c r="D70">
        <v>6.3</v>
      </c>
      <c r="E70">
        <v>46</v>
      </c>
      <c r="F70">
        <v>0</v>
      </c>
      <c r="G70" t="s">
        <v>33</v>
      </c>
      <c r="H70" t="s">
        <v>36</v>
      </c>
      <c r="I70">
        <v>3.18</v>
      </c>
      <c r="J70" s="2"/>
      <c r="K70" s="2"/>
    </row>
    <row r="71" spans="1:11" x14ac:dyDescent="0.25">
      <c r="A71" s="1">
        <v>44784.479930555557</v>
      </c>
      <c r="B71" s="1">
        <v>44784.479895833334</v>
      </c>
      <c r="C71">
        <v>7.5</v>
      </c>
      <c r="D71">
        <v>6.4</v>
      </c>
      <c r="E71">
        <v>46</v>
      </c>
      <c r="F71">
        <v>0</v>
      </c>
      <c r="G71" t="s">
        <v>33</v>
      </c>
      <c r="H71" t="s">
        <v>36</v>
      </c>
      <c r="I71">
        <v>3.18</v>
      </c>
      <c r="J71" s="2"/>
      <c r="K71" s="2"/>
    </row>
    <row r="72" spans="1:11" x14ac:dyDescent="0.25">
      <c r="A72" s="1">
        <v>44784.486886574072</v>
      </c>
      <c r="B72" s="1">
        <v>44784.486840277779</v>
      </c>
      <c r="C72">
        <v>7.6</v>
      </c>
      <c r="D72">
        <v>6.4</v>
      </c>
      <c r="E72">
        <v>47</v>
      </c>
      <c r="F72">
        <v>0</v>
      </c>
      <c r="G72" t="s">
        <v>33</v>
      </c>
      <c r="H72" t="s">
        <v>36</v>
      </c>
      <c r="I72">
        <v>3.14</v>
      </c>
      <c r="J72" s="2"/>
      <c r="K72" s="2"/>
    </row>
    <row r="73" spans="1:11" x14ac:dyDescent="0.25">
      <c r="A73" s="1">
        <v>44784.493819444448</v>
      </c>
      <c r="B73" s="1">
        <v>44784.493784722225</v>
      </c>
      <c r="C73">
        <v>7.6</v>
      </c>
      <c r="D73">
        <v>6.6</v>
      </c>
      <c r="E73">
        <v>43</v>
      </c>
      <c r="F73">
        <v>0</v>
      </c>
      <c r="G73" t="s">
        <v>33</v>
      </c>
      <c r="H73" t="s">
        <v>36</v>
      </c>
      <c r="I73">
        <v>3.48</v>
      </c>
      <c r="J73" s="2"/>
      <c r="K73" s="2"/>
    </row>
    <row r="74" spans="1:11" x14ac:dyDescent="0.25">
      <c r="A74" s="1">
        <v>44784.500763888886</v>
      </c>
      <c r="B74" s="1">
        <v>44784.50072916667</v>
      </c>
      <c r="C74">
        <v>7.3</v>
      </c>
      <c r="D74">
        <v>6.5</v>
      </c>
      <c r="E74">
        <v>41</v>
      </c>
      <c r="F74">
        <v>0</v>
      </c>
      <c r="G74" t="s">
        <v>33</v>
      </c>
      <c r="H74" t="s">
        <v>36</v>
      </c>
      <c r="I74">
        <v>3.5</v>
      </c>
      <c r="J74">
        <f>IF(COUNT(I69:I74)&gt;3.5,ROUND(AVERAGE(I69:I74),2),"")</f>
        <v>3.28</v>
      </c>
      <c r="K74">
        <f>IF(COUNT(2.19, 0.06, -0.03, 0.23, 0.18, 0.31, 0.61, 1.08, 1.01, 1.85, 2.58, 3.07, 3.28, 2.85, 3.05, 3.24, 3.5, 3.33, 2.52, 2.28, 1.84, 1.73, 1.78, 2.86)&gt;17.5,ROUND(AVERAGE(2.19, 0.06, -0.03, 0.23, 0.18, 0.31, 0.61, 1.08, 1.01, 1.85, 2.58, 3.07, 3.28, 2.85, 3.05, 3.24, 3.5, 3.33, 2.52, 2.28, 1.84, 1.73, 1.78, 2.86),2),"NO AVG")</f>
        <v>1.89</v>
      </c>
    </row>
    <row r="75" spans="1:11" x14ac:dyDescent="0.25">
      <c r="A75" s="1">
        <v>44784.507708333331</v>
      </c>
      <c r="B75" s="1">
        <v>44784.507673611108</v>
      </c>
      <c r="C75">
        <v>7.5</v>
      </c>
      <c r="D75">
        <v>6.3</v>
      </c>
      <c r="E75">
        <v>39</v>
      </c>
      <c r="F75">
        <v>0</v>
      </c>
      <c r="G75" t="s">
        <v>33</v>
      </c>
      <c r="H75" t="s">
        <v>36</v>
      </c>
      <c r="I75">
        <v>3.64</v>
      </c>
      <c r="J75" s="2"/>
      <c r="K75" s="2"/>
    </row>
    <row r="76" spans="1:11" x14ac:dyDescent="0.25">
      <c r="A76" s="1">
        <v>44784.514652777776</v>
      </c>
      <c r="B76" s="1">
        <v>44784.514618055553</v>
      </c>
      <c r="C76">
        <v>7.3</v>
      </c>
      <c r="D76">
        <v>6.2</v>
      </c>
      <c r="E76">
        <v>38</v>
      </c>
      <c r="F76">
        <v>0</v>
      </c>
      <c r="G76" t="s">
        <v>33</v>
      </c>
      <c r="H76" t="s">
        <v>36</v>
      </c>
      <c r="I76">
        <v>3.62</v>
      </c>
      <c r="J76" s="2"/>
      <c r="K76" s="2"/>
    </row>
    <row r="77" spans="1:11" x14ac:dyDescent="0.25">
      <c r="A77" s="1">
        <v>44784.521608796298</v>
      </c>
      <c r="B77" s="1">
        <v>44784.521562499998</v>
      </c>
      <c r="C77">
        <v>7.1</v>
      </c>
      <c r="D77">
        <v>6.1</v>
      </c>
      <c r="E77">
        <v>37</v>
      </c>
      <c r="F77">
        <v>0</v>
      </c>
      <c r="G77" t="s">
        <v>33</v>
      </c>
      <c r="H77" t="s">
        <v>36</v>
      </c>
      <c r="I77">
        <v>3.6</v>
      </c>
      <c r="J77" s="2"/>
      <c r="K77" s="2"/>
    </row>
    <row r="78" spans="1:11" x14ac:dyDescent="0.25">
      <c r="A78" s="1">
        <v>44784.528553240743</v>
      </c>
      <c r="B78" s="1">
        <v>44784.528506944444</v>
      </c>
      <c r="C78">
        <v>6.7</v>
      </c>
      <c r="D78">
        <v>5.6</v>
      </c>
      <c r="E78">
        <v>34</v>
      </c>
      <c r="F78">
        <v>0</v>
      </c>
      <c r="G78" t="s">
        <v>33</v>
      </c>
      <c r="H78" t="s">
        <v>36</v>
      </c>
      <c r="I78">
        <v>3.53</v>
      </c>
      <c r="J78" s="2"/>
      <c r="K78" s="2"/>
    </row>
    <row r="79" spans="1:11" x14ac:dyDescent="0.25">
      <c r="A79" s="1">
        <v>44784.535497685189</v>
      </c>
      <c r="B79" s="1">
        <v>44784.535451388889</v>
      </c>
      <c r="C79">
        <v>5.9</v>
      </c>
      <c r="D79">
        <v>4.9000000000000004</v>
      </c>
      <c r="E79">
        <v>33</v>
      </c>
      <c r="F79">
        <v>0</v>
      </c>
      <c r="G79" t="s">
        <v>33</v>
      </c>
      <c r="H79" t="s">
        <v>36</v>
      </c>
      <c r="I79">
        <v>3.14</v>
      </c>
      <c r="J79" s="2"/>
      <c r="K79" s="2"/>
    </row>
    <row r="80" spans="1:11" x14ac:dyDescent="0.25">
      <c r="A80" s="1">
        <v>44784.542430555557</v>
      </c>
      <c r="B80" s="1">
        <v>44784.542395833334</v>
      </c>
      <c r="C80">
        <v>5.2</v>
      </c>
      <c r="D80">
        <v>4.3</v>
      </c>
      <c r="E80">
        <v>31</v>
      </c>
      <c r="F80">
        <v>0</v>
      </c>
      <c r="G80" t="s">
        <v>33</v>
      </c>
      <c r="H80" t="s">
        <v>36</v>
      </c>
      <c r="I80">
        <v>2.89</v>
      </c>
      <c r="J80">
        <f>IF(COUNT(I75:I80)&gt;3.5,ROUND(AVERAGE(I75:I80),2),"")</f>
        <v>3.4</v>
      </c>
      <c r="K80">
        <f>IF(COUNT(2.19, 0.06, -0.03, 0.23, 0.18, 0.31, 0.61, 1.08, 1.01, 1.85, 2.58, 3.07, 3.28, 3.4, 3.05, 3.24, 3.5, 3.33, 2.52, 2.28, 1.84, 1.73, 1.78, 2.86)&gt;17.5,ROUND(AVERAGE(2.19, 0.06, -0.03, 0.23, 0.18, 0.31, 0.61, 1.08, 1.01, 1.85, 2.58, 3.07, 3.28, 3.4, 3.05, 3.24, 3.5, 3.33, 2.52, 2.28, 1.84, 1.73, 1.78, 2.86),2),"NO AVG")</f>
        <v>1.91</v>
      </c>
    </row>
    <row r="81" spans="1:11" x14ac:dyDescent="0.25">
      <c r="A81" s="1">
        <v>44784.549386574072</v>
      </c>
      <c r="B81" s="1">
        <v>44784.549340277779</v>
      </c>
      <c r="C81">
        <v>4.5999999999999996</v>
      </c>
      <c r="D81">
        <v>3.7</v>
      </c>
      <c r="E81">
        <v>31</v>
      </c>
      <c r="F81">
        <v>0</v>
      </c>
      <c r="G81" t="s">
        <v>33</v>
      </c>
      <c r="H81" t="s">
        <v>36</v>
      </c>
      <c r="I81">
        <v>2.52</v>
      </c>
      <c r="J81" s="2"/>
      <c r="K81" s="2"/>
    </row>
    <row r="82" spans="1:11" x14ac:dyDescent="0.25">
      <c r="A82" s="1">
        <v>44784.556817129633</v>
      </c>
      <c r="B82" s="1">
        <v>44784.556284722225</v>
      </c>
      <c r="C82">
        <v>4.5</v>
      </c>
      <c r="D82">
        <v>3.4</v>
      </c>
      <c r="E82">
        <v>34</v>
      </c>
      <c r="F82">
        <v>0</v>
      </c>
      <c r="G82" t="s">
        <v>33</v>
      </c>
      <c r="H82" t="s">
        <v>36</v>
      </c>
      <c r="I82">
        <v>2.19</v>
      </c>
      <c r="J82" s="2"/>
      <c r="K82" s="2"/>
    </row>
    <row r="83" spans="1:11" x14ac:dyDescent="0.25">
      <c r="A83" s="1">
        <v>44784.563275462962</v>
      </c>
      <c r="B83" s="1">
        <v>44784.56322916667</v>
      </c>
      <c r="C83">
        <v>4.5999999999999996</v>
      </c>
      <c r="D83">
        <v>3.5</v>
      </c>
      <c r="E83">
        <v>34</v>
      </c>
      <c r="F83">
        <v>0</v>
      </c>
      <c r="G83" t="s">
        <v>33</v>
      </c>
      <c r="H83" t="s">
        <v>36</v>
      </c>
      <c r="I83">
        <v>2.25</v>
      </c>
      <c r="J83" s="2"/>
      <c r="K83" s="2"/>
    </row>
    <row r="84" spans="1:11" x14ac:dyDescent="0.25">
      <c r="A84" s="1">
        <v>44784.570219907408</v>
      </c>
      <c r="B84" s="1">
        <v>44784.570173611108</v>
      </c>
      <c r="C84">
        <v>4.5</v>
      </c>
      <c r="D84">
        <v>3.4</v>
      </c>
      <c r="E84">
        <v>34</v>
      </c>
      <c r="F84">
        <v>0</v>
      </c>
      <c r="G84" t="s">
        <v>33</v>
      </c>
      <c r="H84" t="s">
        <v>36</v>
      </c>
      <c r="I84">
        <v>2.19</v>
      </c>
      <c r="J84" s="2"/>
      <c r="K84" s="2"/>
    </row>
    <row r="85" spans="1:11" x14ac:dyDescent="0.25">
      <c r="A85" s="1">
        <v>44784.577164351853</v>
      </c>
      <c r="B85" s="1">
        <v>44784.577118055553</v>
      </c>
      <c r="C85">
        <v>4.5</v>
      </c>
      <c r="D85">
        <v>3.4</v>
      </c>
      <c r="E85">
        <v>35</v>
      </c>
      <c r="F85">
        <v>0</v>
      </c>
      <c r="G85" t="s">
        <v>33</v>
      </c>
      <c r="H85" t="s">
        <v>36</v>
      </c>
      <c r="I85">
        <v>2.12</v>
      </c>
      <c r="J85" s="2"/>
      <c r="K85" s="2"/>
    </row>
    <row r="86" spans="1:11" x14ac:dyDescent="0.25">
      <c r="A86" s="1">
        <v>44784.584108796298</v>
      </c>
      <c r="B86" s="1">
        <v>44784.584062499998</v>
      </c>
      <c r="C86">
        <v>4.9000000000000004</v>
      </c>
      <c r="D86">
        <v>3.6</v>
      </c>
      <c r="E86">
        <v>34</v>
      </c>
      <c r="F86">
        <v>0</v>
      </c>
      <c r="G86" t="s">
        <v>33</v>
      </c>
      <c r="H86" t="s">
        <v>36</v>
      </c>
      <c r="I86">
        <v>2.37</v>
      </c>
      <c r="J86">
        <f>IF(COUNT(I81:I86)&gt;3.5,ROUND(AVERAGE(I81:I86),2),"")</f>
        <v>2.27</v>
      </c>
      <c r="K86">
        <f>IF(COUNT(2.19, 0.06, -0.03, 0.23, 0.18, 0.31, 0.61, 1.08, 1.01, 1.85, 2.58, 3.07, 3.28, 3.4, 2.27, 3.24, 3.5, 3.33, 2.52, 2.28, 1.84, 1.73, 1.78, 2.86)&gt;17.5,ROUND(AVERAGE(2.19, 0.06, -0.03, 0.23, 0.18, 0.31, 0.61, 1.08, 1.01, 1.85, 2.58, 3.07, 3.28, 3.4, 2.27, 3.24, 3.5, 3.33, 2.52, 2.28, 1.84, 1.73, 1.78, 2.86),2),"NO AVG")</f>
        <v>1.88</v>
      </c>
    </row>
    <row r="87" spans="1:11" x14ac:dyDescent="0.25">
      <c r="A87" s="1">
        <v>44784.591041666667</v>
      </c>
      <c r="B87" s="1">
        <v>44784.591006944444</v>
      </c>
      <c r="C87">
        <v>5.4</v>
      </c>
      <c r="D87">
        <v>3.7</v>
      </c>
      <c r="E87">
        <v>33</v>
      </c>
      <c r="F87">
        <v>0</v>
      </c>
      <c r="G87" t="s">
        <v>33</v>
      </c>
      <c r="H87" t="s">
        <v>36</v>
      </c>
      <c r="I87">
        <v>2.63</v>
      </c>
      <c r="J87" s="2"/>
      <c r="K87" s="2"/>
    </row>
    <row r="88" spans="1:11" x14ac:dyDescent="0.25">
      <c r="A88" s="1">
        <v>44784.597986111112</v>
      </c>
      <c r="B88" s="1">
        <v>44784.597951388889</v>
      </c>
      <c r="C88">
        <v>5.5</v>
      </c>
      <c r="D88">
        <v>3.7</v>
      </c>
      <c r="E88">
        <v>34</v>
      </c>
      <c r="F88">
        <v>0</v>
      </c>
      <c r="G88" t="s">
        <v>33</v>
      </c>
      <c r="H88" t="s">
        <v>36</v>
      </c>
      <c r="I88">
        <v>2.59</v>
      </c>
      <c r="J88" s="2"/>
      <c r="K88" s="2"/>
    </row>
    <row r="89" spans="1:11" x14ac:dyDescent="0.25">
      <c r="A89" s="1">
        <v>44784.604942129627</v>
      </c>
      <c r="B89" s="1">
        <v>44784.604895833334</v>
      </c>
      <c r="C89">
        <v>5.8</v>
      </c>
      <c r="D89">
        <v>4</v>
      </c>
      <c r="E89">
        <v>34</v>
      </c>
      <c r="F89">
        <v>0</v>
      </c>
      <c r="G89" t="s">
        <v>33</v>
      </c>
      <c r="H89" t="s">
        <v>36</v>
      </c>
      <c r="I89">
        <v>2.77</v>
      </c>
      <c r="J89" s="2"/>
      <c r="K89" s="2"/>
    </row>
    <row r="90" spans="1:11" x14ac:dyDescent="0.25">
      <c r="A90" s="1">
        <v>44784.611886574072</v>
      </c>
      <c r="B90" s="1">
        <v>44784.611840277779</v>
      </c>
      <c r="C90">
        <v>5.8</v>
      </c>
      <c r="D90">
        <v>4.2</v>
      </c>
      <c r="E90">
        <v>34</v>
      </c>
      <c r="F90">
        <v>0</v>
      </c>
      <c r="G90" t="s">
        <v>33</v>
      </c>
      <c r="H90" t="s">
        <v>36</v>
      </c>
      <c r="I90">
        <v>2.83</v>
      </c>
      <c r="J90" s="2"/>
      <c r="K90" s="2"/>
    </row>
    <row r="91" spans="1:11" x14ac:dyDescent="0.25">
      <c r="A91" s="1">
        <v>44784.618831018517</v>
      </c>
      <c r="B91" s="1">
        <v>44784.618784722225</v>
      </c>
      <c r="C91">
        <v>6</v>
      </c>
      <c r="D91">
        <v>4.4000000000000004</v>
      </c>
      <c r="E91">
        <v>33</v>
      </c>
      <c r="F91">
        <v>0</v>
      </c>
      <c r="G91" t="s">
        <v>33</v>
      </c>
      <c r="H91" t="s">
        <v>36</v>
      </c>
      <c r="I91">
        <v>3.02</v>
      </c>
      <c r="J91" s="2"/>
      <c r="K91" s="2"/>
    </row>
    <row r="92" spans="1:11" x14ac:dyDescent="0.25">
      <c r="A92" s="1">
        <v>44784.625775462962</v>
      </c>
      <c r="B92" s="1">
        <v>44784.62572916667</v>
      </c>
      <c r="C92">
        <v>5.8</v>
      </c>
      <c r="D92">
        <v>4.4000000000000004</v>
      </c>
      <c r="E92">
        <v>34</v>
      </c>
      <c r="F92">
        <v>0</v>
      </c>
      <c r="G92" t="s">
        <v>33</v>
      </c>
      <c r="H92" t="s">
        <v>36</v>
      </c>
      <c r="I92">
        <v>2.89</v>
      </c>
      <c r="J92">
        <f>IF(COUNT(I87:I92)&gt;3.5,ROUND(AVERAGE(I87:I92),2),"")</f>
        <v>2.79</v>
      </c>
      <c r="K92">
        <f>IF(COUNT(2.19, 0.06, -0.03, 0.23, 0.18, 0.31, 0.61, 1.08, 1.01, 1.85, 2.58, 3.07, 3.28, 3.4, 2.27, 2.79, 3.5, 3.33, 2.52, 2.28, 1.84, 1.73, 1.78, 2.86)&gt;17.5,ROUND(AVERAGE(2.19, 0.06, -0.03, 0.23, 0.18, 0.31, 0.61, 1.08, 1.01, 1.85, 2.58, 3.07, 3.28, 3.4, 2.27, 2.79, 3.5, 3.33, 2.52, 2.28, 1.84, 1.73, 1.78, 2.86),2),"NO AVG")</f>
        <v>1.86</v>
      </c>
    </row>
    <row r="93" spans="1:11" x14ac:dyDescent="0.25">
      <c r="A93" s="1">
        <v>44784.632708333331</v>
      </c>
      <c r="B93" s="1">
        <v>44784.632673611108</v>
      </c>
      <c r="C93">
        <v>6.4</v>
      </c>
      <c r="D93">
        <v>4.4000000000000004</v>
      </c>
      <c r="E93">
        <v>35</v>
      </c>
      <c r="F93">
        <v>0</v>
      </c>
      <c r="G93" t="s">
        <v>33</v>
      </c>
      <c r="H93" t="s">
        <v>36</v>
      </c>
      <c r="I93">
        <v>3</v>
      </c>
      <c r="J93" s="2"/>
      <c r="K93" s="2"/>
    </row>
    <row r="94" spans="1:11" x14ac:dyDescent="0.25">
      <c r="A94" s="1">
        <v>44784.639641203707</v>
      </c>
      <c r="B94" s="1">
        <v>44784.639618055553</v>
      </c>
      <c r="C94">
        <v>6</v>
      </c>
      <c r="D94">
        <v>4.4000000000000004</v>
      </c>
      <c r="E94">
        <v>32</v>
      </c>
      <c r="F94">
        <v>0</v>
      </c>
      <c r="G94" t="s">
        <v>33</v>
      </c>
      <c r="H94" t="s">
        <v>36</v>
      </c>
      <c r="I94">
        <v>3.09</v>
      </c>
      <c r="J94" s="2"/>
      <c r="K94" s="2"/>
    </row>
    <row r="95" spans="1:11" x14ac:dyDescent="0.25">
      <c r="A95" s="1">
        <v>44784.646597222221</v>
      </c>
      <c r="B95" s="1">
        <v>44784.646562499998</v>
      </c>
      <c r="C95">
        <v>5.9</v>
      </c>
      <c r="D95">
        <v>4.4000000000000004</v>
      </c>
      <c r="E95">
        <v>33</v>
      </c>
      <c r="F95">
        <v>0</v>
      </c>
      <c r="G95" t="s">
        <v>33</v>
      </c>
      <c r="H95" t="s">
        <v>36</v>
      </c>
      <c r="I95">
        <v>2.99</v>
      </c>
      <c r="J95" s="2"/>
      <c r="K95" s="2"/>
    </row>
    <row r="96" spans="1:11" x14ac:dyDescent="0.25">
      <c r="A96" s="1">
        <v>44784.65353009259</v>
      </c>
      <c r="B96" s="1">
        <v>44784.653506944444</v>
      </c>
      <c r="C96">
        <v>5.7</v>
      </c>
      <c r="D96">
        <v>4.2</v>
      </c>
      <c r="E96">
        <v>32</v>
      </c>
      <c r="F96">
        <v>0</v>
      </c>
      <c r="G96" t="s">
        <v>33</v>
      </c>
      <c r="H96" t="s">
        <v>36</v>
      </c>
      <c r="I96">
        <v>2.94</v>
      </c>
      <c r="J96" s="2"/>
      <c r="K96" s="2"/>
    </row>
    <row r="97" spans="1:11" x14ac:dyDescent="0.25">
      <c r="A97" s="1">
        <v>44784.660474537035</v>
      </c>
      <c r="B97" s="1">
        <v>44784.660451388889</v>
      </c>
      <c r="C97">
        <v>5.5</v>
      </c>
      <c r="D97">
        <v>4.0999999999999996</v>
      </c>
      <c r="E97">
        <v>32</v>
      </c>
      <c r="F97">
        <v>0</v>
      </c>
      <c r="G97" t="s">
        <v>33</v>
      </c>
      <c r="H97" t="s">
        <v>36</v>
      </c>
      <c r="I97">
        <v>2.85</v>
      </c>
      <c r="J97" s="2"/>
      <c r="K97" s="2"/>
    </row>
    <row r="98" spans="1:11" x14ac:dyDescent="0.25">
      <c r="A98" s="1">
        <v>44784.667430555557</v>
      </c>
      <c r="B98" s="1">
        <v>44784.667395833334</v>
      </c>
      <c r="C98">
        <v>5.7</v>
      </c>
      <c r="D98">
        <v>4</v>
      </c>
      <c r="E98">
        <v>32</v>
      </c>
      <c r="F98">
        <v>0</v>
      </c>
      <c r="G98" t="s">
        <v>33</v>
      </c>
      <c r="H98" t="s">
        <v>36</v>
      </c>
      <c r="I98">
        <v>2.88</v>
      </c>
      <c r="J98">
        <f>IF(COUNT(I93:I98)&gt;3.5,ROUND(AVERAGE(I93:I98),2),"")</f>
        <v>2.96</v>
      </c>
      <c r="K98">
        <f>IF(COUNT(2.19, 0.06, -0.03, 0.23, 0.18, 0.31, 0.61, 1.08, 1.01, 1.85, 2.58, 3.07, 3.28, 3.4, 2.27, 2.79, 2.96, 3.33, 2.52, 2.28, 1.84, 1.73, 1.78, 2.86)&gt;17.5,ROUND(AVERAGE(2.19, 0.06, -0.03, 0.23, 0.18, 0.31, 0.61, 1.08, 1.01, 1.85, 2.58, 3.07, 3.28, 3.4, 2.27, 2.79, 2.96, 3.33, 2.52, 2.28, 1.84, 1.73, 1.78, 2.86),2),"NO AVG")</f>
        <v>1.84</v>
      </c>
    </row>
    <row r="99" spans="1:11" x14ac:dyDescent="0.25">
      <c r="A99" s="1">
        <v>44784.674363425926</v>
      </c>
      <c r="B99" s="1">
        <v>44784.674328703702</v>
      </c>
      <c r="C99">
        <v>5.8</v>
      </c>
      <c r="D99">
        <v>3.8</v>
      </c>
      <c r="E99">
        <v>31</v>
      </c>
      <c r="F99">
        <v>0</v>
      </c>
      <c r="G99" t="s">
        <v>33</v>
      </c>
      <c r="H99" t="s">
        <v>36</v>
      </c>
      <c r="I99">
        <v>2.92</v>
      </c>
      <c r="J99" s="2"/>
      <c r="K99" s="2"/>
    </row>
    <row r="100" spans="1:11" x14ac:dyDescent="0.25">
      <c r="A100" s="1">
        <v>44784.681307870371</v>
      </c>
      <c r="B100" s="1">
        <v>44784.681273148148</v>
      </c>
      <c r="C100">
        <v>5.5</v>
      </c>
      <c r="D100">
        <v>3.7</v>
      </c>
      <c r="E100">
        <v>32</v>
      </c>
      <c r="F100">
        <v>0</v>
      </c>
      <c r="G100" t="s">
        <v>33</v>
      </c>
      <c r="H100" t="s">
        <v>36</v>
      </c>
      <c r="I100">
        <v>2.73</v>
      </c>
      <c r="J100" s="2"/>
      <c r="K100" s="2"/>
    </row>
    <row r="101" spans="1:11" x14ac:dyDescent="0.25">
      <c r="A101" s="1">
        <v>44784.688287037039</v>
      </c>
      <c r="B101" s="1">
        <v>44784.688217592593</v>
      </c>
      <c r="C101">
        <v>5.5</v>
      </c>
      <c r="D101">
        <v>3.6</v>
      </c>
      <c r="E101">
        <v>31</v>
      </c>
      <c r="F101">
        <v>0</v>
      </c>
      <c r="G101" t="s">
        <v>33</v>
      </c>
      <c r="H101" t="s">
        <v>36</v>
      </c>
      <c r="I101">
        <v>2.77</v>
      </c>
      <c r="J101" s="2"/>
      <c r="K101" s="2"/>
    </row>
    <row r="102" spans="1:11" x14ac:dyDescent="0.25">
      <c r="A102" s="1">
        <v>44784.695196759261</v>
      </c>
      <c r="B102" s="1">
        <v>44784.695162037038</v>
      </c>
      <c r="C102">
        <v>5.7</v>
      </c>
      <c r="D102">
        <v>3.6</v>
      </c>
      <c r="E102">
        <v>32</v>
      </c>
      <c r="F102">
        <v>0</v>
      </c>
      <c r="G102" t="s">
        <v>33</v>
      </c>
      <c r="H102" t="s">
        <v>36</v>
      </c>
      <c r="I102">
        <v>2.76</v>
      </c>
      <c r="J102" s="2"/>
      <c r="K102" s="2"/>
    </row>
    <row r="103" spans="1:11" x14ac:dyDescent="0.25">
      <c r="A103" s="1">
        <v>44784.702141203707</v>
      </c>
      <c r="B103" s="1">
        <v>44784.702106481483</v>
      </c>
      <c r="C103">
        <v>5.4</v>
      </c>
      <c r="D103">
        <v>3.5</v>
      </c>
      <c r="E103">
        <v>31</v>
      </c>
      <c r="F103">
        <v>0</v>
      </c>
      <c r="G103" t="s">
        <v>33</v>
      </c>
      <c r="H103" t="s">
        <v>36</v>
      </c>
      <c r="I103">
        <v>2.7</v>
      </c>
      <c r="J103" s="2"/>
      <c r="K103" s="2"/>
    </row>
    <row r="104" spans="1:11" x14ac:dyDescent="0.25">
      <c r="A104" s="1">
        <v>44784.709085648145</v>
      </c>
      <c r="B104" s="1">
        <v>44784.709050925929</v>
      </c>
      <c r="C104">
        <v>5.4</v>
      </c>
      <c r="D104">
        <v>3.5</v>
      </c>
      <c r="E104">
        <v>32</v>
      </c>
      <c r="F104">
        <v>0</v>
      </c>
      <c r="G104" t="s">
        <v>33</v>
      </c>
      <c r="H104" t="s">
        <v>36</v>
      </c>
      <c r="I104">
        <v>2.63</v>
      </c>
      <c r="J104">
        <f>IF(COUNT(I99:I104)&gt;3.5,ROUND(AVERAGE(I99:I104),2),"")</f>
        <v>2.75</v>
      </c>
      <c r="K104">
        <f>IF(COUNT(2.19, 0.06, -0.03, 0.23, 0.18, 0.31, 0.61, 1.08, 1.01, 1.85, 2.58, 3.07, 3.28, 3.4, 2.27, 2.79, 2.96, 2.75, 2.52, 2.28, 1.84, 1.73, 1.78, 2.86)&gt;17.5,ROUND(AVERAGE(2.19, 0.06, -0.03, 0.23, 0.18, 0.31, 0.61, 1.08, 1.01, 1.85, 2.58, 3.07, 3.28, 3.4, 2.27, 2.79, 2.96, 2.75, 2.52, 2.28, 1.84, 1.73, 1.78, 2.86),2),"NO AVG")</f>
        <v>1.82</v>
      </c>
    </row>
    <row r="105" spans="1:11" x14ac:dyDescent="0.25">
      <c r="A105" s="1">
        <v>44784.71603009259</v>
      </c>
      <c r="B105" s="1">
        <v>44784.715995370374</v>
      </c>
      <c r="C105">
        <v>5.6</v>
      </c>
      <c r="D105">
        <v>3.5</v>
      </c>
      <c r="E105">
        <v>33</v>
      </c>
      <c r="F105">
        <v>0</v>
      </c>
      <c r="G105" t="s">
        <v>33</v>
      </c>
      <c r="H105" t="s">
        <v>36</v>
      </c>
      <c r="I105">
        <v>2.63</v>
      </c>
      <c r="J105" s="2"/>
      <c r="K105" s="2"/>
    </row>
    <row r="106" spans="1:11" x14ac:dyDescent="0.25">
      <c r="A106" s="1">
        <v>44784.722974537035</v>
      </c>
      <c r="B106" s="1">
        <v>44784.722939814812</v>
      </c>
      <c r="C106">
        <v>5.2</v>
      </c>
      <c r="D106">
        <v>3.7</v>
      </c>
      <c r="E106">
        <v>37</v>
      </c>
      <c r="F106">
        <v>0</v>
      </c>
      <c r="G106" t="s">
        <v>33</v>
      </c>
      <c r="H106" t="s">
        <v>36</v>
      </c>
      <c r="I106">
        <v>2.2799999999999998</v>
      </c>
      <c r="J106" s="2"/>
      <c r="K106" s="2"/>
    </row>
    <row r="107" spans="1:11" x14ac:dyDescent="0.25">
      <c r="A107" s="1">
        <v>44784.72991898148</v>
      </c>
      <c r="B107" s="1">
        <v>44784.729884259257</v>
      </c>
      <c r="C107">
        <v>5.4</v>
      </c>
      <c r="D107">
        <v>3.9</v>
      </c>
      <c r="E107">
        <v>38</v>
      </c>
      <c r="F107">
        <v>0</v>
      </c>
      <c r="G107" t="s">
        <v>33</v>
      </c>
      <c r="H107" t="s">
        <v>36</v>
      </c>
      <c r="I107">
        <v>2.34</v>
      </c>
      <c r="J107" s="2"/>
      <c r="K107" s="2"/>
    </row>
    <row r="108" spans="1:11" x14ac:dyDescent="0.25">
      <c r="A108" s="1">
        <v>44784.736863425926</v>
      </c>
      <c r="B108" s="1">
        <v>44784.736828703702</v>
      </c>
      <c r="C108">
        <v>5.6</v>
      </c>
      <c r="D108">
        <v>3.9</v>
      </c>
      <c r="E108">
        <v>36</v>
      </c>
      <c r="F108">
        <v>0</v>
      </c>
      <c r="G108" t="s">
        <v>33</v>
      </c>
      <c r="H108" t="s">
        <v>36</v>
      </c>
      <c r="I108">
        <v>2.54</v>
      </c>
      <c r="J108" s="2"/>
      <c r="K108" s="2"/>
    </row>
    <row r="109" spans="1:11" x14ac:dyDescent="0.25">
      <c r="A109" s="1">
        <v>44784.743807870371</v>
      </c>
      <c r="B109" s="1">
        <v>44784.743773148148</v>
      </c>
      <c r="C109">
        <v>5.7</v>
      </c>
      <c r="D109">
        <v>3.6</v>
      </c>
      <c r="E109">
        <v>39</v>
      </c>
      <c r="F109">
        <v>0</v>
      </c>
      <c r="G109" t="s">
        <v>33</v>
      </c>
      <c r="H109" t="s">
        <v>36</v>
      </c>
      <c r="I109">
        <v>2.27</v>
      </c>
      <c r="J109" s="2"/>
      <c r="K109" s="2"/>
    </row>
    <row r="110" spans="1:11" x14ac:dyDescent="0.25">
      <c r="A110" s="1">
        <v>44784.750752314816</v>
      </c>
      <c r="B110" s="1">
        <v>44784.750717592593</v>
      </c>
      <c r="C110">
        <v>5.3</v>
      </c>
      <c r="D110">
        <v>3.7</v>
      </c>
      <c r="E110">
        <v>33</v>
      </c>
      <c r="F110">
        <v>0</v>
      </c>
      <c r="G110" t="s">
        <v>33</v>
      </c>
      <c r="H110" t="s">
        <v>36</v>
      </c>
      <c r="I110">
        <v>2.6</v>
      </c>
      <c r="J110">
        <f>IF(COUNT(I105:I110)&gt;3.5,ROUND(AVERAGE(I105:I110),2),"")</f>
        <v>2.44</v>
      </c>
      <c r="K110">
        <f>IF(COUNT(2.19, 0.06, -0.03, 0.23, 0.18, 0.31, 0.61, 1.08, 1.01, 1.85, 2.58, 3.07, 3.28, 3.4, 2.27, 2.79, 2.96, 2.75, 2.44, 2.28, 1.84, 1.73, 1.78, 2.86)&gt;17.5,ROUND(AVERAGE(2.19, 0.06, -0.03, 0.23, 0.18, 0.31, 0.61, 1.08, 1.01, 1.85, 2.58, 3.07, 3.28, 3.4, 2.27, 2.79, 2.96, 2.75, 2.44, 2.28, 1.84, 1.73, 1.78, 2.86),2),"NO AVG")</f>
        <v>1.81</v>
      </c>
    </row>
    <row r="111" spans="1:11" x14ac:dyDescent="0.25">
      <c r="A111" s="1">
        <v>44784.757696759261</v>
      </c>
      <c r="B111" s="1">
        <v>44784.757662037038</v>
      </c>
      <c r="C111">
        <v>5.5</v>
      </c>
      <c r="D111">
        <v>3.7</v>
      </c>
      <c r="E111">
        <v>34</v>
      </c>
      <c r="F111">
        <v>0</v>
      </c>
      <c r="G111" t="s">
        <v>33</v>
      </c>
      <c r="H111" t="s">
        <v>36</v>
      </c>
      <c r="I111">
        <v>2.59</v>
      </c>
      <c r="J111" s="2"/>
      <c r="K111" s="2"/>
    </row>
    <row r="112" spans="1:11" x14ac:dyDescent="0.25">
      <c r="A112" s="1">
        <v>44784.764641203707</v>
      </c>
      <c r="B112" s="1">
        <v>44784.764606481483</v>
      </c>
      <c r="C112">
        <v>5.5</v>
      </c>
      <c r="D112">
        <v>3.7</v>
      </c>
      <c r="E112">
        <v>35</v>
      </c>
      <c r="F112">
        <v>0</v>
      </c>
      <c r="G112" t="s">
        <v>33</v>
      </c>
      <c r="H112" t="s">
        <v>36</v>
      </c>
      <c r="I112">
        <v>2.52</v>
      </c>
      <c r="J112" s="2"/>
      <c r="K112" s="2"/>
    </row>
    <row r="113" spans="1:11" x14ac:dyDescent="0.25">
      <c r="A113" s="1">
        <v>44784.771585648145</v>
      </c>
      <c r="B113" s="1">
        <v>44784.771550925929</v>
      </c>
      <c r="C113">
        <v>5.0999999999999996</v>
      </c>
      <c r="D113">
        <v>3.7</v>
      </c>
      <c r="E113">
        <v>34</v>
      </c>
      <c r="F113">
        <v>0</v>
      </c>
      <c r="G113" t="s">
        <v>33</v>
      </c>
      <c r="H113" t="s">
        <v>36</v>
      </c>
      <c r="I113">
        <v>2.46</v>
      </c>
      <c r="J113" s="2"/>
      <c r="K113" s="2"/>
    </row>
    <row r="114" spans="1:11" x14ac:dyDescent="0.25">
      <c r="A114" s="1">
        <v>44784.77853009259</v>
      </c>
      <c r="B114" s="1">
        <v>44784.778495370374</v>
      </c>
      <c r="C114">
        <v>5.0999999999999996</v>
      </c>
      <c r="D114">
        <v>3.7</v>
      </c>
      <c r="E114">
        <v>41</v>
      </c>
      <c r="F114">
        <v>0</v>
      </c>
      <c r="G114" t="s">
        <v>33</v>
      </c>
      <c r="H114" t="s">
        <v>36</v>
      </c>
      <c r="I114">
        <v>1.97</v>
      </c>
      <c r="J114" s="2"/>
      <c r="K114" s="2"/>
    </row>
    <row r="115" spans="1:11" x14ac:dyDescent="0.25">
      <c r="A115" s="1">
        <v>44784.785486111112</v>
      </c>
      <c r="B115" s="1">
        <v>44784.785439814812</v>
      </c>
      <c r="C115">
        <v>5</v>
      </c>
      <c r="D115">
        <v>3.7</v>
      </c>
      <c r="E115">
        <v>41</v>
      </c>
      <c r="F115">
        <v>0</v>
      </c>
      <c r="G115" t="s">
        <v>33</v>
      </c>
      <c r="H115" t="s">
        <v>36</v>
      </c>
      <c r="I115">
        <v>1.94</v>
      </c>
      <c r="J115" s="2"/>
      <c r="K115" s="2"/>
    </row>
    <row r="116" spans="1:11" x14ac:dyDescent="0.25">
      <c r="A116" s="1">
        <v>44784.79241898148</v>
      </c>
      <c r="B116" s="1">
        <v>44784.792384259257</v>
      </c>
      <c r="C116">
        <v>5.3</v>
      </c>
      <c r="D116">
        <v>3.9</v>
      </c>
      <c r="E116">
        <v>39</v>
      </c>
      <c r="F116">
        <v>0</v>
      </c>
      <c r="G116" t="s">
        <v>33</v>
      </c>
      <c r="H116" t="s">
        <v>36</v>
      </c>
      <c r="I116">
        <v>2.2400000000000002</v>
      </c>
      <c r="J116">
        <f>IF(COUNT(I111:I116)&gt;3.5,ROUND(AVERAGE(I111:I116),2),"")</f>
        <v>2.29</v>
      </c>
      <c r="K116">
        <f>IF(COUNT(2.19, 0.06, -0.03, 0.23, 0.18, 0.31, 0.61, 1.08, 1.01, 1.85, 2.58, 3.07, 3.28, 3.4, 2.27, 2.79, 2.96, 2.75, 2.44, 2.29, 1.84, 1.73, 1.78, 2.86)&gt;17.5,ROUND(AVERAGE(2.19, 0.06, -0.03, 0.23, 0.18, 0.31, 0.61, 1.08, 1.01, 1.85, 2.58, 3.07, 3.28, 3.4, 2.27, 2.79, 2.96, 2.75, 2.44, 2.29, 1.84, 1.73, 1.78, 2.86),2),"NO AVG")</f>
        <v>1.81</v>
      </c>
    </row>
    <row r="117" spans="1:11" x14ac:dyDescent="0.25">
      <c r="A117" s="1">
        <v>44784.799363425926</v>
      </c>
      <c r="B117" s="1">
        <v>44784.799328703702</v>
      </c>
      <c r="C117">
        <v>5.7</v>
      </c>
      <c r="D117">
        <v>4</v>
      </c>
      <c r="E117">
        <v>43</v>
      </c>
      <c r="F117">
        <v>0</v>
      </c>
      <c r="G117" t="s">
        <v>33</v>
      </c>
      <c r="H117" t="s">
        <v>36</v>
      </c>
      <c r="I117">
        <v>2.11</v>
      </c>
      <c r="J117" s="2"/>
      <c r="K117" s="2"/>
    </row>
    <row r="118" spans="1:11" x14ac:dyDescent="0.25">
      <c r="A118" s="1">
        <v>44784.806354166663</v>
      </c>
      <c r="B118" s="1">
        <v>44784.806273148148</v>
      </c>
      <c r="C118">
        <v>6.1</v>
      </c>
      <c r="D118">
        <v>4</v>
      </c>
      <c r="E118">
        <v>46</v>
      </c>
      <c r="F118">
        <v>0</v>
      </c>
      <c r="G118" t="s">
        <v>33</v>
      </c>
      <c r="H118" t="s">
        <v>36</v>
      </c>
      <c r="I118">
        <v>2.02</v>
      </c>
      <c r="J118" s="2"/>
      <c r="K118" s="2"/>
    </row>
    <row r="119" spans="1:11" x14ac:dyDescent="0.25">
      <c r="A119" s="1">
        <v>44784.813263888886</v>
      </c>
      <c r="B119" s="1">
        <v>44784.813217592593</v>
      </c>
      <c r="C119">
        <v>5.8</v>
      </c>
      <c r="D119">
        <v>4</v>
      </c>
      <c r="E119">
        <v>47</v>
      </c>
      <c r="F119">
        <v>0</v>
      </c>
      <c r="G119" t="s">
        <v>33</v>
      </c>
      <c r="H119" t="s">
        <v>36</v>
      </c>
      <c r="I119">
        <v>1.86</v>
      </c>
      <c r="J119" s="2"/>
      <c r="K119" s="2"/>
    </row>
    <row r="120" spans="1:11" x14ac:dyDescent="0.25">
      <c r="A120" s="1">
        <v>44784.820196759261</v>
      </c>
      <c r="B120" s="1">
        <v>44784.820162037038</v>
      </c>
      <c r="C120">
        <v>5.9</v>
      </c>
      <c r="D120">
        <v>4.0999999999999996</v>
      </c>
      <c r="E120">
        <v>50</v>
      </c>
      <c r="F120">
        <v>0</v>
      </c>
      <c r="G120" t="s">
        <v>33</v>
      </c>
      <c r="H120" t="s">
        <v>36</v>
      </c>
      <c r="I120">
        <v>1.71</v>
      </c>
      <c r="J120" s="2"/>
      <c r="K120" s="2"/>
    </row>
    <row r="121" spans="1:11" x14ac:dyDescent="0.25">
      <c r="A121" s="1">
        <v>44784.827141203707</v>
      </c>
      <c r="B121" s="1">
        <v>44784.827106481483</v>
      </c>
      <c r="C121">
        <v>5.8</v>
      </c>
      <c r="D121">
        <v>4.2</v>
      </c>
      <c r="E121">
        <v>50</v>
      </c>
      <c r="F121">
        <v>0</v>
      </c>
      <c r="G121" t="s">
        <v>33</v>
      </c>
      <c r="H121" t="s">
        <v>36</v>
      </c>
      <c r="I121">
        <v>1.71</v>
      </c>
      <c r="J121" s="2"/>
      <c r="K121" s="2"/>
    </row>
    <row r="122" spans="1:11" x14ac:dyDescent="0.25">
      <c r="A122" s="1">
        <v>44784.834085648145</v>
      </c>
      <c r="B122" s="1">
        <v>44784.834050925929</v>
      </c>
      <c r="C122">
        <v>5.6</v>
      </c>
      <c r="D122">
        <v>4.5</v>
      </c>
      <c r="E122">
        <v>52</v>
      </c>
      <c r="F122">
        <v>0</v>
      </c>
      <c r="G122" t="s">
        <v>33</v>
      </c>
      <c r="H122" t="s">
        <v>36</v>
      </c>
      <c r="I122">
        <v>1.6</v>
      </c>
      <c r="J122">
        <f>IF(COUNT(I117:I122)&gt;3.5,ROUND(AVERAGE(I117:I122),2),"")</f>
        <v>1.84</v>
      </c>
      <c r="K122">
        <f>IF(COUNT(2.19, 0.06, -0.03, 0.23, 0.18, 0.31, 0.61, 1.08, 1.01, 1.85, 2.58, 3.07, 3.28, 3.4, 2.27, 2.79, 2.96, 2.75, 2.44, 2.29, 1.84, 1.73, 1.78, 2.86)&gt;17.5,ROUND(AVERAGE(2.19, 0.06, -0.03, 0.23, 0.18, 0.31, 0.61, 1.08, 1.01, 1.85, 2.58, 3.07, 3.28, 3.4, 2.27, 2.79, 2.96, 2.75, 2.44, 2.29, 1.84, 1.73, 1.78, 2.86),2),"NO AVG")</f>
        <v>1.81</v>
      </c>
    </row>
    <row r="123" spans="1:11" x14ac:dyDescent="0.25">
      <c r="A123" s="1">
        <v>44784.84103009259</v>
      </c>
      <c r="B123" s="1">
        <v>44784.840995370374</v>
      </c>
      <c r="C123">
        <v>5.9</v>
      </c>
      <c r="D123">
        <v>4.8</v>
      </c>
      <c r="E123">
        <v>52</v>
      </c>
      <c r="F123">
        <v>0</v>
      </c>
      <c r="G123" t="s">
        <v>33</v>
      </c>
      <c r="H123" t="s">
        <v>36</v>
      </c>
      <c r="I123">
        <v>1.78</v>
      </c>
      <c r="J123" s="2"/>
      <c r="K123" s="2"/>
    </row>
    <row r="124" spans="1:11" x14ac:dyDescent="0.25">
      <c r="A124" s="1">
        <v>44784.847974537035</v>
      </c>
      <c r="B124" s="1">
        <v>44784.847939814812</v>
      </c>
      <c r="C124">
        <v>6.5</v>
      </c>
      <c r="D124">
        <v>5.3</v>
      </c>
      <c r="E124">
        <v>52</v>
      </c>
      <c r="F124">
        <v>0</v>
      </c>
      <c r="G124" t="s">
        <v>33</v>
      </c>
      <c r="H124" t="s">
        <v>36</v>
      </c>
      <c r="I124">
        <v>2.12</v>
      </c>
      <c r="J124" s="2"/>
      <c r="K124" s="2"/>
    </row>
    <row r="125" spans="1:11" x14ac:dyDescent="0.25">
      <c r="A125" s="1">
        <v>44784.85491898148</v>
      </c>
      <c r="B125" s="1">
        <v>44784.854884259257</v>
      </c>
      <c r="C125">
        <v>8.3000000000000007</v>
      </c>
      <c r="D125">
        <v>6.8</v>
      </c>
      <c r="E125">
        <v>53</v>
      </c>
      <c r="F125">
        <v>0</v>
      </c>
      <c r="G125" t="s">
        <v>33</v>
      </c>
      <c r="H125" t="s">
        <v>36</v>
      </c>
      <c r="I125">
        <v>3.06</v>
      </c>
      <c r="J125" s="2"/>
      <c r="K125" s="2"/>
    </row>
    <row r="126" spans="1:11" x14ac:dyDescent="0.25">
      <c r="A126" s="1">
        <v>44784.861875000002</v>
      </c>
      <c r="B126" s="1">
        <v>44784.861828703702</v>
      </c>
      <c r="C126">
        <v>9.5</v>
      </c>
      <c r="D126">
        <v>8.1</v>
      </c>
      <c r="E126">
        <v>54</v>
      </c>
      <c r="F126">
        <v>0</v>
      </c>
      <c r="G126" t="s">
        <v>33</v>
      </c>
      <c r="H126" t="s">
        <v>36</v>
      </c>
      <c r="I126">
        <v>3.75</v>
      </c>
      <c r="J126" s="2"/>
      <c r="K126" s="2"/>
    </row>
    <row r="127" spans="1:11" x14ac:dyDescent="0.25">
      <c r="A127" s="1">
        <v>44784.868807870371</v>
      </c>
      <c r="B127" s="1">
        <v>44784.868773148148</v>
      </c>
      <c r="C127">
        <v>9.6999999999999993</v>
      </c>
      <c r="D127">
        <v>8.3000000000000007</v>
      </c>
      <c r="E127">
        <v>59</v>
      </c>
      <c r="F127">
        <v>0</v>
      </c>
      <c r="G127" t="s">
        <v>33</v>
      </c>
      <c r="H127" t="s">
        <v>36</v>
      </c>
      <c r="I127">
        <v>3.52</v>
      </c>
      <c r="J127" s="2"/>
      <c r="K127" s="2"/>
    </row>
    <row r="128" spans="1:11" x14ac:dyDescent="0.25">
      <c r="A128" s="1">
        <v>44784.875752314816</v>
      </c>
      <c r="B128" s="1">
        <v>44784.875717592593</v>
      </c>
      <c r="C128">
        <v>9.1</v>
      </c>
      <c r="D128">
        <v>7.9</v>
      </c>
      <c r="E128">
        <v>58</v>
      </c>
      <c r="F128">
        <v>0</v>
      </c>
      <c r="G128" t="s">
        <v>33</v>
      </c>
      <c r="H128" t="s">
        <v>36</v>
      </c>
      <c r="I128">
        <v>3.28</v>
      </c>
      <c r="J128">
        <f>IF(COUNT(I123:I128)&gt;3.5,ROUND(AVERAGE(I123:I128),2),"")</f>
        <v>2.92</v>
      </c>
      <c r="K128">
        <f>IF(COUNT(2.19, 0.06, -0.03, 0.23, 0.18, 0.31, 0.61, 1.08, 1.01, 1.85, 2.58, 3.07, 3.28, 3.4, 2.27, 2.79, 2.96, 2.75, 2.44, 2.29, 1.84, 2.92, 1.78, 2.86)&gt;17.5,ROUND(AVERAGE(2.19, 0.06, -0.03, 0.23, 0.18, 0.31, 0.61, 1.08, 1.01, 1.85, 2.58, 3.07, 3.28, 3.4, 2.27, 2.79, 2.96, 2.75, 2.44, 2.29, 1.84, 2.92, 1.78, 2.86),2),"NO AVG")</f>
        <v>1.86</v>
      </c>
    </row>
    <row r="129" spans="1:11" x14ac:dyDescent="0.25">
      <c r="A129" s="1">
        <v>44784.882696759261</v>
      </c>
      <c r="B129" s="1">
        <v>44784.882662037038</v>
      </c>
      <c r="C129">
        <v>8.5</v>
      </c>
      <c r="D129">
        <v>7.1</v>
      </c>
      <c r="E129">
        <v>57</v>
      </c>
      <c r="F129">
        <v>0</v>
      </c>
      <c r="G129" t="s">
        <v>33</v>
      </c>
      <c r="H129" t="s">
        <v>36</v>
      </c>
      <c r="I129">
        <v>2.93</v>
      </c>
      <c r="J129" s="2"/>
      <c r="K129" s="2"/>
    </row>
    <row r="130" spans="1:11" x14ac:dyDescent="0.25">
      <c r="A130" s="1">
        <v>44784.889641203707</v>
      </c>
      <c r="B130" s="1">
        <v>44784.889606481483</v>
      </c>
      <c r="C130">
        <v>8</v>
      </c>
      <c r="D130">
        <v>6.4</v>
      </c>
      <c r="E130">
        <v>54</v>
      </c>
      <c r="F130">
        <v>0</v>
      </c>
      <c r="G130" t="s">
        <v>33</v>
      </c>
      <c r="H130" t="s">
        <v>36</v>
      </c>
      <c r="I130">
        <v>2.77</v>
      </c>
      <c r="J130" s="2"/>
      <c r="K130" s="2"/>
    </row>
    <row r="131" spans="1:11" x14ac:dyDescent="0.25">
      <c r="A131" s="1">
        <v>44784.896597222221</v>
      </c>
      <c r="B131" s="1">
        <v>44784.896550925929</v>
      </c>
      <c r="C131">
        <v>7.1</v>
      </c>
      <c r="D131">
        <v>5.6</v>
      </c>
      <c r="E131">
        <v>51</v>
      </c>
      <c r="F131">
        <v>0</v>
      </c>
      <c r="G131" t="s">
        <v>33</v>
      </c>
      <c r="H131" t="s">
        <v>36</v>
      </c>
      <c r="I131">
        <v>2.46</v>
      </c>
      <c r="J131" s="2"/>
      <c r="K131" s="2"/>
    </row>
    <row r="132" spans="1:11" x14ac:dyDescent="0.25">
      <c r="A132" s="1">
        <v>44784.90353009259</v>
      </c>
      <c r="B132" s="1">
        <v>44784.903495370374</v>
      </c>
      <c r="C132">
        <v>6.7</v>
      </c>
      <c r="D132">
        <v>5.0999999999999996</v>
      </c>
      <c r="E132">
        <v>51</v>
      </c>
      <c r="F132">
        <v>0</v>
      </c>
      <c r="G132" t="s">
        <v>33</v>
      </c>
      <c r="H132" t="s">
        <v>36</v>
      </c>
      <c r="I132">
        <v>2.19</v>
      </c>
      <c r="J132" s="2"/>
      <c r="K132" s="2"/>
    </row>
    <row r="133" spans="1:11" x14ac:dyDescent="0.25">
      <c r="A133" s="1">
        <v>44784.910474537035</v>
      </c>
      <c r="B133" s="1">
        <v>44784.910439814812</v>
      </c>
      <c r="C133">
        <v>6.4</v>
      </c>
      <c r="D133">
        <v>4.9000000000000004</v>
      </c>
      <c r="E133">
        <v>52</v>
      </c>
      <c r="F133">
        <v>0</v>
      </c>
      <c r="G133" t="s">
        <v>33</v>
      </c>
      <c r="H133" t="s">
        <v>36</v>
      </c>
      <c r="I133">
        <v>1.97</v>
      </c>
      <c r="J133" s="2"/>
      <c r="K133" s="2"/>
    </row>
    <row r="134" spans="1:11" x14ac:dyDescent="0.25">
      <c r="A134" s="1">
        <v>44784.917430555557</v>
      </c>
      <c r="B134" s="1">
        <v>44784.917384259257</v>
      </c>
      <c r="C134">
        <v>5.8</v>
      </c>
      <c r="D134">
        <v>4.7</v>
      </c>
      <c r="E134">
        <v>50</v>
      </c>
      <c r="F134">
        <v>0</v>
      </c>
      <c r="G134" t="s">
        <v>33</v>
      </c>
      <c r="H134" t="s">
        <v>36</v>
      </c>
      <c r="I134">
        <v>1.86</v>
      </c>
      <c r="J134">
        <f>IF(COUNT(I129:I134)&gt;3.5,ROUND(AVERAGE(I129:I134),2),"")</f>
        <v>2.36</v>
      </c>
      <c r="K134">
        <f>IF(COUNT(2.19, 0.06, -0.03, 0.23, 0.18, 0.31, 0.61, 1.08, 1.01, 1.85, 2.58, 3.07, 3.28, 3.4, 2.27, 2.79, 2.96, 2.75, 2.44, 2.29, 1.84, 2.92, 2.36, 2.86)&gt;17.5,ROUND(AVERAGE(2.19, 0.06, -0.03, 0.23, 0.18, 0.31, 0.61, 1.08, 1.01, 1.85, 2.58, 3.07, 3.28, 3.4, 2.27, 2.79, 2.96, 2.75, 2.44, 2.29, 1.84, 2.92, 2.36, 2.86),2),"NO AVG")</f>
        <v>1.89</v>
      </c>
    </row>
    <row r="135" spans="1:11" x14ac:dyDescent="0.25">
      <c r="A135" s="1">
        <v>44784.924375000002</v>
      </c>
      <c r="B135" s="1">
        <v>44784.924328703702</v>
      </c>
      <c r="C135">
        <v>6.7</v>
      </c>
      <c r="D135">
        <v>5.0999999999999996</v>
      </c>
      <c r="E135">
        <v>53</v>
      </c>
      <c r="F135">
        <v>0</v>
      </c>
      <c r="G135" t="s">
        <v>33</v>
      </c>
      <c r="H135" t="s">
        <v>36</v>
      </c>
      <c r="I135">
        <v>2.0499999999999998</v>
      </c>
      <c r="J135" s="2"/>
      <c r="K135" s="2"/>
    </row>
    <row r="136" spans="1:11" x14ac:dyDescent="0.25">
      <c r="A136" s="1">
        <v>44784.931307870371</v>
      </c>
      <c r="B136" s="1">
        <v>44784.931273148148</v>
      </c>
      <c r="C136">
        <v>7.4</v>
      </c>
      <c r="D136">
        <v>5.8</v>
      </c>
      <c r="E136">
        <v>53</v>
      </c>
      <c r="F136">
        <v>0</v>
      </c>
      <c r="G136" t="s">
        <v>33</v>
      </c>
      <c r="H136" t="s">
        <v>36</v>
      </c>
      <c r="I136">
        <v>2.48</v>
      </c>
      <c r="J136" s="2"/>
      <c r="K136" s="2"/>
    </row>
    <row r="137" spans="1:11" x14ac:dyDescent="0.25">
      <c r="A137" s="1">
        <v>44784.938263888886</v>
      </c>
      <c r="B137" s="1">
        <v>44784.938217592593</v>
      </c>
      <c r="C137">
        <v>6.9</v>
      </c>
      <c r="D137">
        <v>5.3</v>
      </c>
      <c r="E137">
        <v>54</v>
      </c>
      <c r="F137">
        <v>0</v>
      </c>
      <c r="G137" t="s">
        <v>33</v>
      </c>
      <c r="H137" t="s">
        <v>36</v>
      </c>
      <c r="I137">
        <v>2.1</v>
      </c>
      <c r="J137" s="2"/>
      <c r="K137" s="2"/>
    </row>
    <row r="138" spans="1:11" x14ac:dyDescent="0.25">
      <c r="A138" s="1">
        <v>44784.945208333331</v>
      </c>
      <c r="B138" s="1">
        <v>44784.945162037038</v>
      </c>
      <c r="C138">
        <v>6.2</v>
      </c>
      <c r="D138">
        <v>5</v>
      </c>
      <c r="E138">
        <v>54</v>
      </c>
      <c r="F138">
        <v>0</v>
      </c>
      <c r="G138" t="s">
        <v>33</v>
      </c>
      <c r="H138" t="s">
        <v>36</v>
      </c>
      <c r="I138">
        <v>1.8</v>
      </c>
      <c r="J138" s="2"/>
      <c r="K138" s="2"/>
    </row>
    <row r="139" spans="1:11" x14ac:dyDescent="0.25">
      <c r="A139" s="1">
        <v>44784.952152777776</v>
      </c>
      <c r="B139" s="1">
        <v>44784.952106481483</v>
      </c>
      <c r="C139">
        <v>6.1</v>
      </c>
      <c r="D139">
        <v>4.7</v>
      </c>
      <c r="E139">
        <v>53</v>
      </c>
      <c r="F139">
        <v>0</v>
      </c>
      <c r="G139" t="s">
        <v>33</v>
      </c>
      <c r="H139" t="s">
        <v>36</v>
      </c>
      <c r="I139">
        <v>1.74</v>
      </c>
      <c r="J139" s="2"/>
      <c r="K139" s="2"/>
    </row>
    <row r="140" spans="1:11" x14ac:dyDescent="0.25">
      <c r="A140" s="1">
        <v>44784.959097222221</v>
      </c>
      <c r="B140" s="1">
        <v>44784.959050925929</v>
      </c>
      <c r="C140">
        <v>6.2</v>
      </c>
      <c r="D140">
        <v>4.5</v>
      </c>
      <c r="E140">
        <v>54</v>
      </c>
      <c r="F140">
        <v>0</v>
      </c>
      <c r="G140" t="s">
        <v>33</v>
      </c>
      <c r="H140" t="s">
        <v>36</v>
      </c>
      <c r="I140">
        <v>1.64</v>
      </c>
      <c r="J140">
        <f>IF(COUNT(I135:I140)&gt;3.5,ROUND(AVERAGE(I135:I140),2),"")</f>
        <v>1.97</v>
      </c>
      <c r="K140">
        <f>IF(COUNT(2.19, 0.06, -0.03, 0.23, 0.18, 0.31, 0.61, 1.08, 1.01, 1.85, 2.58, 3.07, 3.28, 3.4, 2.27, 2.79, 2.96, 2.75, 2.44, 2.29, 1.84, 2.92, 2.36, 1.97)&gt;17.5,ROUND(AVERAGE(2.19, 0.06, -0.03, 0.23, 0.18, 0.31, 0.61, 1.08, 1.01, 1.85, 2.58, 3.07, 3.28, 3.4, 2.27, 2.79, 2.96, 2.75, 2.44, 2.29, 1.84, 2.92, 2.36, 1.97),2),"NO AVG")</f>
        <v>1.85</v>
      </c>
    </row>
    <row r="141" spans="1:11" x14ac:dyDescent="0.25">
      <c r="A141" s="1">
        <v>44784.966041666667</v>
      </c>
      <c r="B141" s="1">
        <v>44784.965995370374</v>
      </c>
      <c r="C141">
        <v>6.4</v>
      </c>
      <c r="D141">
        <v>4.5</v>
      </c>
      <c r="E141">
        <v>54</v>
      </c>
      <c r="F141">
        <v>0</v>
      </c>
      <c r="G141" t="s">
        <v>33</v>
      </c>
      <c r="H141" t="s">
        <v>36</v>
      </c>
      <c r="I141">
        <v>1.7</v>
      </c>
      <c r="J141" s="2"/>
      <c r="K141" s="2"/>
    </row>
    <row r="142" spans="1:11" x14ac:dyDescent="0.25">
      <c r="A142" s="1">
        <v>44784.972986111112</v>
      </c>
      <c r="B142" s="1">
        <v>44784.972939814812</v>
      </c>
      <c r="C142">
        <v>6</v>
      </c>
      <c r="D142">
        <v>4.4000000000000004</v>
      </c>
      <c r="E142">
        <v>55</v>
      </c>
      <c r="F142">
        <v>0</v>
      </c>
      <c r="G142" t="s">
        <v>33</v>
      </c>
      <c r="H142" t="s">
        <v>36</v>
      </c>
      <c r="I142">
        <v>1.48</v>
      </c>
      <c r="J142" s="2"/>
      <c r="K142" s="2"/>
    </row>
    <row r="143" spans="1:11" x14ac:dyDescent="0.25">
      <c r="A143" s="1">
        <v>44784.979930555557</v>
      </c>
      <c r="B143" s="1">
        <v>44784.979884259257</v>
      </c>
      <c r="C143">
        <v>5.9</v>
      </c>
      <c r="D143">
        <v>4.2</v>
      </c>
      <c r="E143">
        <v>56</v>
      </c>
      <c r="F143">
        <v>0</v>
      </c>
      <c r="G143" t="s">
        <v>33</v>
      </c>
      <c r="H143" t="s">
        <v>36</v>
      </c>
      <c r="I143">
        <v>1.32</v>
      </c>
      <c r="J143" s="2"/>
      <c r="K143" s="2"/>
    </row>
    <row r="144" spans="1:11" x14ac:dyDescent="0.25">
      <c r="A144" s="1">
        <v>44784.986875000002</v>
      </c>
      <c r="B144" s="1">
        <v>44784.986828703702</v>
      </c>
      <c r="C144">
        <v>5.8</v>
      </c>
      <c r="D144">
        <v>4.4000000000000004</v>
      </c>
      <c r="E144">
        <v>57</v>
      </c>
      <c r="F144">
        <v>0</v>
      </c>
      <c r="G144" t="s">
        <v>33</v>
      </c>
      <c r="H144" t="s">
        <v>36</v>
      </c>
      <c r="I144">
        <v>1.28</v>
      </c>
      <c r="J144" s="2"/>
      <c r="K144" s="2"/>
    </row>
    <row r="145" spans="1:12" x14ac:dyDescent="0.25">
      <c r="A145" s="1">
        <v>44784.993819444448</v>
      </c>
      <c r="B145" s="1">
        <v>44784.993773148148</v>
      </c>
      <c r="C145">
        <v>5.6</v>
      </c>
      <c r="D145">
        <v>4.4000000000000004</v>
      </c>
      <c r="E145">
        <v>58</v>
      </c>
      <c r="F145">
        <v>0</v>
      </c>
      <c r="G145" t="s">
        <v>33</v>
      </c>
      <c r="H145" t="s">
        <v>36</v>
      </c>
      <c r="I145">
        <v>1.1499999999999999</v>
      </c>
      <c r="J145" s="2"/>
      <c r="K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43270-11A3-4CF6-AD6F-9749DC24AACB}">
  <sheetPr codeName="Sheet7"/>
  <dimension ref="A1:M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3" max="13" width="11.140625" bestFit="1" customWidth="1"/>
  </cols>
  <sheetData>
    <row r="1" spans="1:13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M1" t="s">
        <v>3</v>
      </c>
    </row>
    <row r="2" spans="1:13" x14ac:dyDescent="0.25">
      <c r="A2" s="1">
        <v>44784.000740740739</v>
      </c>
      <c r="B2" s="1">
        <v>44784.000717592593</v>
      </c>
      <c r="C2">
        <v>14</v>
      </c>
      <c r="D2">
        <v>13.2</v>
      </c>
      <c r="E2">
        <v>59</v>
      </c>
      <c r="F2">
        <v>0</v>
      </c>
      <c r="G2" t="s">
        <v>32</v>
      </c>
      <c r="H2" t="s">
        <v>36</v>
      </c>
      <c r="K2" t="str">
        <f>IF(COUNT(, NA, NA, NA, NA, NA, NA, NA, NA, NA, NA, NA, NA, NA, NA, NA, NA, NA, NA, NA, NA, NA, NA, NA)&gt;17.5,ROUND(AVERAGE(, 0, 0, 0, 0, 0, 0, 0, 0, 0, 0, 0, 0, 0, 0, 0, 0, 0, 0, 0, 0, 0, 0, 0),2),"NO AVG")</f>
        <v>NO AVG</v>
      </c>
      <c r="M2" t="s">
        <v>40</v>
      </c>
    </row>
    <row r="3" spans="1:13" x14ac:dyDescent="0.25">
      <c r="A3" s="1">
        <v>44784.007708333331</v>
      </c>
      <c r="B3" s="1">
        <v>44784.007662037038</v>
      </c>
      <c r="C3">
        <v>14</v>
      </c>
      <c r="D3">
        <v>13.2</v>
      </c>
      <c r="E3">
        <v>59</v>
      </c>
      <c r="F3">
        <v>0</v>
      </c>
      <c r="G3" t="s">
        <v>32</v>
      </c>
      <c r="H3" t="s">
        <v>36</v>
      </c>
      <c r="J3" s="2"/>
      <c r="K3" s="2"/>
    </row>
    <row r="4" spans="1:13" x14ac:dyDescent="0.25">
      <c r="A4" s="1">
        <v>44784.01462962963</v>
      </c>
      <c r="B4" s="1">
        <v>44784.014606481483</v>
      </c>
      <c r="C4">
        <v>14</v>
      </c>
      <c r="D4">
        <v>13.2</v>
      </c>
      <c r="E4">
        <v>59</v>
      </c>
      <c r="F4">
        <v>0</v>
      </c>
      <c r="G4" t="s">
        <v>32</v>
      </c>
      <c r="H4" t="s">
        <v>36</v>
      </c>
      <c r="J4" s="2"/>
      <c r="K4" s="2"/>
    </row>
    <row r="5" spans="1:13" x14ac:dyDescent="0.25">
      <c r="A5" s="1">
        <v>44784.021574074075</v>
      </c>
      <c r="B5" s="1">
        <v>44784.021550925929</v>
      </c>
      <c r="C5">
        <v>14</v>
      </c>
      <c r="D5">
        <v>13.2</v>
      </c>
      <c r="E5">
        <v>59</v>
      </c>
      <c r="F5">
        <v>0</v>
      </c>
      <c r="G5" t="s">
        <v>32</v>
      </c>
      <c r="H5" t="s">
        <v>36</v>
      </c>
      <c r="J5" s="2"/>
      <c r="K5" s="2"/>
    </row>
    <row r="6" spans="1:13" x14ac:dyDescent="0.25">
      <c r="A6" s="1">
        <v>44784.02853009259</v>
      </c>
      <c r="B6" s="1">
        <v>44784.028495370374</v>
      </c>
      <c r="C6">
        <v>14</v>
      </c>
      <c r="D6">
        <v>13.2</v>
      </c>
      <c r="E6">
        <v>59</v>
      </c>
      <c r="F6">
        <v>0</v>
      </c>
      <c r="G6" t="s">
        <v>32</v>
      </c>
      <c r="H6" t="s">
        <v>36</v>
      </c>
      <c r="J6" s="2"/>
      <c r="K6" s="2"/>
    </row>
    <row r="7" spans="1:13" x14ac:dyDescent="0.25">
      <c r="A7" s="1">
        <v>44784.035462962966</v>
      </c>
      <c r="B7" s="1">
        <v>44784.035439814812</v>
      </c>
      <c r="C7">
        <v>14</v>
      </c>
      <c r="D7">
        <v>13.2</v>
      </c>
      <c r="E7">
        <v>59</v>
      </c>
      <c r="F7">
        <v>0</v>
      </c>
      <c r="G7" t="s">
        <v>32</v>
      </c>
      <c r="H7" t="s">
        <v>36</v>
      </c>
      <c r="J7" s="2"/>
      <c r="K7" s="2"/>
    </row>
    <row r="8" spans="1:13" x14ac:dyDescent="0.25">
      <c r="A8" s="1">
        <v>44784.042407407411</v>
      </c>
      <c r="B8" s="1">
        <v>44784.042384259257</v>
      </c>
      <c r="C8">
        <v>14</v>
      </c>
      <c r="D8">
        <v>13.2</v>
      </c>
      <c r="E8">
        <v>59</v>
      </c>
      <c r="F8">
        <v>0</v>
      </c>
      <c r="G8" t="s">
        <v>32</v>
      </c>
      <c r="H8" t="s">
        <v>36</v>
      </c>
      <c r="J8" t="str">
        <f>IF(COUNT(I3:I8)&gt;3.5,ROUND(AVERAGE(I3:I8),2),"")</f>
        <v/>
      </c>
      <c r="K8" t="str">
        <f>IF(COUNT(, , NA, NA, NA, NA, NA, NA, NA, NA, NA, NA, NA, NA, NA, NA, NA, NA, NA, NA, NA, NA, NA, NA)&gt;17.5,ROUND(AVERAGE(, , 0, 0, 0, 0, 0, 0, 0, 0, 0, 0, 0, 0, 0, 0, 0, 0, 0, 0, 0, 0, 0, 0),2),"NO AVG")</f>
        <v>NO AVG</v>
      </c>
    </row>
    <row r="9" spans="1:13" x14ac:dyDescent="0.25">
      <c r="A9" s="1">
        <v>44784.049351851849</v>
      </c>
      <c r="B9" s="1">
        <v>44784.049328703702</v>
      </c>
      <c r="C9">
        <v>14</v>
      </c>
      <c r="D9">
        <v>13.2</v>
      </c>
      <c r="E9">
        <v>59</v>
      </c>
      <c r="F9">
        <v>0</v>
      </c>
      <c r="G9" t="s">
        <v>32</v>
      </c>
      <c r="H9" t="s">
        <v>36</v>
      </c>
      <c r="J9" s="2"/>
      <c r="K9" s="2"/>
    </row>
    <row r="10" spans="1:13" x14ac:dyDescent="0.25">
      <c r="A10" s="1">
        <v>44784.056307870371</v>
      </c>
      <c r="B10" s="1">
        <v>44784.056273148148</v>
      </c>
      <c r="C10">
        <v>14</v>
      </c>
      <c r="D10">
        <v>13.2</v>
      </c>
      <c r="E10">
        <v>59</v>
      </c>
      <c r="F10">
        <v>0</v>
      </c>
      <c r="G10" t="s">
        <v>32</v>
      </c>
      <c r="H10" t="s">
        <v>36</v>
      </c>
      <c r="J10" s="2"/>
      <c r="K10" s="2"/>
    </row>
    <row r="11" spans="1:13" x14ac:dyDescent="0.25">
      <c r="A11" s="1">
        <v>44784.063240740739</v>
      </c>
      <c r="B11" s="1">
        <v>44784.063217592593</v>
      </c>
      <c r="C11">
        <v>14</v>
      </c>
      <c r="D11">
        <v>13.2</v>
      </c>
      <c r="E11">
        <v>59</v>
      </c>
      <c r="F11">
        <v>0</v>
      </c>
      <c r="G11" t="s">
        <v>32</v>
      </c>
      <c r="H11" t="s">
        <v>36</v>
      </c>
      <c r="J11" s="2"/>
      <c r="K11" s="2"/>
    </row>
    <row r="12" spans="1:13" x14ac:dyDescent="0.25">
      <c r="A12" s="1">
        <v>44784.070185185185</v>
      </c>
      <c r="B12" s="1">
        <v>44784.070162037038</v>
      </c>
      <c r="C12">
        <v>14</v>
      </c>
      <c r="D12">
        <v>13.2</v>
      </c>
      <c r="E12">
        <v>59</v>
      </c>
      <c r="F12">
        <v>0</v>
      </c>
      <c r="G12" t="s">
        <v>32</v>
      </c>
      <c r="H12" t="s">
        <v>36</v>
      </c>
      <c r="J12" s="2"/>
      <c r="K12" s="2"/>
    </row>
    <row r="13" spans="1:13" x14ac:dyDescent="0.25">
      <c r="A13" s="1">
        <v>44784.077141203707</v>
      </c>
      <c r="B13" s="1">
        <v>44784.077106481483</v>
      </c>
      <c r="C13">
        <v>14</v>
      </c>
      <c r="D13">
        <v>13.2</v>
      </c>
      <c r="E13">
        <v>59</v>
      </c>
      <c r="F13">
        <v>0</v>
      </c>
      <c r="G13" t="s">
        <v>32</v>
      </c>
      <c r="H13" t="s">
        <v>36</v>
      </c>
      <c r="J13" s="2"/>
      <c r="K13" s="2"/>
    </row>
    <row r="14" spans="1:13" x14ac:dyDescent="0.25">
      <c r="A14" s="1">
        <v>44784.084085648145</v>
      </c>
      <c r="B14" s="1">
        <v>44784.084050925929</v>
      </c>
      <c r="C14">
        <v>14</v>
      </c>
      <c r="D14">
        <v>13.2</v>
      </c>
      <c r="E14">
        <v>59</v>
      </c>
      <c r="F14">
        <v>0</v>
      </c>
      <c r="G14" t="s">
        <v>32</v>
      </c>
      <c r="H14" t="s">
        <v>36</v>
      </c>
      <c r="J14" t="str">
        <f>IF(COUNT(I9:I14)&gt;3.5,ROUND(AVERAGE(I9:I14),2),"")</f>
        <v/>
      </c>
      <c r="K14" t="str">
        <f>IF(COUNT(, , , NA, NA, NA, NA, NA, NA, NA, NA, NA, NA, NA, NA, NA, NA, NA, NA, NA, NA, NA, NA, NA)&gt;17.5,ROUND(AVERAGE(, , , 0, 0, 0, 0, 0, 0, 0, 0, 0, 0, 0, 0, 0, 0, 0, 0, 0, 0, 0, 0, 0),2),"NO AVG")</f>
        <v>NO AVG</v>
      </c>
    </row>
    <row r="15" spans="1:13" x14ac:dyDescent="0.25">
      <c r="A15" s="1">
        <v>44784.09101851852</v>
      </c>
      <c r="B15" s="1">
        <v>44784.090995370374</v>
      </c>
      <c r="C15">
        <v>14</v>
      </c>
      <c r="D15">
        <v>13.2</v>
      </c>
      <c r="E15">
        <v>59</v>
      </c>
      <c r="F15">
        <v>0</v>
      </c>
      <c r="G15" t="s">
        <v>32</v>
      </c>
      <c r="H15" t="s">
        <v>36</v>
      </c>
      <c r="J15" s="2"/>
      <c r="K15" s="2"/>
    </row>
    <row r="16" spans="1:13" x14ac:dyDescent="0.25">
      <c r="A16" s="1">
        <v>44784.097974537035</v>
      </c>
      <c r="B16" s="1">
        <v>44784.097939814812</v>
      </c>
      <c r="C16">
        <v>14</v>
      </c>
      <c r="D16">
        <v>13.2</v>
      </c>
      <c r="E16">
        <v>59</v>
      </c>
      <c r="F16">
        <v>0</v>
      </c>
      <c r="G16" t="s">
        <v>32</v>
      </c>
      <c r="H16" t="s">
        <v>36</v>
      </c>
      <c r="J16" s="2"/>
      <c r="K16" s="2"/>
    </row>
    <row r="17" spans="1:11" x14ac:dyDescent="0.25">
      <c r="A17" s="1">
        <v>44784.10491898148</v>
      </c>
      <c r="B17" s="1">
        <v>44784.104884259257</v>
      </c>
      <c r="C17">
        <v>14</v>
      </c>
      <c r="D17">
        <v>13.2</v>
      </c>
      <c r="E17">
        <v>59</v>
      </c>
      <c r="F17">
        <v>0</v>
      </c>
      <c r="G17" t="s">
        <v>32</v>
      </c>
      <c r="H17" t="s">
        <v>36</v>
      </c>
      <c r="J17" s="2"/>
      <c r="K17" s="2"/>
    </row>
    <row r="18" spans="1:11" x14ac:dyDescent="0.25">
      <c r="A18" s="1">
        <v>44784.111863425926</v>
      </c>
      <c r="B18" s="1">
        <v>44784.111828703702</v>
      </c>
      <c r="C18">
        <v>14</v>
      </c>
      <c r="D18">
        <v>13.2</v>
      </c>
      <c r="E18">
        <v>59</v>
      </c>
      <c r="F18">
        <v>0</v>
      </c>
      <c r="G18" t="s">
        <v>32</v>
      </c>
      <c r="H18" t="s">
        <v>36</v>
      </c>
      <c r="J18" s="2"/>
      <c r="K18" s="2"/>
    </row>
    <row r="19" spans="1:11" x14ac:dyDescent="0.25">
      <c r="A19" s="1">
        <v>44784.118807870371</v>
      </c>
      <c r="B19" s="1">
        <v>44784.118773148148</v>
      </c>
      <c r="C19">
        <v>14</v>
      </c>
      <c r="D19">
        <v>13.2</v>
      </c>
      <c r="E19">
        <v>59</v>
      </c>
      <c r="F19">
        <v>0</v>
      </c>
      <c r="G19" t="s">
        <v>32</v>
      </c>
      <c r="H19" t="s">
        <v>36</v>
      </c>
      <c r="J19" s="2"/>
      <c r="K19" s="2"/>
    </row>
    <row r="20" spans="1:11" x14ac:dyDescent="0.25">
      <c r="A20" s="1">
        <v>44784.125752314816</v>
      </c>
      <c r="B20" s="1">
        <v>44784.125717592593</v>
      </c>
      <c r="C20">
        <v>14</v>
      </c>
      <c r="D20">
        <v>13.2</v>
      </c>
      <c r="E20">
        <v>59</v>
      </c>
      <c r="F20">
        <v>0</v>
      </c>
      <c r="G20" t="s">
        <v>32</v>
      </c>
      <c r="H20" t="s">
        <v>36</v>
      </c>
      <c r="J20" t="str">
        <f>IF(COUNT(I15:I20)&gt;3.5,ROUND(AVERAGE(I15:I20),2),"")</f>
        <v/>
      </c>
      <c r="K20" t="str">
        <f>IF(COUNT(, , , , NA, NA, NA, NA, NA, NA, NA, NA, NA, NA, NA, NA, NA, NA, NA, NA, NA, NA, NA, NA)&gt;17.5,ROUND(AVERAGE(, , , , 0, 0, 0, 0, 0, 0, 0, 0, 0, 0, 0, 0, 0, 0, 0, 0, 0, 0, 0, 0),2),"NO AVG")</f>
        <v>NO AVG</v>
      </c>
    </row>
    <row r="21" spans="1:11" x14ac:dyDescent="0.25">
      <c r="A21" s="1">
        <v>44784.132696759261</v>
      </c>
      <c r="B21" s="1">
        <v>44784.132662037038</v>
      </c>
      <c r="C21">
        <v>14</v>
      </c>
      <c r="D21">
        <v>13.2</v>
      </c>
      <c r="E21">
        <v>59</v>
      </c>
      <c r="F21">
        <v>0</v>
      </c>
      <c r="G21" t="s">
        <v>32</v>
      </c>
      <c r="H21" t="s">
        <v>36</v>
      </c>
      <c r="J21" s="2"/>
      <c r="K21" s="2"/>
    </row>
    <row r="22" spans="1:11" x14ac:dyDescent="0.25">
      <c r="A22" s="1">
        <v>44784.139641203707</v>
      </c>
      <c r="B22" s="1">
        <v>44784.139606481483</v>
      </c>
      <c r="C22">
        <v>14</v>
      </c>
      <c r="D22">
        <v>13.2</v>
      </c>
      <c r="E22">
        <v>59</v>
      </c>
      <c r="F22">
        <v>0</v>
      </c>
      <c r="G22" t="s">
        <v>32</v>
      </c>
      <c r="H22" t="s">
        <v>36</v>
      </c>
      <c r="J22" s="2"/>
      <c r="K22" s="2"/>
    </row>
    <row r="23" spans="1:11" x14ac:dyDescent="0.25">
      <c r="A23" s="1">
        <v>44784.146585648145</v>
      </c>
      <c r="B23" s="1">
        <v>44784.146550925929</v>
      </c>
      <c r="C23">
        <v>14</v>
      </c>
      <c r="D23">
        <v>13.2</v>
      </c>
      <c r="E23">
        <v>59</v>
      </c>
      <c r="F23">
        <v>0</v>
      </c>
      <c r="G23" t="s">
        <v>32</v>
      </c>
      <c r="H23" t="s">
        <v>36</v>
      </c>
      <c r="J23" s="2"/>
      <c r="K23" s="2"/>
    </row>
    <row r="24" spans="1:11" x14ac:dyDescent="0.25">
      <c r="A24" s="1">
        <v>44784.15353009259</v>
      </c>
      <c r="B24" s="1">
        <v>44784.153495370374</v>
      </c>
      <c r="C24">
        <v>14</v>
      </c>
      <c r="D24">
        <v>13.2</v>
      </c>
      <c r="E24">
        <v>59</v>
      </c>
      <c r="F24">
        <v>0</v>
      </c>
      <c r="G24" t="s">
        <v>32</v>
      </c>
      <c r="H24" t="s">
        <v>36</v>
      </c>
      <c r="J24" s="2"/>
      <c r="K24" s="2"/>
    </row>
    <row r="25" spans="1:11" x14ac:dyDescent="0.25">
      <c r="A25" s="1">
        <v>44784.160474537035</v>
      </c>
      <c r="B25" s="1">
        <v>44784.160439814812</v>
      </c>
      <c r="C25">
        <v>14</v>
      </c>
      <c r="D25">
        <v>13.2</v>
      </c>
      <c r="E25">
        <v>59</v>
      </c>
      <c r="F25">
        <v>0</v>
      </c>
      <c r="G25" t="s">
        <v>32</v>
      </c>
      <c r="H25" t="s">
        <v>36</v>
      </c>
      <c r="J25" s="2"/>
      <c r="K25" s="2"/>
    </row>
    <row r="26" spans="1:11" x14ac:dyDescent="0.25">
      <c r="A26" s="1">
        <v>44784.16741898148</v>
      </c>
      <c r="B26" s="1">
        <v>44784.167384259257</v>
      </c>
      <c r="C26">
        <v>14</v>
      </c>
      <c r="D26">
        <v>13.2</v>
      </c>
      <c r="E26">
        <v>59</v>
      </c>
      <c r="F26">
        <v>0</v>
      </c>
      <c r="G26" t="s">
        <v>32</v>
      </c>
      <c r="H26" t="s">
        <v>36</v>
      </c>
      <c r="J26" t="str">
        <f>IF(COUNT(I21:I26)&gt;3.5,ROUND(AVERAGE(I21:I26),2),"")</f>
        <v/>
      </c>
      <c r="K26" t="str">
        <f>IF(COUNT(, , , , , NA, NA, NA, NA, NA, NA, NA, NA, NA, NA, NA, NA, NA, NA, NA, NA, NA, NA, NA)&gt;17.5,ROUND(AVERAGE(, , , , , 0, 0, 0, 0, 0, 0, 0, 0, 0, 0, 0, 0, 0, 0, 0, 0, 0, 0, 0),2),"NO AVG")</f>
        <v>NO AVG</v>
      </c>
    </row>
    <row r="27" spans="1:11" x14ac:dyDescent="0.25">
      <c r="A27" s="1">
        <v>44784.174375000002</v>
      </c>
      <c r="B27" s="1">
        <v>44784.174328703702</v>
      </c>
      <c r="C27">
        <v>14</v>
      </c>
      <c r="D27">
        <v>13.2</v>
      </c>
      <c r="E27">
        <v>59</v>
      </c>
      <c r="F27">
        <v>0</v>
      </c>
      <c r="G27" t="s">
        <v>32</v>
      </c>
      <c r="H27" t="s">
        <v>36</v>
      </c>
      <c r="J27" s="2"/>
      <c r="K27" s="2"/>
    </row>
    <row r="28" spans="1:11" x14ac:dyDescent="0.25">
      <c r="A28" s="1"/>
      <c r="B28" s="1">
        <v>44784.180555555555</v>
      </c>
      <c r="J28" s="2"/>
      <c r="K28" s="2"/>
    </row>
    <row r="29" spans="1:11" x14ac:dyDescent="0.25">
      <c r="A29" s="1">
        <v>44784.188252314816</v>
      </c>
      <c r="B29" s="1">
        <v>44784.188217592593</v>
      </c>
      <c r="C29">
        <v>14</v>
      </c>
      <c r="D29">
        <v>13.2</v>
      </c>
      <c r="E29">
        <v>59</v>
      </c>
      <c r="F29">
        <v>0</v>
      </c>
      <c r="G29" t="s">
        <v>32</v>
      </c>
      <c r="H29" t="s">
        <v>36</v>
      </c>
      <c r="J29" s="2"/>
      <c r="K29" s="2"/>
    </row>
    <row r="30" spans="1:11" x14ac:dyDescent="0.25">
      <c r="A30" s="1">
        <v>44784.195196759261</v>
      </c>
      <c r="B30" s="1">
        <v>44784.195162037038</v>
      </c>
      <c r="C30">
        <v>14</v>
      </c>
      <c r="D30">
        <v>13.2</v>
      </c>
      <c r="E30">
        <v>59</v>
      </c>
      <c r="F30">
        <v>0</v>
      </c>
      <c r="G30" t="s">
        <v>32</v>
      </c>
      <c r="H30" t="s">
        <v>36</v>
      </c>
      <c r="J30" s="2"/>
      <c r="K30" s="2"/>
    </row>
    <row r="31" spans="1:11" x14ac:dyDescent="0.25">
      <c r="A31" s="1">
        <v>44784.202152777776</v>
      </c>
      <c r="B31" s="1">
        <v>44784.20212962963</v>
      </c>
      <c r="C31">
        <v>14</v>
      </c>
      <c r="D31">
        <v>13.2</v>
      </c>
      <c r="E31">
        <v>59</v>
      </c>
      <c r="F31">
        <v>0</v>
      </c>
      <c r="G31" t="s">
        <v>32</v>
      </c>
      <c r="H31" t="s">
        <v>36</v>
      </c>
      <c r="J31" s="2"/>
      <c r="K31" s="2"/>
    </row>
    <row r="32" spans="1:11" x14ac:dyDescent="0.25">
      <c r="A32" s="1">
        <v>44784.209085648145</v>
      </c>
      <c r="B32" s="1">
        <v>44784.209050925929</v>
      </c>
      <c r="C32">
        <v>14</v>
      </c>
      <c r="D32">
        <v>13.2</v>
      </c>
      <c r="E32">
        <v>59</v>
      </c>
      <c r="F32">
        <v>0</v>
      </c>
      <c r="G32" t="s">
        <v>32</v>
      </c>
      <c r="H32" t="s">
        <v>36</v>
      </c>
      <c r="J32" t="str">
        <f>IF(COUNT(I27:I32)&gt;3.5,ROUND(AVERAGE(I27:I32),2),"")</f>
        <v/>
      </c>
      <c r="K32" t="str">
        <f>IF(COUNT(, , , , , , NA, NA, NA, NA, NA, NA, NA, NA, NA, NA, NA, NA, NA, NA, NA, NA, NA, NA)&gt;17.5,ROUND(AVERAGE(, , , , , , 0, 0, 0, 0, 0, 0, 0, 0, 0, 0, 0, 0, 0, 0, 0, 0, 0, 0),2),"NO AVG")</f>
        <v>NO AVG</v>
      </c>
    </row>
    <row r="33" spans="1:11" x14ac:dyDescent="0.25">
      <c r="A33" s="1">
        <v>44784.216041666667</v>
      </c>
      <c r="B33" s="1">
        <v>44784.215995370374</v>
      </c>
      <c r="C33">
        <v>14</v>
      </c>
      <c r="D33">
        <v>13.2</v>
      </c>
      <c r="E33">
        <v>59</v>
      </c>
      <c r="F33">
        <v>0</v>
      </c>
      <c r="G33" t="s">
        <v>32</v>
      </c>
      <c r="H33" t="s">
        <v>36</v>
      </c>
      <c r="J33" s="2"/>
      <c r="K33" s="2"/>
    </row>
    <row r="34" spans="1:11" x14ac:dyDescent="0.25">
      <c r="A34" s="1">
        <v>44784.222974537035</v>
      </c>
      <c r="B34" s="1">
        <v>44784.222939814812</v>
      </c>
      <c r="C34">
        <v>14</v>
      </c>
      <c r="D34">
        <v>13.2</v>
      </c>
      <c r="E34">
        <v>59</v>
      </c>
      <c r="F34">
        <v>0</v>
      </c>
      <c r="G34" t="s">
        <v>32</v>
      </c>
      <c r="H34" t="s">
        <v>36</v>
      </c>
      <c r="J34" s="2"/>
      <c r="K34" s="2"/>
    </row>
    <row r="35" spans="1:11" x14ac:dyDescent="0.25">
      <c r="A35" s="1">
        <v>44784.22991898148</v>
      </c>
      <c r="B35" s="1">
        <v>44784.229884259257</v>
      </c>
      <c r="C35">
        <v>14</v>
      </c>
      <c r="D35">
        <v>13.2</v>
      </c>
      <c r="E35">
        <v>59</v>
      </c>
      <c r="F35">
        <v>0</v>
      </c>
      <c r="G35" t="s">
        <v>32</v>
      </c>
      <c r="H35" t="s">
        <v>36</v>
      </c>
      <c r="J35" s="2"/>
      <c r="K35" s="2"/>
    </row>
    <row r="36" spans="1:11" x14ac:dyDescent="0.25">
      <c r="A36" s="1">
        <v>44784.236863425926</v>
      </c>
      <c r="B36" s="1">
        <v>44784.236840277779</v>
      </c>
      <c r="C36">
        <v>14</v>
      </c>
      <c r="D36">
        <v>13.2</v>
      </c>
      <c r="E36">
        <v>59</v>
      </c>
      <c r="F36">
        <v>0</v>
      </c>
      <c r="G36" t="s">
        <v>32</v>
      </c>
      <c r="H36" t="s">
        <v>36</v>
      </c>
      <c r="J36" s="2"/>
      <c r="K36" s="2"/>
    </row>
    <row r="37" spans="1:11" x14ac:dyDescent="0.25">
      <c r="A37" s="1">
        <v>44784.243807870371</v>
      </c>
      <c r="B37" s="1">
        <v>44784.243773148148</v>
      </c>
      <c r="C37">
        <v>14</v>
      </c>
      <c r="D37">
        <v>13.2</v>
      </c>
      <c r="E37">
        <v>59</v>
      </c>
      <c r="F37">
        <v>0</v>
      </c>
      <c r="G37" t="s">
        <v>32</v>
      </c>
      <c r="H37" t="s">
        <v>36</v>
      </c>
      <c r="J37" s="2"/>
      <c r="K37" s="2"/>
    </row>
    <row r="38" spans="1:11" x14ac:dyDescent="0.25">
      <c r="A38" s="1">
        <v>44784.250763888886</v>
      </c>
      <c r="B38" s="1">
        <v>44784.25072916667</v>
      </c>
      <c r="C38">
        <v>14</v>
      </c>
      <c r="D38">
        <v>13.2</v>
      </c>
      <c r="E38">
        <v>59</v>
      </c>
      <c r="F38">
        <v>0</v>
      </c>
      <c r="G38" t="s">
        <v>32</v>
      </c>
      <c r="H38" t="s">
        <v>36</v>
      </c>
      <c r="J38" t="str">
        <f>IF(COUNT(I33:I38)&gt;3.5,ROUND(AVERAGE(I33:I38),2),"")</f>
        <v/>
      </c>
      <c r="K38" t="str">
        <f>IF(COUNT(, , , , , , , NA, NA, NA, NA, NA, NA, NA, NA, NA, NA, NA, NA, NA, NA, NA, NA, NA)&gt;17.5,ROUND(AVERAGE(, , , , , , , 0, 0, 0, 0, 0, 0, 0, 0, 0, 0, 0, 0, 0, 0, 0, 0, 0),2),"NO AVG")</f>
        <v>NO AVG</v>
      </c>
    </row>
    <row r="39" spans="1:11" x14ac:dyDescent="0.25">
      <c r="A39" s="1">
        <v>44784.257708333331</v>
      </c>
      <c r="B39" s="1">
        <v>44784.257662037038</v>
      </c>
      <c r="C39">
        <v>14</v>
      </c>
      <c r="D39">
        <v>13.2</v>
      </c>
      <c r="E39">
        <v>59</v>
      </c>
      <c r="F39">
        <v>0</v>
      </c>
      <c r="G39" t="s">
        <v>32</v>
      </c>
      <c r="H39" t="s">
        <v>36</v>
      </c>
      <c r="J39" s="2"/>
      <c r="K39" s="2"/>
    </row>
    <row r="40" spans="1:11" x14ac:dyDescent="0.25">
      <c r="A40" s="1">
        <v>44784.264641203707</v>
      </c>
      <c r="B40" s="1">
        <v>44784.264606481483</v>
      </c>
      <c r="C40">
        <v>14</v>
      </c>
      <c r="D40">
        <v>13.2</v>
      </c>
      <c r="E40">
        <v>59</v>
      </c>
      <c r="F40">
        <v>0</v>
      </c>
      <c r="G40" t="s">
        <v>32</v>
      </c>
      <c r="H40" t="s">
        <v>36</v>
      </c>
      <c r="J40" s="2"/>
      <c r="K40" s="2"/>
    </row>
    <row r="41" spans="1:11" x14ac:dyDescent="0.25">
      <c r="A41" s="1">
        <v>44784.271585648145</v>
      </c>
      <c r="B41" s="1">
        <v>44784.271550925929</v>
      </c>
      <c r="C41">
        <v>14</v>
      </c>
      <c r="D41">
        <v>13.2</v>
      </c>
      <c r="E41">
        <v>59</v>
      </c>
      <c r="F41">
        <v>0</v>
      </c>
      <c r="G41" t="s">
        <v>32</v>
      </c>
      <c r="H41" t="s">
        <v>36</v>
      </c>
      <c r="J41" s="2"/>
      <c r="K41" s="2"/>
    </row>
    <row r="42" spans="1:11" x14ac:dyDescent="0.25">
      <c r="A42" s="1">
        <v>44784.27853009259</v>
      </c>
      <c r="B42" s="1">
        <v>44784.278495370374</v>
      </c>
      <c r="C42">
        <v>14</v>
      </c>
      <c r="D42">
        <v>13.2</v>
      </c>
      <c r="E42">
        <v>59</v>
      </c>
      <c r="F42">
        <v>0</v>
      </c>
      <c r="G42" t="s">
        <v>32</v>
      </c>
      <c r="H42" t="s">
        <v>36</v>
      </c>
      <c r="J42" s="2"/>
      <c r="K42" s="2"/>
    </row>
    <row r="43" spans="1:11" x14ac:dyDescent="0.25">
      <c r="A43" s="1">
        <v>44784.285474537035</v>
      </c>
      <c r="B43" s="1">
        <v>44784.285439814812</v>
      </c>
      <c r="C43">
        <v>14</v>
      </c>
      <c r="D43">
        <v>13.2</v>
      </c>
      <c r="E43">
        <v>59</v>
      </c>
      <c r="F43">
        <v>0</v>
      </c>
      <c r="G43" t="s">
        <v>32</v>
      </c>
      <c r="H43" t="s">
        <v>36</v>
      </c>
      <c r="J43" s="2"/>
      <c r="K43" s="2"/>
    </row>
    <row r="44" spans="1:11" x14ac:dyDescent="0.25">
      <c r="A44" s="1">
        <v>44784.29241898148</v>
      </c>
      <c r="B44" s="1">
        <v>44784.292384259257</v>
      </c>
      <c r="C44">
        <v>14</v>
      </c>
      <c r="D44">
        <v>13.2</v>
      </c>
      <c r="E44">
        <v>59</v>
      </c>
      <c r="F44">
        <v>0</v>
      </c>
      <c r="G44" t="s">
        <v>32</v>
      </c>
      <c r="H44" t="s">
        <v>36</v>
      </c>
      <c r="J44" t="str">
        <f>IF(COUNT(I39:I44)&gt;3.5,ROUND(AVERAGE(I39:I44),2),"")</f>
        <v/>
      </c>
      <c r="K44" t="str">
        <f>IF(COUNT(, , , , , , , , NA, NA, NA, NA, NA, NA, NA, NA, NA, NA, NA, NA, NA, NA, NA, NA)&gt;17.5,ROUND(AVERAGE(, , , , , , , , 0, 0, 0, 0, 0, 0, 0, 0, 0, 0, 0, 0, 0, 0, 0, 0),2),"NO AVG")</f>
        <v>NO AVG</v>
      </c>
    </row>
    <row r="45" spans="1:11" x14ac:dyDescent="0.25">
      <c r="A45" s="1">
        <v>44784.299363425926</v>
      </c>
      <c r="B45" s="1">
        <v>44784.299340277779</v>
      </c>
      <c r="C45">
        <v>14</v>
      </c>
      <c r="D45">
        <v>13.2</v>
      </c>
      <c r="E45">
        <v>59</v>
      </c>
      <c r="F45">
        <v>0</v>
      </c>
      <c r="G45" t="s">
        <v>32</v>
      </c>
      <c r="H45" t="s">
        <v>36</v>
      </c>
      <c r="J45" s="2"/>
      <c r="K45" s="2"/>
    </row>
    <row r="46" spans="1:11" x14ac:dyDescent="0.25">
      <c r="A46" s="1">
        <v>44784.306307870371</v>
      </c>
      <c r="B46" s="1">
        <v>44784.306273148148</v>
      </c>
      <c r="C46">
        <v>14</v>
      </c>
      <c r="D46">
        <v>13.2</v>
      </c>
      <c r="E46">
        <v>59</v>
      </c>
      <c r="F46">
        <v>0</v>
      </c>
      <c r="G46" t="s">
        <v>32</v>
      </c>
      <c r="H46" t="s">
        <v>36</v>
      </c>
      <c r="J46" s="2"/>
      <c r="K46" s="2"/>
    </row>
    <row r="47" spans="1:11" x14ac:dyDescent="0.25">
      <c r="A47" s="1">
        <v>44784.313252314816</v>
      </c>
      <c r="B47" s="1">
        <v>44784.313217592593</v>
      </c>
      <c r="C47">
        <v>14</v>
      </c>
      <c r="D47">
        <v>13.2</v>
      </c>
      <c r="E47">
        <v>59</v>
      </c>
      <c r="F47">
        <v>0</v>
      </c>
      <c r="G47" t="s">
        <v>32</v>
      </c>
      <c r="H47" t="s">
        <v>36</v>
      </c>
      <c r="J47" s="2"/>
      <c r="K47" s="2"/>
    </row>
    <row r="48" spans="1:11" x14ac:dyDescent="0.25">
      <c r="A48" s="1">
        <v>44784.320208333331</v>
      </c>
      <c r="B48" s="1">
        <v>44784.320162037038</v>
      </c>
      <c r="C48">
        <v>14</v>
      </c>
      <c r="D48">
        <v>13.2</v>
      </c>
      <c r="E48">
        <v>59</v>
      </c>
      <c r="F48">
        <v>0</v>
      </c>
      <c r="G48" t="s">
        <v>32</v>
      </c>
      <c r="H48" t="s">
        <v>36</v>
      </c>
      <c r="J48" s="2"/>
      <c r="K48" s="2"/>
    </row>
    <row r="49" spans="1:11" x14ac:dyDescent="0.25">
      <c r="A49" s="1">
        <v>44784.327141203707</v>
      </c>
      <c r="B49" s="1">
        <v>44784.327106481483</v>
      </c>
      <c r="C49">
        <v>14</v>
      </c>
      <c r="D49">
        <v>13.2</v>
      </c>
      <c r="E49">
        <v>59</v>
      </c>
      <c r="F49">
        <v>0</v>
      </c>
      <c r="G49" t="s">
        <v>32</v>
      </c>
      <c r="H49" t="s">
        <v>36</v>
      </c>
      <c r="J49" s="2"/>
      <c r="K49" s="2"/>
    </row>
    <row r="50" spans="1:11" x14ac:dyDescent="0.25">
      <c r="A50" s="1">
        <v>44784.334085648145</v>
      </c>
      <c r="B50" s="1">
        <v>44784.334050925929</v>
      </c>
      <c r="C50">
        <v>14</v>
      </c>
      <c r="D50">
        <v>13.2</v>
      </c>
      <c r="E50">
        <v>59</v>
      </c>
      <c r="F50">
        <v>0</v>
      </c>
      <c r="G50" t="s">
        <v>32</v>
      </c>
      <c r="H50" t="s">
        <v>36</v>
      </c>
      <c r="J50" t="str">
        <f>IF(COUNT(I45:I50)&gt;3.5,ROUND(AVERAGE(I45:I50),2),"")</f>
        <v/>
      </c>
      <c r="K50" t="str">
        <f>IF(COUNT(, , , , , , , , , NA, NA, NA, NA, NA, NA, NA, NA, NA, NA, NA, NA, NA, NA, NA)&gt;17.5,ROUND(AVERAGE(, , , , , , , , , 0, 0, 0, 0, 0, 0, 0, 0, 0, 0, 0, 0, 0, 0, 0),2),"NO AVG")</f>
        <v>NO AVG</v>
      </c>
    </row>
    <row r="51" spans="1:11" x14ac:dyDescent="0.25">
      <c r="A51" s="1">
        <v>44784.34103009259</v>
      </c>
      <c r="B51" s="1">
        <v>44784.340995370374</v>
      </c>
      <c r="C51">
        <v>14</v>
      </c>
      <c r="D51">
        <v>13.2</v>
      </c>
      <c r="E51">
        <v>59</v>
      </c>
      <c r="F51">
        <v>0</v>
      </c>
      <c r="G51" t="s">
        <v>32</v>
      </c>
      <c r="H51" t="s">
        <v>36</v>
      </c>
      <c r="J51" s="2"/>
      <c r="K51" s="2"/>
    </row>
    <row r="52" spans="1:11" x14ac:dyDescent="0.25">
      <c r="A52" s="1">
        <v>44784.347974537035</v>
      </c>
      <c r="B52" s="1">
        <v>44784.347951388889</v>
      </c>
      <c r="C52">
        <v>14</v>
      </c>
      <c r="D52">
        <v>13.2</v>
      </c>
      <c r="E52">
        <v>59</v>
      </c>
      <c r="F52">
        <v>0</v>
      </c>
      <c r="G52" t="s">
        <v>32</v>
      </c>
      <c r="H52" t="s">
        <v>36</v>
      </c>
      <c r="J52" s="2"/>
      <c r="K52" s="2"/>
    </row>
    <row r="53" spans="1:11" x14ac:dyDescent="0.25">
      <c r="A53" s="1">
        <v>44784.35491898148</v>
      </c>
      <c r="B53" s="1">
        <v>44784.354884259257</v>
      </c>
      <c r="C53">
        <v>14</v>
      </c>
      <c r="D53">
        <v>13.2</v>
      </c>
      <c r="E53">
        <v>59</v>
      </c>
      <c r="F53">
        <v>0</v>
      </c>
      <c r="G53" t="s">
        <v>32</v>
      </c>
      <c r="H53" t="s">
        <v>36</v>
      </c>
      <c r="J53" s="2"/>
      <c r="K53" s="2"/>
    </row>
    <row r="54" spans="1:11" x14ac:dyDescent="0.25">
      <c r="A54" s="1">
        <v>44784.361863425926</v>
      </c>
      <c r="B54" s="1">
        <v>44784.361828703702</v>
      </c>
      <c r="C54">
        <v>14</v>
      </c>
      <c r="D54">
        <v>13.2</v>
      </c>
      <c r="E54">
        <v>59</v>
      </c>
      <c r="F54">
        <v>0</v>
      </c>
      <c r="G54" t="s">
        <v>32</v>
      </c>
      <c r="H54" t="s">
        <v>36</v>
      </c>
      <c r="J54" s="2"/>
      <c r="K54" s="2"/>
    </row>
    <row r="55" spans="1:11" x14ac:dyDescent="0.25">
      <c r="A55" s="1">
        <v>44784.368807870371</v>
      </c>
      <c r="B55" s="1">
        <v>44784.368784722225</v>
      </c>
      <c r="C55">
        <v>14</v>
      </c>
      <c r="D55">
        <v>13.2</v>
      </c>
      <c r="E55">
        <v>59</v>
      </c>
      <c r="F55">
        <v>0</v>
      </c>
      <c r="G55" t="s">
        <v>32</v>
      </c>
      <c r="H55" t="s">
        <v>36</v>
      </c>
      <c r="J55" s="2"/>
      <c r="K55" s="2"/>
    </row>
    <row r="56" spans="1:11" x14ac:dyDescent="0.25">
      <c r="A56" s="1">
        <v>44784.375763888886</v>
      </c>
      <c r="B56" s="1">
        <v>44784.375717592593</v>
      </c>
      <c r="C56">
        <v>14</v>
      </c>
      <c r="D56">
        <v>13.2</v>
      </c>
      <c r="E56">
        <v>59</v>
      </c>
      <c r="F56">
        <v>0</v>
      </c>
      <c r="G56" t="s">
        <v>32</v>
      </c>
      <c r="H56" t="s">
        <v>36</v>
      </c>
      <c r="J56" t="str">
        <f>IF(COUNT(I51:I56)&gt;3.5,ROUND(AVERAGE(I51:I56),2),"")</f>
        <v/>
      </c>
      <c r="K56" t="str">
        <f>IF(COUNT(, , , , , , , , , , NA, NA, NA, NA, NA, NA, NA, NA, NA, NA, NA, NA, NA, NA)&gt;17.5,ROUND(AVERAGE(, , , , , , , , , , 0, 0, 0, 0, 0, 0, 0, 0, 0, 0, 0, 0, 0, 0),2),"NO AVG")</f>
        <v>NO AVG</v>
      </c>
    </row>
    <row r="57" spans="1:11" x14ac:dyDescent="0.25">
      <c r="A57" s="1">
        <v>44784.382708333331</v>
      </c>
      <c r="B57" s="1">
        <v>44784.382662037038</v>
      </c>
      <c r="C57">
        <v>14</v>
      </c>
      <c r="D57">
        <v>13.2</v>
      </c>
      <c r="E57">
        <v>59</v>
      </c>
      <c r="F57">
        <v>0</v>
      </c>
      <c r="G57" t="s">
        <v>32</v>
      </c>
      <c r="H57" t="s">
        <v>36</v>
      </c>
      <c r="J57" s="2"/>
      <c r="K57" s="2"/>
    </row>
    <row r="58" spans="1:11" x14ac:dyDescent="0.25">
      <c r="A58" s="1">
        <v>44784.389641203707</v>
      </c>
      <c r="B58" s="1">
        <v>44784.389618055553</v>
      </c>
      <c r="C58">
        <v>14</v>
      </c>
      <c r="D58">
        <v>13.2</v>
      </c>
      <c r="E58">
        <v>59</v>
      </c>
      <c r="F58">
        <v>0</v>
      </c>
      <c r="G58" t="s">
        <v>32</v>
      </c>
      <c r="H58" t="s">
        <v>36</v>
      </c>
      <c r="J58" s="2"/>
      <c r="K58" s="2"/>
    </row>
    <row r="59" spans="1:11" x14ac:dyDescent="0.25">
      <c r="A59" s="1">
        <v>44784.396597222221</v>
      </c>
      <c r="B59" s="1">
        <v>44784.396562499998</v>
      </c>
      <c r="C59">
        <v>14</v>
      </c>
      <c r="D59">
        <v>13.2</v>
      </c>
      <c r="E59">
        <v>59</v>
      </c>
      <c r="F59">
        <v>0</v>
      </c>
      <c r="G59" t="s">
        <v>32</v>
      </c>
      <c r="H59" t="s">
        <v>36</v>
      </c>
      <c r="J59" s="2"/>
      <c r="K59" s="2"/>
    </row>
    <row r="60" spans="1:11" x14ac:dyDescent="0.25">
      <c r="A60" s="1">
        <v>44784.403541666667</v>
      </c>
      <c r="B60" s="1">
        <v>44784.403506944444</v>
      </c>
      <c r="C60">
        <v>14</v>
      </c>
      <c r="D60">
        <v>13.2</v>
      </c>
      <c r="E60">
        <v>59</v>
      </c>
      <c r="F60">
        <v>0</v>
      </c>
      <c r="G60" t="s">
        <v>32</v>
      </c>
      <c r="H60" t="s">
        <v>36</v>
      </c>
      <c r="J60" s="2"/>
      <c r="K60" s="2"/>
    </row>
    <row r="61" spans="1:11" x14ac:dyDescent="0.25">
      <c r="A61" s="1">
        <v>44784.410486111112</v>
      </c>
      <c r="B61" s="1">
        <v>44784.410451388889</v>
      </c>
      <c r="C61">
        <v>14</v>
      </c>
      <c r="D61">
        <v>13.2</v>
      </c>
      <c r="E61">
        <v>59</v>
      </c>
      <c r="F61">
        <v>0</v>
      </c>
      <c r="G61" t="s">
        <v>32</v>
      </c>
      <c r="H61" t="s">
        <v>36</v>
      </c>
      <c r="J61" s="2"/>
      <c r="K61" s="2"/>
    </row>
    <row r="62" spans="1:11" x14ac:dyDescent="0.25">
      <c r="A62" s="1">
        <v>44784.417430555557</v>
      </c>
      <c r="B62" s="1">
        <v>44784.417395833334</v>
      </c>
      <c r="C62">
        <v>14</v>
      </c>
      <c r="D62">
        <v>13.2</v>
      </c>
      <c r="E62">
        <v>59</v>
      </c>
      <c r="F62">
        <v>0</v>
      </c>
      <c r="G62" t="s">
        <v>32</v>
      </c>
      <c r="H62" t="s">
        <v>36</v>
      </c>
      <c r="J62" t="str">
        <f>IF(COUNT(I57:I62)&gt;3.5,ROUND(AVERAGE(I57:I62),2),"")</f>
        <v/>
      </c>
      <c r="K62" t="str">
        <f>IF(COUNT(, , , , , , , , , , , NA, NA, NA, NA, NA, NA, NA, NA, NA, NA, NA, NA, NA)&gt;17.5,ROUND(AVERAGE(, , , , , , , , , , , 0, 0, 0, 0, 0, 0, 0, 0, 0, 0, 0, 0, 0),2),"NO AVG")</f>
        <v>NO AVG</v>
      </c>
    </row>
    <row r="63" spans="1:11" x14ac:dyDescent="0.25">
      <c r="A63" s="1">
        <v>44784.424375000002</v>
      </c>
      <c r="B63" s="1">
        <v>44784.424340277779</v>
      </c>
      <c r="C63">
        <v>14</v>
      </c>
      <c r="D63">
        <v>13.2</v>
      </c>
      <c r="E63">
        <v>59</v>
      </c>
      <c r="F63">
        <v>0</v>
      </c>
      <c r="G63" t="s">
        <v>32</v>
      </c>
      <c r="H63" t="s">
        <v>36</v>
      </c>
      <c r="J63" s="2"/>
      <c r="K63" s="2"/>
    </row>
    <row r="64" spans="1:11" x14ac:dyDescent="0.25">
      <c r="A64" s="1">
        <v>44784.431319444448</v>
      </c>
      <c r="B64" s="1">
        <v>44784.431284722225</v>
      </c>
      <c r="C64">
        <v>14</v>
      </c>
      <c r="D64">
        <v>13.2</v>
      </c>
      <c r="E64">
        <v>59</v>
      </c>
      <c r="F64">
        <v>0</v>
      </c>
      <c r="G64" t="s">
        <v>32</v>
      </c>
      <c r="H64" t="s">
        <v>36</v>
      </c>
      <c r="J64" s="2"/>
      <c r="K64" s="2"/>
    </row>
    <row r="65" spans="1:11" x14ac:dyDescent="0.25">
      <c r="A65" s="1">
        <v>44784.438263888886</v>
      </c>
      <c r="B65" s="1">
        <v>44784.43822916667</v>
      </c>
      <c r="C65">
        <v>14</v>
      </c>
      <c r="D65">
        <v>13.2</v>
      </c>
      <c r="E65">
        <v>59</v>
      </c>
      <c r="F65">
        <v>0</v>
      </c>
      <c r="G65" t="s">
        <v>32</v>
      </c>
      <c r="H65" t="s">
        <v>36</v>
      </c>
      <c r="J65" s="2"/>
      <c r="K65" s="2"/>
    </row>
    <row r="66" spans="1:11" x14ac:dyDescent="0.25">
      <c r="A66" s="1">
        <v>44784.445208333331</v>
      </c>
      <c r="B66" s="1">
        <v>44784.445173611108</v>
      </c>
      <c r="C66">
        <v>14</v>
      </c>
      <c r="D66">
        <v>13.2</v>
      </c>
      <c r="E66">
        <v>59</v>
      </c>
      <c r="F66">
        <v>0</v>
      </c>
      <c r="G66" t="s">
        <v>32</v>
      </c>
      <c r="H66" t="s">
        <v>36</v>
      </c>
      <c r="J66" s="2"/>
      <c r="K66" s="2"/>
    </row>
    <row r="67" spans="1:11" x14ac:dyDescent="0.25">
      <c r="A67" s="1">
        <v>44784.452152777776</v>
      </c>
      <c r="B67" s="1">
        <v>44784.452118055553</v>
      </c>
      <c r="C67">
        <v>14</v>
      </c>
      <c r="D67">
        <v>13.2</v>
      </c>
      <c r="E67">
        <v>59</v>
      </c>
      <c r="F67">
        <v>0</v>
      </c>
      <c r="G67" t="s">
        <v>32</v>
      </c>
      <c r="H67" t="s">
        <v>36</v>
      </c>
      <c r="J67" s="2"/>
      <c r="K67" s="2"/>
    </row>
    <row r="68" spans="1:11" x14ac:dyDescent="0.25">
      <c r="A68" s="1">
        <v>44784.459097222221</v>
      </c>
      <c r="B68" s="1">
        <v>44784.459062499998</v>
      </c>
      <c r="C68">
        <v>14</v>
      </c>
      <c r="D68">
        <v>13.2</v>
      </c>
      <c r="E68">
        <v>59</v>
      </c>
      <c r="F68">
        <v>0</v>
      </c>
      <c r="G68" t="s">
        <v>32</v>
      </c>
      <c r="H68" t="s">
        <v>36</v>
      </c>
      <c r="J68" t="str">
        <f>IF(COUNT(I63:I68)&gt;3.5,ROUND(AVERAGE(I63:I68),2),"")</f>
        <v/>
      </c>
      <c r="K68" t="str">
        <f>IF(COUNT(, , , , , , , , , , , , NA, NA, NA, NA, NA, NA, NA, NA, NA, NA, NA, NA)&gt;17.5,ROUND(AVERAGE(, , , , , , , , , , , , 0, 0, 0, 0, 0, 0, 0, 0, 0, 0, 0, 0),2),"NO AVG")</f>
        <v>NO AVG</v>
      </c>
    </row>
    <row r="69" spans="1:11" x14ac:dyDescent="0.25">
      <c r="A69" s="1">
        <v>44784.466041666667</v>
      </c>
      <c r="B69" s="1">
        <v>44784.466006944444</v>
      </c>
      <c r="C69">
        <v>14</v>
      </c>
      <c r="D69">
        <v>13.2</v>
      </c>
      <c r="E69">
        <v>59</v>
      </c>
      <c r="F69">
        <v>0</v>
      </c>
      <c r="G69" t="s">
        <v>32</v>
      </c>
      <c r="H69" t="s">
        <v>36</v>
      </c>
      <c r="J69" s="2"/>
      <c r="K69" s="2"/>
    </row>
    <row r="70" spans="1:11" x14ac:dyDescent="0.25">
      <c r="A70" s="1">
        <v>44784.472986111112</v>
      </c>
      <c r="B70" s="1">
        <v>44784.472951388889</v>
      </c>
      <c r="C70">
        <v>14</v>
      </c>
      <c r="D70">
        <v>13.2</v>
      </c>
      <c r="E70">
        <v>59</v>
      </c>
      <c r="F70">
        <v>0</v>
      </c>
      <c r="G70" t="s">
        <v>32</v>
      </c>
      <c r="H70" t="s">
        <v>36</v>
      </c>
      <c r="J70" s="2"/>
      <c r="K70" s="2"/>
    </row>
    <row r="71" spans="1:11" x14ac:dyDescent="0.25">
      <c r="A71" s="1">
        <v>44784.479930555557</v>
      </c>
      <c r="B71" s="1">
        <v>44784.479895833334</v>
      </c>
      <c r="C71">
        <v>14</v>
      </c>
      <c r="D71">
        <v>13.2</v>
      </c>
      <c r="E71">
        <v>59</v>
      </c>
      <c r="F71">
        <v>0</v>
      </c>
      <c r="G71" t="s">
        <v>32</v>
      </c>
      <c r="H71" t="s">
        <v>36</v>
      </c>
      <c r="J71" s="2"/>
      <c r="K71" s="2"/>
    </row>
    <row r="72" spans="1:11" x14ac:dyDescent="0.25">
      <c r="A72" s="1">
        <v>44784.486886574072</v>
      </c>
      <c r="B72" s="1">
        <v>44784.486840277779</v>
      </c>
      <c r="C72">
        <v>14</v>
      </c>
      <c r="D72">
        <v>13.2</v>
      </c>
      <c r="E72">
        <v>59</v>
      </c>
      <c r="F72">
        <v>0</v>
      </c>
      <c r="G72" t="s">
        <v>32</v>
      </c>
      <c r="H72" t="s">
        <v>36</v>
      </c>
      <c r="J72" s="2"/>
      <c r="K72" s="2"/>
    </row>
    <row r="73" spans="1:11" x14ac:dyDescent="0.25">
      <c r="A73" s="1">
        <v>44784.493819444448</v>
      </c>
      <c r="B73" s="1">
        <v>44784.493784722225</v>
      </c>
      <c r="C73">
        <v>14</v>
      </c>
      <c r="D73">
        <v>13.2</v>
      </c>
      <c r="E73">
        <v>59</v>
      </c>
      <c r="F73">
        <v>0</v>
      </c>
      <c r="G73" t="s">
        <v>32</v>
      </c>
      <c r="H73" t="s">
        <v>36</v>
      </c>
      <c r="J73" s="2"/>
      <c r="K73" s="2"/>
    </row>
    <row r="74" spans="1:11" x14ac:dyDescent="0.25">
      <c r="A74" s="1">
        <v>44784.500763888886</v>
      </c>
      <c r="B74" s="1">
        <v>44784.50072916667</v>
      </c>
      <c r="C74">
        <v>14</v>
      </c>
      <c r="D74">
        <v>13.2</v>
      </c>
      <c r="E74">
        <v>59</v>
      </c>
      <c r="F74">
        <v>0</v>
      </c>
      <c r="G74" t="s">
        <v>32</v>
      </c>
      <c r="H74" t="s">
        <v>36</v>
      </c>
      <c r="J74" t="str">
        <f>IF(COUNT(I69:I74)&gt;3.5,ROUND(AVERAGE(I69:I74),2),"")</f>
        <v/>
      </c>
      <c r="K74" t="str">
        <f>IF(COUNT(, , , , , , , , , , , , , NA, NA, NA, NA, NA, NA, NA, NA, NA, NA, NA)&gt;17.5,ROUND(AVERAGE(, , , , , , , , , , , , , 0, 0, 0, 0, 0, 0, 0, 0, 0, 0, 0),2),"NO AVG")</f>
        <v>NO AVG</v>
      </c>
    </row>
    <row r="75" spans="1:11" x14ac:dyDescent="0.25">
      <c r="A75" s="1">
        <v>44784.507708333331</v>
      </c>
      <c r="B75" s="1">
        <v>44784.507673611108</v>
      </c>
      <c r="C75">
        <v>14</v>
      </c>
      <c r="D75">
        <v>13.2</v>
      </c>
      <c r="E75">
        <v>59</v>
      </c>
      <c r="F75">
        <v>0</v>
      </c>
      <c r="G75" t="s">
        <v>32</v>
      </c>
      <c r="H75" t="s">
        <v>36</v>
      </c>
      <c r="J75" s="2"/>
      <c r="K75" s="2"/>
    </row>
    <row r="76" spans="1:11" x14ac:dyDescent="0.25">
      <c r="A76" s="1">
        <v>44784.514652777776</v>
      </c>
      <c r="B76" s="1">
        <v>44784.514618055553</v>
      </c>
      <c r="C76">
        <v>14</v>
      </c>
      <c r="D76">
        <v>13.2</v>
      </c>
      <c r="E76">
        <v>59</v>
      </c>
      <c r="F76">
        <v>0</v>
      </c>
      <c r="G76" t="s">
        <v>32</v>
      </c>
      <c r="H76" t="s">
        <v>36</v>
      </c>
      <c r="J76" s="2"/>
      <c r="K76" s="2"/>
    </row>
    <row r="77" spans="1:11" x14ac:dyDescent="0.25">
      <c r="A77" s="1">
        <v>44784.521597222221</v>
      </c>
      <c r="B77" s="1">
        <v>44784.521562499998</v>
      </c>
      <c r="C77">
        <v>14</v>
      </c>
      <c r="D77">
        <v>13.2</v>
      </c>
      <c r="E77">
        <v>59</v>
      </c>
      <c r="F77">
        <v>0</v>
      </c>
      <c r="G77" t="s">
        <v>32</v>
      </c>
      <c r="H77" t="s">
        <v>36</v>
      </c>
      <c r="J77" s="2"/>
      <c r="K77" s="2"/>
    </row>
    <row r="78" spans="1:11" x14ac:dyDescent="0.25">
      <c r="A78" s="1">
        <v>44784.528553240743</v>
      </c>
      <c r="B78" s="1">
        <v>44784.528506944444</v>
      </c>
      <c r="C78">
        <v>14</v>
      </c>
      <c r="D78">
        <v>13.2</v>
      </c>
      <c r="E78">
        <v>59</v>
      </c>
      <c r="F78">
        <v>0</v>
      </c>
      <c r="G78" t="s">
        <v>32</v>
      </c>
      <c r="H78" t="s">
        <v>36</v>
      </c>
      <c r="J78" s="2"/>
      <c r="K78" s="2"/>
    </row>
    <row r="79" spans="1:11" x14ac:dyDescent="0.25">
      <c r="A79" s="1">
        <v>44784.535486111112</v>
      </c>
      <c r="B79" s="1">
        <v>44784.535451388889</v>
      </c>
      <c r="C79">
        <v>14</v>
      </c>
      <c r="D79">
        <v>13.2</v>
      </c>
      <c r="E79">
        <v>59</v>
      </c>
      <c r="F79">
        <v>0</v>
      </c>
      <c r="G79" t="s">
        <v>32</v>
      </c>
      <c r="H79" t="s">
        <v>36</v>
      </c>
      <c r="J79" s="2"/>
      <c r="K79" s="2"/>
    </row>
    <row r="80" spans="1:11" x14ac:dyDescent="0.25">
      <c r="A80" s="1">
        <v>44784.542430555557</v>
      </c>
      <c r="B80" s="1">
        <v>44784.542395833334</v>
      </c>
      <c r="C80">
        <v>14</v>
      </c>
      <c r="D80">
        <v>13.2</v>
      </c>
      <c r="E80">
        <v>59</v>
      </c>
      <c r="F80">
        <v>0</v>
      </c>
      <c r="G80" t="s">
        <v>32</v>
      </c>
      <c r="H80" t="s">
        <v>36</v>
      </c>
      <c r="J80" t="str">
        <f>IF(COUNT(I75:I80)&gt;3.5,ROUND(AVERAGE(I75:I80),2),"")</f>
        <v/>
      </c>
      <c r="K80" t="str">
        <f>IF(COUNT(, , , , , , , , , , , , , , NA, NA, NA, NA, NA, NA, NA, NA, NA, NA)&gt;17.5,ROUND(AVERAGE(, , , , , , , , , , , , , , 0, 0, 0, 0, 0, 0, 0, 0, 0, 0),2),"NO AVG")</f>
        <v>NO AVG</v>
      </c>
    </row>
    <row r="81" spans="1:11" x14ac:dyDescent="0.25">
      <c r="A81" s="1">
        <v>44784.549375000002</v>
      </c>
      <c r="B81" s="1">
        <v>44784.549340277779</v>
      </c>
      <c r="C81">
        <v>14</v>
      </c>
      <c r="D81">
        <v>13.2</v>
      </c>
      <c r="E81">
        <v>59</v>
      </c>
      <c r="F81">
        <v>0</v>
      </c>
      <c r="G81" t="s">
        <v>32</v>
      </c>
      <c r="H81" t="s">
        <v>36</v>
      </c>
      <c r="J81" s="2"/>
      <c r="K81" s="2"/>
    </row>
    <row r="82" spans="1:11" x14ac:dyDescent="0.25">
      <c r="A82" s="1">
        <v>44784.556805555556</v>
      </c>
      <c r="B82" s="1">
        <v>44784.556284722225</v>
      </c>
      <c r="C82">
        <v>14</v>
      </c>
      <c r="D82">
        <v>13.2</v>
      </c>
      <c r="E82">
        <v>59</v>
      </c>
      <c r="F82">
        <v>0</v>
      </c>
      <c r="G82" t="s">
        <v>32</v>
      </c>
      <c r="H82" t="s">
        <v>36</v>
      </c>
      <c r="J82" s="2"/>
      <c r="K82" s="2"/>
    </row>
    <row r="83" spans="1:11" x14ac:dyDescent="0.25">
      <c r="A83" s="1">
        <v>44784.563263888886</v>
      </c>
      <c r="B83" s="1">
        <v>44784.56322916667</v>
      </c>
      <c r="C83">
        <v>14</v>
      </c>
      <c r="D83">
        <v>13.2</v>
      </c>
      <c r="E83">
        <v>59</v>
      </c>
      <c r="F83">
        <v>0</v>
      </c>
      <c r="G83" t="s">
        <v>32</v>
      </c>
      <c r="H83" t="s">
        <v>36</v>
      </c>
      <c r="J83" s="2"/>
      <c r="K83" s="2"/>
    </row>
    <row r="84" spans="1:11" x14ac:dyDescent="0.25">
      <c r="A84" s="1">
        <v>44784.570208333331</v>
      </c>
      <c r="B84" s="1">
        <v>44784.570173611108</v>
      </c>
      <c r="C84">
        <v>14</v>
      </c>
      <c r="D84">
        <v>13.2</v>
      </c>
      <c r="E84">
        <v>59</v>
      </c>
      <c r="F84">
        <v>0</v>
      </c>
      <c r="G84" t="s">
        <v>32</v>
      </c>
      <c r="H84" t="s">
        <v>36</v>
      </c>
      <c r="J84" s="2"/>
      <c r="K84" s="2"/>
    </row>
    <row r="85" spans="1:11" x14ac:dyDescent="0.25">
      <c r="A85" s="1">
        <v>44784.577152777776</v>
      </c>
      <c r="B85" s="1">
        <v>44784.577118055553</v>
      </c>
      <c r="C85">
        <v>14</v>
      </c>
      <c r="D85">
        <v>13.2</v>
      </c>
      <c r="E85">
        <v>59</v>
      </c>
      <c r="F85">
        <v>0</v>
      </c>
      <c r="G85" t="s">
        <v>32</v>
      </c>
      <c r="H85" t="s">
        <v>36</v>
      </c>
      <c r="J85" s="2"/>
      <c r="K85" s="2"/>
    </row>
    <row r="86" spans="1:11" x14ac:dyDescent="0.25">
      <c r="A86" s="1">
        <v>44784.584108796298</v>
      </c>
      <c r="B86" s="1">
        <v>44784.584062499998</v>
      </c>
      <c r="C86">
        <v>14</v>
      </c>
      <c r="D86">
        <v>13.2</v>
      </c>
      <c r="E86">
        <v>59</v>
      </c>
      <c r="F86">
        <v>0</v>
      </c>
      <c r="G86" t="s">
        <v>32</v>
      </c>
      <c r="H86" t="s">
        <v>36</v>
      </c>
      <c r="J86" t="str">
        <f>IF(COUNT(I81:I86)&gt;3.5,ROUND(AVERAGE(I81:I86),2),"")</f>
        <v/>
      </c>
      <c r="K86" t="str">
        <f>IF(COUNT(, , , , , , , , , , , , , , , NA, NA, NA, NA, NA, NA, NA, NA, NA)&gt;17.5,ROUND(AVERAGE(, , , , , , , , , , , , , , , 0, 0, 0, 0, 0, 0, 0, 0, 0),2),"NO AVG")</f>
        <v>NO AVG</v>
      </c>
    </row>
    <row r="87" spans="1:11" x14ac:dyDescent="0.25">
      <c r="A87" s="1">
        <v>44784.591041666667</v>
      </c>
      <c r="B87" s="1">
        <v>44784.591006944444</v>
      </c>
      <c r="C87">
        <v>14</v>
      </c>
      <c r="D87">
        <v>13.2</v>
      </c>
      <c r="E87">
        <v>59</v>
      </c>
      <c r="F87">
        <v>0</v>
      </c>
      <c r="G87" t="s">
        <v>32</v>
      </c>
      <c r="H87" t="s">
        <v>36</v>
      </c>
      <c r="J87" s="2"/>
      <c r="K87" s="2"/>
    </row>
    <row r="88" spans="1:11" x14ac:dyDescent="0.25">
      <c r="A88" s="1">
        <v>44784.597986111112</v>
      </c>
      <c r="B88" s="1">
        <v>44784.597951388889</v>
      </c>
      <c r="C88">
        <v>14</v>
      </c>
      <c r="D88">
        <v>13.2</v>
      </c>
      <c r="E88">
        <v>59</v>
      </c>
      <c r="F88">
        <v>0</v>
      </c>
      <c r="G88" t="s">
        <v>32</v>
      </c>
      <c r="H88" t="s">
        <v>36</v>
      </c>
      <c r="J88" s="2"/>
      <c r="K88" s="2"/>
    </row>
    <row r="89" spans="1:11" x14ac:dyDescent="0.25">
      <c r="A89" s="1">
        <v>44784.604942129627</v>
      </c>
      <c r="B89" s="1">
        <v>44784.604895833334</v>
      </c>
      <c r="C89">
        <v>14</v>
      </c>
      <c r="D89">
        <v>13.2</v>
      </c>
      <c r="E89">
        <v>59</v>
      </c>
      <c r="F89">
        <v>0</v>
      </c>
      <c r="G89" t="s">
        <v>32</v>
      </c>
      <c r="H89" t="s">
        <v>36</v>
      </c>
      <c r="J89" s="2"/>
      <c r="K89" s="2"/>
    </row>
    <row r="90" spans="1:11" x14ac:dyDescent="0.25">
      <c r="A90" s="1">
        <v>44784.611875000002</v>
      </c>
      <c r="B90" s="1">
        <v>44784.611840277779</v>
      </c>
      <c r="C90">
        <v>14</v>
      </c>
      <c r="D90">
        <v>13.2</v>
      </c>
      <c r="E90">
        <v>59</v>
      </c>
      <c r="F90">
        <v>0</v>
      </c>
      <c r="G90" t="s">
        <v>32</v>
      </c>
      <c r="H90" t="s">
        <v>36</v>
      </c>
      <c r="J90" s="2"/>
      <c r="K90" s="2"/>
    </row>
    <row r="91" spans="1:11" x14ac:dyDescent="0.25">
      <c r="A91" s="1">
        <v>44784.618831018517</v>
      </c>
      <c r="B91" s="1">
        <v>44784.618784722225</v>
      </c>
      <c r="C91">
        <v>14</v>
      </c>
      <c r="D91">
        <v>13.2</v>
      </c>
      <c r="E91">
        <v>59</v>
      </c>
      <c r="F91">
        <v>0</v>
      </c>
      <c r="G91" t="s">
        <v>32</v>
      </c>
      <c r="H91" t="s">
        <v>36</v>
      </c>
      <c r="J91" s="2"/>
      <c r="K91" s="2"/>
    </row>
    <row r="92" spans="1:11" x14ac:dyDescent="0.25">
      <c r="A92" s="1">
        <v>44784.625775462962</v>
      </c>
      <c r="B92" s="1">
        <v>44784.62572916667</v>
      </c>
      <c r="C92">
        <v>14</v>
      </c>
      <c r="D92">
        <v>13.2</v>
      </c>
      <c r="E92">
        <v>59</v>
      </c>
      <c r="F92">
        <v>0</v>
      </c>
      <c r="G92" t="s">
        <v>32</v>
      </c>
      <c r="H92" t="s">
        <v>36</v>
      </c>
      <c r="J92" t="str">
        <f>IF(COUNT(I87:I92)&gt;3.5,ROUND(AVERAGE(I87:I92),2),"")</f>
        <v/>
      </c>
      <c r="K92" t="str">
        <f>IF(COUNT(, , , , , , , , , , , , , , , , NA, NA, NA, NA, NA, NA, NA, NA)&gt;17.5,ROUND(AVERAGE(, , , , , , , , , , , , , , , , 0, 0, 0, 0, 0, 0, 0, 0),2),"NO AVG")</f>
        <v>NO AVG</v>
      </c>
    </row>
    <row r="93" spans="1:11" x14ac:dyDescent="0.25">
      <c r="A93" s="1">
        <v>44784.632696759261</v>
      </c>
      <c r="B93" s="1">
        <v>44784.632673611108</v>
      </c>
      <c r="C93">
        <v>14</v>
      </c>
      <c r="D93">
        <v>13.2</v>
      </c>
      <c r="E93">
        <v>59</v>
      </c>
      <c r="F93">
        <v>0</v>
      </c>
      <c r="G93" t="s">
        <v>32</v>
      </c>
      <c r="H93" t="s">
        <v>36</v>
      </c>
      <c r="J93" s="2"/>
      <c r="K93" s="2"/>
    </row>
    <row r="94" spans="1:11" x14ac:dyDescent="0.25">
      <c r="A94" s="1">
        <v>44784.639641203707</v>
      </c>
      <c r="B94" s="1">
        <v>44784.639618055553</v>
      </c>
      <c r="C94">
        <v>14</v>
      </c>
      <c r="D94">
        <v>13.2</v>
      </c>
      <c r="E94">
        <v>59</v>
      </c>
      <c r="F94">
        <v>0</v>
      </c>
      <c r="G94" t="s">
        <v>32</v>
      </c>
      <c r="H94" t="s">
        <v>36</v>
      </c>
      <c r="J94" s="2"/>
      <c r="K94" s="2"/>
    </row>
    <row r="95" spans="1:11" x14ac:dyDescent="0.25">
      <c r="A95" s="1">
        <v>44784.646585648145</v>
      </c>
      <c r="B95" s="1">
        <v>44784.646562499998</v>
      </c>
      <c r="C95">
        <v>14</v>
      </c>
      <c r="D95">
        <v>13.2</v>
      </c>
      <c r="E95">
        <v>59</v>
      </c>
      <c r="F95">
        <v>0</v>
      </c>
      <c r="G95" t="s">
        <v>32</v>
      </c>
      <c r="H95" t="s">
        <v>36</v>
      </c>
      <c r="J95" s="2"/>
      <c r="K95" s="2"/>
    </row>
    <row r="96" spans="1:11" x14ac:dyDescent="0.25">
      <c r="A96" s="1">
        <v>44784.65353009259</v>
      </c>
      <c r="B96" s="1">
        <v>44784.653506944444</v>
      </c>
      <c r="C96">
        <v>14</v>
      </c>
      <c r="D96">
        <v>13.2</v>
      </c>
      <c r="E96">
        <v>59</v>
      </c>
      <c r="F96">
        <v>0</v>
      </c>
      <c r="G96" t="s">
        <v>32</v>
      </c>
      <c r="H96" t="s">
        <v>36</v>
      </c>
      <c r="J96" s="2"/>
      <c r="K96" s="2"/>
    </row>
    <row r="97" spans="1:11" x14ac:dyDescent="0.25">
      <c r="A97" s="1">
        <v>44784.660474537035</v>
      </c>
      <c r="B97" s="1">
        <v>44784.660451388889</v>
      </c>
      <c r="C97">
        <v>14</v>
      </c>
      <c r="D97">
        <v>13.2</v>
      </c>
      <c r="E97">
        <v>59</v>
      </c>
      <c r="F97">
        <v>0</v>
      </c>
      <c r="G97" t="s">
        <v>32</v>
      </c>
      <c r="H97" t="s">
        <v>36</v>
      </c>
      <c r="J97" s="2"/>
      <c r="K97" s="2"/>
    </row>
    <row r="98" spans="1:11" x14ac:dyDescent="0.25">
      <c r="A98" s="1">
        <v>44784.66741898148</v>
      </c>
      <c r="B98" s="1">
        <v>44784.667395833334</v>
      </c>
      <c r="C98">
        <v>14</v>
      </c>
      <c r="D98">
        <v>13.2</v>
      </c>
      <c r="E98">
        <v>59</v>
      </c>
      <c r="F98">
        <v>0</v>
      </c>
      <c r="G98" t="s">
        <v>32</v>
      </c>
      <c r="H98" t="s">
        <v>36</v>
      </c>
      <c r="J98" t="str">
        <f>IF(COUNT(I93:I98)&gt;3.5,ROUND(AVERAGE(I93:I98),2),"")</f>
        <v/>
      </c>
      <c r="K98" t="str">
        <f>IF(COUNT(, , , , , , , , , , , , , , , , , NA, NA, NA, NA, NA, NA, NA)&gt;17.5,ROUND(AVERAGE(, , , , , , , , , , , , , , , , , 0, 0, 0, 0, 0, 0, 0),2),"NO AVG")</f>
        <v>NO AVG</v>
      </c>
    </row>
    <row r="99" spans="1:11" x14ac:dyDescent="0.25">
      <c r="A99" s="1">
        <v>44784.674351851849</v>
      </c>
      <c r="B99" s="1">
        <v>44784.674328703702</v>
      </c>
      <c r="C99">
        <v>14</v>
      </c>
      <c r="D99">
        <v>13.2</v>
      </c>
      <c r="E99">
        <v>59</v>
      </c>
      <c r="F99">
        <v>0</v>
      </c>
      <c r="G99" t="s">
        <v>32</v>
      </c>
      <c r="H99" t="s">
        <v>36</v>
      </c>
      <c r="J99" s="2"/>
      <c r="K99" s="2"/>
    </row>
    <row r="100" spans="1:11" x14ac:dyDescent="0.25">
      <c r="A100" s="1">
        <v>44784.681296296294</v>
      </c>
      <c r="B100" s="1">
        <v>44784.681273148148</v>
      </c>
      <c r="C100">
        <v>14</v>
      </c>
      <c r="D100">
        <v>13.2</v>
      </c>
      <c r="E100">
        <v>59</v>
      </c>
      <c r="F100">
        <v>0</v>
      </c>
      <c r="G100" t="s">
        <v>32</v>
      </c>
      <c r="H100" t="s">
        <v>36</v>
      </c>
      <c r="J100" s="2"/>
      <c r="K100" s="2"/>
    </row>
    <row r="101" spans="1:11" x14ac:dyDescent="0.25">
      <c r="A101" s="1">
        <v>44784.688287037039</v>
      </c>
      <c r="B101" s="1">
        <v>44784.688217592593</v>
      </c>
      <c r="C101">
        <v>14</v>
      </c>
      <c r="D101">
        <v>13.2</v>
      </c>
      <c r="E101">
        <v>59</v>
      </c>
      <c r="F101">
        <v>0</v>
      </c>
      <c r="G101" t="s">
        <v>32</v>
      </c>
      <c r="H101" t="s">
        <v>36</v>
      </c>
      <c r="J101" s="2"/>
      <c r="K101" s="2"/>
    </row>
    <row r="102" spans="1:11" x14ac:dyDescent="0.25">
      <c r="A102" s="1">
        <v>44784.695185185185</v>
      </c>
      <c r="B102" s="1">
        <v>44784.695162037038</v>
      </c>
      <c r="C102">
        <v>14</v>
      </c>
      <c r="D102">
        <v>13.2</v>
      </c>
      <c r="E102">
        <v>59</v>
      </c>
      <c r="F102">
        <v>0</v>
      </c>
      <c r="G102" t="s">
        <v>32</v>
      </c>
      <c r="H102" t="s">
        <v>36</v>
      </c>
      <c r="J102" s="2"/>
      <c r="K102" s="2"/>
    </row>
    <row r="103" spans="1:11" x14ac:dyDescent="0.25">
      <c r="A103" s="1">
        <v>44784.70212962963</v>
      </c>
      <c r="B103" s="1">
        <v>44784.702106481483</v>
      </c>
      <c r="C103">
        <v>14</v>
      </c>
      <c r="D103">
        <v>13.2</v>
      </c>
      <c r="E103">
        <v>59</v>
      </c>
      <c r="F103">
        <v>0</v>
      </c>
      <c r="G103" t="s">
        <v>32</v>
      </c>
      <c r="H103" t="s">
        <v>36</v>
      </c>
      <c r="J103" s="2"/>
      <c r="K103" s="2"/>
    </row>
    <row r="104" spans="1:11" x14ac:dyDescent="0.25">
      <c r="A104" s="1">
        <v>44784.709085648145</v>
      </c>
      <c r="B104" s="1">
        <v>44784.709050925929</v>
      </c>
      <c r="C104">
        <v>14</v>
      </c>
      <c r="D104">
        <v>13.2</v>
      </c>
      <c r="E104">
        <v>59</v>
      </c>
      <c r="F104">
        <v>0</v>
      </c>
      <c r="G104" t="s">
        <v>32</v>
      </c>
      <c r="H104" t="s">
        <v>36</v>
      </c>
      <c r="J104" t="str">
        <f>IF(COUNT(I99:I104)&gt;3.5,ROUND(AVERAGE(I99:I104),2),"")</f>
        <v/>
      </c>
      <c r="K104">
        <f>IF(COUNT(, , , , , , , , , , , , , , , , , , NA, NA, NA, NA, NA, NA)&gt;17.5,ROUND(AVERAGE(, , , , , , , , , , , , , , , , , , 0, 0, 0, 0, 0, 0),2),"NO AVG")</f>
        <v>0</v>
      </c>
    </row>
    <row r="105" spans="1:11" x14ac:dyDescent="0.25">
      <c r="A105" s="1">
        <v>44784.71601851852</v>
      </c>
      <c r="B105" s="1">
        <v>44784.715995370374</v>
      </c>
      <c r="C105">
        <v>14</v>
      </c>
      <c r="D105">
        <v>13.2</v>
      </c>
      <c r="E105">
        <v>59</v>
      </c>
      <c r="F105">
        <v>0</v>
      </c>
      <c r="G105" t="s">
        <v>32</v>
      </c>
      <c r="H105" t="s">
        <v>36</v>
      </c>
      <c r="J105" s="2"/>
      <c r="K105" s="2"/>
    </row>
    <row r="106" spans="1:11" x14ac:dyDescent="0.25">
      <c r="A106" s="1">
        <v>44784.722962962966</v>
      </c>
      <c r="B106" s="1">
        <v>44784.722939814812</v>
      </c>
      <c r="C106">
        <v>14</v>
      </c>
      <c r="D106">
        <v>13.2</v>
      </c>
      <c r="E106">
        <v>59</v>
      </c>
      <c r="F106">
        <v>0</v>
      </c>
      <c r="G106" t="s">
        <v>32</v>
      </c>
      <c r="H106" t="s">
        <v>36</v>
      </c>
      <c r="J106" s="2"/>
      <c r="K106" s="2"/>
    </row>
    <row r="107" spans="1:11" x14ac:dyDescent="0.25">
      <c r="A107" s="1">
        <v>44784.729907407411</v>
      </c>
      <c r="B107" s="1">
        <v>44784.729884259257</v>
      </c>
      <c r="C107">
        <v>14</v>
      </c>
      <c r="D107">
        <v>13.2</v>
      </c>
      <c r="E107">
        <v>59</v>
      </c>
      <c r="F107">
        <v>0</v>
      </c>
      <c r="G107" t="s">
        <v>32</v>
      </c>
      <c r="H107" t="s">
        <v>36</v>
      </c>
      <c r="J107" s="2"/>
      <c r="K107" s="2"/>
    </row>
    <row r="108" spans="1:11" x14ac:dyDescent="0.25">
      <c r="A108" s="1">
        <v>44784.736863425926</v>
      </c>
      <c r="B108" s="1">
        <v>44784.736828703702</v>
      </c>
      <c r="C108">
        <v>14</v>
      </c>
      <c r="D108">
        <v>13.2</v>
      </c>
      <c r="E108">
        <v>59</v>
      </c>
      <c r="F108">
        <v>0</v>
      </c>
      <c r="G108" t="s">
        <v>32</v>
      </c>
      <c r="H108" t="s">
        <v>36</v>
      </c>
      <c r="J108" s="2"/>
      <c r="K108" s="2"/>
    </row>
    <row r="109" spans="1:11" x14ac:dyDescent="0.25">
      <c r="A109" s="1">
        <v>44784.743796296294</v>
      </c>
      <c r="B109" s="1">
        <v>44784.743773148148</v>
      </c>
      <c r="C109">
        <v>14</v>
      </c>
      <c r="D109">
        <v>13.2</v>
      </c>
      <c r="E109">
        <v>59</v>
      </c>
      <c r="F109">
        <v>0</v>
      </c>
      <c r="G109" t="s">
        <v>32</v>
      </c>
      <c r="H109" t="s">
        <v>36</v>
      </c>
      <c r="J109" s="2"/>
      <c r="K109" s="2"/>
    </row>
    <row r="110" spans="1:11" x14ac:dyDescent="0.25">
      <c r="A110" s="1">
        <v>44784.750752314816</v>
      </c>
      <c r="B110" s="1">
        <v>44784.750717592593</v>
      </c>
      <c r="C110">
        <v>14</v>
      </c>
      <c r="D110">
        <v>13.2</v>
      </c>
      <c r="E110">
        <v>59</v>
      </c>
      <c r="F110">
        <v>0</v>
      </c>
      <c r="G110" t="s">
        <v>32</v>
      </c>
      <c r="H110" t="s">
        <v>36</v>
      </c>
      <c r="J110" t="str">
        <f>IF(COUNT(I105:I110)&gt;3.5,ROUND(AVERAGE(I105:I110),2),"")</f>
        <v/>
      </c>
      <c r="K110">
        <f>IF(COUNT(, , , , , , , , , , , , , , , , , , , NA, NA, NA, NA, NA)&gt;17.5,ROUND(AVERAGE(, , , , , , , , , , , , , , , , , , , 0, 0, 0, 0, 0),2),"NO AVG")</f>
        <v>0</v>
      </c>
    </row>
    <row r="111" spans="1:11" x14ac:dyDescent="0.25">
      <c r="A111" s="1">
        <v>44784.757696759261</v>
      </c>
      <c r="B111" s="1">
        <v>44784.757662037038</v>
      </c>
      <c r="C111">
        <v>14</v>
      </c>
      <c r="D111">
        <v>13.2</v>
      </c>
      <c r="E111">
        <v>59</v>
      </c>
      <c r="F111">
        <v>0</v>
      </c>
      <c r="G111" t="s">
        <v>32</v>
      </c>
      <c r="H111" t="s">
        <v>36</v>
      </c>
      <c r="J111" s="2"/>
      <c r="K111" s="2"/>
    </row>
    <row r="112" spans="1:11" x14ac:dyDescent="0.25">
      <c r="A112" s="1">
        <v>44784.76462962963</v>
      </c>
      <c r="B112" s="1">
        <v>44784.764606481483</v>
      </c>
      <c r="C112">
        <v>14</v>
      </c>
      <c r="D112">
        <v>13.2</v>
      </c>
      <c r="E112">
        <v>59</v>
      </c>
      <c r="F112">
        <v>0</v>
      </c>
      <c r="G112" t="s">
        <v>32</v>
      </c>
      <c r="H112" t="s">
        <v>36</v>
      </c>
      <c r="J112" s="2"/>
      <c r="K112" s="2"/>
    </row>
    <row r="113" spans="1:11" x14ac:dyDescent="0.25">
      <c r="A113" s="1">
        <v>44784.771574074075</v>
      </c>
      <c r="B113" s="1">
        <v>44784.771550925929</v>
      </c>
      <c r="C113">
        <v>14</v>
      </c>
      <c r="D113">
        <v>13.2</v>
      </c>
      <c r="E113">
        <v>59</v>
      </c>
      <c r="F113">
        <v>0</v>
      </c>
      <c r="G113" t="s">
        <v>32</v>
      </c>
      <c r="H113" t="s">
        <v>36</v>
      </c>
      <c r="J113" s="2"/>
      <c r="K113" s="2"/>
    </row>
    <row r="114" spans="1:11" x14ac:dyDescent="0.25">
      <c r="A114" s="1">
        <v>44784.77853009259</v>
      </c>
      <c r="B114" s="1">
        <v>44784.778495370374</v>
      </c>
      <c r="C114">
        <v>14</v>
      </c>
      <c r="D114">
        <v>13.2</v>
      </c>
      <c r="E114">
        <v>59</v>
      </c>
      <c r="F114">
        <v>0</v>
      </c>
      <c r="G114" t="s">
        <v>32</v>
      </c>
      <c r="H114" t="s">
        <v>36</v>
      </c>
      <c r="J114" s="2"/>
      <c r="K114" s="2"/>
    </row>
    <row r="115" spans="1:11" x14ac:dyDescent="0.25">
      <c r="A115" s="1">
        <v>44784.785486111112</v>
      </c>
      <c r="B115" s="1">
        <v>44784.785439814812</v>
      </c>
      <c r="C115">
        <v>14</v>
      </c>
      <c r="D115">
        <v>13.2</v>
      </c>
      <c r="E115">
        <v>59</v>
      </c>
      <c r="F115">
        <v>0</v>
      </c>
      <c r="G115" t="s">
        <v>32</v>
      </c>
      <c r="H115" t="s">
        <v>36</v>
      </c>
      <c r="J115" s="2"/>
      <c r="K115" s="2"/>
    </row>
    <row r="116" spans="1:11" x14ac:dyDescent="0.25">
      <c r="A116" s="1">
        <v>44784.79241898148</v>
      </c>
      <c r="B116" s="1">
        <v>44784.792384259257</v>
      </c>
      <c r="C116">
        <v>14</v>
      </c>
      <c r="D116">
        <v>13.2</v>
      </c>
      <c r="E116">
        <v>59</v>
      </c>
      <c r="F116">
        <v>0</v>
      </c>
      <c r="G116" t="s">
        <v>32</v>
      </c>
      <c r="H116" t="s">
        <v>36</v>
      </c>
      <c r="J116" t="str">
        <f>IF(COUNT(I111:I116)&gt;3.5,ROUND(AVERAGE(I111:I116),2),"")</f>
        <v/>
      </c>
      <c r="K116">
        <f>IF(COUNT(, , , , , , , , , , , , , , , , , , , , NA, NA, NA, NA)&gt;17.5,ROUND(AVERAGE(, , , , , , , , , , , , , , , , , , , , 0, 0, 0, 0),2),"NO AVG")</f>
        <v>0</v>
      </c>
    </row>
    <row r="117" spans="1:11" x14ac:dyDescent="0.25">
      <c r="A117" s="1">
        <v>44784.799363425926</v>
      </c>
      <c r="B117" s="1">
        <v>44784.799328703702</v>
      </c>
      <c r="C117">
        <v>14</v>
      </c>
      <c r="D117">
        <v>13.2</v>
      </c>
      <c r="E117">
        <v>59</v>
      </c>
      <c r="F117">
        <v>0</v>
      </c>
      <c r="G117" t="s">
        <v>32</v>
      </c>
      <c r="H117" t="s">
        <v>36</v>
      </c>
      <c r="J117" s="2"/>
      <c r="K117" s="2"/>
    </row>
    <row r="118" spans="1:11" x14ac:dyDescent="0.25">
      <c r="A118" s="1">
        <v>44784.806354166663</v>
      </c>
      <c r="B118" s="1">
        <v>44784.806273148148</v>
      </c>
      <c r="C118">
        <v>14</v>
      </c>
      <c r="D118">
        <v>13.2</v>
      </c>
      <c r="E118">
        <v>59</v>
      </c>
      <c r="F118">
        <v>0</v>
      </c>
      <c r="G118" t="s">
        <v>32</v>
      </c>
      <c r="H118" t="s">
        <v>36</v>
      </c>
      <c r="J118" s="2"/>
      <c r="K118" s="2"/>
    </row>
    <row r="119" spans="1:11" x14ac:dyDescent="0.25">
      <c r="A119" s="1">
        <v>44784.813252314816</v>
      </c>
      <c r="B119" s="1">
        <v>44784.813217592593</v>
      </c>
      <c r="C119">
        <v>14</v>
      </c>
      <c r="D119">
        <v>13.2</v>
      </c>
      <c r="E119">
        <v>59</v>
      </c>
      <c r="F119">
        <v>0</v>
      </c>
      <c r="G119" t="s">
        <v>32</v>
      </c>
      <c r="H119" t="s">
        <v>36</v>
      </c>
      <c r="J119" s="2"/>
      <c r="K119" s="2"/>
    </row>
    <row r="120" spans="1:11" x14ac:dyDescent="0.25">
      <c r="A120" s="1">
        <v>44784.820196759261</v>
      </c>
      <c r="B120" s="1">
        <v>44784.820162037038</v>
      </c>
      <c r="C120">
        <v>14</v>
      </c>
      <c r="D120">
        <v>13.2</v>
      </c>
      <c r="E120">
        <v>59</v>
      </c>
      <c r="F120">
        <v>0</v>
      </c>
      <c r="G120" t="s">
        <v>32</v>
      </c>
      <c r="H120" t="s">
        <v>36</v>
      </c>
      <c r="J120" s="2"/>
      <c r="K120" s="2"/>
    </row>
    <row r="121" spans="1:11" x14ac:dyDescent="0.25">
      <c r="A121" s="1">
        <v>44784.827141203707</v>
      </c>
      <c r="B121" s="1">
        <v>44784.827106481483</v>
      </c>
      <c r="C121">
        <v>14</v>
      </c>
      <c r="D121">
        <v>13.2</v>
      </c>
      <c r="E121">
        <v>59</v>
      </c>
      <c r="F121">
        <v>0</v>
      </c>
      <c r="G121" t="s">
        <v>32</v>
      </c>
      <c r="H121" t="s">
        <v>36</v>
      </c>
      <c r="J121" s="2"/>
      <c r="K121" s="2"/>
    </row>
    <row r="122" spans="1:11" x14ac:dyDescent="0.25">
      <c r="A122" s="1">
        <v>44784.834085648145</v>
      </c>
      <c r="B122" s="1">
        <v>44784.834050925929</v>
      </c>
      <c r="C122">
        <v>14</v>
      </c>
      <c r="D122">
        <v>13.2</v>
      </c>
      <c r="E122">
        <v>59</v>
      </c>
      <c r="F122">
        <v>0</v>
      </c>
      <c r="G122" t="s">
        <v>32</v>
      </c>
      <c r="H122" t="s">
        <v>36</v>
      </c>
      <c r="J122" t="str">
        <f>IF(COUNT(I117:I122)&gt;3.5,ROUND(AVERAGE(I117:I122),2),"")</f>
        <v/>
      </c>
      <c r="K122">
        <f>IF(COUNT(, , , , , , , , , , , , , , , , , , , , , NA, NA, NA)&gt;17.5,ROUND(AVERAGE(, , , , , , , , , , , , , , , , , , , , , 0, 0, 0),2),"NO AVG")</f>
        <v>0</v>
      </c>
    </row>
    <row r="123" spans="1:11" x14ac:dyDescent="0.25">
      <c r="A123" s="1">
        <v>44784.84103009259</v>
      </c>
      <c r="B123" s="1">
        <v>44784.840995370374</v>
      </c>
      <c r="C123">
        <v>14</v>
      </c>
      <c r="D123">
        <v>13.2</v>
      </c>
      <c r="E123">
        <v>59</v>
      </c>
      <c r="F123">
        <v>0</v>
      </c>
      <c r="G123" t="s">
        <v>32</v>
      </c>
      <c r="H123" t="s">
        <v>36</v>
      </c>
      <c r="J123" s="2"/>
      <c r="K123" s="2"/>
    </row>
    <row r="124" spans="1:11" x14ac:dyDescent="0.25">
      <c r="A124" s="1">
        <v>44784.847974537035</v>
      </c>
      <c r="B124" s="1">
        <v>44784.847939814812</v>
      </c>
      <c r="C124">
        <v>14</v>
      </c>
      <c r="D124">
        <v>13.2</v>
      </c>
      <c r="E124">
        <v>59</v>
      </c>
      <c r="F124">
        <v>0</v>
      </c>
      <c r="G124" t="s">
        <v>32</v>
      </c>
      <c r="H124" t="s">
        <v>36</v>
      </c>
      <c r="J124" s="2"/>
      <c r="K124" s="2"/>
    </row>
    <row r="125" spans="1:11" x14ac:dyDescent="0.25">
      <c r="A125" s="1">
        <v>44784.85491898148</v>
      </c>
      <c r="B125" s="1">
        <v>44784.854884259257</v>
      </c>
      <c r="C125">
        <v>14</v>
      </c>
      <c r="D125">
        <v>13.2</v>
      </c>
      <c r="E125">
        <v>59</v>
      </c>
      <c r="F125">
        <v>0</v>
      </c>
      <c r="G125" t="s">
        <v>32</v>
      </c>
      <c r="H125" t="s">
        <v>36</v>
      </c>
      <c r="J125" s="2"/>
      <c r="K125" s="2"/>
    </row>
    <row r="126" spans="1:11" x14ac:dyDescent="0.25">
      <c r="A126" s="1">
        <v>44784.861863425926</v>
      </c>
      <c r="B126" s="1">
        <v>44784.861828703702</v>
      </c>
      <c r="C126">
        <v>14</v>
      </c>
      <c r="D126">
        <v>13.2</v>
      </c>
      <c r="E126">
        <v>59</v>
      </c>
      <c r="F126">
        <v>0</v>
      </c>
      <c r="G126" t="s">
        <v>32</v>
      </c>
      <c r="H126" t="s">
        <v>36</v>
      </c>
      <c r="J126" s="2"/>
      <c r="K126" s="2"/>
    </row>
    <row r="127" spans="1:11" x14ac:dyDescent="0.25">
      <c r="A127" s="1">
        <v>44784.868807870371</v>
      </c>
      <c r="B127" s="1">
        <v>44784.868773148148</v>
      </c>
      <c r="C127">
        <v>14</v>
      </c>
      <c r="D127">
        <v>13.2</v>
      </c>
      <c r="E127">
        <v>59</v>
      </c>
      <c r="F127">
        <v>0</v>
      </c>
      <c r="G127" t="s">
        <v>32</v>
      </c>
      <c r="H127" t="s">
        <v>36</v>
      </c>
      <c r="J127" s="2"/>
      <c r="K127" s="2"/>
    </row>
    <row r="128" spans="1:11" x14ac:dyDescent="0.25">
      <c r="A128" s="1">
        <v>44784.875752314816</v>
      </c>
      <c r="B128" s="1">
        <v>44784.875717592593</v>
      </c>
      <c r="C128">
        <v>14</v>
      </c>
      <c r="D128">
        <v>13.2</v>
      </c>
      <c r="E128">
        <v>59</v>
      </c>
      <c r="F128">
        <v>0</v>
      </c>
      <c r="G128" t="s">
        <v>32</v>
      </c>
      <c r="H128" t="s">
        <v>36</v>
      </c>
      <c r="J128" t="str">
        <f>IF(COUNT(I123:I128)&gt;3.5,ROUND(AVERAGE(I123:I128),2),"")</f>
        <v/>
      </c>
      <c r="K128">
        <f>IF(COUNT(, , , , , , , , , , , , , , , , , , , , , , NA, NA)&gt;17.5,ROUND(AVERAGE(, , , , , , , , , , , , , , , , , , , , , , 0, 0),2),"NO AVG")</f>
        <v>0</v>
      </c>
    </row>
    <row r="129" spans="1:11" x14ac:dyDescent="0.25">
      <c r="A129" s="1">
        <v>44784.882696759261</v>
      </c>
      <c r="B129" s="1">
        <v>44784.882662037038</v>
      </c>
      <c r="C129">
        <v>14</v>
      </c>
      <c r="D129">
        <v>13.2</v>
      </c>
      <c r="E129">
        <v>59</v>
      </c>
      <c r="F129">
        <v>0</v>
      </c>
      <c r="G129" t="s">
        <v>32</v>
      </c>
      <c r="H129" t="s">
        <v>36</v>
      </c>
      <c r="J129" s="2"/>
      <c r="K129" s="2"/>
    </row>
    <row r="130" spans="1:11" x14ac:dyDescent="0.25">
      <c r="A130" s="1">
        <v>44784.889641203707</v>
      </c>
      <c r="B130" s="1">
        <v>44784.889606481483</v>
      </c>
      <c r="C130">
        <v>14</v>
      </c>
      <c r="D130">
        <v>13.2</v>
      </c>
      <c r="E130">
        <v>59</v>
      </c>
      <c r="F130">
        <v>0</v>
      </c>
      <c r="G130" t="s">
        <v>32</v>
      </c>
      <c r="H130" t="s">
        <v>36</v>
      </c>
      <c r="J130" s="2"/>
      <c r="K130" s="2"/>
    </row>
    <row r="131" spans="1:11" x14ac:dyDescent="0.25">
      <c r="A131" s="1">
        <v>44784.896585648145</v>
      </c>
      <c r="B131" s="1">
        <v>44784.896550925929</v>
      </c>
      <c r="C131">
        <v>14</v>
      </c>
      <c r="D131">
        <v>13.2</v>
      </c>
      <c r="E131">
        <v>59</v>
      </c>
      <c r="F131">
        <v>0</v>
      </c>
      <c r="G131" t="s">
        <v>32</v>
      </c>
      <c r="H131" t="s">
        <v>36</v>
      </c>
      <c r="J131" s="2"/>
      <c r="K131" s="2"/>
    </row>
    <row r="132" spans="1:11" x14ac:dyDescent="0.25">
      <c r="A132" s="1">
        <v>44784.90353009259</v>
      </c>
      <c r="B132" s="1">
        <v>44784.903495370374</v>
      </c>
      <c r="C132">
        <v>14</v>
      </c>
      <c r="D132">
        <v>13.2</v>
      </c>
      <c r="E132">
        <v>59</v>
      </c>
      <c r="F132">
        <v>0</v>
      </c>
      <c r="G132" t="s">
        <v>32</v>
      </c>
      <c r="H132" t="s">
        <v>36</v>
      </c>
      <c r="J132" s="2"/>
      <c r="K132" s="2"/>
    </row>
    <row r="133" spans="1:11" x14ac:dyDescent="0.25">
      <c r="A133" s="1">
        <v>44784.910474537035</v>
      </c>
      <c r="B133" s="1">
        <v>44784.910439814812</v>
      </c>
      <c r="C133">
        <v>14</v>
      </c>
      <c r="D133">
        <v>13.2</v>
      </c>
      <c r="E133">
        <v>59</v>
      </c>
      <c r="F133">
        <v>0</v>
      </c>
      <c r="G133" t="s">
        <v>32</v>
      </c>
      <c r="H133" t="s">
        <v>36</v>
      </c>
      <c r="J133" s="2"/>
      <c r="K133" s="2"/>
    </row>
    <row r="134" spans="1:11" x14ac:dyDescent="0.25">
      <c r="A134" s="1">
        <v>44784.91741898148</v>
      </c>
      <c r="B134" s="1">
        <v>44784.917384259257</v>
      </c>
      <c r="C134">
        <v>14</v>
      </c>
      <c r="D134">
        <v>13.2</v>
      </c>
      <c r="E134">
        <v>59</v>
      </c>
      <c r="F134">
        <v>0</v>
      </c>
      <c r="G134" t="s">
        <v>32</v>
      </c>
      <c r="H134" t="s">
        <v>36</v>
      </c>
      <c r="J134" t="str">
        <f>IF(COUNT(I129:I134)&gt;3.5,ROUND(AVERAGE(I129:I134),2),"")</f>
        <v/>
      </c>
      <c r="K134">
        <f>IF(COUNT(, , , , , , , , , , , , , , , , , , , , , , , NA)&gt;17.5,ROUND(AVERAGE(, , , , , , , , , , , , , , , , , , , , , , , 0),2),"NO AVG")</f>
        <v>0</v>
      </c>
    </row>
    <row r="135" spans="1:11" x14ac:dyDescent="0.25">
      <c r="A135" s="1">
        <v>44784.924363425926</v>
      </c>
      <c r="B135" s="1">
        <v>44784.924328703702</v>
      </c>
      <c r="C135">
        <v>14</v>
      </c>
      <c r="D135">
        <v>13.2</v>
      </c>
      <c r="E135">
        <v>59</v>
      </c>
      <c r="F135">
        <v>0</v>
      </c>
      <c r="G135" t="s">
        <v>32</v>
      </c>
      <c r="H135" t="s">
        <v>36</v>
      </c>
      <c r="J135" s="2"/>
      <c r="K135" s="2"/>
    </row>
    <row r="136" spans="1:11" x14ac:dyDescent="0.25">
      <c r="A136" s="1">
        <v>44784.931307870371</v>
      </c>
      <c r="B136" s="1">
        <v>44784.931273148148</v>
      </c>
      <c r="C136">
        <v>14</v>
      </c>
      <c r="D136">
        <v>13.2</v>
      </c>
      <c r="E136">
        <v>59</v>
      </c>
      <c r="F136">
        <v>0</v>
      </c>
      <c r="G136" t="s">
        <v>32</v>
      </c>
      <c r="H136" t="s">
        <v>36</v>
      </c>
      <c r="J136" s="2"/>
      <c r="K136" s="2"/>
    </row>
    <row r="137" spans="1:11" x14ac:dyDescent="0.25">
      <c r="A137" s="1">
        <v>44784.938252314816</v>
      </c>
      <c r="B137" s="1">
        <v>44784.938217592593</v>
      </c>
      <c r="C137">
        <v>14</v>
      </c>
      <c r="D137">
        <v>13.2</v>
      </c>
      <c r="E137">
        <v>59</v>
      </c>
      <c r="F137">
        <v>0</v>
      </c>
      <c r="G137" t="s">
        <v>32</v>
      </c>
      <c r="H137" t="s">
        <v>36</v>
      </c>
      <c r="J137" s="2"/>
      <c r="K137" s="2"/>
    </row>
    <row r="138" spans="1:11" x14ac:dyDescent="0.25">
      <c r="A138" s="1">
        <v>44784.945196759261</v>
      </c>
      <c r="B138" s="1">
        <v>44784.945162037038</v>
      </c>
      <c r="C138">
        <v>14</v>
      </c>
      <c r="D138">
        <v>13.2</v>
      </c>
      <c r="E138">
        <v>59</v>
      </c>
      <c r="F138">
        <v>0</v>
      </c>
      <c r="G138" t="s">
        <v>32</v>
      </c>
      <c r="H138" t="s">
        <v>36</v>
      </c>
      <c r="J138" s="2"/>
      <c r="K138" s="2"/>
    </row>
    <row r="139" spans="1:11" x14ac:dyDescent="0.25">
      <c r="A139" s="1">
        <v>44784.952141203707</v>
      </c>
      <c r="B139" s="1">
        <v>44784.952106481483</v>
      </c>
      <c r="C139">
        <v>14</v>
      </c>
      <c r="D139">
        <v>13.2</v>
      </c>
      <c r="E139">
        <v>59</v>
      </c>
      <c r="F139">
        <v>0</v>
      </c>
      <c r="G139" t="s">
        <v>32</v>
      </c>
      <c r="H139" t="s">
        <v>36</v>
      </c>
      <c r="J139" s="2"/>
      <c r="K139" s="2"/>
    </row>
    <row r="140" spans="1:11" x14ac:dyDescent="0.25">
      <c r="A140" s="1">
        <v>44784.959085648145</v>
      </c>
      <c r="B140" s="1">
        <v>44784.959050925929</v>
      </c>
      <c r="C140">
        <v>14</v>
      </c>
      <c r="D140">
        <v>13.2</v>
      </c>
      <c r="E140">
        <v>59</v>
      </c>
      <c r="F140">
        <v>0</v>
      </c>
      <c r="G140" t="s">
        <v>32</v>
      </c>
      <c r="H140" t="s">
        <v>36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</row>
    <row r="141" spans="1:11" x14ac:dyDescent="0.25">
      <c r="A141" s="1">
        <v>44784.96603009259</v>
      </c>
      <c r="B141" s="1">
        <v>44784.965995370374</v>
      </c>
      <c r="C141">
        <v>14</v>
      </c>
      <c r="D141">
        <v>13.2</v>
      </c>
      <c r="E141">
        <v>59</v>
      </c>
      <c r="F141">
        <v>0</v>
      </c>
      <c r="G141" t="s">
        <v>32</v>
      </c>
      <c r="H141" t="s">
        <v>36</v>
      </c>
      <c r="J141" s="2"/>
      <c r="K141" s="2"/>
    </row>
    <row r="142" spans="1:11" x14ac:dyDescent="0.25">
      <c r="A142" s="1">
        <v>44784.972974537035</v>
      </c>
      <c r="B142" s="1">
        <v>44784.972939814812</v>
      </c>
      <c r="C142">
        <v>14</v>
      </c>
      <c r="D142">
        <v>13.2</v>
      </c>
      <c r="E142">
        <v>59</v>
      </c>
      <c r="F142">
        <v>0</v>
      </c>
      <c r="G142" t="s">
        <v>32</v>
      </c>
      <c r="H142" t="s">
        <v>36</v>
      </c>
      <c r="J142" s="2"/>
      <c r="K142" s="2"/>
    </row>
    <row r="143" spans="1:11" x14ac:dyDescent="0.25">
      <c r="A143" s="1">
        <v>44784.97991898148</v>
      </c>
      <c r="B143" s="1">
        <v>44784.979884259257</v>
      </c>
      <c r="C143">
        <v>14</v>
      </c>
      <c r="D143">
        <v>13.2</v>
      </c>
      <c r="E143">
        <v>59</v>
      </c>
      <c r="F143">
        <v>0</v>
      </c>
      <c r="G143" t="s">
        <v>32</v>
      </c>
      <c r="H143" t="s">
        <v>36</v>
      </c>
      <c r="J143" s="2"/>
      <c r="K143" s="2"/>
    </row>
    <row r="144" spans="1:11" x14ac:dyDescent="0.25">
      <c r="A144" s="1">
        <v>44784.986863425926</v>
      </c>
      <c r="B144" s="1">
        <v>44784.986828703702</v>
      </c>
      <c r="C144">
        <v>14</v>
      </c>
      <c r="D144">
        <v>13.2</v>
      </c>
      <c r="E144">
        <v>59</v>
      </c>
      <c r="F144">
        <v>0</v>
      </c>
      <c r="G144" t="s">
        <v>32</v>
      </c>
      <c r="H144" t="s">
        <v>36</v>
      </c>
      <c r="J144" s="2"/>
      <c r="K144" s="2"/>
    </row>
    <row r="145" spans="1:12" x14ac:dyDescent="0.25">
      <c r="A145" s="1">
        <v>44784.993807870371</v>
      </c>
      <c r="B145" s="1">
        <v>44784.993773148148</v>
      </c>
      <c r="C145">
        <v>14</v>
      </c>
      <c r="D145">
        <v>13.2</v>
      </c>
      <c r="E145">
        <v>59</v>
      </c>
      <c r="F145">
        <v>0</v>
      </c>
      <c r="G145" t="s">
        <v>32</v>
      </c>
      <c r="H145" t="s">
        <v>36</v>
      </c>
      <c r="J145" s="2"/>
      <c r="K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F72D5-0188-4CF2-9020-5ABBEA3B82AF}">
  <sheetPr codeName="Sheet6"/>
  <dimension ref="A1:M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3" max="13" width="6" bestFit="1" customWidth="1"/>
  </cols>
  <sheetData>
    <row r="1" spans="1:13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M1" t="s">
        <v>3</v>
      </c>
    </row>
    <row r="2" spans="1:13" x14ac:dyDescent="0.25">
      <c r="A2" s="1">
        <v>44784.000740740739</v>
      </c>
      <c r="B2" s="1">
        <v>44784.000717592593</v>
      </c>
      <c r="C2">
        <v>5.8</v>
      </c>
      <c r="D2">
        <v>4.8</v>
      </c>
      <c r="E2">
        <v>99</v>
      </c>
      <c r="F2">
        <v>0</v>
      </c>
      <c r="G2" t="s">
        <v>33</v>
      </c>
      <c r="H2" t="s">
        <v>36</v>
      </c>
      <c r="I2">
        <v>-1.54</v>
      </c>
      <c r="J2">
        <v>-0.51</v>
      </c>
      <c r="K2">
        <f>IF(COUNT(-0.51, -0.36, -0.41, -0.93, -1.16, -1.24, -1.25, -0.68, 0.17, 0.49, 0.81, 0.96, 1.08, 1.04, 0.93, 1.1, 1.48, 1.61, 1.74, 1.22, 0.63, 0.27, 0.21, -0.08)&gt;17.5,ROUND(AVERAGE(-0.51, -0.36, -0.41, -0.93, -1.16, -1.24, -1.25, -0.68, 0.17, 0.49, 0.81, 0.96, 1.08, 1.04, 0.93, 1.1, 1.48, 1.61, 1.74, 1.22, 0.63, 0.27, 0.21, -0.08),2),"NO AVG")</f>
        <v>0.3</v>
      </c>
      <c r="M2" t="s">
        <v>39</v>
      </c>
    </row>
    <row r="3" spans="1:13" x14ac:dyDescent="0.25">
      <c r="A3" s="1">
        <v>44784.007696759261</v>
      </c>
      <c r="B3" s="1">
        <v>44784.007662037038</v>
      </c>
      <c r="C3">
        <v>5.7</v>
      </c>
      <c r="D3">
        <v>4.7</v>
      </c>
      <c r="E3">
        <v>100</v>
      </c>
      <c r="F3">
        <v>0</v>
      </c>
      <c r="G3" t="s">
        <v>33</v>
      </c>
      <c r="H3" t="s">
        <v>36</v>
      </c>
      <c r="I3">
        <v>-1.67</v>
      </c>
      <c r="J3" s="2"/>
      <c r="K3" s="2"/>
    </row>
    <row r="4" spans="1:13" x14ac:dyDescent="0.25">
      <c r="A4" s="1">
        <v>44784.01462962963</v>
      </c>
      <c r="B4" s="1">
        <v>44784.014606481483</v>
      </c>
      <c r="C4">
        <v>5.8</v>
      </c>
      <c r="D4">
        <v>4.9000000000000004</v>
      </c>
      <c r="E4">
        <v>100</v>
      </c>
      <c r="F4">
        <v>0</v>
      </c>
      <c r="G4" t="s">
        <v>33</v>
      </c>
      <c r="H4" t="s">
        <v>36</v>
      </c>
      <c r="I4">
        <v>-1.58</v>
      </c>
      <c r="J4" s="2"/>
      <c r="K4" s="2"/>
    </row>
    <row r="5" spans="1:13" x14ac:dyDescent="0.25">
      <c r="A5" s="1">
        <v>44784.021574074075</v>
      </c>
      <c r="B5" s="1">
        <v>44784.021550925929</v>
      </c>
      <c r="C5">
        <v>5.8</v>
      </c>
      <c r="D5">
        <v>4.9000000000000004</v>
      </c>
      <c r="E5">
        <v>100</v>
      </c>
      <c r="F5">
        <v>0</v>
      </c>
      <c r="G5" t="s">
        <v>33</v>
      </c>
      <c r="H5" t="s">
        <v>36</v>
      </c>
      <c r="I5">
        <v>-1.58</v>
      </c>
      <c r="J5" s="2"/>
      <c r="K5" s="2"/>
    </row>
    <row r="6" spans="1:13" x14ac:dyDescent="0.25">
      <c r="A6" s="1">
        <v>44784.02851851852</v>
      </c>
      <c r="B6" s="1">
        <v>44784.028495370374</v>
      </c>
      <c r="C6">
        <v>5.6</v>
      </c>
      <c r="D6">
        <v>4.7</v>
      </c>
      <c r="E6">
        <v>100</v>
      </c>
      <c r="F6">
        <v>0</v>
      </c>
      <c r="G6" t="s">
        <v>33</v>
      </c>
      <c r="H6" t="s">
        <v>36</v>
      </c>
      <c r="I6">
        <v>-1.7</v>
      </c>
      <c r="J6" s="2"/>
      <c r="K6" s="2"/>
    </row>
    <row r="7" spans="1:13" x14ac:dyDescent="0.25">
      <c r="A7" s="1">
        <v>44784.035462962966</v>
      </c>
      <c r="B7" s="1">
        <v>44784.035439814812</v>
      </c>
      <c r="C7">
        <v>5.5</v>
      </c>
      <c r="D7">
        <v>4.5999999999999996</v>
      </c>
      <c r="E7">
        <v>100</v>
      </c>
      <c r="F7">
        <v>0</v>
      </c>
      <c r="G7" t="s">
        <v>33</v>
      </c>
      <c r="H7" t="s">
        <v>36</v>
      </c>
      <c r="I7">
        <v>-1.76</v>
      </c>
      <c r="J7" s="2"/>
      <c r="K7" s="2"/>
    </row>
    <row r="8" spans="1:13" x14ac:dyDescent="0.25">
      <c r="A8" s="1">
        <v>44784.042407407411</v>
      </c>
      <c r="B8" s="1">
        <v>44784.042384259257</v>
      </c>
      <c r="C8">
        <v>5.3</v>
      </c>
      <c r="D8">
        <v>4.5</v>
      </c>
      <c r="E8">
        <v>100</v>
      </c>
      <c r="F8">
        <v>0</v>
      </c>
      <c r="G8" t="s">
        <v>33</v>
      </c>
      <c r="H8" t="s">
        <v>36</v>
      </c>
      <c r="I8">
        <v>-1.85</v>
      </c>
      <c r="J8">
        <f>IF(COUNT(I3:I8)&gt;3.5,ROUND(AVERAGE(I3:I8),2),"")</f>
        <v>-1.69</v>
      </c>
      <c r="K8">
        <f>IF(COUNT(-0.51, -1.69, -0.41, -0.93, -1.16, -1.24, -1.25, -0.68, 0.17, 0.49, 0.81, 0.96, 1.08, 1.04, 0.93, 1.1, 1.48, 1.61, 1.74, 1.22, 0.63, 0.27, 0.21, -0.08)&gt;17.5,ROUND(AVERAGE(-0.51, -1.69, -0.41, -0.93, -1.16, -1.24, -1.25, -0.68, 0.17, 0.49, 0.81, 0.96, 1.08, 1.04, 0.93, 1.1, 1.48, 1.61, 1.74, 1.22, 0.63, 0.27, 0.21, -0.08),2),"NO AVG")</f>
        <v>0.24</v>
      </c>
    </row>
    <row r="9" spans="1:13" x14ac:dyDescent="0.25">
      <c r="A9" s="1">
        <v>44784.049351851849</v>
      </c>
      <c r="B9" s="1">
        <v>44784.049328703702</v>
      </c>
      <c r="C9">
        <v>5.3</v>
      </c>
      <c r="D9">
        <v>4.4000000000000004</v>
      </c>
      <c r="E9">
        <v>98</v>
      </c>
      <c r="F9">
        <v>0</v>
      </c>
      <c r="G9" t="s">
        <v>33</v>
      </c>
      <c r="H9" t="s">
        <v>36</v>
      </c>
      <c r="I9">
        <v>-1.74</v>
      </c>
      <c r="J9" s="2"/>
      <c r="K9" s="2"/>
    </row>
    <row r="10" spans="1:13" x14ac:dyDescent="0.25">
      <c r="A10" s="1">
        <v>44784.056296296294</v>
      </c>
      <c r="B10" s="1">
        <v>44784.056273148148</v>
      </c>
      <c r="C10">
        <v>5.2</v>
      </c>
      <c r="D10">
        <v>4.5</v>
      </c>
      <c r="E10">
        <v>99</v>
      </c>
      <c r="F10">
        <v>0</v>
      </c>
      <c r="G10" t="s">
        <v>33</v>
      </c>
      <c r="H10" t="s">
        <v>36</v>
      </c>
      <c r="I10">
        <v>-1.81</v>
      </c>
      <c r="J10" s="2"/>
      <c r="K10" s="2"/>
    </row>
    <row r="11" spans="1:13" x14ac:dyDescent="0.25">
      <c r="A11" s="1">
        <v>44784.063240740739</v>
      </c>
      <c r="B11" s="1">
        <v>44784.063217592593</v>
      </c>
      <c r="C11">
        <v>5.4</v>
      </c>
      <c r="D11">
        <v>4.4000000000000004</v>
      </c>
      <c r="E11">
        <v>98</v>
      </c>
      <c r="F11">
        <v>0</v>
      </c>
      <c r="G11" t="s">
        <v>33</v>
      </c>
      <c r="H11" t="s">
        <v>36</v>
      </c>
      <c r="I11">
        <v>-1.71</v>
      </c>
      <c r="J11" s="2"/>
      <c r="K11" s="2"/>
    </row>
    <row r="12" spans="1:13" x14ac:dyDescent="0.25">
      <c r="A12" s="1">
        <v>44784.070185185185</v>
      </c>
      <c r="B12" s="1">
        <v>44784.070162037038</v>
      </c>
      <c r="C12">
        <v>5.4</v>
      </c>
      <c r="D12">
        <v>4.4000000000000004</v>
      </c>
      <c r="E12">
        <v>99</v>
      </c>
      <c r="F12">
        <v>0</v>
      </c>
      <c r="G12" t="s">
        <v>33</v>
      </c>
      <c r="H12" t="s">
        <v>36</v>
      </c>
      <c r="I12">
        <v>-1.78</v>
      </c>
      <c r="J12" s="2"/>
      <c r="K12" s="2"/>
    </row>
    <row r="13" spans="1:13" x14ac:dyDescent="0.25">
      <c r="A13" s="1">
        <v>44784.077141203707</v>
      </c>
      <c r="B13" s="1">
        <v>44784.077106481483</v>
      </c>
      <c r="C13">
        <v>5.4</v>
      </c>
      <c r="D13">
        <v>4.2</v>
      </c>
      <c r="E13">
        <v>97</v>
      </c>
      <c r="F13">
        <v>0</v>
      </c>
      <c r="G13" t="s">
        <v>33</v>
      </c>
      <c r="H13" t="s">
        <v>36</v>
      </c>
      <c r="I13">
        <v>-1.7</v>
      </c>
      <c r="J13" s="2"/>
      <c r="K13" s="2"/>
    </row>
    <row r="14" spans="1:13" x14ac:dyDescent="0.25">
      <c r="A14" s="1">
        <v>44784.084074074075</v>
      </c>
      <c r="B14" s="1">
        <v>44784.084050925929</v>
      </c>
      <c r="C14">
        <v>5.3</v>
      </c>
      <c r="D14">
        <v>4.3</v>
      </c>
      <c r="E14">
        <v>96</v>
      </c>
      <c r="F14">
        <v>0</v>
      </c>
      <c r="G14" t="s">
        <v>33</v>
      </c>
      <c r="H14" t="s">
        <v>36</v>
      </c>
      <c r="I14">
        <v>-1.63</v>
      </c>
      <c r="J14">
        <f>IF(COUNT(I9:I14)&gt;3.5,ROUND(AVERAGE(I9:I14),2),"")</f>
        <v>-1.73</v>
      </c>
      <c r="K14">
        <f>IF(COUNT(-0.51, -1.69, -1.73, -0.93, -1.16, -1.24, -1.25, -0.68, 0.17, 0.49, 0.81, 0.96, 1.08, 1.04, 0.93, 1.1, 1.48, 1.61, 1.74, 1.22, 0.63, 0.27, 0.21, -0.08)&gt;17.5,ROUND(AVERAGE(-0.51, -1.69, -1.73, -0.93, -1.16, -1.24, -1.25, -0.68, 0.17, 0.49, 0.81, 0.96, 1.08, 1.04, 0.93, 1.1, 1.48, 1.61, 1.74, 1.22, 0.63, 0.27, 0.21, -0.08),2),"NO AVG")</f>
        <v>0.19</v>
      </c>
    </row>
    <row r="15" spans="1:13" x14ac:dyDescent="0.25">
      <c r="A15" s="1">
        <v>44784.09101851852</v>
      </c>
      <c r="B15" s="1">
        <v>44784.090995370374</v>
      </c>
      <c r="C15">
        <v>5.3</v>
      </c>
      <c r="D15">
        <v>4.4000000000000004</v>
      </c>
      <c r="E15">
        <v>95</v>
      </c>
      <c r="F15">
        <v>0</v>
      </c>
      <c r="G15" t="s">
        <v>33</v>
      </c>
      <c r="H15" t="s">
        <v>36</v>
      </c>
      <c r="I15">
        <v>-1.53</v>
      </c>
      <c r="J15" s="2"/>
      <c r="K15" s="2"/>
    </row>
    <row r="16" spans="1:13" x14ac:dyDescent="0.25">
      <c r="A16" s="1">
        <v>44784.097974537035</v>
      </c>
      <c r="B16" s="1">
        <v>44784.097939814812</v>
      </c>
      <c r="C16">
        <v>5.2</v>
      </c>
      <c r="D16">
        <v>4.3</v>
      </c>
      <c r="E16">
        <v>94</v>
      </c>
      <c r="F16">
        <v>0</v>
      </c>
      <c r="G16" t="s">
        <v>33</v>
      </c>
      <c r="H16" t="s">
        <v>36</v>
      </c>
      <c r="I16">
        <v>-1.52</v>
      </c>
      <c r="J16" s="2"/>
      <c r="K16" s="2"/>
    </row>
    <row r="17" spans="1:11" x14ac:dyDescent="0.25">
      <c r="A17" s="1">
        <v>44784.104907407411</v>
      </c>
      <c r="B17" s="1">
        <v>44784.104884259257</v>
      </c>
      <c r="C17">
        <v>5.2</v>
      </c>
      <c r="D17">
        <v>4.3</v>
      </c>
      <c r="E17">
        <v>93</v>
      </c>
      <c r="F17">
        <v>0</v>
      </c>
      <c r="G17" t="s">
        <v>33</v>
      </c>
      <c r="H17" t="s">
        <v>36</v>
      </c>
      <c r="I17">
        <v>-1.45</v>
      </c>
      <c r="J17" s="2"/>
      <c r="K17" s="2"/>
    </row>
    <row r="18" spans="1:11" x14ac:dyDescent="0.25">
      <c r="A18" s="1">
        <v>44784.111851851849</v>
      </c>
      <c r="B18" s="1">
        <v>44784.111828703702</v>
      </c>
      <c r="C18">
        <v>5.3</v>
      </c>
      <c r="D18">
        <v>4.4000000000000004</v>
      </c>
      <c r="E18">
        <v>94</v>
      </c>
      <c r="F18">
        <v>0</v>
      </c>
      <c r="G18" t="s">
        <v>33</v>
      </c>
      <c r="H18" t="s">
        <v>36</v>
      </c>
      <c r="I18">
        <v>-1.46</v>
      </c>
      <c r="J18" s="2"/>
      <c r="K18" s="2"/>
    </row>
    <row r="19" spans="1:11" x14ac:dyDescent="0.25">
      <c r="A19" s="1">
        <v>44784.118796296294</v>
      </c>
      <c r="B19" s="1">
        <v>44784.118773148148</v>
      </c>
      <c r="C19">
        <v>5.3</v>
      </c>
      <c r="D19">
        <v>4.0999999999999996</v>
      </c>
      <c r="E19">
        <v>92</v>
      </c>
      <c r="F19">
        <v>0</v>
      </c>
      <c r="G19" t="s">
        <v>33</v>
      </c>
      <c r="H19" t="s">
        <v>36</v>
      </c>
      <c r="I19">
        <v>-1.41</v>
      </c>
      <c r="J19" s="2"/>
      <c r="K19" s="2"/>
    </row>
    <row r="20" spans="1:11" x14ac:dyDescent="0.25">
      <c r="A20" s="1">
        <v>44784.125752314816</v>
      </c>
      <c r="B20" s="1">
        <v>44784.125717592593</v>
      </c>
      <c r="C20">
        <v>5</v>
      </c>
      <c r="D20">
        <v>4</v>
      </c>
      <c r="E20">
        <v>92</v>
      </c>
      <c r="F20">
        <v>0</v>
      </c>
      <c r="G20" t="s">
        <v>33</v>
      </c>
      <c r="H20" t="s">
        <v>36</v>
      </c>
      <c r="I20">
        <v>-1.54</v>
      </c>
      <c r="J20">
        <f>IF(COUNT(I15:I20)&gt;3.5,ROUND(AVERAGE(I15:I20),2),"")</f>
        <v>-1.49</v>
      </c>
      <c r="K20">
        <f>IF(COUNT(-0.51, -1.69, -1.73, -1.49, -1.16, -1.24, -1.25, -0.68, 0.17, 0.49, 0.81, 0.96, 1.08, 1.04, 0.93, 1.1, 1.48, 1.61, 1.74, 1.22, 0.63, 0.27, 0.21, -0.08)&gt;17.5,ROUND(AVERAGE(-0.51, -1.69, -1.73, -1.49, -1.16, -1.24, -1.25, -0.68, 0.17, 0.49, 0.81, 0.96, 1.08, 1.04, 0.93, 1.1, 1.48, 1.61, 1.74, 1.22, 0.63, 0.27, 0.21, -0.08),2),"NO AVG")</f>
        <v>0.16</v>
      </c>
    </row>
    <row r="21" spans="1:11" x14ac:dyDescent="0.25">
      <c r="A21" s="1">
        <v>44784.132696759261</v>
      </c>
      <c r="B21" s="1">
        <v>44784.132662037038</v>
      </c>
      <c r="C21">
        <v>5</v>
      </c>
      <c r="D21">
        <v>4</v>
      </c>
      <c r="E21">
        <v>91</v>
      </c>
      <c r="F21">
        <v>0</v>
      </c>
      <c r="G21" t="s">
        <v>33</v>
      </c>
      <c r="H21" t="s">
        <v>36</v>
      </c>
      <c r="I21">
        <v>-1.47</v>
      </c>
      <c r="J21" s="2"/>
      <c r="K21" s="2"/>
    </row>
    <row r="22" spans="1:11" x14ac:dyDescent="0.25">
      <c r="A22" s="1">
        <v>44784.139641203707</v>
      </c>
      <c r="B22" s="1">
        <v>44784.139606481483</v>
      </c>
      <c r="C22">
        <v>5</v>
      </c>
      <c r="D22">
        <v>4</v>
      </c>
      <c r="E22">
        <v>91</v>
      </c>
      <c r="F22">
        <v>0</v>
      </c>
      <c r="G22" t="s">
        <v>33</v>
      </c>
      <c r="H22" t="s">
        <v>36</v>
      </c>
      <c r="I22">
        <v>-1.47</v>
      </c>
      <c r="J22" s="2"/>
      <c r="K22" s="2"/>
    </row>
    <row r="23" spans="1:11" x14ac:dyDescent="0.25">
      <c r="A23" s="1">
        <v>44784.146585648145</v>
      </c>
      <c r="B23" s="1">
        <v>44784.146550925929</v>
      </c>
      <c r="C23">
        <v>5</v>
      </c>
      <c r="D23">
        <v>3.9</v>
      </c>
      <c r="E23">
        <v>91</v>
      </c>
      <c r="F23">
        <v>0</v>
      </c>
      <c r="G23" t="s">
        <v>33</v>
      </c>
      <c r="H23" t="s">
        <v>36</v>
      </c>
      <c r="I23">
        <v>-1.5</v>
      </c>
      <c r="J23" s="2"/>
      <c r="K23" s="2"/>
    </row>
    <row r="24" spans="1:11" x14ac:dyDescent="0.25">
      <c r="A24" s="1">
        <v>44784.15353009259</v>
      </c>
      <c r="B24" s="1">
        <v>44784.153495370374</v>
      </c>
      <c r="C24">
        <v>4.9000000000000004</v>
      </c>
      <c r="D24">
        <v>4</v>
      </c>
      <c r="E24">
        <v>91</v>
      </c>
      <c r="F24">
        <v>0</v>
      </c>
      <c r="G24" t="s">
        <v>33</v>
      </c>
      <c r="H24" t="s">
        <v>36</v>
      </c>
      <c r="I24">
        <v>-1.5</v>
      </c>
      <c r="J24" s="2"/>
      <c r="K24" s="2"/>
    </row>
    <row r="25" spans="1:11" x14ac:dyDescent="0.25">
      <c r="A25" s="1">
        <v>44784.160474537035</v>
      </c>
      <c r="B25" s="1">
        <v>44784.160439814812</v>
      </c>
      <c r="C25">
        <v>4.8</v>
      </c>
      <c r="D25">
        <v>4</v>
      </c>
      <c r="E25">
        <v>91</v>
      </c>
      <c r="F25">
        <v>0</v>
      </c>
      <c r="G25" t="s">
        <v>33</v>
      </c>
      <c r="H25" t="s">
        <v>36</v>
      </c>
      <c r="I25">
        <v>-1.53</v>
      </c>
      <c r="J25" s="2"/>
      <c r="K25" s="2"/>
    </row>
    <row r="26" spans="1:11" x14ac:dyDescent="0.25">
      <c r="A26" s="1">
        <v>44784.167407407411</v>
      </c>
      <c r="B26" s="1">
        <v>44784.167384259257</v>
      </c>
      <c r="C26">
        <v>4.9000000000000004</v>
      </c>
      <c r="D26">
        <v>4</v>
      </c>
      <c r="E26">
        <v>90</v>
      </c>
      <c r="F26">
        <v>0</v>
      </c>
      <c r="G26" t="s">
        <v>33</v>
      </c>
      <c r="H26" t="s">
        <v>36</v>
      </c>
      <c r="I26">
        <v>-1.43</v>
      </c>
      <c r="J26">
        <f>IF(COUNT(I21:I26)&gt;3.5,ROUND(AVERAGE(I21:I26),2),"")</f>
        <v>-1.48</v>
      </c>
      <c r="K26">
        <f>IF(COUNT(-0.51, -1.69, -1.73, -1.49, -1.48, -1.24, -1.25, -0.68, 0.17, 0.49, 0.81, 0.96, 1.08, 1.04, 0.93, 1.1, 1.48, 1.61, 1.74, 1.22, 0.63, 0.27, 0.21, -0.08)&gt;17.5,ROUND(AVERAGE(-0.51, -1.69, -1.73, -1.49, -1.48, -1.24, -1.25, -0.68, 0.17, 0.49, 0.81, 0.96, 1.08, 1.04, 0.93, 1.1, 1.48, 1.61, 1.74, 1.22, 0.63, 0.27, 0.21, -0.08),2),"NO AVG")</f>
        <v>0.15</v>
      </c>
    </row>
    <row r="27" spans="1:11" x14ac:dyDescent="0.25">
      <c r="A27" s="1">
        <v>44784.174363425926</v>
      </c>
      <c r="B27" s="1">
        <v>44784.174328703702</v>
      </c>
      <c r="C27">
        <v>4.9000000000000004</v>
      </c>
      <c r="D27">
        <v>3.9</v>
      </c>
      <c r="E27">
        <v>90</v>
      </c>
      <c r="F27">
        <v>0</v>
      </c>
      <c r="G27" t="s">
        <v>33</v>
      </c>
      <c r="H27" t="s">
        <v>36</v>
      </c>
      <c r="I27">
        <v>-1.46</v>
      </c>
      <c r="J27" s="2"/>
      <c r="K27" s="2"/>
    </row>
    <row r="28" spans="1:11" x14ac:dyDescent="0.25">
      <c r="A28" s="1"/>
      <c r="B28" s="1">
        <v>44784.180555555555</v>
      </c>
      <c r="J28" s="2"/>
      <c r="K28" s="2"/>
    </row>
    <row r="29" spans="1:11" x14ac:dyDescent="0.25">
      <c r="A29" s="1">
        <v>44784.188252314816</v>
      </c>
      <c r="B29" s="1">
        <v>44784.188217592593</v>
      </c>
      <c r="C29">
        <v>5</v>
      </c>
      <c r="D29">
        <v>3.8</v>
      </c>
      <c r="E29">
        <v>91</v>
      </c>
      <c r="F29">
        <v>0</v>
      </c>
      <c r="G29" t="s">
        <v>33</v>
      </c>
      <c r="H29" t="s">
        <v>36</v>
      </c>
      <c r="I29">
        <v>-1.53</v>
      </c>
      <c r="J29" s="2"/>
      <c r="K29" s="2"/>
    </row>
    <row r="30" spans="1:11" x14ac:dyDescent="0.25">
      <c r="A30" s="1">
        <v>44784.195196759261</v>
      </c>
      <c r="B30" s="1">
        <v>44784.195162037038</v>
      </c>
      <c r="C30">
        <v>4.8</v>
      </c>
      <c r="D30">
        <v>3.9</v>
      </c>
      <c r="E30">
        <v>91</v>
      </c>
      <c r="F30">
        <v>0</v>
      </c>
      <c r="G30" t="s">
        <v>33</v>
      </c>
      <c r="H30" t="s">
        <v>36</v>
      </c>
      <c r="I30">
        <v>-1.56</v>
      </c>
      <c r="J30" s="2"/>
      <c r="K30" s="2"/>
    </row>
    <row r="31" spans="1:11" x14ac:dyDescent="0.25">
      <c r="A31" s="1">
        <v>44784.202152777776</v>
      </c>
      <c r="B31" s="1">
        <v>44784.20212962963</v>
      </c>
      <c r="C31">
        <v>4.7</v>
      </c>
      <c r="D31">
        <v>3.9</v>
      </c>
      <c r="E31">
        <v>91</v>
      </c>
      <c r="F31">
        <v>0</v>
      </c>
      <c r="G31" t="s">
        <v>33</v>
      </c>
      <c r="H31" t="s">
        <v>36</v>
      </c>
      <c r="I31">
        <v>-1.59</v>
      </c>
      <c r="J31" s="2"/>
      <c r="K31" s="2"/>
    </row>
    <row r="32" spans="1:11" x14ac:dyDescent="0.25">
      <c r="A32" s="1">
        <v>44784.209085648145</v>
      </c>
      <c r="B32" s="1">
        <v>44784.209050925929</v>
      </c>
      <c r="C32">
        <v>4.8</v>
      </c>
      <c r="D32">
        <v>4</v>
      </c>
      <c r="E32">
        <v>91</v>
      </c>
      <c r="F32">
        <v>0</v>
      </c>
      <c r="G32" t="s">
        <v>33</v>
      </c>
      <c r="H32" t="s">
        <v>36</v>
      </c>
      <c r="I32">
        <v>-1.53</v>
      </c>
      <c r="J32">
        <f>IF(COUNT(I27:I32)&gt;3.5,ROUND(AVERAGE(I27:I32),2),"")</f>
        <v>-1.53</v>
      </c>
      <c r="K32">
        <f>IF(COUNT(-0.51, -1.69, -1.73, -1.49, -1.48, -1.53, -1.25, -0.68, 0.17, 0.49, 0.81, 0.96, 1.08, 1.04, 0.93, 1.1, 1.48, 1.61, 1.74, 1.22, 0.63, 0.27, 0.21, -0.08)&gt;17.5,ROUND(AVERAGE(-0.51, -1.69, -1.73, -1.49, -1.48, -1.53, -1.25, -0.68, 0.17, 0.49, 0.81, 0.96, 1.08, 1.04, 0.93, 1.1, 1.48, 1.61, 1.74, 1.22, 0.63, 0.27, 0.21, -0.08),2),"NO AVG")</f>
        <v>0.14000000000000001</v>
      </c>
    </row>
    <row r="33" spans="1:11" x14ac:dyDescent="0.25">
      <c r="A33" s="1">
        <v>44784.216041666667</v>
      </c>
      <c r="B33" s="1">
        <v>44784.215995370374</v>
      </c>
      <c r="C33">
        <v>4.8</v>
      </c>
      <c r="D33">
        <v>3.9</v>
      </c>
      <c r="E33">
        <v>91</v>
      </c>
      <c r="F33">
        <v>0</v>
      </c>
      <c r="G33" t="s">
        <v>33</v>
      </c>
      <c r="H33" t="s">
        <v>36</v>
      </c>
      <c r="I33">
        <v>-1.56</v>
      </c>
      <c r="J33" s="2"/>
      <c r="K33" s="2"/>
    </row>
    <row r="34" spans="1:11" x14ac:dyDescent="0.25">
      <c r="A34" s="1">
        <v>44784.222974537035</v>
      </c>
      <c r="B34" s="1">
        <v>44784.222939814812</v>
      </c>
      <c r="C34">
        <v>4.7</v>
      </c>
      <c r="D34">
        <v>4</v>
      </c>
      <c r="E34">
        <v>91</v>
      </c>
      <c r="F34">
        <v>0</v>
      </c>
      <c r="G34" t="s">
        <v>33</v>
      </c>
      <c r="H34" t="s">
        <v>36</v>
      </c>
      <c r="I34">
        <v>-1.56</v>
      </c>
      <c r="J34" s="2"/>
      <c r="K34" s="2"/>
    </row>
    <row r="35" spans="1:11" x14ac:dyDescent="0.25">
      <c r="A35" s="1">
        <v>44784.22991898148</v>
      </c>
      <c r="B35" s="1">
        <v>44784.229884259257</v>
      </c>
      <c r="C35">
        <v>5</v>
      </c>
      <c r="D35">
        <v>4</v>
      </c>
      <c r="E35">
        <v>90</v>
      </c>
      <c r="F35">
        <v>0</v>
      </c>
      <c r="G35" t="s">
        <v>33</v>
      </c>
      <c r="H35" t="s">
        <v>36</v>
      </c>
      <c r="I35">
        <v>-1.4</v>
      </c>
      <c r="J35" s="2"/>
      <c r="K35" s="2"/>
    </row>
    <row r="36" spans="1:11" x14ac:dyDescent="0.25">
      <c r="A36" s="1">
        <v>44784.236863425926</v>
      </c>
      <c r="B36" s="1">
        <v>44784.236840277779</v>
      </c>
      <c r="C36">
        <v>5.2</v>
      </c>
      <c r="D36">
        <v>4.2</v>
      </c>
      <c r="E36">
        <v>91</v>
      </c>
      <c r="F36">
        <v>0</v>
      </c>
      <c r="G36" t="s">
        <v>33</v>
      </c>
      <c r="H36" t="s">
        <v>36</v>
      </c>
      <c r="I36">
        <v>-1.34</v>
      </c>
      <c r="J36" s="2"/>
      <c r="K36" s="2"/>
    </row>
    <row r="37" spans="1:11" x14ac:dyDescent="0.25">
      <c r="A37" s="1">
        <v>44784.243807870371</v>
      </c>
      <c r="B37" s="1">
        <v>44784.243773148148</v>
      </c>
      <c r="C37">
        <v>5.2</v>
      </c>
      <c r="D37">
        <v>4.4000000000000004</v>
      </c>
      <c r="E37">
        <v>92</v>
      </c>
      <c r="F37">
        <v>0</v>
      </c>
      <c r="G37" t="s">
        <v>33</v>
      </c>
      <c r="H37" t="s">
        <v>36</v>
      </c>
      <c r="I37">
        <v>-1.35</v>
      </c>
      <c r="J37" s="2"/>
      <c r="K37" s="2"/>
    </row>
    <row r="38" spans="1:11" x14ac:dyDescent="0.25">
      <c r="A38" s="1">
        <v>44784.250763888886</v>
      </c>
      <c r="B38" s="1">
        <v>44784.25072916667</v>
      </c>
      <c r="C38">
        <v>5.6</v>
      </c>
      <c r="D38">
        <v>4.8</v>
      </c>
      <c r="E38">
        <v>91</v>
      </c>
      <c r="F38">
        <v>0</v>
      </c>
      <c r="G38" t="s">
        <v>33</v>
      </c>
      <c r="H38" t="s">
        <v>36</v>
      </c>
      <c r="I38">
        <v>-1.04</v>
      </c>
      <c r="J38">
        <f>IF(COUNT(I33:I38)&gt;3.5,ROUND(AVERAGE(I33:I38),2),"")</f>
        <v>-1.38</v>
      </c>
      <c r="K38">
        <f>IF(COUNT(-0.51, -1.69, -1.73, -1.49, -1.48, -1.53, -1.38, -0.68, 0.17, 0.49, 0.81, 0.96, 1.08, 1.04, 0.93, 1.1, 1.48, 1.61, 1.74, 1.22, 0.63, 0.27, 0.21, -0.08)&gt;17.5,ROUND(AVERAGE(-0.51, -1.69, -1.73, -1.49, -1.48, -1.53, -1.38, -0.68, 0.17, 0.49, 0.81, 0.96, 1.08, 1.04, 0.93, 1.1, 1.48, 1.61, 1.74, 1.22, 0.63, 0.27, 0.21, -0.08),2),"NO AVG")</f>
        <v>0.13</v>
      </c>
    </row>
    <row r="39" spans="1:11" x14ac:dyDescent="0.25">
      <c r="A39" s="1">
        <v>44784.257696759261</v>
      </c>
      <c r="B39" s="1">
        <v>44784.257662037038</v>
      </c>
      <c r="C39">
        <v>6</v>
      </c>
      <c r="D39">
        <v>5</v>
      </c>
      <c r="E39">
        <v>92</v>
      </c>
      <c r="F39">
        <v>0</v>
      </c>
      <c r="G39" t="s">
        <v>33</v>
      </c>
      <c r="H39" t="s">
        <v>36</v>
      </c>
      <c r="I39">
        <v>-0.93</v>
      </c>
      <c r="J39" s="2"/>
      <c r="K39" s="2"/>
    </row>
    <row r="40" spans="1:11" x14ac:dyDescent="0.25">
      <c r="A40" s="1">
        <v>44784.264641203707</v>
      </c>
      <c r="B40" s="1">
        <v>44784.264606481483</v>
      </c>
      <c r="C40">
        <v>6.3</v>
      </c>
      <c r="D40">
        <v>5.2</v>
      </c>
      <c r="E40">
        <v>92</v>
      </c>
      <c r="F40">
        <v>0</v>
      </c>
      <c r="G40" t="s">
        <v>33</v>
      </c>
      <c r="H40" t="s">
        <v>36</v>
      </c>
      <c r="I40">
        <v>-0.77</v>
      </c>
      <c r="J40" s="2"/>
      <c r="K40" s="2"/>
    </row>
    <row r="41" spans="1:11" x14ac:dyDescent="0.25">
      <c r="A41" s="1">
        <v>44784.271585648145</v>
      </c>
      <c r="B41" s="1">
        <v>44784.271550925929</v>
      </c>
      <c r="C41">
        <v>6.6</v>
      </c>
      <c r="D41">
        <v>5.5</v>
      </c>
      <c r="E41">
        <v>92</v>
      </c>
      <c r="F41">
        <v>0</v>
      </c>
      <c r="G41" t="s">
        <v>33</v>
      </c>
      <c r="H41" t="s">
        <v>36</v>
      </c>
      <c r="I41">
        <v>-0.59</v>
      </c>
      <c r="J41" s="2"/>
      <c r="K41" s="2"/>
    </row>
    <row r="42" spans="1:11" x14ac:dyDescent="0.25">
      <c r="A42" s="1">
        <v>44784.27853009259</v>
      </c>
      <c r="B42" s="1">
        <v>44784.278495370374</v>
      </c>
      <c r="C42">
        <v>7</v>
      </c>
      <c r="D42">
        <v>6.2</v>
      </c>
      <c r="E42">
        <v>92</v>
      </c>
      <c r="F42">
        <v>0</v>
      </c>
      <c r="G42" t="s">
        <v>33</v>
      </c>
      <c r="H42" t="s">
        <v>36</v>
      </c>
      <c r="I42">
        <v>-0.25</v>
      </c>
      <c r="J42" s="2"/>
      <c r="K42" s="2"/>
    </row>
    <row r="43" spans="1:11" x14ac:dyDescent="0.25">
      <c r="A43" s="1">
        <v>44784.285474537035</v>
      </c>
      <c r="B43" s="1">
        <v>44784.285439814812</v>
      </c>
      <c r="C43">
        <v>7.3</v>
      </c>
      <c r="D43">
        <v>6.8</v>
      </c>
      <c r="E43">
        <v>92</v>
      </c>
      <c r="F43">
        <v>0</v>
      </c>
      <c r="G43" t="s">
        <v>33</v>
      </c>
      <c r="H43" t="s">
        <v>36</v>
      </c>
      <c r="I43">
        <v>0.02</v>
      </c>
      <c r="J43" s="2"/>
      <c r="K43" s="2"/>
    </row>
    <row r="44" spans="1:11" x14ac:dyDescent="0.25">
      <c r="A44" s="1">
        <v>44784.29241898148</v>
      </c>
      <c r="B44" s="1">
        <v>44784.292384259257</v>
      </c>
      <c r="C44">
        <v>7.7</v>
      </c>
      <c r="D44">
        <v>7.2</v>
      </c>
      <c r="E44">
        <v>92</v>
      </c>
      <c r="F44">
        <v>0</v>
      </c>
      <c r="G44" t="s">
        <v>33</v>
      </c>
      <c r="H44" t="s">
        <v>36</v>
      </c>
      <c r="I44">
        <v>0.26</v>
      </c>
      <c r="J44">
        <f>IF(COUNT(I39:I44)&gt;3.5,ROUND(AVERAGE(I39:I44),2),"")</f>
        <v>-0.38</v>
      </c>
      <c r="K44">
        <f>IF(COUNT(-0.51, -1.69, -1.73, -1.49, -1.48, -1.53, -1.38, -0.38, 0.17, 0.49, 0.81, 0.96, 1.08, 1.04, 0.93, 1.1, 1.48, 1.61, 1.74, 1.22, 0.63, 0.27, 0.21, -0.08)&gt;17.5,ROUND(AVERAGE(-0.51, -1.69, -1.73, -1.49, -1.48, -1.53, -1.38, -0.38, 0.17, 0.49, 0.81, 0.96, 1.08, 1.04, 0.93, 1.1, 1.48, 1.61, 1.74, 1.22, 0.63, 0.27, 0.21, -0.08),2),"NO AVG")</f>
        <v>0.14000000000000001</v>
      </c>
    </row>
    <row r="45" spans="1:11" x14ac:dyDescent="0.25">
      <c r="A45" s="1">
        <v>44784.299363425926</v>
      </c>
      <c r="B45" s="1">
        <v>44784.299340277779</v>
      </c>
      <c r="C45">
        <v>7.7</v>
      </c>
      <c r="D45">
        <v>7</v>
      </c>
      <c r="E45">
        <v>91</v>
      </c>
      <c r="F45">
        <v>0</v>
      </c>
      <c r="G45" t="s">
        <v>33</v>
      </c>
      <c r="H45" t="s">
        <v>36</v>
      </c>
      <c r="I45">
        <v>0.27</v>
      </c>
      <c r="J45" s="2"/>
      <c r="K45" s="2"/>
    </row>
    <row r="46" spans="1:11" x14ac:dyDescent="0.25">
      <c r="A46" s="1">
        <v>44784.306307870371</v>
      </c>
      <c r="B46" s="1">
        <v>44784.306273148148</v>
      </c>
      <c r="C46">
        <v>7.3</v>
      </c>
      <c r="D46">
        <v>6.6</v>
      </c>
      <c r="E46">
        <v>90</v>
      </c>
      <c r="F46">
        <v>0</v>
      </c>
      <c r="G46" t="s">
        <v>33</v>
      </c>
      <c r="H46" t="s">
        <v>36</v>
      </c>
      <c r="I46">
        <v>0.1</v>
      </c>
      <c r="J46" s="2"/>
      <c r="K46" s="2"/>
    </row>
    <row r="47" spans="1:11" x14ac:dyDescent="0.25">
      <c r="A47" s="1">
        <v>44784.313252314816</v>
      </c>
      <c r="B47" s="1">
        <v>44784.313217592593</v>
      </c>
      <c r="C47">
        <v>6.6</v>
      </c>
      <c r="D47">
        <v>5.7</v>
      </c>
      <c r="E47">
        <v>88</v>
      </c>
      <c r="F47">
        <v>0</v>
      </c>
      <c r="G47" t="s">
        <v>33</v>
      </c>
      <c r="H47" t="s">
        <v>36</v>
      </c>
      <c r="I47">
        <v>-0.25</v>
      </c>
      <c r="J47" s="2"/>
      <c r="K47" s="2"/>
    </row>
    <row r="48" spans="1:11" x14ac:dyDescent="0.25">
      <c r="A48" s="1">
        <v>44784.320196759261</v>
      </c>
      <c r="B48" s="1">
        <v>44784.320162037038</v>
      </c>
      <c r="C48">
        <v>5.7</v>
      </c>
      <c r="D48">
        <v>4.8</v>
      </c>
      <c r="E48">
        <v>86</v>
      </c>
      <c r="F48">
        <v>0</v>
      </c>
      <c r="G48" t="s">
        <v>33</v>
      </c>
      <c r="H48" t="s">
        <v>36</v>
      </c>
      <c r="I48">
        <v>-0.66</v>
      </c>
      <c r="J48" s="2"/>
      <c r="K48" s="2"/>
    </row>
    <row r="49" spans="1:11" x14ac:dyDescent="0.25">
      <c r="A49" s="1">
        <v>44784.327141203707</v>
      </c>
      <c r="B49" s="1">
        <v>44784.327106481483</v>
      </c>
      <c r="C49">
        <v>5.5</v>
      </c>
      <c r="D49">
        <v>4.5</v>
      </c>
      <c r="E49">
        <v>86</v>
      </c>
      <c r="F49">
        <v>0</v>
      </c>
      <c r="G49" t="s">
        <v>33</v>
      </c>
      <c r="H49" t="s">
        <v>36</v>
      </c>
      <c r="I49">
        <v>-0.81</v>
      </c>
      <c r="J49" s="2"/>
      <c r="K49" s="2"/>
    </row>
    <row r="50" spans="1:11" x14ac:dyDescent="0.25">
      <c r="A50" s="1">
        <v>44784.334085648145</v>
      </c>
      <c r="B50" s="1">
        <v>44784.334050925929</v>
      </c>
      <c r="C50">
        <v>5.0999999999999996</v>
      </c>
      <c r="D50">
        <v>4.2</v>
      </c>
      <c r="E50">
        <v>83</v>
      </c>
      <c r="F50">
        <v>0</v>
      </c>
      <c r="G50" t="s">
        <v>33</v>
      </c>
      <c r="H50" t="s">
        <v>36</v>
      </c>
      <c r="I50">
        <v>-0.81</v>
      </c>
      <c r="J50">
        <f>IF(COUNT(I45:I50)&gt;3.5,ROUND(AVERAGE(I45:I50),2),"")</f>
        <v>-0.36</v>
      </c>
      <c r="K50">
        <f>IF(COUNT(-0.51, -1.69, -1.73, -1.49, -1.48, -1.53, -1.38, -0.38, -0.36, 0.49, 0.81, 0.96, 1.08, 1.04, 0.93, 1.1, 1.48, 1.61, 1.74, 1.22, 0.63, 0.27, 0.21, -0.08)&gt;17.5,ROUND(AVERAGE(-0.51, -1.69, -1.73, -1.49, -1.48, -1.53, -1.38, -0.38, -0.36, 0.49, 0.81, 0.96, 1.08, 1.04, 0.93, 1.1, 1.48, 1.61, 1.74, 1.22, 0.63, 0.27, 0.21, -0.08),2),"NO AVG")</f>
        <v>0.12</v>
      </c>
    </row>
    <row r="51" spans="1:11" x14ac:dyDescent="0.25">
      <c r="A51" s="1">
        <v>44784.34103009259</v>
      </c>
      <c r="B51" s="1">
        <v>44784.340995370374</v>
      </c>
      <c r="C51">
        <v>4.7</v>
      </c>
      <c r="D51">
        <v>3.8</v>
      </c>
      <c r="E51">
        <v>80</v>
      </c>
      <c r="F51">
        <v>0</v>
      </c>
      <c r="G51" t="s">
        <v>33</v>
      </c>
      <c r="H51" t="s">
        <v>36</v>
      </c>
      <c r="I51">
        <v>-0.85</v>
      </c>
      <c r="J51" s="2"/>
      <c r="K51" s="2"/>
    </row>
    <row r="52" spans="1:11" x14ac:dyDescent="0.25">
      <c r="A52" s="1">
        <v>44784.347974537035</v>
      </c>
      <c r="B52" s="1">
        <v>44784.347951388889</v>
      </c>
      <c r="C52">
        <v>4.4000000000000004</v>
      </c>
      <c r="D52">
        <v>3.4</v>
      </c>
      <c r="E52">
        <v>77</v>
      </c>
      <c r="F52">
        <v>0</v>
      </c>
      <c r="G52" t="s">
        <v>33</v>
      </c>
      <c r="H52" t="s">
        <v>36</v>
      </c>
      <c r="I52">
        <v>-0.85</v>
      </c>
      <c r="J52" s="2"/>
      <c r="K52" s="2"/>
    </row>
    <row r="53" spans="1:11" x14ac:dyDescent="0.25">
      <c r="A53" s="1">
        <v>44784.35491898148</v>
      </c>
      <c r="B53" s="1">
        <v>44784.354884259257</v>
      </c>
      <c r="C53">
        <v>4.2</v>
      </c>
      <c r="D53">
        <v>3.2</v>
      </c>
      <c r="E53">
        <v>75</v>
      </c>
      <c r="F53">
        <v>0</v>
      </c>
      <c r="G53" t="s">
        <v>33</v>
      </c>
      <c r="H53" t="s">
        <v>36</v>
      </c>
      <c r="I53">
        <v>-0.83</v>
      </c>
      <c r="J53" s="2"/>
      <c r="K53" s="2"/>
    </row>
    <row r="54" spans="1:11" x14ac:dyDescent="0.25">
      <c r="A54" s="1">
        <v>44784.361863425926</v>
      </c>
      <c r="B54" s="1">
        <v>44784.361828703702</v>
      </c>
      <c r="C54">
        <v>4</v>
      </c>
      <c r="D54">
        <v>3.2</v>
      </c>
      <c r="E54">
        <v>70</v>
      </c>
      <c r="F54">
        <v>0</v>
      </c>
      <c r="G54" t="s">
        <v>33</v>
      </c>
      <c r="H54" t="s">
        <v>36</v>
      </c>
      <c r="I54">
        <v>-0.54</v>
      </c>
      <c r="J54" s="2"/>
      <c r="K54" s="2"/>
    </row>
    <row r="55" spans="1:11" x14ac:dyDescent="0.25">
      <c r="A55" s="1">
        <v>44784.368807870371</v>
      </c>
      <c r="B55" s="1">
        <v>44784.368784722225</v>
      </c>
      <c r="C55">
        <v>4</v>
      </c>
      <c r="D55">
        <v>3.2</v>
      </c>
      <c r="E55">
        <v>66</v>
      </c>
      <c r="F55">
        <v>0</v>
      </c>
      <c r="G55" t="s">
        <v>33</v>
      </c>
      <c r="H55" t="s">
        <v>36</v>
      </c>
      <c r="I55">
        <v>-0.26</v>
      </c>
      <c r="J55" s="2"/>
      <c r="K55" s="2"/>
    </row>
    <row r="56" spans="1:11" x14ac:dyDescent="0.25">
      <c r="A56" s="1">
        <v>44784.375752314816</v>
      </c>
      <c r="B56" s="1">
        <v>44784.375717592593</v>
      </c>
      <c r="C56">
        <v>4.2</v>
      </c>
      <c r="D56">
        <v>3.3</v>
      </c>
      <c r="E56">
        <v>68</v>
      </c>
      <c r="F56">
        <v>0</v>
      </c>
      <c r="G56" t="s">
        <v>33</v>
      </c>
      <c r="H56" t="s">
        <v>36</v>
      </c>
      <c r="I56">
        <v>-0.31</v>
      </c>
      <c r="J56">
        <f>IF(COUNT(I51:I56)&gt;3.5,ROUND(AVERAGE(I51:I56),2),"")</f>
        <v>-0.61</v>
      </c>
      <c r="K56">
        <f>IF(COUNT(-0.51, -1.69, -1.73, -1.49, -1.48, -1.53, -1.38, -0.38, -0.36, -0.61, 0.81, 0.96, 1.08, 1.04, 0.93, 1.1, 1.48, 1.61, 1.74, 1.22, 0.63, 0.27, 0.21, -0.08)&gt;17.5,ROUND(AVERAGE(-0.51, -1.69, -1.73, -1.49, -1.48, -1.53, -1.38, -0.38, -0.36, -0.61, 0.81, 0.96, 1.08, 1.04, 0.93, 1.1, 1.48, 1.61, 1.74, 1.22, 0.63, 0.27, 0.21, -0.08),2),"NO AVG")</f>
        <v>0.08</v>
      </c>
    </row>
    <row r="57" spans="1:11" x14ac:dyDescent="0.25">
      <c r="A57" s="1">
        <v>44784.382696759261</v>
      </c>
      <c r="B57" s="1">
        <v>44784.382662037038</v>
      </c>
      <c r="C57">
        <v>4.0999999999999996</v>
      </c>
      <c r="D57">
        <v>3.2</v>
      </c>
      <c r="E57">
        <v>66</v>
      </c>
      <c r="F57">
        <v>0</v>
      </c>
      <c r="G57" t="s">
        <v>33</v>
      </c>
      <c r="H57" t="s">
        <v>36</v>
      </c>
      <c r="I57">
        <v>-0.23</v>
      </c>
      <c r="J57" s="2"/>
      <c r="K57" s="2"/>
    </row>
    <row r="58" spans="1:11" x14ac:dyDescent="0.25">
      <c r="A58" s="1">
        <v>44784.389641203707</v>
      </c>
      <c r="B58" s="1">
        <v>44784.389618055553</v>
      </c>
      <c r="C58">
        <v>3.9</v>
      </c>
      <c r="D58">
        <v>3.2</v>
      </c>
      <c r="E58">
        <v>66</v>
      </c>
      <c r="F58">
        <v>0</v>
      </c>
      <c r="G58" t="s">
        <v>33</v>
      </c>
      <c r="H58" t="s">
        <v>36</v>
      </c>
      <c r="I58">
        <v>-0.28999999999999998</v>
      </c>
      <c r="J58" s="2"/>
      <c r="K58" s="2"/>
    </row>
    <row r="59" spans="1:11" x14ac:dyDescent="0.25">
      <c r="A59" s="1">
        <v>44784.396597222221</v>
      </c>
      <c r="B59" s="1">
        <v>44784.396562499998</v>
      </c>
      <c r="C59">
        <v>4</v>
      </c>
      <c r="D59">
        <v>3.2</v>
      </c>
      <c r="E59">
        <v>63</v>
      </c>
      <c r="F59">
        <v>0</v>
      </c>
      <c r="G59" t="s">
        <v>33</v>
      </c>
      <c r="H59" t="s">
        <v>36</v>
      </c>
      <c r="I59">
        <v>-0.05</v>
      </c>
      <c r="J59" s="2"/>
      <c r="K59" s="2"/>
    </row>
    <row r="60" spans="1:11" x14ac:dyDescent="0.25">
      <c r="A60" s="1">
        <v>44784.40353009259</v>
      </c>
      <c r="B60" s="1">
        <v>44784.403506944444</v>
      </c>
      <c r="C60">
        <v>4.3</v>
      </c>
      <c r="D60">
        <v>3.5</v>
      </c>
      <c r="E60">
        <v>61</v>
      </c>
      <c r="F60">
        <v>0</v>
      </c>
      <c r="G60" t="s">
        <v>33</v>
      </c>
      <c r="H60" t="s">
        <v>36</v>
      </c>
      <c r="I60">
        <v>0.27</v>
      </c>
      <c r="J60" s="2"/>
      <c r="K60" s="2"/>
    </row>
    <row r="61" spans="1:11" x14ac:dyDescent="0.25">
      <c r="A61" s="1">
        <v>44784.410474537035</v>
      </c>
      <c r="B61" s="1">
        <v>44784.410451388889</v>
      </c>
      <c r="C61">
        <v>4.0999999999999996</v>
      </c>
      <c r="D61">
        <v>3.3</v>
      </c>
      <c r="E61">
        <v>61</v>
      </c>
      <c r="F61">
        <v>0</v>
      </c>
      <c r="G61" t="s">
        <v>33</v>
      </c>
      <c r="H61" t="s">
        <v>36</v>
      </c>
      <c r="I61">
        <v>0.15</v>
      </c>
      <c r="J61" s="2"/>
      <c r="K61" s="2"/>
    </row>
    <row r="62" spans="1:11" x14ac:dyDescent="0.25">
      <c r="A62" s="1">
        <v>44784.41741898148</v>
      </c>
      <c r="B62" s="1">
        <v>44784.417395833334</v>
      </c>
      <c r="C62">
        <v>4.0999999999999996</v>
      </c>
      <c r="D62">
        <v>3.2</v>
      </c>
      <c r="E62">
        <v>62</v>
      </c>
      <c r="F62">
        <v>0</v>
      </c>
      <c r="G62" t="s">
        <v>33</v>
      </c>
      <c r="H62" t="s">
        <v>36</v>
      </c>
      <c r="I62">
        <v>0.05</v>
      </c>
      <c r="J62">
        <f>IF(COUNT(I57:I62)&gt;3.5,ROUND(AVERAGE(I57:I62),2),"")</f>
        <v>-0.02</v>
      </c>
      <c r="K62">
        <f>IF(COUNT(-0.51, -1.69, -1.73, -1.49, -1.48, -1.53, -1.38, -0.38, -0.36, -0.61, -0.02, 0.96, 1.08, 1.04, 0.93, 1.1, 1.48, 1.61, 1.74, 1.22, 0.63, 0.27, 0.21, -0.08)&gt;17.5,ROUND(AVERAGE(-0.51, -1.69, -1.73, -1.49, -1.48, -1.53, -1.38, -0.38, -0.36, -0.61, -0.02, 0.96, 1.08, 1.04, 0.93, 1.1, 1.48, 1.61, 1.74, 1.22, 0.63, 0.27, 0.21, -0.08),2),"NO AVG")</f>
        <v>0.04</v>
      </c>
    </row>
    <row r="63" spans="1:11" x14ac:dyDescent="0.25">
      <c r="A63" s="1">
        <v>44784.424375000002</v>
      </c>
      <c r="B63" s="1">
        <v>44784.424340277779</v>
      </c>
      <c r="C63">
        <v>4</v>
      </c>
      <c r="D63">
        <v>3.1</v>
      </c>
      <c r="E63">
        <v>61</v>
      </c>
      <c r="F63">
        <v>0</v>
      </c>
      <c r="G63" t="s">
        <v>33</v>
      </c>
      <c r="H63" t="s">
        <v>36</v>
      </c>
      <c r="I63">
        <v>0.06</v>
      </c>
      <c r="J63" s="2"/>
      <c r="K63" s="2"/>
    </row>
    <row r="64" spans="1:11" x14ac:dyDescent="0.25">
      <c r="A64" s="1">
        <v>44784.431307870371</v>
      </c>
      <c r="B64" s="1">
        <v>44784.431284722225</v>
      </c>
      <c r="C64">
        <v>4</v>
      </c>
      <c r="D64">
        <v>3.1</v>
      </c>
      <c r="E64">
        <v>58</v>
      </c>
      <c r="F64">
        <v>0</v>
      </c>
      <c r="G64" t="s">
        <v>33</v>
      </c>
      <c r="H64" t="s">
        <v>36</v>
      </c>
      <c r="I64">
        <v>0.27</v>
      </c>
      <c r="J64" s="2"/>
      <c r="K64" s="2"/>
    </row>
    <row r="65" spans="1:11" x14ac:dyDescent="0.25">
      <c r="A65" s="1">
        <v>44784.438263888886</v>
      </c>
      <c r="B65" s="1">
        <v>44784.43822916667</v>
      </c>
      <c r="C65">
        <v>4</v>
      </c>
      <c r="D65">
        <v>3.1</v>
      </c>
      <c r="E65">
        <v>57</v>
      </c>
      <c r="F65">
        <v>0</v>
      </c>
      <c r="G65" t="s">
        <v>33</v>
      </c>
      <c r="H65" t="s">
        <v>36</v>
      </c>
      <c r="I65">
        <v>0.34</v>
      </c>
      <c r="J65" s="2"/>
      <c r="K65" s="2"/>
    </row>
    <row r="66" spans="1:11" x14ac:dyDescent="0.25">
      <c r="A66" s="1">
        <v>44784.445196759261</v>
      </c>
      <c r="B66" s="1">
        <v>44784.445173611108</v>
      </c>
      <c r="C66">
        <v>4</v>
      </c>
      <c r="D66">
        <v>3.3</v>
      </c>
      <c r="E66">
        <v>58</v>
      </c>
      <c r="F66">
        <v>0</v>
      </c>
      <c r="G66" t="s">
        <v>33</v>
      </c>
      <c r="H66" t="s">
        <v>36</v>
      </c>
      <c r="I66">
        <v>0.33</v>
      </c>
      <c r="J66" s="2"/>
      <c r="K66" s="2"/>
    </row>
    <row r="67" spans="1:11" x14ac:dyDescent="0.25">
      <c r="A67" s="1">
        <v>44784.452152777776</v>
      </c>
      <c r="B67" s="1">
        <v>44784.452118055553</v>
      </c>
      <c r="C67">
        <v>4.0999999999999996</v>
      </c>
      <c r="D67">
        <v>3.3</v>
      </c>
      <c r="E67">
        <v>56</v>
      </c>
      <c r="F67">
        <v>0</v>
      </c>
      <c r="G67" t="s">
        <v>33</v>
      </c>
      <c r="H67" t="s">
        <v>36</v>
      </c>
      <c r="I67">
        <v>0.5</v>
      </c>
      <c r="J67" s="2"/>
      <c r="K67" s="2"/>
    </row>
    <row r="68" spans="1:11" x14ac:dyDescent="0.25">
      <c r="A68" s="1">
        <v>44784.459097222221</v>
      </c>
      <c r="B68" s="1">
        <v>44784.459062499998</v>
      </c>
      <c r="C68">
        <v>4.0999999999999996</v>
      </c>
      <c r="D68">
        <v>3.3</v>
      </c>
      <c r="E68">
        <v>53</v>
      </c>
      <c r="F68">
        <v>0</v>
      </c>
      <c r="G68" t="s">
        <v>33</v>
      </c>
      <c r="H68" t="s">
        <v>36</v>
      </c>
      <c r="I68">
        <v>0.71</v>
      </c>
      <c r="J68">
        <f>IF(COUNT(I63:I68)&gt;3.5,ROUND(AVERAGE(I63:I68),2),"")</f>
        <v>0.37</v>
      </c>
      <c r="K68">
        <f>IF(COUNT(-0.51, -1.69, -1.73, -1.49, -1.48, -1.53, -1.38, -0.38, -0.36, -0.61, -0.02, 0.37, 1.08, 1.04, 0.93, 1.1, 1.48, 1.61, 1.74, 1.22, 0.63, 0.27, 0.21, -0.08)&gt;17.5,ROUND(AVERAGE(-0.51, -1.69, -1.73, -1.49, -1.48, -1.53, -1.38, -0.38, -0.36, -0.61, -0.02, 0.37, 1.08, 1.04, 0.93, 1.1, 1.48, 1.61, 1.74, 1.22, 0.63, 0.27, 0.21, -0.08),2),"NO AVG")</f>
        <v>0.02</v>
      </c>
    </row>
    <row r="69" spans="1:11" x14ac:dyDescent="0.25">
      <c r="A69" s="1">
        <v>44784.46603009259</v>
      </c>
      <c r="B69" s="1">
        <v>44784.466006944444</v>
      </c>
      <c r="C69">
        <v>4.0999999999999996</v>
      </c>
      <c r="D69">
        <v>3.3</v>
      </c>
      <c r="E69">
        <v>54</v>
      </c>
      <c r="F69">
        <v>0</v>
      </c>
      <c r="G69" t="s">
        <v>33</v>
      </c>
      <c r="H69" t="s">
        <v>36</v>
      </c>
      <c r="I69">
        <v>0.64</v>
      </c>
      <c r="J69" s="2"/>
      <c r="K69" s="2"/>
    </row>
    <row r="70" spans="1:11" x14ac:dyDescent="0.25">
      <c r="A70" s="1">
        <v>44784.472974537035</v>
      </c>
      <c r="B70" s="1">
        <v>44784.472951388889</v>
      </c>
      <c r="C70">
        <v>3.8</v>
      </c>
      <c r="D70">
        <v>3</v>
      </c>
      <c r="E70">
        <v>50</v>
      </c>
      <c r="F70">
        <v>0</v>
      </c>
      <c r="G70" t="s">
        <v>33</v>
      </c>
      <c r="H70" t="s">
        <v>36</v>
      </c>
      <c r="I70">
        <v>0.73</v>
      </c>
      <c r="J70" s="2"/>
      <c r="K70" s="2"/>
    </row>
    <row r="71" spans="1:11" x14ac:dyDescent="0.25">
      <c r="A71" s="1">
        <v>44784.47991898148</v>
      </c>
      <c r="B71" s="1">
        <v>44784.479895833334</v>
      </c>
      <c r="C71">
        <v>3.5</v>
      </c>
      <c r="D71">
        <v>2.5</v>
      </c>
      <c r="E71">
        <v>51</v>
      </c>
      <c r="F71">
        <v>0</v>
      </c>
      <c r="G71" t="s">
        <v>33</v>
      </c>
      <c r="H71" t="s">
        <v>36</v>
      </c>
      <c r="I71">
        <v>0.42</v>
      </c>
      <c r="J71" s="2"/>
      <c r="K71" s="2"/>
    </row>
    <row r="72" spans="1:11" x14ac:dyDescent="0.25">
      <c r="A72" s="1">
        <v>44784.486875000002</v>
      </c>
      <c r="B72" s="1">
        <v>44784.486840277779</v>
      </c>
      <c r="C72">
        <v>3.3</v>
      </c>
      <c r="D72">
        <v>2.4</v>
      </c>
      <c r="E72">
        <v>50</v>
      </c>
      <c r="F72">
        <v>0</v>
      </c>
      <c r="G72" t="s">
        <v>33</v>
      </c>
      <c r="H72" t="s">
        <v>36</v>
      </c>
      <c r="I72">
        <v>0.4</v>
      </c>
      <c r="J72" s="2"/>
      <c r="K72" s="2"/>
    </row>
    <row r="73" spans="1:11" x14ac:dyDescent="0.25">
      <c r="A73" s="1">
        <v>44784.493819444448</v>
      </c>
      <c r="B73" s="1">
        <v>44784.493784722225</v>
      </c>
      <c r="C73">
        <v>3</v>
      </c>
      <c r="D73">
        <v>2.2000000000000002</v>
      </c>
      <c r="E73">
        <v>50</v>
      </c>
      <c r="F73">
        <v>0</v>
      </c>
      <c r="G73" t="s">
        <v>33</v>
      </c>
      <c r="H73" t="s">
        <v>36</v>
      </c>
      <c r="I73">
        <v>0.25</v>
      </c>
      <c r="J73" s="2"/>
      <c r="K73" s="2"/>
    </row>
    <row r="74" spans="1:11" x14ac:dyDescent="0.25">
      <c r="A74" s="1">
        <v>44784.500763888886</v>
      </c>
      <c r="B74" s="1">
        <v>44784.50072916667</v>
      </c>
      <c r="C74">
        <v>2.7</v>
      </c>
      <c r="D74">
        <v>2</v>
      </c>
      <c r="E74">
        <v>49</v>
      </c>
      <c r="F74">
        <v>0</v>
      </c>
      <c r="G74" t="s">
        <v>33</v>
      </c>
      <c r="H74" t="s">
        <v>36</v>
      </c>
      <c r="I74">
        <v>0.16</v>
      </c>
      <c r="J74">
        <f>IF(COUNT(I69:I74)&gt;3.5,ROUND(AVERAGE(I69:I74),2),"")</f>
        <v>0.43</v>
      </c>
      <c r="K74">
        <f>IF(COUNT(-0.51, -1.69, -1.73, -1.49, -1.48, -1.53, -1.38, -0.38, -0.36, -0.61, -0.02, 0.37, 0.43, 1.04, 0.93, 1.1, 1.48, 1.61, 1.74, 1.22, 0.63, 0.27, 0.21, -0.08)&gt;17.5,ROUND(AVERAGE(-0.51, -1.69, -1.73, -1.49, -1.48, -1.53, -1.38, -0.38, -0.36, -0.61, -0.02, 0.37, 0.43, 1.04, 0.93, 1.1, 1.48, 1.61, 1.74, 1.22, 0.63, 0.27, 0.21, -0.08),2),"NO AVG")</f>
        <v>-0.01</v>
      </c>
    </row>
    <row r="75" spans="1:11" x14ac:dyDescent="0.25">
      <c r="A75" s="1">
        <v>44784.507708333331</v>
      </c>
      <c r="B75" s="1">
        <v>44784.507673611108</v>
      </c>
      <c r="C75">
        <v>2.7</v>
      </c>
      <c r="D75">
        <v>2</v>
      </c>
      <c r="E75">
        <v>49</v>
      </c>
      <c r="F75">
        <v>0</v>
      </c>
      <c r="G75" t="s">
        <v>33</v>
      </c>
      <c r="H75" t="s">
        <v>36</v>
      </c>
      <c r="I75">
        <v>0.16</v>
      </c>
      <c r="J75" s="2"/>
      <c r="K75" s="2"/>
    </row>
    <row r="76" spans="1:11" x14ac:dyDescent="0.25">
      <c r="A76" s="1">
        <v>44784.514652777776</v>
      </c>
      <c r="B76" s="1">
        <v>44784.514618055553</v>
      </c>
      <c r="C76">
        <v>2.8</v>
      </c>
      <c r="D76">
        <v>2.2000000000000002</v>
      </c>
      <c r="E76">
        <v>50</v>
      </c>
      <c r="F76">
        <v>0</v>
      </c>
      <c r="G76" t="s">
        <v>33</v>
      </c>
      <c r="H76" t="s">
        <v>36</v>
      </c>
      <c r="I76">
        <v>0.18</v>
      </c>
      <c r="J76" s="2"/>
      <c r="K76" s="2"/>
    </row>
    <row r="77" spans="1:11" x14ac:dyDescent="0.25">
      <c r="A77" s="1">
        <v>44784.521597222221</v>
      </c>
      <c r="B77" s="1">
        <v>44784.521562499998</v>
      </c>
      <c r="C77">
        <v>2.9</v>
      </c>
      <c r="D77">
        <v>2.1</v>
      </c>
      <c r="E77">
        <v>49</v>
      </c>
      <c r="F77">
        <v>0</v>
      </c>
      <c r="G77" t="s">
        <v>33</v>
      </c>
      <c r="H77" t="s">
        <v>36</v>
      </c>
      <c r="I77">
        <v>0.25</v>
      </c>
      <c r="J77" s="2"/>
      <c r="K77" s="2"/>
    </row>
    <row r="78" spans="1:11" x14ac:dyDescent="0.25">
      <c r="A78" s="1">
        <v>44784.528541666667</v>
      </c>
      <c r="B78" s="1">
        <v>44784.528506944444</v>
      </c>
      <c r="C78">
        <v>2.6</v>
      </c>
      <c r="D78">
        <v>2</v>
      </c>
      <c r="E78">
        <v>49</v>
      </c>
      <c r="F78">
        <v>0</v>
      </c>
      <c r="G78" t="s">
        <v>33</v>
      </c>
      <c r="H78" t="s">
        <v>36</v>
      </c>
      <c r="I78">
        <v>0.13</v>
      </c>
      <c r="J78" s="2"/>
      <c r="K78" s="2"/>
    </row>
    <row r="79" spans="1:11" x14ac:dyDescent="0.25">
      <c r="A79" s="1">
        <v>44784.535486111112</v>
      </c>
      <c r="B79" s="1">
        <v>44784.535451388889</v>
      </c>
      <c r="C79">
        <v>2.2999999999999998</v>
      </c>
      <c r="D79">
        <v>1.7</v>
      </c>
      <c r="E79">
        <v>49</v>
      </c>
      <c r="F79">
        <v>0</v>
      </c>
      <c r="G79" t="s">
        <v>33</v>
      </c>
      <c r="H79" t="s">
        <v>36</v>
      </c>
      <c r="I79">
        <v>-0.05</v>
      </c>
      <c r="J79" s="2"/>
      <c r="K79" s="2"/>
    </row>
    <row r="80" spans="1:11" x14ac:dyDescent="0.25">
      <c r="A80" s="1">
        <v>44784.542430555557</v>
      </c>
      <c r="B80" s="1">
        <v>44784.542395833334</v>
      </c>
      <c r="C80">
        <v>2.1</v>
      </c>
      <c r="D80">
        <v>1.4</v>
      </c>
      <c r="E80">
        <v>48</v>
      </c>
      <c r="F80">
        <v>0</v>
      </c>
      <c r="G80" t="s">
        <v>33</v>
      </c>
      <c r="H80" t="s">
        <v>36</v>
      </c>
      <c r="I80">
        <v>-0.13</v>
      </c>
      <c r="J80">
        <f>IF(COUNT(I75:I80)&gt;3.5,ROUND(AVERAGE(I75:I80),2),"")</f>
        <v>0.09</v>
      </c>
      <c r="K80">
        <f>IF(COUNT(-0.51, -1.69, -1.73, -1.49, -1.48, -1.53, -1.38, -0.38, -0.36, -0.61, -0.02, 0.37, 0.43, 0.09, 0.93, 1.1, 1.48, 1.61, 1.74, 1.22, 0.63, 0.27, 0.21, -0.08)&gt;17.5,ROUND(AVERAGE(-0.51, -1.69, -1.73, -1.49, -1.48, -1.53, -1.38, -0.38, -0.36, -0.61, -0.02, 0.37, 0.43, 0.09, 0.93, 1.1, 1.48, 1.61, 1.74, 1.22, 0.63, 0.27, 0.21, -0.08),2),"NO AVG")</f>
        <v>-0.05</v>
      </c>
    </row>
    <row r="81" spans="1:11" x14ac:dyDescent="0.25">
      <c r="A81" s="1">
        <v>44784.549375000002</v>
      </c>
      <c r="B81" s="1">
        <v>44784.549340277779</v>
      </c>
      <c r="C81">
        <v>2.5</v>
      </c>
      <c r="D81">
        <v>1.8</v>
      </c>
      <c r="E81">
        <v>49</v>
      </c>
      <c r="F81">
        <v>0</v>
      </c>
      <c r="G81" t="s">
        <v>33</v>
      </c>
      <c r="H81" t="s">
        <v>36</v>
      </c>
      <c r="I81">
        <v>0.04</v>
      </c>
      <c r="J81" s="2"/>
      <c r="K81" s="2"/>
    </row>
    <row r="82" spans="1:11" x14ac:dyDescent="0.25">
      <c r="A82" s="1">
        <v>44784.55673611111</v>
      </c>
      <c r="B82" s="1">
        <v>44784.556284722225</v>
      </c>
      <c r="C82">
        <v>2.6</v>
      </c>
      <c r="D82">
        <v>1.9</v>
      </c>
      <c r="E82">
        <v>49</v>
      </c>
      <c r="F82">
        <v>0</v>
      </c>
      <c r="G82" t="s">
        <v>33</v>
      </c>
      <c r="H82" t="s">
        <v>36</v>
      </c>
      <c r="I82">
        <v>0.1</v>
      </c>
      <c r="J82" s="2"/>
      <c r="K82" s="2"/>
    </row>
    <row r="83" spans="1:11" x14ac:dyDescent="0.25">
      <c r="A83" s="1">
        <v>44784.563263888886</v>
      </c>
      <c r="B83" s="1">
        <v>44784.56322916667</v>
      </c>
      <c r="C83">
        <v>2.5</v>
      </c>
      <c r="D83">
        <v>1.9</v>
      </c>
      <c r="E83">
        <v>47</v>
      </c>
      <c r="F83">
        <v>0</v>
      </c>
      <c r="G83" t="s">
        <v>33</v>
      </c>
      <c r="H83" t="s">
        <v>36</v>
      </c>
      <c r="I83">
        <v>0.21</v>
      </c>
      <c r="J83" s="2"/>
      <c r="K83" s="2"/>
    </row>
    <row r="84" spans="1:11" x14ac:dyDescent="0.25">
      <c r="A84" s="1">
        <v>44784.570208333331</v>
      </c>
      <c r="B84" s="1">
        <v>44784.570173611108</v>
      </c>
      <c r="C84">
        <v>2.7</v>
      </c>
      <c r="D84">
        <v>2</v>
      </c>
      <c r="E84">
        <v>48</v>
      </c>
      <c r="F84">
        <v>0</v>
      </c>
      <c r="G84" t="s">
        <v>33</v>
      </c>
      <c r="H84" t="s">
        <v>36</v>
      </c>
      <c r="I84">
        <v>0.23</v>
      </c>
      <c r="J84" s="2"/>
      <c r="K84" s="2"/>
    </row>
    <row r="85" spans="1:11" x14ac:dyDescent="0.25">
      <c r="A85" s="1">
        <v>44784.577152777776</v>
      </c>
      <c r="B85" s="1">
        <v>44784.577118055553</v>
      </c>
      <c r="C85">
        <v>2.8</v>
      </c>
      <c r="D85">
        <v>2.2999999999999998</v>
      </c>
      <c r="E85">
        <v>49</v>
      </c>
      <c r="F85">
        <v>0</v>
      </c>
      <c r="G85" t="s">
        <v>33</v>
      </c>
      <c r="H85" t="s">
        <v>36</v>
      </c>
      <c r="I85">
        <v>0.28999999999999998</v>
      </c>
      <c r="J85" s="2"/>
      <c r="K85" s="2"/>
    </row>
    <row r="86" spans="1:11" x14ac:dyDescent="0.25">
      <c r="A86" s="1">
        <v>44784.584097222221</v>
      </c>
      <c r="B86" s="1">
        <v>44784.584062499998</v>
      </c>
      <c r="C86">
        <v>2.8</v>
      </c>
      <c r="D86">
        <v>2.2000000000000002</v>
      </c>
      <c r="E86">
        <v>48</v>
      </c>
      <c r="F86">
        <v>0</v>
      </c>
      <c r="G86" t="s">
        <v>33</v>
      </c>
      <c r="H86" t="s">
        <v>36</v>
      </c>
      <c r="I86">
        <v>0.32</v>
      </c>
      <c r="J86">
        <f>IF(COUNT(I81:I86)&gt;3.5,ROUND(AVERAGE(I81:I86),2),"")</f>
        <v>0.2</v>
      </c>
      <c r="K86">
        <f>IF(COUNT(-0.51, -1.69, -1.73, -1.49, -1.48, -1.53, -1.38, -0.38, -0.36, -0.61, -0.02, 0.37, 0.43, 0.09, 0.2, 1.1, 1.48, 1.61, 1.74, 1.22, 0.63, 0.27, 0.21, -0.08)&gt;17.5,ROUND(AVERAGE(-0.51, -1.69, -1.73, -1.49, -1.48, -1.53, -1.38, -0.38, -0.36, -0.61, -0.02, 0.37, 0.43, 0.09, 0.2, 1.1, 1.48, 1.61, 1.74, 1.22, 0.63, 0.27, 0.21, -0.08),2),"NO AVG")</f>
        <v>-0.08</v>
      </c>
    </row>
    <row r="87" spans="1:11" x14ac:dyDescent="0.25">
      <c r="A87" s="1">
        <v>44784.591041666667</v>
      </c>
      <c r="B87" s="1">
        <v>44784.591006944444</v>
      </c>
      <c r="C87">
        <v>2.9</v>
      </c>
      <c r="D87">
        <v>2.2000000000000002</v>
      </c>
      <c r="E87">
        <v>50</v>
      </c>
      <c r="F87">
        <v>0</v>
      </c>
      <c r="G87" t="s">
        <v>33</v>
      </c>
      <c r="H87" t="s">
        <v>36</v>
      </c>
      <c r="I87">
        <v>0.22</v>
      </c>
      <c r="J87" s="2"/>
      <c r="K87" s="2"/>
    </row>
    <row r="88" spans="1:11" x14ac:dyDescent="0.25">
      <c r="A88" s="1">
        <v>44784.597986111112</v>
      </c>
      <c r="B88" s="1">
        <v>44784.597951388889</v>
      </c>
      <c r="C88">
        <v>2.8</v>
      </c>
      <c r="D88">
        <v>2.2000000000000002</v>
      </c>
      <c r="E88">
        <v>50</v>
      </c>
      <c r="F88">
        <v>0</v>
      </c>
      <c r="G88" t="s">
        <v>33</v>
      </c>
      <c r="H88" t="s">
        <v>36</v>
      </c>
      <c r="I88">
        <v>0.18</v>
      </c>
      <c r="J88" s="2"/>
      <c r="K88" s="2"/>
    </row>
    <row r="89" spans="1:11" x14ac:dyDescent="0.25">
      <c r="A89" s="1">
        <v>44784.604930555557</v>
      </c>
      <c r="B89" s="1">
        <v>44784.604895833334</v>
      </c>
      <c r="C89">
        <v>2.7</v>
      </c>
      <c r="D89">
        <v>2.2999999999999998</v>
      </c>
      <c r="E89">
        <v>49</v>
      </c>
      <c r="F89">
        <v>0</v>
      </c>
      <c r="G89" t="s">
        <v>33</v>
      </c>
      <c r="H89" t="s">
        <v>36</v>
      </c>
      <c r="I89">
        <v>0.25</v>
      </c>
      <c r="J89" s="2"/>
      <c r="K89" s="2"/>
    </row>
    <row r="90" spans="1:11" x14ac:dyDescent="0.25">
      <c r="A90" s="1">
        <v>44784.611875000002</v>
      </c>
      <c r="B90" s="1">
        <v>44784.611840277779</v>
      </c>
      <c r="C90">
        <v>2.7</v>
      </c>
      <c r="D90">
        <v>2.4</v>
      </c>
      <c r="E90">
        <v>47</v>
      </c>
      <c r="F90">
        <v>0</v>
      </c>
      <c r="G90" t="s">
        <v>33</v>
      </c>
      <c r="H90" t="s">
        <v>36</v>
      </c>
      <c r="I90">
        <v>0.43</v>
      </c>
      <c r="J90" s="2"/>
      <c r="K90" s="2"/>
    </row>
    <row r="91" spans="1:11" x14ac:dyDescent="0.25">
      <c r="A91" s="1">
        <v>44784.618819444448</v>
      </c>
      <c r="B91" s="1">
        <v>44784.618784722225</v>
      </c>
      <c r="C91">
        <v>2.8</v>
      </c>
      <c r="D91">
        <v>2.2999999999999998</v>
      </c>
      <c r="E91">
        <v>47</v>
      </c>
      <c r="F91">
        <v>0</v>
      </c>
      <c r="G91" t="s">
        <v>33</v>
      </c>
      <c r="H91" t="s">
        <v>36</v>
      </c>
      <c r="I91">
        <v>0.43</v>
      </c>
      <c r="J91" s="2"/>
      <c r="K91" s="2"/>
    </row>
    <row r="92" spans="1:11" x14ac:dyDescent="0.25">
      <c r="A92" s="1">
        <v>44784.625763888886</v>
      </c>
      <c r="B92" s="1">
        <v>44784.62572916667</v>
      </c>
      <c r="C92">
        <v>2.8</v>
      </c>
      <c r="D92">
        <v>2.4</v>
      </c>
      <c r="E92">
        <v>46</v>
      </c>
      <c r="F92">
        <v>0</v>
      </c>
      <c r="G92" t="s">
        <v>33</v>
      </c>
      <c r="H92" t="s">
        <v>36</v>
      </c>
      <c r="I92">
        <v>0.53</v>
      </c>
      <c r="J92">
        <f>IF(COUNT(I87:I92)&gt;3.5,ROUND(AVERAGE(I87:I92),2),"")</f>
        <v>0.34</v>
      </c>
      <c r="K92">
        <f>IF(COUNT(-0.51, -1.69, -1.73, -1.49, -1.48, -1.53, -1.38, -0.38, -0.36, -0.61, -0.02, 0.37, 0.43, 0.09, 0.2, 0.34, 1.48, 1.61, 1.74, 1.22, 0.63, 0.27, 0.21, -0.08)&gt;17.5,ROUND(AVERAGE(-0.51, -1.69, -1.73, -1.49, -1.48, -1.53, -1.38, -0.38, -0.36, -0.61, -0.02, 0.37, 0.43, 0.09, 0.2, 0.34, 1.48, 1.61, 1.74, 1.22, 0.63, 0.27, 0.21, -0.08),2),"NO AVG")</f>
        <v>-0.11</v>
      </c>
    </row>
    <row r="93" spans="1:11" x14ac:dyDescent="0.25">
      <c r="A93" s="1">
        <v>44784.632696759261</v>
      </c>
      <c r="B93" s="1">
        <v>44784.632673611108</v>
      </c>
      <c r="C93">
        <v>2.8</v>
      </c>
      <c r="D93">
        <v>2.4</v>
      </c>
      <c r="E93">
        <v>45</v>
      </c>
      <c r="F93">
        <v>0</v>
      </c>
      <c r="G93" t="s">
        <v>33</v>
      </c>
      <c r="H93" t="s">
        <v>36</v>
      </c>
      <c r="I93">
        <v>0.6</v>
      </c>
      <c r="J93" s="2"/>
      <c r="K93" s="2"/>
    </row>
    <row r="94" spans="1:11" x14ac:dyDescent="0.25">
      <c r="A94" s="1">
        <v>44784.63962962963</v>
      </c>
      <c r="B94" s="1">
        <v>44784.639618055553</v>
      </c>
      <c r="C94">
        <v>2.9</v>
      </c>
      <c r="D94">
        <v>2.4</v>
      </c>
      <c r="E94">
        <v>46</v>
      </c>
      <c r="F94">
        <v>0</v>
      </c>
      <c r="G94" t="s">
        <v>33</v>
      </c>
      <c r="H94" t="s">
        <v>36</v>
      </c>
      <c r="I94">
        <v>0.56000000000000005</v>
      </c>
      <c r="J94" s="2"/>
      <c r="K94" s="2"/>
    </row>
    <row r="95" spans="1:11" x14ac:dyDescent="0.25">
      <c r="A95" s="1">
        <v>44784.646585648145</v>
      </c>
      <c r="B95" s="1">
        <v>44784.646562499998</v>
      </c>
      <c r="C95">
        <v>3</v>
      </c>
      <c r="D95">
        <v>2.5</v>
      </c>
      <c r="E95">
        <v>47</v>
      </c>
      <c r="F95">
        <v>0</v>
      </c>
      <c r="G95" t="s">
        <v>33</v>
      </c>
      <c r="H95" t="s">
        <v>36</v>
      </c>
      <c r="I95">
        <v>0.55000000000000004</v>
      </c>
      <c r="J95" s="2"/>
      <c r="K95" s="2"/>
    </row>
    <row r="96" spans="1:11" x14ac:dyDescent="0.25">
      <c r="A96" s="1">
        <v>44784.65353009259</v>
      </c>
      <c r="B96" s="1">
        <v>44784.653506944444</v>
      </c>
      <c r="C96">
        <v>3.2</v>
      </c>
      <c r="D96">
        <v>2.6</v>
      </c>
      <c r="E96">
        <v>49</v>
      </c>
      <c r="F96">
        <v>0</v>
      </c>
      <c r="G96" t="s">
        <v>33</v>
      </c>
      <c r="H96" t="s">
        <v>36</v>
      </c>
      <c r="I96">
        <v>0.5</v>
      </c>
      <c r="J96" s="2"/>
      <c r="K96" s="2"/>
    </row>
    <row r="97" spans="1:11" x14ac:dyDescent="0.25">
      <c r="A97" s="1">
        <v>44784.660474537035</v>
      </c>
      <c r="B97" s="1">
        <v>44784.660451388889</v>
      </c>
      <c r="C97">
        <v>3.4</v>
      </c>
      <c r="D97">
        <v>2.9</v>
      </c>
      <c r="E97">
        <v>48</v>
      </c>
      <c r="F97">
        <v>0</v>
      </c>
      <c r="G97" t="s">
        <v>33</v>
      </c>
      <c r="H97" t="s">
        <v>36</v>
      </c>
      <c r="I97">
        <v>0.72</v>
      </c>
      <c r="J97" s="2"/>
      <c r="K97" s="2"/>
    </row>
    <row r="98" spans="1:11" x14ac:dyDescent="0.25">
      <c r="A98" s="1">
        <v>44784.66741898148</v>
      </c>
      <c r="B98" s="1">
        <v>44784.667395833334</v>
      </c>
      <c r="C98">
        <v>3.4</v>
      </c>
      <c r="D98">
        <v>3</v>
      </c>
      <c r="E98">
        <v>48</v>
      </c>
      <c r="F98">
        <v>0</v>
      </c>
      <c r="G98" t="s">
        <v>33</v>
      </c>
      <c r="H98" t="s">
        <v>36</v>
      </c>
      <c r="I98">
        <v>0.75</v>
      </c>
      <c r="J98">
        <f>IF(COUNT(I93:I98)&gt;3.5,ROUND(AVERAGE(I93:I98),2),"")</f>
        <v>0.61</v>
      </c>
      <c r="K98">
        <f>IF(COUNT(-0.51, -1.69, -1.73, -1.49, -1.48, -1.53, -1.38, -0.38, -0.36, -0.61, -0.02, 0.37, 0.43, 0.09, 0.2, 0.34, 0.61, 1.61, 1.74, 1.22, 0.63, 0.27, 0.21, -0.08)&gt;17.5,ROUND(AVERAGE(-0.51, -1.69, -1.73, -1.49, -1.48, -1.53, -1.38, -0.38, -0.36, -0.61, -0.02, 0.37, 0.43, 0.09, 0.2, 0.34, 0.61, 1.61, 1.74, 1.22, 0.63, 0.27, 0.21, -0.08),2),"NO AVG")</f>
        <v>-0.15</v>
      </c>
    </row>
    <row r="99" spans="1:11" x14ac:dyDescent="0.25">
      <c r="A99" s="1">
        <v>44784.674351851849</v>
      </c>
      <c r="B99" s="1">
        <v>44784.674328703702</v>
      </c>
      <c r="C99">
        <v>3.4</v>
      </c>
      <c r="D99">
        <v>3.1</v>
      </c>
      <c r="E99">
        <v>48</v>
      </c>
      <c r="F99">
        <v>0</v>
      </c>
      <c r="G99" t="s">
        <v>33</v>
      </c>
      <c r="H99" t="s">
        <v>36</v>
      </c>
      <c r="I99">
        <v>0.78</v>
      </c>
      <c r="J99" s="2"/>
      <c r="K99" s="2"/>
    </row>
    <row r="100" spans="1:11" x14ac:dyDescent="0.25">
      <c r="A100" s="1">
        <v>44784.681296296294</v>
      </c>
      <c r="B100" s="1">
        <v>44784.681273148148</v>
      </c>
      <c r="C100">
        <v>3.6</v>
      </c>
      <c r="D100">
        <v>3.2</v>
      </c>
      <c r="E100">
        <v>48</v>
      </c>
      <c r="F100">
        <v>0</v>
      </c>
      <c r="G100" t="s">
        <v>33</v>
      </c>
      <c r="H100" t="s">
        <v>36</v>
      </c>
      <c r="I100">
        <v>0.87</v>
      </c>
      <c r="J100" s="2"/>
      <c r="K100" s="2"/>
    </row>
    <row r="101" spans="1:11" x14ac:dyDescent="0.25">
      <c r="A101" s="1">
        <v>44784.688275462962</v>
      </c>
      <c r="B101" s="1">
        <v>44784.688217592593</v>
      </c>
      <c r="C101">
        <v>3.5</v>
      </c>
      <c r="D101">
        <v>3.1</v>
      </c>
      <c r="E101">
        <v>50</v>
      </c>
      <c r="F101">
        <v>0</v>
      </c>
      <c r="G101" t="s">
        <v>33</v>
      </c>
      <c r="H101" t="s">
        <v>36</v>
      </c>
      <c r="I101">
        <v>0.67</v>
      </c>
      <c r="J101" s="2"/>
      <c r="K101" s="2"/>
    </row>
    <row r="102" spans="1:11" x14ac:dyDescent="0.25">
      <c r="A102" s="1">
        <v>44784.695185185185</v>
      </c>
      <c r="B102" s="1">
        <v>44784.695162037038</v>
      </c>
      <c r="C102">
        <v>3.6</v>
      </c>
      <c r="D102">
        <v>3.3</v>
      </c>
      <c r="E102">
        <v>48</v>
      </c>
      <c r="F102">
        <v>0</v>
      </c>
      <c r="G102" t="s">
        <v>33</v>
      </c>
      <c r="H102" t="s">
        <v>36</v>
      </c>
      <c r="I102">
        <v>0.9</v>
      </c>
      <c r="J102" s="2"/>
      <c r="K102" s="2"/>
    </row>
    <row r="103" spans="1:11" x14ac:dyDescent="0.25">
      <c r="A103" s="1">
        <v>44784.70212962963</v>
      </c>
      <c r="B103" s="1">
        <v>44784.702106481483</v>
      </c>
      <c r="C103">
        <v>3.8</v>
      </c>
      <c r="D103">
        <v>3.3</v>
      </c>
      <c r="E103">
        <v>49</v>
      </c>
      <c r="F103">
        <v>0</v>
      </c>
      <c r="G103" t="s">
        <v>33</v>
      </c>
      <c r="H103" t="s">
        <v>36</v>
      </c>
      <c r="I103">
        <v>0.9</v>
      </c>
      <c r="J103" s="2"/>
      <c r="K103" s="2"/>
    </row>
    <row r="104" spans="1:11" x14ac:dyDescent="0.25">
      <c r="A104" s="1">
        <v>44784.709074074075</v>
      </c>
      <c r="B104" s="1">
        <v>44784.709050925929</v>
      </c>
      <c r="C104">
        <v>3.7</v>
      </c>
      <c r="D104">
        <v>3.4</v>
      </c>
      <c r="E104">
        <v>50</v>
      </c>
      <c r="F104">
        <v>0</v>
      </c>
      <c r="G104" t="s">
        <v>33</v>
      </c>
      <c r="H104" t="s">
        <v>36</v>
      </c>
      <c r="I104">
        <v>0.83</v>
      </c>
      <c r="J104">
        <f>IF(COUNT(I99:I104)&gt;3.5,ROUND(AVERAGE(I99:I104),2),"")</f>
        <v>0.83</v>
      </c>
      <c r="K104">
        <f>IF(COUNT(-0.51, -1.69, -1.73, -1.49, -1.48, -1.53, -1.38, -0.38, -0.36, -0.61, -0.02, 0.37, 0.43, 0.09, 0.2, 0.34, 0.61, 0.83, 1.74, 1.22, 0.63, 0.27, 0.21, -0.08)&gt;17.5,ROUND(AVERAGE(-0.51, -1.69, -1.73, -1.49, -1.48, -1.53, -1.38, -0.38, -0.36, -0.61, -0.02, 0.37, 0.43, 0.09, 0.2, 0.34, 0.61, 0.83, 1.74, 1.22, 0.63, 0.27, 0.21, -0.08),2),"NO AVG")</f>
        <v>-0.18</v>
      </c>
    </row>
    <row r="105" spans="1:11" x14ac:dyDescent="0.25">
      <c r="A105" s="1">
        <v>44784.71601851852</v>
      </c>
      <c r="B105" s="1">
        <v>44784.715995370374</v>
      </c>
      <c r="C105">
        <v>3.8</v>
      </c>
      <c r="D105">
        <v>3.5</v>
      </c>
      <c r="E105">
        <v>52</v>
      </c>
      <c r="F105">
        <v>0</v>
      </c>
      <c r="G105" t="s">
        <v>33</v>
      </c>
      <c r="H105" t="s">
        <v>36</v>
      </c>
      <c r="I105">
        <v>0.75</v>
      </c>
      <c r="J105" s="2"/>
      <c r="K105" s="2"/>
    </row>
    <row r="106" spans="1:11" x14ac:dyDescent="0.25">
      <c r="A106" s="1">
        <v>44784.722962962966</v>
      </c>
      <c r="B106" s="1">
        <v>44784.722939814812</v>
      </c>
      <c r="C106">
        <v>3.9</v>
      </c>
      <c r="D106">
        <v>3.6</v>
      </c>
      <c r="E106">
        <v>52</v>
      </c>
      <c r="F106">
        <v>0</v>
      </c>
      <c r="G106" t="s">
        <v>33</v>
      </c>
      <c r="H106" t="s">
        <v>36</v>
      </c>
      <c r="I106">
        <v>0.81</v>
      </c>
      <c r="J106" s="2"/>
      <c r="K106" s="2"/>
    </row>
    <row r="107" spans="1:11" x14ac:dyDescent="0.25">
      <c r="A107" s="1">
        <v>44784.729907407411</v>
      </c>
      <c r="B107" s="1">
        <v>44784.729884259257</v>
      </c>
      <c r="C107">
        <v>4</v>
      </c>
      <c r="D107">
        <v>3.7</v>
      </c>
      <c r="E107">
        <v>54</v>
      </c>
      <c r="F107">
        <v>0</v>
      </c>
      <c r="G107" t="s">
        <v>33</v>
      </c>
      <c r="H107" t="s">
        <v>36</v>
      </c>
      <c r="I107">
        <v>0.73</v>
      </c>
      <c r="J107" s="2"/>
      <c r="K107" s="2"/>
    </row>
    <row r="108" spans="1:11" x14ac:dyDescent="0.25">
      <c r="A108" s="1">
        <v>44784.736851851849</v>
      </c>
      <c r="B108" s="1">
        <v>44784.736828703702</v>
      </c>
      <c r="C108">
        <v>4.0999999999999996</v>
      </c>
      <c r="D108">
        <v>3.8</v>
      </c>
      <c r="E108">
        <v>55</v>
      </c>
      <c r="F108">
        <v>0</v>
      </c>
      <c r="G108" t="s">
        <v>33</v>
      </c>
      <c r="H108" t="s">
        <v>36</v>
      </c>
      <c r="I108">
        <v>0.72</v>
      </c>
      <c r="J108" s="2"/>
      <c r="K108" s="2"/>
    </row>
    <row r="109" spans="1:11" x14ac:dyDescent="0.25">
      <c r="A109" s="1">
        <v>44784.743796296294</v>
      </c>
      <c r="B109" s="1">
        <v>44784.743773148148</v>
      </c>
      <c r="C109">
        <v>4.2</v>
      </c>
      <c r="D109">
        <v>4</v>
      </c>
      <c r="E109">
        <v>56</v>
      </c>
      <c r="F109">
        <v>0</v>
      </c>
      <c r="G109" t="s">
        <v>33</v>
      </c>
      <c r="H109" t="s">
        <v>36</v>
      </c>
      <c r="I109">
        <v>0.74</v>
      </c>
      <c r="J109" s="2"/>
      <c r="K109" s="2"/>
    </row>
    <row r="110" spans="1:11" x14ac:dyDescent="0.25">
      <c r="A110" s="1">
        <v>44784.750740740739</v>
      </c>
      <c r="B110" s="1">
        <v>44784.750717592593</v>
      </c>
      <c r="C110">
        <v>4.3</v>
      </c>
      <c r="D110">
        <v>4</v>
      </c>
      <c r="E110">
        <v>57</v>
      </c>
      <c r="F110">
        <v>0</v>
      </c>
      <c r="G110" t="s">
        <v>33</v>
      </c>
      <c r="H110" t="s">
        <v>36</v>
      </c>
      <c r="I110">
        <v>0.7</v>
      </c>
      <c r="J110">
        <f>IF(COUNT(I105:I110)&gt;3.5,ROUND(AVERAGE(I105:I110),2),"")</f>
        <v>0.74</v>
      </c>
      <c r="K110">
        <f>IF(COUNT(-0.51, -1.69, -1.73, -1.49, -1.48, -1.53, -1.38, -0.38, -0.36, -0.61, -0.02, 0.37, 0.43, 0.09, 0.2, 0.34, 0.61, 0.83, 0.74, 1.22, 0.63, 0.27, 0.21, -0.08)&gt;17.5,ROUND(AVERAGE(-0.51, -1.69, -1.73, -1.49, -1.48, -1.53, -1.38, -0.38, -0.36, -0.61, -0.02, 0.37, 0.43, 0.09, 0.2, 0.34, 0.61, 0.83, 0.74, 1.22, 0.63, 0.27, 0.21, -0.08),2),"NO AVG")</f>
        <v>-0.22</v>
      </c>
    </row>
    <row r="111" spans="1:11" x14ac:dyDescent="0.25">
      <c r="A111" s="1">
        <v>44784.757685185185</v>
      </c>
      <c r="B111" s="1">
        <v>44784.757662037038</v>
      </c>
      <c r="C111">
        <v>4.4000000000000004</v>
      </c>
      <c r="D111">
        <v>4.0999999999999996</v>
      </c>
      <c r="E111">
        <v>57</v>
      </c>
      <c r="F111">
        <v>0</v>
      </c>
      <c r="G111" t="s">
        <v>33</v>
      </c>
      <c r="H111" t="s">
        <v>36</v>
      </c>
      <c r="I111">
        <v>0.76</v>
      </c>
      <c r="J111" s="2"/>
      <c r="K111" s="2"/>
    </row>
    <row r="112" spans="1:11" x14ac:dyDescent="0.25">
      <c r="A112" s="1">
        <v>44784.76462962963</v>
      </c>
      <c r="B112" s="1">
        <v>44784.764606481483</v>
      </c>
      <c r="C112">
        <v>4.4000000000000004</v>
      </c>
      <c r="D112">
        <v>4.2</v>
      </c>
      <c r="E112">
        <v>59</v>
      </c>
      <c r="F112">
        <v>0</v>
      </c>
      <c r="G112" t="s">
        <v>33</v>
      </c>
      <c r="H112" t="s">
        <v>36</v>
      </c>
      <c r="I112">
        <v>0.65</v>
      </c>
      <c r="J112" s="2"/>
      <c r="K112" s="2"/>
    </row>
    <row r="113" spans="1:11" x14ac:dyDescent="0.25">
      <c r="A113" s="1">
        <v>44784.771574074075</v>
      </c>
      <c r="B113" s="1">
        <v>44784.771550925929</v>
      </c>
      <c r="C113">
        <v>4.5</v>
      </c>
      <c r="D113">
        <v>4.2</v>
      </c>
      <c r="E113">
        <v>59</v>
      </c>
      <c r="F113">
        <v>0</v>
      </c>
      <c r="G113" t="s">
        <v>33</v>
      </c>
      <c r="H113" t="s">
        <v>36</v>
      </c>
      <c r="I113">
        <v>0.68</v>
      </c>
      <c r="J113" s="2"/>
      <c r="K113" s="2"/>
    </row>
    <row r="114" spans="1:11" x14ac:dyDescent="0.25">
      <c r="A114" s="1">
        <v>44784.77851851852</v>
      </c>
      <c r="B114" s="1">
        <v>44784.778495370374</v>
      </c>
      <c r="C114">
        <v>4.5999999999999996</v>
      </c>
      <c r="D114">
        <v>4.3</v>
      </c>
      <c r="E114">
        <v>59</v>
      </c>
      <c r="F114">
        <v>0</v>
      </c>
      <c r="G114" t="s">
        <v>33</v>
      </c>
      <c r="H114" t="s">
        <v>36</v>
      </c>
      <c r="I114">
        <v>0.74</v>
      </c>
      <c r="J114" s="2"/>
      <c r="K114" s="2"/>
    </row>
    <row r="115" spans="1:11" x14ac:dyDescent="0.25">
      <c r="A115" s="1">
        <v>44784.785474537035</v>
      </c>
      <c r="B115" s="1">
        <v>44784.785439814812</v>
      </c>
      <c r="C115">
        <v>4.7</v>
      </c>
      <c r="D115">
        <v>4.5</v>
      </c>
      <c r="E115">
        <v>60</v>
      </c>
      <c r="F115">
        <v>0</v>
      </c>
      <c r="G115" t="s">
        <v>33</v>
      </c>
      <c r="H115" t="s">
        <v>36</v>
      </c>
      <c r="I115">
        <v>0.77</v>
      </c>
      <c r="J115" s="2"/>
      <c r="K115" s="2"/>
    </row>
    <row r="116" spans="1:11" x14ac:dyDescent="0.25">
      <c r="A116" s="1">
        <v>44784.792407407411</v>
      </c>
      <c r="B116" s="1">
        <v>44784.792384259257</v>
      </c>
      <c r="C116">
        <v>4.7</v>
      </c>
      <c r="D116">
        <v>4.4000000000000004</v>
      </c>
      <c r="E116">
        <v>61</v>
      </c>
      <c r="F116">
        <v>0</v>
      </c>
      <c r="G116" t="s">
        <v>33</v>
      </c>
      <c r="H116" t="s">
        <v>36</v>
      </c>
      <c r="I116">
        <v>0.67</v>
      </c>
      <c r="J116">
        <f>IF(COUNT(I111:I116)&gt;3.5,ROUND(AVERAGE(I111:I116),2),"")</f>
        <v>0.71</v>
      </c>
      <c r="K116">
        <f>IF(COUNT(-0.51, -1.69, -1.73, -1.49, -1.48, -1.53, -1.38, -0.38, -0.36, -0.61, -0.02, 0.37, 0.43, 0.09, 0.2, 0.34, 0.61, 0.83, 0.74, 0.71, 0.63, 0.27, 0.21, -0.08)&gt;17.5,ROUND(AVERAGE(-0.51, -1.69, -1.73, -1.49, -1.48, -1.53, -1.38, -0.38, -0.36, -0.61, -0.02, 0.37, 0.43, 0.09, 0.2, 0.34, 0.61, 0.83, 0.74, 0.71, 0.63, 0.27, 0.21, -0.08),2),"NO AVG")</f>
        <v>-0.24</v>
      </c>
    </row>
    <row r="117" spans="1:11" x14ac:dyDescent="0.25">
      <c r="A117" s="1">
        <v>44784.799351851849</v>
      </c>
      <c r="B117" s="1">
        <v>44784.799328703702</v>
      </c>
      <c r="C117">
        <v>4.5999999999999996</v>
      </c>
      <c r="D117">
        <v>4.3</v>
      </c>
      <c r="E117">
        <v>61</v>
      </c>
      <c r="F117">
        <v>0</v>
      </c>
      <c r="G117" t="s">
        <v>33</v>
      </c>
      <c r="H117" t="s">
        <v>36</v>
      </c>
      <c r="I117">
        <v>0.6</v>
      </c>
      <c r="J117" s="2"/>
      <c r="K117" s="2"/>
    </row>
    <row r="118" spans="1:11" x14ac:dyDescent="0.25">
      <c r="A118" s="1">
        <v>44784.806354166663</v>
      </c>
      <c r="B118" s="1">
        <v>44784.806273148148</v>
      </c>
      <c r="C118">
        <v>4.5</v>
      </c>
      <c r="D118">
        <v>4.2</v>
      </c>
      <c r="E118">
        <v>64</v>
      </c>
      <c r="F118">
        <v>0</v>
      </c>
      <c r="G118" t="s">
        <v>33</v>
      </c>
      <c r="H118" t="s">
        <v>36</v>
      </c>
      <c r="I118">
        <v>0.33</v>
      </c>
      <c r="J118" s="2"/>
      <c r="K118" s="2"/>
    </row>
    <row r="119" spans="1:11" x14ac:dyDescent="0.25">
      <c r="A119" s="1">
        <v>44784.813252314816</v>
      </c>
      <c r="B119" s="1">
        <v>44784.813217592593</v>
      </c>
      <c r="C119">
        <v>4.4000000000000004</v>
      </c>
      <c r="D119">
        <v>4.0999999999999996</v>
      </c>
      <c r="E119">
        <v>64</v>
      </c>
      <c r="F119">
        <v>0</v>
      </c>
      <c r="G119" t="s">
        <v>33</v>
      </c>
      <c r="H119" t="s">
        <v>36</v>
      </c>
      <c r="I119">
        <v>0.27</v>
      </c>
      <c r="J119" s="2"/>
      <c r="K119" s="2"/>
    </row>
    <row r="120" spans="1:11" x14ac:dyDescent="0.25">
      <c r="A120" s="1">
        <v>44784.820185185185</v>
      </c>
      <c r="B120" s="1">
        <v>44784.820162037038</v>
      </c>
      <c r="C120">
        <v>4.3</v>
      </c>
      <c r="D120">
        <v>4</v>
      </c>
      <c r="E120">
        <v>66</v>
      </c>
      <c r="F120">
        <v>0</v>
      </c>
      <c r="G120" t="s">
        <v>33</v>
      </c>
      <c r="H120" t="s">
        <v>36</v>
      </c>
      <c r="I120">
        <v>7.0000000000000007E-2</v>
      </c>
      <c r="J120" s="2"/>
      <c r="K120" s="2"/>
    </row>
    <row r="121" spans="1:11" x14ac:dyDescent="0.25">
      <c r="A121" s="1">
        <v>44784.82712962963</v>
      </c>
      <c r="B121" s="1">
        <v>44784.827106481483</v>
      </c>
      <c r="C121">
        <v>4.4000000000000004</v>
      </c>
      <c r="D121">
        <v>4.0999999999999996</v>
      </c>
      <c r="E121">
        <v>69</v>
      </c>
      <c r="F121">
        <v>0</v>
      </c>
      <c r="G121" t="s">
        <v>33</v>
      </c>
      <c r="H121" t="s">
        <v>36</v>
      </c>
      <c r="I121">
        <v>-0.08</v>
      </c>
      <c r="J121" s="2"/>
      <c r="K121" s="2"/>
    </row>
    <row r="122" spans="1:11" x14ac:dyDescent="0.25">
      <c r="A122" s="1">
        <v>44784.834074074075</v>
      </c>
      <c r="B122" s="1">
        <v>44784.834050925929</v>
      </c>
      <c r="C122">
        <v>4.4000000000000004</v>
      </c>
      <c r="D122">
        <v>4.0999999999999996</v>
      </c>
      <c r="E122">
        <v>69</v>
      </c>
      <c r="F122">
        <v>0</v>
      </c>
      <c r="G122" t="s">
        <v>33</v>
      </c>
      <c r="H122" t="s">
        <v>36</v>
      </c>
      <c r="I122">
        <v>-0.08</v>
      </c>
      <c r="J122">
        <f>IF(COUNT(I117:I122)&gt;3.5,ROUND(AVERAGE(I117:I122),2),"")</f>
        <v>0.19</v>
      </c>
      <c r="K122">
        <f>IF(COUNT(-0.51, -1.69, -1.73, -1.49, -1.48, -1.53, -1.38, -0.38, -0.36, -0.61, -0.02, 0.37, 0.43, 0.09, 0.2, 0.34, 0.61, 0.83, 0.74, 0.71, 0.19, 0.27, 0.21, -0.08)&gt;17.5,ROUND(AVERAGE(-0.51, -1.69, -1.73, -1.49, -1.48, -1.53, -1.38, -0.38, -0.36, -0.61, -0.02, 0.37, 0.43, 0.09, 0.2, 0.34, 0.61, 0.83, 0.74, 0.71, 0.19, 0.27, 0.21, -0.08),2),"NO AVG")</f>
        <v>-0.26</v>
      </c>
    </row>
    <row r="123" spans="1:11" x14ac:dyDescent="0.25">
      <c r="A123" s="1">
        <v>44784.84101851852</v>
      </c>
      <c r="B123" s="1">
        <v>44784.840995370374</v>
      </c>
      <c r="C123">
        <v>4.4000000000000004</v>
      </c>
      <c r="D123">
        <v>4</v>
      </c>
      <c r="E123">
        <v>64</v>
      </c>
      <c r="F123">
        <v>0</v>
      </c>
      <c r="G123" t="s">
        <v>33</v>
      </c>
      <c r="H123" t="s">
        <v>36</v>
      </c>
      <c r="I123">
        <v>0.24</v>
      </c>
      <c r="J123" s="2"/>
      <c r="K123" s="2"/>
    </row>
    <row r="124" spans="1:11" x14ac:dyDescent="0.25">
      <c r="A124" s="1">
        <v>44784.847962962966</v>
      </c>
      <c r="B124" s="1">
        <v>44784.847939814812</v>
      </c>
      <c r="C124">
        <v>4</v>
      </c>
      <c r="D124">
        <v>3.7</v>
      </c>
      <c r="E124">
        <v>62</v>
      </c>
      <c r="F124">
        <v>0</v>
      </c>
      <c r="G124" t="s">
        <v>33</v>
      </c>
      <c r="H124" t="s">
        <v>36</v>
      </c>
      <c r="I124">
        <v>0.17</v>
      </c>
      <c r="J124" s="2"/>
      <c r="K124" s="2"/>
    </row>
    <row r="125" spans="1:11" x14ac:dyDescent="0.25">
      <c r="A125" s="1">
        <v>44784.854907407411</v>
      </c>
      <c r="B125" s="1">
        <v>44784.854884259257</v>
      </c>
      <c r="C125">
        <v>3.7</v>
      </c>
      <c r="D125">
        <v>3.4</v>
      </c>
      <c r="E125">
        <v>61</v>
      </c>
      <c r="F125">
        <v>0</v>
      </c>
      <c r="G125" t="s">
        <v>33</v>
      </c>
      <c r="H125" t="s">
        <v>36</v>
      </c>
      <c r="I125">
        <v>0.06</v>
      </c>
      <c r="J125" s="2"/>
      <c r="K125" s="2"/>
    </row>
    <row r="126" spans="1:11" x14ac:dyDescent="0.25">
      <c r="A126" s="1">
        <v>44784.861863425926</v>
      </c>
      <c r="B126" s="1">
        <v>44784.861828703702</v>
      </c>
      <c r="C126">
        <v>3.6</v>
      </c>
      <c r="D126">
        <v>3</v>
      </c>
      <c r="E126">
        <v>62</v>
      </c>
      <c r="F126">
        <v>0</v>
      </c>
      <c r="G126" t="s">
        <v>33</v>
      </c>
      <c r="H126" t="s">
        <v>36</v>
      </c>
      <c r="I126">
        <v>-0.17</v>
      </c>
      <c r="J126" s="2"/>
      <c r="K126" s="2"/>
    </row>
    <row r="127" spans="1:11" x14ac:dyDescent="0.25">
      <c r="A127" s="1">
        <v>44784.868807870371</v>
      </c>
      <c r="B127" s="1">
        <v>44784.868773148148</v>
      </c>
      <c r="C127">
        <v>3.4</v>
      </c>
      <c r="D127">
        <v>2.9</v>
      </c>
      <c r="E127">
        <v>63</v>
      </c>
      <c r="F127">
        <v>0</v>
      </c>
      <c r="G127" t="s">
        <v>33</v>
      </c>
      <c r="H127" t="s">
        <v>36</v>
      </c>
      <c r="I127">
        <v>-0.33</v>
      </c>
      <c r="J127" s="2"/>
      <c r="K127" s="2"/>
    </row>
    <row r="128" spans="1:11" x14ac:dyDescent="0.25">
      <c r="A128" s="1">
        <v>44784.875740740739</v>
      </c>
      <c r="B128" s="1">
        <v>44784.875717592593</v>
      </c>
      <c r="C128">
        <v>3.2</v>
      </c>
      <c r="D128">
        <v>2.7</v>
      </c>
      <c r="E128">
        <v>70</v>
      </c>
      <c r="F128">
        <v>0</v>
      </c>
      <c r="G128" t="s">
        <v>33</v>
      </c>
      <c r="H128" t="s">
        <v>36</v>
      </c>
      <c r="I128">
        <v>-0.94</v>
      </c>
      <c r="J128">
        <f>IF(COUNT(I123:I128)&gt;3.5,ROUND(AVERAGE(I123:I128),2),"")</f>
        <v>-0.16</v>
      </c>
      <c r="K128">
        <f>IF(COUNT(-0.51, -1.69, -1.73, -1.49, -1.48, -1.53, -1.38, -0.38, -0.36, -0.61, -0.02, 0.37, 0.43, 0.09, 0.2, 0.34, 0.61, 0.83, 0.74, 0.71, 0.19, -0.16, 0.21, -0.08)&gt;17.5,ROUND(AVERAGE(-0.51, -1.69, -1.73, -1.49, -1.48, -1.53, -1.38, -0.38, -0.36, -0.61, -0.02, 0.37, 0.43, 0.09, 0.2, 0.34, 0.61, 0.83, 0.74, 0.71, 0.19, -0.16, 0.21, -0.08),2),"NO AVG")</f>
        <v>-0.28000000000000003</v>
      </c>
    </row>
    <row r="129" spans="1:11" x14ac:dyDescent="0.25">
      <c r="A129" s="1">
        <v>44784.882685185185</v>
      </c>
      <c r="B129" s="1">
        <v>44784.882662037038</v>
      </c>
      <c r="C129">
        <v>3.1</v>
      </c>
      <c r="D129">
        <v>2.7</v>
      </c>
      <c r="E129">
        <v>77</v>
      </c>
      <c r="F129">
        <v>0</v>
      </c>
      <c r="G129" t="s">
        <v>33</v>
      </c>
      <c r="H129" t="s">
        <v>36</v>
      </c>
      <c r="I129">
        <v>-1.46</v>
      </c>
      <c r="J129" s="2"/>
      <c r="K129" s="2"/>
    </row>
    <row r="130" spans="1:11" x14ac:dyDescent="0.25">
      <c r="A130" s="1">
        <v>44784.88962962963</v>
      </c>
      <c r="B130" s="1">
        <v>44784.889606481483</v>
      </c>
      <c r="C130">
        <v>3</v>
      </c>
      <c r="D130">
        <v>2.7</v>
      </c>
      <c r="E130">
        <v>81</v>
      </c>
      <c r="F130">
        <v>0</v>
      </c>
      <c r="G130" t="s">
        <v>33</v>
      </c>
      <c r="H130" t="s">
        <v>36</v>
      </c>
      <c r="I130">
        <v>-1.77</v>
      </c>
      <c r="J130" s="2"/>
      <c r="K130" s="2"/>
    </row>
    <row r="131" spans="1:11" x14ac:dyDescent="0.25">
      <c r="A131" s="1">
        <v>44784.896585648145</v>
      </c>
      <c r="B131" s="1">
        <v>44784.896550925929</v>
      </c>
      <c r="C131">
        <v>3.2</v>
      </c>
      <c r="D131">
        <v>3</v>
      </c>
      <c r="E131">
        <v>83</v>
      </c>
      <c r="F131">
        <v>0</v>
      </c>
      <c r="G131" t="s">
        <v>33</v>
      </c>
      <c r="H131" t="s">
        <v>36</v>
      </c>
      <c r="I131">
        <v>-1.76</v>
      </c>
      <c r="J131" s="2"/>
      <c r="K131" s="2"/>
    </row>
    <row r="132" spans="1:11" x14ac:dyDescent="0.25">
      <c r="A132" s="1">
        <v>44784.90351851852</v>
      </c>
      <c r="B132" s="1">
        <v>44784.903495370374</v>
      </c>
      <c r="C132">
        <v>3.6</v>
      </c>
      <c r="D132">
        <v>3.2</v>
      </c>
      <c r="E132">
        <v>85</v>
      </c>
      <c r="F132">
        <v>0</v>
      </c>
      <c r="G132" t="s">
        <v>33</v>
      </c>
      <c r="H132" t="s">
        <v>36</v>
      </c>
      <c r="I132">
        <v>-1.72</v>
      </c>
      <c r="J132" s="2"/>
      <c r="K132" s="2"/>
    </row>
    <row r="133" spans="1:11" x14ac:dyDescent="0.25">
      <c r="A133" s="1">
        <v>44784.910474537035</v>
      </c>
      <c r="B133" s="1">
        <v>44784.910439814812</v>
      </c>
      <c r="C133">
        <v>3.8</v>
      </c>
      <c r="D133">
        <v>3.4</v>
      </c>
      <c r="E133">
        <v>85</v>
      </c>
      <c r="F133">
        <v>0</v>
      </c>
      <c r="G133" t="s">
        <v>33</v>
      </c>
      <c r="H133" t="s">
        <v>36</v>
      </c>
      <c r="I133">
        <v>-1.59</v>
      </c>
      <c r="J133" s="2"/>
      <c r="K133" s="2"/>
    </row>
    <row r="134" spans="1:11" x14ac:dyDescent="0.25">
      <c r="A134" s="1">
        <v>44784.91741898148</v>
      </c>
      <c r="B134" s="1">
        <v>44784.917384259257</v>
      </c>
      <c r="C134">
        <v>4.0999999999999996</v>
      </c>
      <c r="D134">
        <v>3.6</v>
      </c>
      <c r="E134">
        <v>87</v>
      </c>
      <c r="F134">
        <v>0</v>
      </c>
      <c r="G134" t="s">
        <v>33</v>
      </c>
      <c r="H134" t="s">
        <v>36</v>
      </c>
      <c r="I134">
        <v>-1.58</v>
      </c>
      <c r="J134">
        <f>IF(COUNT(I129:I134)&gt;3.5,ROUND(AVERAGE(I129:I134),2),"")</f>
        <v>-1.65</v>
      </c>
      <c r="K134">
        <f>IF(COUNT(-0.51, -1.69, -1.73, -1.49, -1.48, -1.53, -1.38, -0.38, -0.36, -0.61, -0.02, 0.37, 0.43, 0.09, 0.2, 0.34, 0.61, 0.83, 0.74, 0.71, 0.19, -0.16, -1.65, -0.08)&gt;17.5,ROUND(AVERAGE(-0.51, -1.69, -1.73, -1.49, -1.48, -1.53, -1.38, -0.38, -0.36, -0.61, -0.02, 0.37, 0.43, 0.09, 0.2, 0.34, 0.61, 0.83, 0.74, 0.71, 0.19, -0.16, -1.65, -0.08),2),"NO AVG")</f>
        <v>-0.36</v>
      </c>
    </row>
    <row r="135" spans="1:11" x14ac:dyDescent="0.25">
      <c r="A135" s="1">
        <v>44784.924363425926</v>
      </c>
      <c r="B135" s="1">
        <v>44784.924328703702</v>
      </c>
      <c r="C135">
        <v>4.2</v>
      </c>
      <c r="D135">
        <v>3.7</v>
      </c>
      <c r="E135">
        <v>89</v>
      </c>
      <c r="F135">
        <v>0</v>
      </c>
      <c r="G135" t="s">
        <v>33</v>
      </c>
      <c r="H135" t="s">
        <v>36</v>
      </c>
      <c r="I135">
        <v>-1.66</v>
      </c>
      <c r="J135" s="2"/>
      <c r="K135" s="2"/>
    </row>
    <row r="136" spans="1:11" x14ac:dyDescent="0.25">
      <c r="A136" s="1">
        <v>44784.931307870371</v>
      </c>
      <c r="B136" s="1">
        <v>44784.931273148148</v>
      </c>
      <c r="C136">
        <v>4.4000000000000004</v>
      </c>
      <c r="D136">
        <v>3.8</v>
      </c>
      <c r="E136">
        <v>89</v>
      </c>
      <c r="F136">
        <v>0</v>
      </c>
      <c r="G136" t="s">
        <v>33</v>
      </c>
      <c r="H136" t="s">
        <v>36</v>
      </c>
      <c r="I136">
        <v>-1.57</v>
      </c>
      <c r="J136" s="2"/>
      <c r="K136" s="2"/>
    </row>
    <row r="137" spans="1:11" x14ac:dyDescent="0.25">
      <c r="A137" s="1">
        <v>44784.938252314816</v>
      </c>
      <c r="B137" s="1">
        <v>44784.938217592593</v>
      </c>
      <c r="C137">
        <v>4.4000000000000004</v>
      </c>
      <c r="D137">
        <v>3.8</v>
      </c>
      <c r="E137">
        <v>90</v>
      </c>
      <c r="F137">
        <v>0</v>
      </c>
      <c r="G137" t="s">
        <v>33</v>
      </c>
      <c r="H137" t="s">
        <v>36</v>
      </c>
      <c r="I137">
        <v>-1.64</v>
      </c>
      <c r="J137" s="2"/>
      <c r="K137" s="2"/>
    </row>
    <row r="138" spans="1:11" x14ac:dyDescent="0.25">
      <c r="A138" s="1">
        <v>44784.945196759261</v>
      </c>
      <c r="B138" s="1">
        <v>44784.945162037038</v>
      </c>
      <c r="C138">
        <v>4.3</v>
      </c>
      <c r="D138">
        <v>3.9</v>
      </c>
      <c r="E138">
        <v>90</v>
      </c>
      <c r="F138">
        <v>0</v>
      </c>
      <c r="G138" t="s">
        <v>33</v>
      </c>
      <c r="H138" t="s">
        <v>36</v>
      </c>
      <c r="I138">
        <v>-1.64</v>
      </c>
      <c r="J138" s="2"/>
      <c r="K138" s="2"/>
    </row>
    <row r="139" spans="1:11" x14ac:dyDescent="0.25">
      <c r="A139" s="1">
        <v>44784.952141203707</v>
      </c>
      <c r="B139" s="1">
        <v>44784.952106481483</v>
      </c>
      <c r="C139">
        <v>4.4000000000000004</v>
      </c>
      <c r="D139">
        <v>4.0999999999999996</v>
      </c>
      <c r="E139">
        <v>90</v>
      </c>
      <c r="F139">
        <v>0</v>
      </c>
      <c r="G139" t="s">
        <v>33</v>
      </c>
      <c r="H139" t="s">
        <v>36</v>
      </c>
      <c r="I139">
        <v>-1.55</v>
      </c>
      <c r="J139" s="2"/>
      <c r="K139" s="2"/>
    </row>
    <row r="140" spans="1:11" x14ac:dyDescent="0.25">
      <c r="A140" s="1">
        <v>44784.959085648145</v>
      </c>
      <c r="B140" s="1">
        <v>44784.959050925929</v>
      </c>
      <c r="C140">
        <v>4.3</v>
      </c>
      <c r="D140">
        <v>4.0999999999999996</v>
      </c>
      <c r="E140">
        <v>90</v>
      </c>
      <c r="F140">
        <v>0</v>
      </c>
      <c r="G140" t="s">
        <v>33</v>
      </c>
      <c r="H140" t="s">
        <v>36</v>
      </c>
      <c r="I140">
        <v>-1.58</v>
      </c>
      <c r="J140">
        <f>IF(COUNT(I135:I140)&gt;3.5,ROUND(AVERAGE(I135:I140),2),"")</f>
        <v>-1.61</v>
      </c>
      <c r="K140">
        <f>IF(COUNT(-0.51, -1.69, -1.73, -1.49, -1.48, -1.53, -1.38, -0.38, -0.36, -0.61, -0.02, 0.37, 0.43, 0.09, 0.2, 0.34, 0.61, 0.83, 0.74, 0.71, 0.19, -0.16, -1.65, -1.61)&gt;17.5,ROUND(AVERAGE(-0.51, -1.69, -1.73, -1.49, -1.48, -1.53, -1.38, -0.38, -0.36, -0.61, -0.02, 0.37, 0.43, 0.09, 0.2, 0.34, 0.61, 0.83, 0.74, 0.71, 0.19, -0.16, -1.65, -1.61),2),"NO AVG")</f>
        <v>-0.42</v>
      </c>
    </row>
    <row r="141" spans="1:11" x14ac:dyDescent="0.25">
      <c r="A141" s="1">
        <v>44784.96603009259</v>
      </c>
      <c r="B141" s="1">
        <v>44784.965995370374</v>
      </c>
      <c r="C141">
        <v>4.3</v>
      </c>
      <c r="D141">
        <v>4.0999999999999996</v>
      </c>
      <c r="E141">
        <v>90</v>
      </c>
      <c r="F141">
        <v>0</v>
      </c>
      <c r="G141" t="s">
        <v>33</v>
      </c>
      <c r="H141" t="s">
        <v>36</v>
      </c>
      <c r="I141">
        <v>-1.58</v>
      </c>
      <c r="J141" s="2"/>
      <c r="K141" s="2"/>
    </row>
    <row r="142" spans="1:11" x14ac:dyDescent="0.25">
      <c r="A142" s="1">
        <v>44784.972974537035</v>
      </c>
      <c r="B142" s="1">
        <v>44784.972939814812</v>
      </c>
      <c r="C142">
        <v>4.4000000000000004</v>
      </c>
      <c r="D142">
        <v>4.0999999999999996</v>
      </c>
      <c r="E142">
        <v>90</v>
      </c>
      <c r="F142">
        <v>0</v>
      </c>
      <c r="G142" t="s">
        <v>33</v>
      </c>
      <c r="H142" t="s">
        <v>36</v>
      </c>
      <c r="I142">
        <v>-1.55</v>
      </c>
      <c r="J142" s="2"/>
      <c r="K142" s="2"/>
    </row>
    <row r="143" spans="1:11" x14ac:dyDescent="0.25">
      <c r="A143" s="1">
        <v>44784.97991898148</v>
      </c>
      <c r="B143" s="1">
        <v>44784.979884259257</v>
      </c>
      <c r="C143">
        <v>4.5</v>
      </c>
      <c r="D143">
        <v>4.0999999999999996</v>
      </c>
      <c r="E143">
        <v>91</v>
      </c>
      <c r="F143">
        <v>0</v>
      </c>
      <c r="G143" t="s">
        <v>33</v>
      </c>
      <c r="H143" t="s">
        <v>36</v>
      </c>
      <c r="I143">
        <v>-1.59</v>
      </c>
      <c r="J143" s="2"/>
      <c r="K143" s="2"/>
    </row>
    <row r="144" spans="1:11" x14ac:dyDescent="0.25">
      <c r="A144" s="1">
        <v>44784.986863425926</v>
      </c>
      <c r="B144" s="1">
        <v>44784.986828703702</v>
      </c>
      <c r="C144">
        <v>4.5999999999999996</v>
      </c>
      <c r="D144">
        <v>4.2</v>
      </c>
      <c r="E144">
        <v>91</v>
      </c>
      <c r="F144">
        <v>0</v>
      </c>
      <c r="G144" t="s">
        <v>33</v>
      </c>
      <c r="H144" t="s">
        <v>36</v>
      </c>
      <c r="I144">
        <v>-1.53</v>
      </c>
      <c r="J144" s="2"/>
      <c r="K144" s="2"/>
    </row>
    <row r="145" spans="1:12" x14ac:dyDescent="0.25">
      <c r="A145" s="1">
        <v>44784.993807870371</v>
      </c>
      <c r="B145" s="1">
        <v>44784.993773148148</v>
      </c>
      <c r="C145">
        <v>4.8</v>
      </c>
      <c r="D145">
        <v>4.3</v>
      </c>
      <c r="E145">
        <v>92</v>
      </c>
      <c r="F145">
        <v>0</v>
      </c>
      <c r="G145" t="s">
        <v>33</v>
      </c>
      <c r="H145" t="s">
        <v>36</v>
      </c>
      <c r="I145">
        <v>-1.5</v>
      </c>
      <c r="J145" s="2"/>
      <c r="K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96423-FEC6-4525-AEFE-422C2342B3AC}">
  <sheetPr codeName="Sheet5"/>
  <dimension ref="A1:M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3" max="13" width="27.42578125" bestFit="1" customWidth="1"/>
  </cols>
  <sheetData>
    <row r="1" spans="1:13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M1" t="s">
        <v>3</v>
      </c>
    </row>
    <row r="2" spans="1:13" x14ac:dyDescent="0.25">
      <c r="A2" s="1">
        <v>44784.000740740739</v>
      </c>
      <c r="B2" s="1">
        <v>44784.000717592593</v>
      </c>
      <c r="C2">
        <v>3.4</v>
      </c>
      <c r="D2">
        <v>3.9</v>
      </c>
      <c r="E2">
        <v>63</v>
      </c>
      <c r="F2">
        <v>0</v>
      </c>
      <c r="G2" t="s">
        <v>33</v>
      </c>
      <c r="H2" t="s">
        <v>36</v>
      </c>
      <c r="I2">
        <v>-0.02</v>
      </c>
      <c r="J2">
        <v>0.36</v>
      </c>
      <c r="K2">
        <f>IF(COUNT(0.36, -0.87, -0.95, -0.94, -0.82, -0.8, -0.82, -0.77, -0.31, 0.44, 0.83, 1.44, 1.77, 1.41, 1.41, 1.57, 1.99, 2.14, 1.63, 1.17, 0.89, 0.76, 0.79, 0.67)&gt;17.5,ROUND(AVERAGE(0.36, -0.87, -0.95, -0.94, -0.82, -0.8, -0.82, -0.77, -0.31, 0.44, 0.83, 1.44, 1.77, 1.41, 1.41, 1.57, 1.99, 2.14, 1.63, 1.17, 0.89, 0.76, 0.79, 0.67),2),"NO AVG")</f>
        <v>0.54</v>
      </c>
      <c r="M2" t="s">
        <v>30</v>
      </c>
    </row>
    <row r="3" spans="1:13" x14ac:dyDescent="0.25">
      <c r="A3" s="1">
        <v>44784.007696759261</v>
      </c>
      <c r="B3" s="1">
        <v>44784.007662037038</v>
      </c>
      <c r="C3">
        <v>3.1</v>
      </c>
      <c r="D3">
        <v>3.8</v>
      </c>
      <c r="E3">
        <v>63</v>
      </c>
      <c r="F3">
        <v>0</v>
      </c>
      <c r="G3" t="s">
        <v>33</v>
      </c>
      <c r="H3" t="s">
        <v>36</v>
      </c>
      <c r="I3">
        <v>-0.15</v>
      </c>
      <c r="J3" s="2"/>
      <c r="K3" s="2"/>
    </row>
    <row r="4" spans="1:13" x14ac:dyDescent="0.25">
      <c r="A4" s="1">
        <v>44784.01462962963</v>
      </c>
      <c r="B4" s="1">
        <v>44784.014606481483</v>
      </c>
      <c r="C4">
        <v>3</v>
      </c>
      <c r="D4">
        <v>3.6</v>
      </c>
      <c r="E4">
        <v>63</v>
      </c>
      <c r="F4">
        <v>0</v>
      </c>
      <c r="G4" t="s">
        <v>33</v>
      </c>
      <c r="H4" t="s">
        <v>36</v>
      </c>
      <c r="I4">
        <v>-0.24</v>
      </c>
      <c r="J4" s="2"/>
      <c r="K4" s="2"/>
    </row>
    <row r="5" spans="1:13" x14ac:dyDescent="0.25">
      <c r="A5" s="1">
        <v>44784.021574074075</v>
      </c>
      <c r="B5" s="1">
        <v>44784.021550925929</v>
      </c>
      <c r="C5">
        <v>2.8</v>
      </c>
      <c r="D5">
        <v>3.4</v>
      </c>
      <c r="E5">
        <v>63</v>
      </c>
      <c r="F5">
        <v>0</v>
      </c>
      <c r="G5" t="s">
        <v>33</v>
      </c>
      <c r="H5" t="s">
        <v>36</v>
      </c>
      <c r="I5">
        <v>-0.36</v>
      </c>
      <c r="J5" s="2"/>
      <c r="K5" s="2"/>
    </row>
    <row r="6" spans="1:13" x14ac:dyDescent="0.25">
      <c r="A6" s="1">
        <v>44784.02851851852</v>
      </c>
      <c r="B6" s="1">
        <v>44784.028495370374</v>
      </c>
      <c r="C6">
        <v>2.8</v>
      </c>
      <c r="D6">
        <v>3.1</v>
      </c>
      <c r="E6">
        <v>63</v>
      </c>
      <c r="F6">
        <v>0</v>
      </c>
      <c r="G6" t="s">
        <v>33</v>
      </c>
      <c r="H6" t="s">
        <v>36</v>
      </c>
      <c r="I6">
        <v>-0.45</v>
      </c>
      <c r="J6" s="2"/>
      <c r="K6" s="2"/>
    </row>
    <row r="7" spans="1:13" x14ac:dyDescent="0.25">
      <c r="A7" s="1">
        <v>44784.035462962966</v>
      </c>
      <c r="B7" s="1">
        <v>44784.035439814812</v>
      </c>
      <c r="C7">
        <v>2.6</v>
      </c>
      <c r="D7">
        <v>3</v>
      </c>
      <c r="E7">
        <v>63</v>
      </c>
      <c r="F7">
        <v>0</v>
      </c>
      <c r="G7" t="s">
        <v>33</v>
      </c>
      <c r="H7" t="s">
        <v>36</v>
      </c>
      <c r="I7">
        <v>-0.54</v>
      </c>
      <c r="J7" s="2"/>
      <c r="K7" s="2"/>
    </row>
    <row r="8" spans="1:13" x14ac:dyDescent="0.25">
      <c r="A8" s="1">
        <v>44784.042407407411</v>
      </c>
      <c r="B8" s="1">
        <v>44784.042384259257</v>
      </c>
      <c r="C8">
        <v>2.6</v>
      </c>
      <c r="D8">
        <v>2.9</v>
      </c>
      <c r="E8">
        <v>63</v>
      </c>
      <c r="F8">
        <v>0</v>
      </c>
      <c r="G8" t="s">
        <v>33</v>
      </c>
      <c r="H8" t="s">
        <v>36</v>
      </c>
      <c r="I8">
        <v>-0.56999999999999995</v>
      </c>
      <c r="J8">
        <f>IF(COUNT(I3:I8)&gt;3.5,ROUND(AVERAGE(I3:I8),2),"")</f>
        <v>-0.39</v>
      </c>
      <c r="K8">
        <f>IF(COUNT(0.36, -0.39, -0.95, -0.94, -0.82, -0.8, -0.82, -0.77, -0.31, 0.44, 0.83, 1.44, 1.77, 1.41, 1.41, 1.57, 1.99, 2.14, 1.63, 1.17, 0.89, 0.76, 0.79, 0.67)&gt;17.5,ROUND(AVERAGE(0.36, -0.39, -0.95, -0.94, -0.82, -0.8, -0.82, -0.77, -0.31, 0.44, 0.83, 1.44, 1.77, 1.41, 1.41, 1.57, 1.99, 2.14, 1.63, 1.17, 0.89, 0.76, 0.79, 0.67),2),"NO AVG")</f>
        <v>0.56000000000000005</v>
      </c>
    </row>
    <row r="9" spans="1:13" x14ac:dyDescent="0.25">
      <c r="A9" s="1">
        <v>44784.049351851849</v>
      </c>
      <c r="B9" s="1">
        <v>44784.049328703702</v>
      </c>
      <c r="C9">
        <v>2.4</v>
      </c>
      <c r="D9">
        <v>2.8</v>
      </c>
      <c r="E9">
        <v>63</v>
      </c>
      <c r="F9">
        <v>0</v>
      </c>
      <c r="G9" t="s">
        <v>33</v>
      </c>
      <c r="H9" t="s">
        <v>36</v>
      </c>
      <c r="I9">
        <v>-0.66</v>
      </c>
      <c r="J9" s="2"/>
      <c r="K9" s="2"/>
    </row>
    <row r="10" spans="1:13" x14ac:dyDescent="0.25">
      <c r="A10" s="1">
        <v>44784.056296296294</v>
      </c>
      <c r="B10" s="1">
        <v>44784.056273148148</v>
      </c>
      <c r="C10">
        <v>2.4</v>
      </c>
      <c r="D10">
        <v>2.7</v>
      </c>
      <c r="E10">
        <v>64</v>
      </c>
      <c r="F10">
        <v>0</v>
      </c>
      <c r="G10" t="s">
        <v>33</v>
      </c>
      <c r="H10" t="s">
        <v>36</v>
      </c>
      <c r="I10">
        <v>-0.76</v>
      </c>
      <c r="J10" s="2"/>
      <c r="K10" s="2"/>
    </row>
    <row r="11" spans="1:13" x14ac:dyDescent="0.25">
      <c r="A11" s="1">
        <v>44784.063240740739</v>
      </c>
      <c r="B11" s="1">
        <v>44784.063217592593</v>
      </c>
      <c r="C11">
        <v>2.4</v>
      </c>
      <c r="D11">
        <v>2.8</v>
      </c>
      <c r="E11">
        <v>63</v>
      </c>
      <c r="F11">
        <v>0</v>
      </c>
      <c r="G11" t="s">
        <v>33</v>
      </c>
      <c r="H11" t="s">
        <v>36</v>
      </c>
      <c r="I11">
        <v>-0.66</v>
      </c>
      <c r="J11" s="2"/>
      <c r="K11" s="2"/>
    </row>
    <row r="12" spans="1:13" x14ac:dyDescent="0.25">
      <c r="A12" s="1">
        <v>44784.070185185185</v>
      </c>
      <c r="B12" s="1">
        <v>44784.070162037038</v>
      </c>
      <c r="C12">
        <v>2.4</v>
      </c>
      <c r="D12">
        <v>2.9</v>
      </c>
      <c r="E12">
        <v>64</v>
      </c>
      <c r="F12">
        <v>0</v>
      </c>
      <c r="G12" t="s">
        <v>33</v>
      </c>
      <c r="H12" t="s">
        <v>36</v>
      </c>
      <c r="I12">
        <v>-0.7</v>
      </c>
      <c r="J12" s="2"/>
      <c r="K12" s="2"/>
    </row>
    <row r="13" spans="1:13" x14ac:dyDescent="0.25">
      <c r="A13" s="1">
        <v>44784.07712962963</v>
      </c>
      <c r="B13" s="1">
        <v>44784.077106481483</v>
      </c>
      <c r="C13">
        <v>2.4</v>
      </c>
      <c r="D13">
        <v>3</v>
      </c>
      <c r="E13">
        <v>64</v>
      </c>
      <c r="F13">
        <v>0</v>
      </c>
      <c r="G13" t="s">
        <v>33</v>
      </c>
      <c r="H13" t="s">
        <v>36</v>
      </c>
      <c r="I13">
        <v>-0.67</v>
      </c>
      <c r="J13" s="2"/>
      <c r="K13" s="2"/>
    </row>
    <row r="14" spans="1:13" x14ac:dyDescent="0.25">
      <c r="A14" s="1">
        <v>44784.084074074075</v>
      </c>
      <c r="B14" s="1">
        <v>44784.084050925929</v>
      </c>
      <c r="C14">
        <v>2.6</v>
      </c>
      <c r="D14">
        <v>3</v>
      </c>
      <c r="E14">
        <v>64</v>
      </c>
      <c r="F14">
        <v>0</v>
      </c>
      <c r="G14" t="s">
        <v>33</v>
      </c>
      <c r="H14" t="s">
        <v>36</v>
      </c>
      <c r="I14">
        <v>-0.61</v>
      </c>
      <c r="J14">
        <f>IF(COUNT(I9:I14)&gt;3.5,ROUND(AVERAGE(I9:I14),2),"")</f>
        <v>-0.68</v>
      </c>
      <c r="K14">
        <f>IF(COUNT(0.36, -0.39, -0.68, -0.94, -0.82, -0.8, -0.82, -0.77, -0.31, 0.44, 0.83, 1.44, 1.77, 1.41, 1.41, 1.57, 1.99, 2.14, 1.63, 1.17, 0.89, 0.76, 0.79, 0.67)&gt;17.5,ROUND(AVERAGE(0.36, -0.39, -0.68, -0.94, -0.82, -0.8, -0.82, -0.77, -0.31, 0.44, 0.83, 1.44, 1.77, 1.41, 1.41, 1.57, 1.99, 2.14, 1.63, 1.17, 0.89, 0.76, 0.79, 0.67),2),"NO AVG")</f>
        <v>0.56999999999999995</v>
      </c>
    </row>
    <row r="15" spans="1:13" x14ac:dyDescent="0.25">
      <c r="A15" s="1">
        <v>44784.09101851852</v>
      </c>
      <c r="B15" s="1">
        <v>44784.090995370374</v>
      </c>
      <c r="C15">
        <v>2.7</v>
      </c>
      <c r="D15">
        <v>3.2</v>
      </c>
      <c r="E15">
        <v>65</v>
      </c>
      <c r="F15">
        <v>0</v>
      </c>
      <c r="G15" t="s">
        <v>33</v>
      </c>
      <c r="H15" t="s">
        <v>36</v>
      </c>
      <c r="I15">
        <v>-0.59</v>
      </c>
      <c r="J15" s="2"/>
      <c r="K15" s="2"/>
    </row>
    <row r="16" spans="1:13" x14ac:dyDescent="0.25">
      <c r="A16" s="1">
        <v>44784.097962962966</v>
      </c>
      <c r="B16" s="1">
        <v>44784.097939814812</v>
      </c>
      <c r="C16">
        <v>2.7</v>
      </c>
      <c r="D16">
        <v>3.3</v>
      </c>
      <c r="E16">
        <v>65</v>
      </c>
      <c r="F16">
        <v>0</v>
      </c>
      <c r="G16" t="s">
        <v>33</v>
      </c>
      <c r="H16" t="s">
        <v>36</v>
      </c>
      <c r="I16">
        <v>-0.56000000000000005</v>
      </c>
      <c r="J16" s="2"/>
      <c r="K16" s="2"/>
    </row>
    <row r="17" spans="1:11" x14ac:dyDescent="0.25">
      <c r="A17" s="1">
        <v>44784.104907407411</v>
      </c>
      <c r="B17" s="1">
        <v>44784.104884259257</v>
      </c>
      <c r="C17">
        <v>2.7</v>
      </c>
      <c r="D17">
        <v>3.4</v>
      </c>
      <c r="E17">
        <v>66</v>
      </c>
      <c r="F17">
        <v>0</v>
      </c>
      <c r="G17" t="s">
        <v>33</v>
      </c>
      <c r="H17" t="s">
        <v>36</v>
      </c>
      <c r="I17">
        <v>-0.6</v>
      </c>
      <c r="J17" s="2"/>
      <c r="K17" s="2"/>
    </row>
    <row r="18" spans="1:11" x14ac:dyDescent="0.25">
      <c r="A18" s="1">
        <v>44784.111851851849</v>
      </c>
      <c r="B18" s="1">
        <v>44784.111828703702</v>
      </c>
      <c r="C18">
        <v>2.8</v>
      </c>
      <c r="D18">
        <v>3.3</v>
      </c>
      <c r="E18">
        <v>66</v>
      </c>
      <c r="F18">
        <v>0</v>
      </c>
      <c r="G18" t="s">
        <v>33</v>
      </c>
      <c r="H18" t="s">
        <v>36</v>
      </c>
      <c r="I18">
        <v>-0.6</v>
      </c>
      <c r="J18" s="2"/>
      <c r="K18" s="2"/>
    </row>
    <row r="19" spans="1:11" x14ac:dyDescent="0.25">
      <c r="A19" s="1">
        <v>44784.118796296294</v>
      </c>
      <c r="B19" s="1">
        <v>44784.118773148148</v>
      </c>
      <c r="C19">
        <v>2.8</v>
      </c>
      <c r="D19">
        <v>3.2</v>
      </c>
      <c r="E19">
        <v>66</v>
      </c>
      <c r="F19">
        <v>0</v>
      </c>
      <c r="G19" t="s">
        <v>33</v>
      </c>
      <c r="H19" t="s">
        <v>36</v>
      </c>
      <c r="I19">
        <v>-0.63</v>
      </c>
      <c r="J19" s="2"/>
      <c r="K19" s="2"/>
    </row>
    <row r="20" spans="1:11" x14ac:dyDescent="0.25">
      <c r="A20" s="1">
        <v>44784.125740740739</v>
      </c>
      <c r="B20" s="1">
        <v>44784.125717592593</v>
      </c>
      <c r="C20">
        <v>2.8</v>
      </c>
      <c r="D20">
        <v>3.3</v>
      </c>
      <c r="E20">
        <v>66</v>
      </c>
      <c r="F20">
        <v>0</v>
      </c>
      <c r="G20" t="s">
        <v>33</v>
      </c>
      <c r="H20" t="s">
        <v>36</v>
      </c>
      <c r="I20">
        <v>-0.6</v>
      </c>
      <c r="J20">
        <f>IF(COUNT(I15:I20)&gt;3.5,ROUND(AVERAGE(I15:I20),2),"")</f>
        <v>-0.6</v>
      </c>
      <c r="K20">
        <f>IF(COUNT(0.36, -0.39, -0.68, -0.6, -0.82, -0.8, -0.82, -0.77, -0.31, 0.44, 0.83, 1.44, 1.77, 1.41, 1.41, 1.57, 1.99, 2.14, 1.63, 1.17, 0.89, 0.76, 0.79, 0.67)&gt;17.5,ROUND(AVERAGE(0.36, -0.39, -0.68, -0.6, -0.82, -0.8, -0.82, -0.77, -0.31, 0.44, 0.83, 1.44, 1.77, 1.41, 1.41, 1.57, 1.99, 2.14, 1.63, 1.17, 0.89, 0.76, 0.79, 0.67),2),"NO AVG")</f>
        <v>0.59</v>
      </c>
    </row>
    <row r="21" spans="1:11" x14ac:dyDescent="0.25">
      <c r="A21" s="1">
        <v>44784.132685185185</v>
      </c>
      <c r="B21" s="1">
        <v>44784.132662037038</v>
      </c>
      <c r="C21">
        <v>2.8</v>
      </c>
      <c r="D21">
        <v>3.1</v>
      </c>
      <c r="E21">
        <v>66</v>
      </c>
      <c r="F21">
        <v>0</v>
      </c>
      <c r="G21" t="s">
        <v>33</v>
      </c>
      <c r="H21" t="s">
        <v>36</v>
      </c>
      <c r="I21">
        <v>-0.66</v>
      </c>
      <c r="J21" s="2"/>
      <c r="K21" s="2"/>
    </row>
    <row r="22" spans="1:11" x14ac:dyDescent="0.25">
      <c r="A22" s="1">
        <v>44784.13962962963</v>
      </c>
      <c r="B22" s="1">
        <v>44784.139606481483</v>
      </c>
      <c r="C22">
        <v>2.7</v>
      </c>
      <c r="D22">
        <v>3.1</v>
      </c>
      <c r="E22">
        <v>66</v>
      </c>
      <c r="F22">
        <v>0</v>
      </c>
      <c r="G22" t="s">
        <v>33</v>
      </c>
      <c r="H22" t="s">
        <v>36</v>
      </c>
      <c r="I22">
        <v>-0.69</v>
      </c>
      <c r="J22" s="2"/>
      <c r="K22" s="2"/>
    </row>
    <row r="23" spans="1:11" x14ac:dyDescent="0.25">
      <c r="A23" s="1">
        <v>44784.146574074075</v>
      </c>
      <c r="B23" s="1">
        <v>44784.146550925929</v>
      </c>
      <c r="C23">
        <v>2.7</v>
      </c>
      <c r="D23">
        <v>3.2</v>
      </c>
      <c r="E23">
        <v>66</v>
      </c>
      <c r="F23">
        <v>0</v>
      </c>
      <c r="G23" t="s">
        <v>33</v>
      </c>
      <c r="H23" t="s">
        <v>36</v>
      </c>
      <c r="I23">
        <v>-0.66</v>
      </c>
      <c r="J23" s="2"/>
      <c r="K23" s="2"/>
    </row>
    <row r="24" spans="1:11" x14ac:dyDescent="0.25">
      <c r="A24" s="1">
        <v>44784.15351851852</v>
      </c>
      <c r="B24" s="1">
        <v>44784.153495370374</v>
      </c>
      <c r="C24">
        <v>2.7</v>
      </c>
      <c r="D24">
        <v>3.1</v>
      </c>
      <c r="E24">
        <v>67</v>
      </c>
      <c r="F24">
        <v>0</v>
      </c>
      <c r="G24" t="s">
        <v>33</v>
      </c>
      <c r="H24" t="s">
        <v>36</v>
      </c>
      <c r="I24">
        <v>-0.76</v>
      </c>
      <c r="J24" s="2"/>
      <c r="K24" s="2"/>
    </row>
    <row r="25" spans="1:11" x14ac:dyDescent="0.25">
      <c r="A25" s="1">
        <v>44784.160462962966</v>
      </c>
      <c r="B25" s="1">
        <v>44784.160439814812</v>
      </c>
      <c r="C25">
        <v>2.6</v>
      </c>
      <c r="D25">
        <v>3.1</v>
      </c>
      <c r="E25">
        <v>66</v>
      </c>
      <c r="F25">
        <v>0</v>
      </c>
      <c r="G25" t="s">
        <v>33</v>
      </c>
      <c r="H25" t="s">
        <v>36</v>
      </c>
      <c r="I25">
        <v>-0.72</v>
      </c>
      <c r="J25" s="2"/>
      <c r="K25" s="2"/>
    </row>
    <row r="26" spans="1:11" x14ac:dyDescent="0.25">
      <c r="A26" s="1">
        <v>44784.167407407411</v>
      </c>
      <c r="B26" s="1">
        <v>44784.167384259257</v>
      </c>
      <c r="C26">
        <v>2.7</v>
      </c>
      <c r="D26">
        <v>3.3</v>
      </c>
      <c r="E26">
        <v>66</v>
      </c>
      <c r="F26">
        <v>0</v>
      </c>
      <c r="G26" t="s">
        <v>33</v>
      </c>
      <c r="H26" t="s">
        <v>36</v>
      </c>
      <c r="I26">
        <v>-0.63</v>
      </c>
      <c r="J26">
        <f>IF(COUNT(I21:I26)&gt;3.5,ROUND(AVERAGE(I21:I26),2),"")</f>
        <v>-0.69</v>
      </c>
      <c r="K26">
        <f>IF(COUNT(0.36, -0.39, -0.68, -0.6, -0.69, -0.8, -0.82, -0.77, -0.31, 0.44, 0.83, 1.44, 1.77, 1.41, 1.41, 1.57, 1.99, 2.14, 1.63, 1.17, 0.89, 0.76, 0.79, 0.67)&gt;17.5,ROUND(AVERAGE(0.36, -0.39, -0.68, -0.6, -0.69, -0.8, -0.82, -0.77, -0.31, 0.44, 0.83, 1.44, 1.77, 1.41, 1.41, 1.57, 1.99, 2.14, 1.63, 1.17, 0.89, 0.76, 0.79, 0.67),2),"NO AVG")</f>
        <v>0.59</v>
      </c>
    </row>
    <row r="27" spans="1:11" x14ac:dyDescent="0.25">
      <c r="A27" s="1">
        <v>44784.174363425926</v>
      </c>
      <c r="B27" s="1">
        <v>44784.174328703702</v>
      </c>
      <c r="C27">
        <v>2.8</v>
      </c>
      <c r="D27">
        <v>3.3</v>
      </c>
      <c r="E27">
        <v>66</v>
      </c>
      <c r="F27">
        <v>0</v>
      </c>
      <c r="G27" t="s">
        <v>33</v>
      </c>
      <c r="H27" t="s">
        <v>36</v>
      </c>
      <c r="I27">
        <v>-0.6</v>
      </c>
      <c r="J27" s="2"/>
      <c r="K27" s="2"/>
    </row>
    <row r="28" spans="1:11" x14ac:dyDescent="0.25">
      <c r="A28" s="1"/>
      <c r="B28" s="1">
        <v>44784.180555555555</v>
      </c>
      <c r="J28" s="2"/>
      <c r="K28" s="2"/>
    </row>
    <row r="29" spans="1:11" x14ac:dyDescent="0.25">
      <c r="A29" s="1">
        <v>44784.188240740739</v>
      </c>
      <c r="B29" s="1">
        <v>44784.188217592593</v>
      </c>
      <c r="C29">
        <v>3</v>
      </c>
      <c r="D29">
        <v>3.3</v>
      </c>
      <c r="E29">
        <v>68</v>
      </c>
      <c r="F29">
        <v>0</v>
      </c>
      <c r="G29" t="s">
        <v>33</v>
      </c>
      <c r="H29" t="s">
        <v>36</v>
      </c>
      <c r="I29">
        <v>-0.68</v>
      </c>
      <c r="J29" s="2"/>
      <c r="K29" s="2"/>
    </row>
    <row r="30" spans="1:11" x14ac:dyDescent="0.25">
      <c r="A30" s="1">
        <v>44784.195185185185</v>
      </c>
      <c r="B30" s="1">
        <v>44784.195162037038</v>
      </c>
      <c r="C30">
        <v>3</v>
      </c>
      <c r="D30">
        <v>3.3</v>
      </c>
      <c r="E30">
        <v>68</v>
      </c>
      <c r="F30">
        <v>0</v>
      </c>
      <c r="G30" t="s">
        <v>33</v>
      </c>
      <c r="H30" t="s">
        <v>36</v>
      </c>
      <c r="I30">
        <v>-0.68</v>
      </c>
      <c r="J30" s="2"/>
      <c r="K30" s="2"/>
    </row>
    <row r="31" spans="1:11" x14ac:dyDescent="0.25">
      <c r="A31" s="1">
        <v>44784.202152777776</v>
      </c>
      <c r="B31" s="1">
        <v>44784.20212962963</v>
      </c>
      <c r="C31">
        <v>2.9</v>
      </c>
      <c r="D31">
        <v>3.3</v>
      </c>
      <c r="E31">
        <v>68</v>
      </c>
      <c r="F31">
        <v>0</v>
      </c>
      <c r="G31" t="s">
        <v>33</v>
      </c>
      <c r="H31" t="s">
        <v>36</v>
      </c>
      <c r="I31">
        <v>-0.71</v>
      </c>
      <c r="J31" s="2"/>
      <c r="K31" s="2"/>
    </row>
    <row r="32" spans="1:11" x14ac:dyDescent="0.25">
      <c r="A32" s="1">
        <v>44784.209074074075</v>
      </c>
      <c r="B32" s="1">
        <v>44784.209050925929</v>
      </c>
      <c r="C32">
        <v>2.9</v>
      </c>
      <c r="D32">
        <v>3.4</v>
      </c>
      <c r="E32">
        <v>68</v>
      </c>
      <c r="F32">
        <v>0</v>
      </c>
      <c r="G32" t="s">
        <v>33</v>
      </c>
      <c r="H32" t="s">
        <v>36</v>
      </c>
      <c r="I32">
        <v>-0.68</v>
      </c>
      <c r="J32">
        <f>IF(COUNT(I27:I32)&gt;3.5,ROUND(AVERAGE(I27:I32),2),"")</f>
        <v>-0.67</v>
      </c>
      <c r="K32">
        <f>IF(COUNT(0.36, -0.39, -0.68, -0.6, -0.69, -0.67, -0.82, -0.77, -0.31, 0.44, 0.83, 1.44, 1.77, 1.41, 1.41, 1.57, 1.99, 2.14, 1.63, 1.17, 0.89, 0.76, 0.79, 0.67)&gt;17.5,ROUND(AVERAGE(0.36, -0.39, -0.68, -0.6, -0.69, -0.67, -0.82, -0.77, -0.31, 0.44, 0.83, 1.44, 1.77, 1.41, 1.41, 1.57, 1.99, 2.14, 1.63, 1.17, 0.89, 0.76, 0.79, 0.67),2),"NO AVG")</f>
        <v>0.6</v>
      </c>
    </row>
    <row r="33" spans="1:11" x14ac:dyDescent="0.25">
      <c r="A33" s="1">
        <v>44784.216041666667</v>
      </c>
      <c r="B33" s="1">
        <v>44784.215995370374</v>
      </c>
      <c r="C33">
        <v>3</v>
      </c>
      <c r="D33">
        <v>3.4</v>
      </c>
      <c r="E33">
        <v>68</v>
      </c>
      <c r="F33">
        <v>0</v>
      </c>
      <c r="G33" t="s">
        <v>33</v>
      </c>
      <c r="H33" t="s">
        <v>36</v>
      </c>
      <c r="I33">
        <v>-0.65</v>
      </c>
      <c r="J33" s="2"/>
      <c r="K33" s="2"/>
    </row>
    <row r="34" spans="1:11" x14ac:dyDescent="0.25">
      <c r="A34" s="1">
        <v>44784.222974537035</v>
      </c>
      <c r="B34" s="1">
        <v>44784.222939814812</v>
      </c>
      <c r="C34">
        <v>3.1</v>
      </c>
      <c r="D34">
        <v>3.5</v>
      </c>
      <c r="E34">
        <v>68</v>
      </c>
      <c r="F34">
        <v>0</v>
      </c>
      <c r="G34" t="s">
        <v>33</v>
      </c>
      <c r="H34" t="s">
        <v>36</v>
      </c>
      <c r="I34">
        <v>-0.59</v>
      </c>
      <c r="J34" s="2"/>
      <c r="K34" s="2"/>
    </row>
    <row r="35" spans="1:11" x14ac:dyDescent="0.25">
      <c r="A35" s="1">
        <v>44784.22991898148</v>
      </c>
      <c r="B35" s="1">
        <v>44784.229884259257</v>
      </c>
      <c r="C35">
        <v>3.1</v>
      </c>
      <c r="D35">
        <v>3.6</v>
      </c>
      <c r="E35">
        <v>68</v>
      </c>
      <c r="F35">
        <v>0</v>
      </c>
      <c r="G35" t="s">
        <v>33</v>
      </c>
      <c r="H35" t="s">
        <v>36</v>
      </c>
      <c r="I35">
        <v>-0.56000000000000005</v>
      </c>
      <c r="J35" s="2"/>
      <c r="K35" s="2"/>
    </row>
    <row r="36" spans="1:11" x14ac:dyDescent="0.25">
      <c r="A36" s="1">
        <v>44784.236863425926</v>
      </c>
      <c r="B36" s="1">
        <v>44784.236840277779</v>
      </c>
      <c r="C36">
        <v>3.1</v>
      </c>
      <c r="D36">
        <v>3.4</v>
      </c>
      <c r="E36">
        <v>68</v>
      </c>
      <c r="F36">
        <v>0</v>
      </c>
      <c r="G36" t="s">
        <v>33</v>
      </c>
      <c r="H36" t="s">
        <v>36</v>
      </c>
      <c r="I36">
        <v>-0.62</v>
      </c>
      <c r="J36" s="2"/>
      <c r="K36" s="2"/>
    </row>
    <row r="37" spans="1:11" x14ac:dyDescent="0.25">
      <c r="A37" s="1">
        <v>44784.243807870371</v>
      </c>
      <c r="B37" s="1">
        <v>44784.243773148148</v>
      </c>
      <c r="C37">
        <v>3.1</v>
      </c>
      <c r="D37">
        <v>3.6</v>
      </c>
      <c r="E37">
        <v>68</v>
      </c>
      <c r="F37">
        <v>0</v>
      </c>
      <c r="G37" t="s">
        <v>33</v>
      </c>
      <c r="H37" t="s">
        <v>36</v>
      </c>
      <c r="I37">
        <v>-0.56000000000000005</v>
      </c>
      <c r="J37" s="2"/>
      <c r="K37" s="2"/>
    </row>
    <row r="38" spans="1:11" x14ac:dyDescent="0.25">
      <c r="A38" s="1">
        <v>44784.250752314816</v>
      </c>
      <c r="B38" s="1">
        <v>44784.25072916667</v>
      </c>
      <c r="C38">
        <v>3.2</v>
      </c>
      <c r="D38">
        <v>3.5</v>
      </c>
      <c r="E38">
        <v>69</v>
      </c>
      <c r="F38">
        <v>0</v>
      </c>
      <c r="G38" t="s">
        <v>33</v>
      </c>
      <c r="H38" t="s">
        <v>36</v>
      </c>
      <c r="I38">
        <v>-0.63</v>
      </c>
      <c r="J38">
        <f>IF(COUNT(I33:I38)&gt;3.5,ROUND(AVERAGE(I33:I38),2),"")</f>
        <v>-0.6</v>
      </c>
      <c r="K38">
        <f>IF(COUNT(0.36, -0.39, -0.68, -0.6, -0.69, -0.67, -0.6, -0.77, -0.31, 0.44, 0.83, 1.44, 1.77, 1.41, 1.41, 1.57, 1.99, 2.14, 1.63, 1.17, 0.89, 0.76, 0.79, 0.67)&gt;17.5,ROUND(AVERAGE(0.36, -0.39, -0.68, -0.6, -0.69, -0.67, -0.6, -0.77, -0.31, 0.44, 0.83, 1.44, 1.77, 1.41, 1.41, 1.57, 1.99, 2.14, 1.63, 1.17, 0.89, 0.76, 0.79, 0.67),2),"NO AVG")</f>
        <v>0.61</v>
      </c>
    </row>
    <row r="39" spans="1:11" x14ac:dyDescent="0.25">
      <c r="A39" s="1">
        <v>44784.257696759261</v>
      </c>
      <c r="B39" s="1">
        <v>44784.257662037038</v>
      </c>
      <c r="C39">
        <v>3.2</v>
      </c>
      <c r="D39">
        <v>3.6</v>
      </c>
      <c r="E39">
        <v>68</v>
      </c>
      <c r="F39">
        <v>0</v>
      </c>
      <c r="G39" t="s">
        <v>33</v>
      </c>
      <c r="H39" t="s">
        <v>36</v>
      </c>
      <c r="I39">
        <v>-0.53</v>
      </c>
      <c r="J39" s="2"/>
      <c r="K39" s="2"/>
    </row>
    <row r="40" spans="1:11" x14ac:dyDescent="0.25">
      <c r="A40" s="1">
        <v>44784.264641203707</v>
      </c>
      <c r="B40" s="1">
        <v>44784.264606481483</v>
      </c>
      <c r="C40">
        <v>3.2</v>
      </c>
      <c r="D40">
        <v>3.6</v>
      </c>
      <c r="E40">
        <v>68</v>
      </c>
      <c r="F40">
        <v>0</v>
      </c>
      <c r="G40" t="s">
        <v>33</v>
      </c>
      <c r="H40" t="s">
        <v>36</v>
      </c>
      <c r="I40">
        <v>-0.53</v>
      </c>
      <c r="J40" s="2"/>
      <c r="K40" s="2"/>
    </row>
    <row r="41" spans="1:11" x14ac:dyDescent="0.25">
      <c r="A41" s="1">
        <v>44784.271585648145</v>
      </c>
      <c r="B41" s="1">
        <v>44784.271550925929</v>
      </c>
      <c r="C41">
        <v>3.3</v>
      </c>
      <c r="D41">
        <v>3.5</v>
      </c>
      <c r="E41">
        <v>69</v>
      </c>
      <c r="F41">
        <v>0</v>
      </c>
      <c r="G41" t="s">
        <v>33</v>
      </c>
      <c r="H41" t="s">
        <v>36</v>
      </c>
      <c r="I41">
        <v>-0.6</v>
      </c>
      <c r="J41" s="2"/>
      <c r="K41" s="2"/>
    </row>
    <row r="42" spans="1:11" x14ac:dyDescent="0.25">
      <c r="A42" s="1">
        <v>44784.27853009259</v>
      </c>
      <c r="B42" s="1">
        <v>44784.278495370374</v>
      </c>
      <c r="C42">
        <v>3.7</v>
      </c>
      <c r="D42">
        <v>3.9</v>
      </c>
      <c r="E42">
        <v>69</v>
      </c>
      <c r="F42">
        <v>0</v>
      </c>
      <c r="G42" t="s">
        <v>33</v>
      </c>
      <c r="H42" t="s">
        <v>36</v>
      </c>
      <c r="I42">
        <v>-0.35</v>
      </c>
      <c r="J42" s="2"/>
      <c r="K42" s="2"/>
    </row>
    <row r="43" spans="1:11" x14ac:dyDescent="0.25">
      <c r="A43" s="1">
        <v>44784.285474537035</v>
      </c>
      <c r="B43" s="1">
        <v>44784.285439814812</v>
      </c>
      <c r="C43">
        <v>4.2</v>
      </c>
      <c r="D43">
        <v>4.5999999999999996</v>
      </c>
      <c r="E43">
        <v>69</v>
      </c>
      <c r="F43">
        <v>0</v>
      </c>
      <c r="G43" t="s">
        <v>33</v>
      </c>
      <c r="H43" t="s">
        <v>36</v>
      </c>
      <c r="I43">
        <v>0.01</v>
      </c>
      <c r="J43" s="2"/>
      <c r="K43" s="2"/>
    </row>
    <row r="44" spans="1:11" x14ac:dyDescent="0.25">
      <c r="A44" s="1">
        <v>44784.29241898148</v>
      </c>
      <c r="B44" s="1">
        <v>44784.292384259257</v>
      </c>
      <c r="C44">
        <v>4.3</v>
      </c>
      <c r="D44">
        <v>4.8</v>
      </c>
      <c r="E44">
        <v>69</v>
      </c>
      <c r="F44">
        <v>0</v>
      </c>
      <c r="G44" t="s">
        <v>33</v>
      </c>
      <c r="H44" t="s">
        <v>36</v>
      </c>
      <c r="I44">
        <v>0.11</v>
      </c>
      <c r="J44">
        <f>IF(COUNT(I39:I44)&gt;3.5,ROUND(AVERAGE(I39:I44),2),"")</f>
        <v>-0.32</v>
      </c>
      <c r="K44">
        <f>IF(COUNT(0.36, -0.39, -0.68, -0.6, -0.69, -0.67, -0.6, -0.32, -0.31, 0.44, 0.83, 1.44, 1.77, 1.41, 1.41, 1.57, 1.99, 2.14, 1.63, 1.17, 0.89, 0.76, 0.79, 0.67)&gt;17.5,ROUND(AVERAGE(0.36, -0.39, -0.68, -0.6, -0.69, -0.67, -0.6, -0.32, -0.31, 0.44, 0.83, 1.44, 1.77, 1.41, 1.41, 1.57, 1.99, 2.14, 1.63, 1.17, 0.89, 0.76, 0.79, 0.67),2),"NO AVG")</f>
        <v>0.63</v>
      </c>
    </row>
    <row r="45" spans="1:11" x14ac:dyDescent="0.25">
      <c r="A45" s="1">
        <v>44784.299363425926</v>
      </c>
      <c r="B45" s="1">
        <v>44784.299340277779</v>
      </c>
      <c r="C45">
        <v>4.3</v>
      </c>
      <c r="D45">
        <v>4.8</v>
      </c>
      <c r="E45">
        <v>68</v>
      </c>
      <c r="F45">
        <v>0</v>
      </c>
      <c r="G45" t="s">
        <v>33</v>
      </c>
      <c r="H45" t="s">
        <v>36</v>
      </c>
      <c r="I45">
        <v>0.18</v>
      </c>
      <c r="J45" s="2"/>
      <c r="K45" s="2"/>
    </row>
    <row r="46" spans="1:11" x14ac:dyDescent="0.25">
      <c r="A46" s="1">
        <v>44784.306307870371</v>
      </c>
      <c r="B46" s="1">
        <v>44784.306273148148</v>
      </c>
      <c r="C46">
        <v>4.0999999999999996</v>
      </c>
      <c r="D46">
        <v>4.5</v>
      </c>
      <c r="E46">
        <v>68</v>
      </c>
      <c r="F46">
        <v>0</v>
      </c>
      <c r="G46" t="s">
        <v>33</v>
      </c>
      <c r="H46" t="s">
        <v>36</v>
      </c>
      <c r="I46">
        <v>0.02</v>
      </c>
      <c r="J46" s="2"/>
      <c r="K46" s="2"/>
    </row>
    <row r="47" spans="1:11" x14ac:dyDescent="0.25">
      <c r="A47" s="1">
        <v>44784.313252314816</v>
      </c>
      <c r="B47" s="1">
        <v>44784.313217592593</v>
      </c>
      <c r="C47">
        <v>4</v>
      </c>
      <c r="D47">
        <v>4.5999999999999996</v>
      </c>
      <c r="E47">
        <v>67</v>
      </c>
      <c r="F47">
        <v>0</v>
      </c>
      <c r="G47" t="s">
        <v>33</v>
      </c>
      <c r="H47" t="s">
        <v>36</v>
      </c>
      <c r="I47">
        <v>0.09</v>
      </c>
      <c r="J47" s="2"/>
      <c r="K47" s="2"/>
    </row>
    <row r="48" spans="1:11" x14ac:dyDescent="0.25">
      <c r="A48" s="1">
        <v>44784.320196759261</v>
      </c>
      <c r="B48" s="1">
        <v>44784.320162037038</v>
      </c>
      <c r="C48">
        <v>4.0999999999999996</v>
      </c>
      <c r="D48">
        <v>4.5999999999999996</v>
      </c>
      <c r="E48">
        <v>67</v>
      </c>
      <c r="F48">
        <v>0</v>
      </c>
      <c r="G48" t="s">
        <v>33</v>
      </c>
      <c r="H48" t="s">
        <v>36</v>
      </c>
      <c r="I48">
        <v>0.12</v>
      </c>
      <c r="J48" s="2"/>
      <c r="K48" s="2"/>
    </row>
    <row r="49" spans="1:11" x14ac:dyDescent="0.25">
      <c r="A49" s="1">
        <v>44784.327141203707</v>
      </c>
      <c r="B49" s="1">
        <v>44784.327106481483</v>
      </c>
      <c r="C49">
        <v>4.5</v>
      </c>
      <c r="D49">
        <v>5.3</v>
      </c>
      <c r="E49">
        <v>67</v>
      </c>
      <c r="F49">
        <v>0</v>
      </c>
      <c r="G49" t="s">
        <v>33</v>
      </c>
      <c r="H49" t="s">
        <v>36</v>
      </c>
      <c r="I49">
        <v>0.46</v>
      </c>
      <c r="J49" s="2"/>
      <c r="K49" s="2"/>
    </row>
    <row r="50" spans="1:11" x14ac:dyDescent="0.25">
      <c r="A50" s="1">
        <v>44784.334085648145</v>
      </c>
      <c r="B50" s="1">
        <v>44784.334050925929</v>
      </c>
      <c r="C50">
        <v>4.8</v>
      </c>
      <c r="D50">
        <v>5.6</v>
      </c>
      <c r="E50">
        <v>67</v>
      </c>
      <c r="F50">
        <v>0</v>
      </c>
      <c r="G50" t="s">
        <v>33</v>
      </c>
      <c r="H50" t="s">
        <v>36</v>
      </c>
      <c r="I50">
        <v>0.64</v>
      </c>
      <c r="J50">
        <f>IF(COUNT(I45:I50)&gt;3.5,ROUND(AVERAGE(I45:I50),2),"")</f>
        <v>0.25</v>
      </c>
      <c r="K50">
        <f>IF(COUNT(0.36, -0.39, -0.68, -0.6, -0.69, -0.67, -0.6, -0.32, 0.25, 0.44, 0.83, 1.44, 1.77, 1.41, 1.41, 1.57, 1.99, 2.14, 1.63, 1.17, 0.89, 0.76, 0.79, 0.67)&gt;17.5,ROUND(AVERAGE(0.36, -0.39, -0.68, -0.6, -0.69, -0.67, -0.6, -0.32, 0.25, 0.44, 0.83, 1.44, 1.77, 1.41, 1.41, 1.57, 1.99, 2.14, 1.63, 1.17, 0.89, 0.76, 0.79, 0.67),2),"NO AVG")</f>
        <v>0.65</v>
      </c>
    </row>
    <row r="51" spans="1:11" x14ac:dyDescent="0.25">
      <c r="A51" s="1">
        <v>44784.34103009259</v>
      </c>
      <c r="B51" s="1">
        <v>44784.340995370374</v>
      </c>
      <c r="C51">
        <v>5.0999999999999996</v>
      </c>
      <c r="D51">
        <v>5.8</v>
      </c>
      <c r="E51">
        <v>66</v>
      </c>
      <c r="F51">
        <v>0</v>
      </c>
      <c r="G51" t="s">
        <v>33</v>
      </c>
      <c r="H51" t="s">
        <v>36</v>
      </c>
      <c r="I51">
        <v>0.86</v>
      </c>
      <c r="J51" s="2"/>
      <c r="K51" s="2"/>
    </row>
    <row r="52" spans="1:11" x14ac:dyDescent="0.25">
      <c r="A52" s="1">
        <v>44784.347974537035</v>
      </c>
      <c r="B52" s="1">
        <v>44784.347951388889</v>
      </c>
      <c r="C52">
        <v>5.0999999999999996</v>
      </c>
      <c r="D52">
        <v>6</v>
      </c>
      <c r="E52">
        <v>66</v>
      </c>
      <c r="F52">
        <v>0</v>
      </c>
      <c r="G52" t="s">
        <v>33</v>
      </c>
      <c r="H52" t="s">
        <v>36</v>
      </c>
      <c r="I52">
        <v>0.93</v>
      </c>
      <c r="J52" s="2"/>
      <c r="K52" s="2"/>
    </row>
    <row r="53" spans="1:11" x14ac:dyDescent="0.25">
      <c r="A53" s="1">
        <v>44784.35491898148</v>
      </c>
      <c r="B53" s="1">
        <v>44784.354884259257</v>
      </c>
      <c r="C53">
        <v>5</v>
      </c>
      <c r="D53">
        <v>6.1</v>
      </c>
      <c r="E53">
        <v>65</v>
      </c>
      <c r="F53">
        <v>0</v>
      </c>
      <c r="G53" t="s">
        <v>33</v>
      </c>
      <c r="H53" t="s">
        <v>36</v>
      </c>
      <c r="I53">
        <v>1</v>
      </c>
      <c r="J53" s="2"/>
      <c r="K53" s="2"/>
    </row>
    <row r="54" spans="1:11" x14ac:dyDescent="0.25">
      <c r="A54" s="1">
        <v>44784.361863425926</v>
      </c>
      <c r="B54" s="1">
        <v>44784.361828703702</v>
      </c>
      <c r="C54">
        <v>5.2</v>
      </c>
      <c r="D54">
        <v>6</v>
      </c>
      <c r="E54">
        <v>64</v>
      </c>
      <c r="F54">
        <v>0</v>
      </c>
      <c r="G54" t="s">
        <v>33</v>
      </c>
      <c r="H54" t="s">
        <v>36</v>
      </c>
      <c r="I54">
        <v>1.1000000000000001</v>
      </c>
      <c r="J54" s="2"/>
      <c r="K54" s="2"/>
    </row>
    <row r="55" spans="1:11" x14ac:dyDescent="0.25">
      <c r="A55" s="1">
        <v>44784.368807870371</v>
      </c>
      <c r="B55" s="1">
        <v>44784.368784722225</v>
      </c>
      <c r="C55">
        <v>5.2</v>
      </c>
      <c r="D55">
        <v>5.8</v>
      </c>
      <c r="E55">
        <v>63</v>
      </c>
      <c r="F55">
        <v>0</v>
      </c>
      <c r="G55" t="s">
        <v>33</v>
      </c>
      <c r="H55" t="s">
        <v>36</v>
      </c>
      <c r="I55">
        <v>1.1000000000000001</v>
      </c>
      <c r="J55" s="2"/>
      <c r="K55" s="2"/>
    </row>
    <row r="56" spans="1:11" x14ac:dyDescent="0.25">
      <c r="A56" s="1">
        <v>44784.375752314816</v>
      </c>
      <c r="B56" s="1">
        <v>44784.375717592593</v>
      </c>
      <c r="C56">
        <v>4.8</v>
      </c>
      <c r="D56">
        <v>5.7</v>
      </c>
      <c r="E56">
        <v>62</v>
      </c>
      <c r="F56">
        <v>0</v>
      </c>
      <c r="G56" t="s">
        <v>33</v>
      </c>
      <c r="H56" t="s">
        <v>36</v>
      </c>
      <c r="I56">
        <v>1.02</v>
      </c>
      <c r="J56">
        <f>IF(COUNT(I51:I56)&gt;3.5,ROUND(AVERAGE(I51:I56),2),"")</f>
        <v>1</v>
      </c>
      <c r="K56">
        <f>IF(COUNT(0.36, -0.39, -0.68, -0.6, -0.69, -0.67, -0.6, -0.32, 0.25, 1, 0.83, 1.44, 1.77, 1.41, 1.41, 1.57, 1.99, 2.14, 1.63, 1.17, 0.89, 0.76, 0.79, 0.67)&gt;17.5,ROUND(AVERAGE(0.36, -0.39, -0.68, -0.6, -0.69, -0.67, -0.6, -0.32, 0.25, 1, 0.83, 1.44, 1.77, 1.41, 1.41, 1.57, 1.99, 2.14, 1.63, 1.17, 0.89, 0.76, 0.79, 0.67),2),"NO AVG")</f>
        <v>0.67</v>
      </c>
    </row>
    <row r="57" spans="1:11" x14ac:dyDescent="0.25">
      <c r="A57" s="1">
        <v>44784.382696759261</v>
      </c>
      <c r="B57" s="1">
        <v>44784.382662037038</v>
      </c>
      <c r="C57">
        <v>4.9000000000000004</v>
      </c>
      <c r="D57">
        <v>5.8</v>
      </c>
      <c r="E57">
        <v>62</v>
      </c>
      <c r="F57">
        <v>0</v>
      </c>
      <c r="G57" t="s">
        <v>33</v>
      </c>
      <c r="H57" t="s">
        <v>36</v>
      </c>
      <c r="I57">
        <v>1.08</v>
      </c>
      <c r="J57" s="2"/>
      <c r="K57" s="2"/>
    </row>
    <row r="58" spans="1:11" x14ac:dyDescent="0.25">
      <c r="A58" s="1">
        <v>44784.389641203707</v>
      </c>
      <c r="B58" s="1">
        <v>44784.389618055553</v>
      </c>
      <c r="C58">
        <v>5</v>
      </c>
      <c r="D58">
        <v>5.8</v>
      </c>
      <c r="E58">
        <v>62</v>
      </c>
      <c r="F58">
        <v>0</v>
      </c>
      <c r="G58" t="s">
        <v>33</v>
      </c>
      <c r="H58" t="s">
        <v>36</v>
      </c>
      <c r="I58">
        <v>1.1100000000000001</v>
      </c>
      <c r="J58" s="2"/>
      <c r="K58" s="2"/>
    </row>
    <row r="59" spans="1:11" x14ac:dyDescent="0.25">
      <c r="A59" s="1">
        <v>44784.396585648145</v>
      </c>
      <c r="B59" s="1">
        <v>44784.396562499998</v>
      </c>
      <c r="C59">
        <v>5.0999999999999996</v>
      </c>
      <c r="D59">
        <v>5.7</v>
      </c>
      <c r="E59">
        <v>62</v>
      </c>
      <c r="F59">
        <v>0</v>
      </c>
      <c r="G59" t="s">
        <v>33</v>
      </c>
      <c r="H59" t="s">
        <v>36</v>
      </c>
      <c r="I59">
        <v>1.1100000000000001</v>
      </c>
      <c r="J59" s="2"/>
      <c r="K59" s="2"/>
    </row>
    <row r="60" spans="1:11" x14ac:dyDescent="0.25">
      <c r="A60" s="1">
        <v>44784.40353009259</v>
      </c>
      <c r="B60" s="1">
        <v>44784.403506944444</v>
      </c>
      <c r="C60">
        <v>5</v>
      </c>
      <c r="D60">
        <v>5.7</v>
      </c>
      <c r="E60">
        <v>61</v>
      </c>
      <c r="F60">
        <v>0</v>
      </c>
      <c r="G60" t="s">
        <v>33</v>
      </c>
      <c r="H60" t="s">
        <v>36</v>
      </c>
      <c r="I60">
        <v>1.1499999999999999</v>
      </c>
      <c r="J60" s="2"/>
      <c r="K60" s="2"/>
    </row>
    <row r="61" spans="1:11" x14ac:dyDescent="0.25">
      <c r="A61" s="1">
        <v>44784.410474537035</v>
      </c>
      <c r="B61" s="1">
        <v>44784.410451388889</v>
      </c>
      <c r="C61">
        <v>5.0999999999999996</v>
      </c>
      <c r="D61">
        <v>5.8</v>
      </c>
      <c r="E61">
        <v>61</v>
      </c>
      <c r="F61">
        <v>0</v>
      </c>
      <c r="G61" t="s">
        <v>33</v>
      </c>
      <c r="H61" t="s">
        <v>36</v>
      </c>
      <c r="I61">
        <v>1.21</v>
      </c>
      <c r="J61" s="2"/>
      <c r="K61" s="2"/>
    </row>
    <row r="62" spans="1:11" x14ac:dyDescent="0.25">
      <c r="A62" s="1">
        <v>44784.41741898148</v>
      </c>
      <c r="B62" s="1">
        <v>44784.417395833334</v>
      </c>
      <c r="C62">
        <v>5.2</v>
      </c>
      <c r="D62">
        <v>6.1</v>
      </c>
      <c r="E62">
        <v>61</v>
      </c>
      <c r="F62">
        <v>0</v>
      </c>
      <c r="G62" t="s">
        <v>33</v>
      </c>
      <c r="H62" t="s">
        <v>36</v>
      </c>
      <c r="I62">
        <v>1.34</v>
      </c>
      <c r="J62">
        <f>IF(COUNT(I57:I62)&gt;3.5,ROUND(AVERAGE(I57:I62),2),"")</f>
        <v>1.17</v>
      </c>
      <c r="K62">
        <f>IF(COUNT(0.36, -0.39, -0.68, -0.6, -0.69, -0.67, -0.6, -0.32, 0.25, 1, 1.17, 1.44, 1.77, 1.41, 1.41, 1.57, 1.99, 2.14, 1.63, 1.17, 0.89, 0.76, 0.79, 0.67)&gt;17.5,ROUND(AVERAGE(0.36, -0.39, -0.68, -0.6, -0.69, -0.67, -0.6, -0.32, 0.25, 1, 1.17, 1.44, 1.77, 1.41, 1.41, 1.57, 1.99, 2.14, 1.63, 1.17, 0.89, 0.76, 0.79, 0.67),2),"NO AVG")</f>
        <v>0.69</v>
      </c>
    </row>
    <row r="63" spans="1:11" x14ac:dyDescent="0.25">
      <c r="A63" s="1">
        <v>44784.424363425926</v>
      </c>
      <c r="B63" s="1">
        <v>44784.424340277779</v>
      </c>
      <c r="C63">
        <v>5.5</v>
      </c>
      <c r="D63">
        <v>6.2</v>
      </c>
      <c r="E63">
        <v>60</v>
      </c>
      <c r="F63">
        <v>0</v>
      </c>
      <c r="G63" t="s">
        <v>33</v>
      </c>
      <c r="H63" t="s">
        <v>36</v>
      </c>
      <c r="I63">
        <v>1.53</v>
      </c>
      <c r="J63" s="2"/>
      <c r="K63" s="2"/>
    </row>
    <row r="64" spans="1:11" x14ac:dyDescent="0.25">
      <c r="A64" s="1">
        <v>44784.431307870371</v>
      </c>
      <c r="B64" s="1">
        <v>44784.431284722225</v>
      </c>
      <c r="C64">
        <v>5.7</v>
      </c>
      <c r="D64">
        <v>6.4</v>
      </c>
      <c r="E64">
        <v>60</v>
      </c>
      <c r="F64">
        <v>0</v>
      </c>
      <c r="G64" t="s">
        <v>33</v>
      </c>
      <c r="H64" t="s">
        <v>36</v>
      </c>
      <c r="I64">
        <v>1.65</v>
      </c>
      <c r="J64" s="2"/>
      <c r="K64" s="2"/>
    </row>
    <row r="65" spans="1:11" x14ac:dyDescent="0.25">
      <c r="A65" s="1">
        <v>44784.438263888886</v>
      </c>
      <c r="B65" s="1">
        <v>44784.43822916667</v>
      </c>
      <c r="C65">
        <v>5.7</v>
      </c>
      <c r="D65">
        <v>6.5</v>
      </c>
      <c r="E65">
        <v>60</v>
      </c>
      <c r="F65">
        <v>0</v>
      </c>
      <c r="G65" t="s">
        <v>33</v>
      </c>
      <c r="H65" t="s">
        <v>36</v>
      </c>
      <c r="I65">
        <v>1.68</v>
      </c>
      <c r="J65" s="2"/>
      <c r="K65" s="2"/>
    </row>
    <row r="66" spans="1:11" x14ac:dyDescent="0.25">
      <c r="A66" s="1">
        <v>44784.445196759261</v>
      </c>
      <c r="B66" s="1">
        <v>44784.445173611108</v>
      </c>
      <c r="C66">
        <v>5.9</v>
      </c>
      <c r="D66">
        <v>6.6</v>
      </c>
      <c r="E66">
        <v>60</v>
      </c>
      <c r="F66">
        <v>0</v>
      </c>
      <c r="G66" t="s">
        <v>33</v>
      </c>
      <c r="H66" t="s">
        <v>36</v>
      </c>
      <c r="I66">
        <v>1.77</v>
      </c>
      <c r="J66" s="2"/>
      <c r="K66" s="2"/>
    </row>
    <row r="67" spans="1:11" x14ac:dyDescent="0.25">
      <c r="A67" s="1">
        <v>44784.452141203707</v>
      </c>
      <c r="B67" s="1">
        <v>44784.452118055553</v>
      </c>
      <c r="C67">
        <v>5.9</v>
      </c>
      <c r="D67">
        <v>6.5</v>
      </c>
      <c r="E67">
        <v>59</v>
      </c>
      <c r="F67">
        <v>0</v>
      </c>
      <c r="G67" t="s">
        <v>33</v>
      </c>
      <c r="H67" t="s">
        <v>36</v>
      </c>
      <c r="I67">
        <v>1.81</v>
      </c>
      <c r="J67" s="2"/>
      <c r="K67" s="2"/>
    </row>
    <row r="68" spans="1:11" x14ac:dyDescent="0.25">
      <c r="A68" s="1">
        <v>44784.459085648145</v>
      </c>
      <c r="B68" s="1">
        <v>44784.459062499998</v>
      </c>
      <c r="C68">
        <v>5.9</v>
      </c>
      <c r="D68">
        <v>6.5</v>
      </c>
      <c r="E68">
        <v>59</v>
      </c>
      <c r="F68">
        <v>0</v>
      </c>
      <c r="G68" t="s">
        <v>33</v>
      </c>
      <c r="H68" t="s">
        <v>36</v>
      </c>
      <c r="I68">
        <v>1.81</v>
      </c>
      <c r="J68">
        <f>IF(COUNT(I63:I68)&gt;3.5,ROUND(AVERAGE(I63:I68),2),"")</f>
        <v>1.71</v>
      </c>
      <c r="K68">
        <f>IF(COUNT(0.36, -0.39, -0.68, -0.6, -0.69, -0.67, -0.6, -0.32, 0.25, 1, 1.17, 1.71, 1.77, 1.41, 1.41, 1.57, 1.99, 2.14, 1.63, 1.17, 0.89, 0.76, 0.79, 0.67)&gt;17.5,ROUND(AVERAGE(0.36, -0.39, -0.68, -0.6, -0.69, -0.67, -0.6, -0.32, 0.25, 1, 1.17, 1.71, 1.77, 1.41, 1.41, 1.57, 1.99, 2.14, 1.63, 1.17, 0.89, 0.76, 0.79, 0.67),2),"NO AVG")</f>
        <v>0.7</v>
      </c>
    </row>
    <row r="69" spans="1:11" x14ac:dyDescent="0.25">
      <c r="A69" s="1">
        <v>44784.46603009259</v>
      </c>
      <c r="B69" s="1">
        <v>44784.466006944444</v>
      </c>
      <c r="C69">
        <v>5.8</v>
      </c>
      <c r="D69">
        <v>6.6</v>
      </c>
      <c r="E69">
        <v>58</v>
      </c>
      <c r="F69">
        <v>0</v>
      </c>
      <c r="G69" t="s">
        <v>33</v>
      </c>
      <c r="H69" t="s">
        <v>36</v>
      </c>
      <c r="I69">
        <v>1.88</v>
      </c>
      <c r="J69" s="2"/>
      <c r="K69" s="2"/>
    </row>
    <row r="70" spans="1:11" x14ac:dyDescent="0.25">
      <c r="A70" s="1">
        <v>44784.472974537035</v>
      </c>
      <c r="B70" s="1">
        <v>44784.472951388889</v>
      </c>
      <c r="C70">
        <v>5.7</v>
      </c>
      <c r="D70">
        <v>6.5</v>
      </c>
      <c r="E70">
        <v>57</v>
      </c>
      <c r="F70">
        <v>0</v>
      </c>
      <c r="G70" t="s">
        <v>33</v>
      </c>
      <c r="H70" t="s">
        <v>36</v>
      </c>
      <c r="I70">
        <v>1.89</v>
      </c>
      <c r="J70" s="2"/>
      <c r="K70" s="2"/>
    </row>
    <row r="71" spans="1:11" x14ac:dyDescent="0.25">
      <c r="A71" s="1">
        <v>44784.47991898148</v>
      </c>
      <c r="B71" s="1">
        <v>44784.479895833334</v>
      </c>
      <c r="C71">
        <v>5.8</v>
      </c>
      <c r="D71">
        <v>6.5</v>
      </c>
      <c r="E71">
        <v>56</v>
      </c>
      <c r="F71">
        <v>0</v>
      </c>
      <c r="G71" t="s">
        <v>33</v>
      </c>
      <c r="H71" t="s">
        <v>36</v>
      </c>
      <c r="I71">
        <v>1.99</v>
      </c>
      <c r="J71" s="2"/>
      <c r="K71" s="2"/>
    </row>
    <row r="72" spans="1:11" x14ac:dyDescent="0.25">
      <c r="A72" s="1">
        <v>44784.486875000002</v>
      </c>
      <c r="B72" s="1">
        <v>44784.486840277779</v>
      </c>
      <c r="C72">
        <v>5.6</v>
      </c>
      <c r="D72">
        <v>6.3</v>
      </c>
      <c r="E72">
        <v>55</v>
      </c>
      <c r="F72">
        <v>0</v>
      </c>
      <c r="G72" t="s">
        <v>33</v>
      </c>
      <c r="H72" t="s">
        <v>36</v>
      </c>
      <c r="I72">
        <v>1.94</v>
      </c>
      <c r="J72" s="2"/>
      <c r="K72" s="2"/>
    </row>
    <row r="73" spans="1:11" x14ac:dyDescent="0.25">
      <c r="A73" s="1">
        <v>44784.493807870371</v>
      </c>
      <c r="B73" s="1">
        <v>44784.493784722225</v>
      </c>
      <c r="C73">
        <v>5.5</v>
      </c>
      <c r="D73">
        <v>6.4</v>
      </c>
      <c r="E73">
        <v>53</v>
      </c>
      <c r="F73">
        <v>0</v>
      </c>
      <c r="G73" t="s">
        <v>33</v>
      </c>
      <c r="H73" t="s">
        <v>36</v>
      </c>
      <c r="I73">
        <v>2.08</v>
      </c>
      <c r="J73" s="2"/>
      <c r="K73" s="2"/>
    </row>
    <row r="74" spans="1:11" x14ac:dyDescent="0.25">
      <c r="A74" s="1">
        <v>44784.500752314816</v>
      </c>
      <c r="B74" s="1">
        <v>44784.50072916667</v>
      </c>
      <c r="C74">
        <v>5.3</v>
      </c>
      <c r="D74">
        <v>6.1</v>
      </c>
      <c r="E74">
        <v>53</v>
      </c>
      <c r="F74">
        <v>0</v>
      </c>
      <c r="G74" t="s">
        <v>33</v>
      </c>
      <c r="H74" t="s">
        <v>36</v>
      </c>
      <c r="I74">
        <v>1.93</v>
      </c>
      <c r="J74">
        <f>IF(COUNT(I69:I74)&gt;3.5,ROUND(AVERAGE(I69:I74),2),"")</f>
        <v>1.95</v>
      </c>
      <c r="K74">
        <f>IF(COUNT(0.36, -0.39, -0.68, -0.6, -0.69, -0.67, -0.6, -0.32, 0.25, 1, 1.17, 1.71, 1.95, 1.41, 1.41, 1.57, 1.99, 2.14, 1.63, 1.17, 0.89, 0.76, 0.79, 0.67)&gt;17.5,ROUND(AVERAGE(0.36, -0.39, -0.68, -0.6, -0.69, -0.67, -0.6, -0.32, 0.25, 1, 1.17, 1.71, 1.95, 1.41, 1.41, 1.57, 1.99, 2.14, 1.63, 1.17, 0.89, 0.76, 0.79, 0.67),2),"NO AVG")</f>
        <v>0.71</v>
      </c>
    </row>
    <row r="75" spans="1:11" x14ac:dyDescent="0.25">
      <c r="A75" s="1">
        <v>44784.507696759261</v>
      </c>
      <c r="B75" s="1">
        <v>44784.507673611108</v>
      </c>
      <c r="C75">
        <v>5.2</v>
      </c>
      <c r="D75">
        <v>5.9</v>
      </c>
      <c r="E75">
        <v>52</v>
      </c>
      <c r="F75">
        <v>0</v>
      </c>
      <c r="G75" t="s">
        <v>33</v>
      </c>
      <c r="H75" t="s">
        <v>36</v>
      </c>
      <c r="I75">
        <v>1.91</v>
      </c>
      <c r="J75" s="2"/>
      <c r="K75" s="2"/>
    </row>
    <row r="76" spans="1:11" x14ac:dyDescent="0.25">
      <c r="A76" s="1">
        <v>44784.514641203707</v>
      </c>
      <c r="B76" s="1">
        <v>44784.514618055553</v>
      </c>
      <c r="C76">
        <v>5</v>
      </c>
      <c r="D76">
        <v>5.5</v>
      </c>
      <c r="E76">
        <v>50</v>
      </c>
      <c r="F76">
        <v>0</v>
      </c>
      <c r="G76" t="s">
        <v>33</v>
      </c>
      <c r="H76" t="s">
        <v>36</v>
      </c>
      <c r="I76">
        <v>1.86</v>
      </c>
      <c r="J76" s="2"/>
      <c r="K76" s="2"/>
    </row>
    <row r="77" spans="1:11" x14ac:dyDescent="0.25">
      <c r="A77" s="1">
        <v>44784.521585648145</v>
      </c>
      <c r="B77" s="1">
        <v>44784.521562499998</v>
      </c>
      <c r="C77">
        <v>4.5999999999999996</v>
      </c>
      <c r="D77">
        <v>5.0999999999999996</v>
      </c>
      <c r="E77">
        <v>48</v>
      </c>
      <c r="F77">
        <v>0</v>
      </c>
      <c r="G77" t="s">
        <v>33</v>
      </c>
      <c r="H77" t="s">
        <v>36</v>
      </c>
      <c r="I77">
        <v>1.76</v>
      </c>
      <c r="J77" s="2"/>
      <c r="K77" s="2"/>
    </row>
    <row r="78" spans="1:11" x14ac:dyDescent="0.25">
      <c r="A78" s="1">
        <v>44784.528541666667</v>
      </c>
      <c r="B78" s="1">
        <v>44784.528506944444</v>
      </c>
      <c r="C78">
        <v>4.0999999999999996</v>
      </c>
      <c r="D78">
        <v>4.5</v>
      </c>
      <c r="E78">
        <v>47</v>
      </c>
      <c r="F78">
        <v>0</v>
      </c>
      <c r="G78" t="s">
        <v>33</v>
      </c>
      <c r="H78" t="s">
        <v>36</v>
      </c>
      <c r="I78">
        <v>1.49</v>
      </c>
      <c r="J78" s="2"/>
      <c r="K78" s="2"/>
    </row>
    <row r="79" spans="1:11" x14ac:dyDescent="0.25">
      <c r="A79" s="1">
        <v>44784.535486111112</v>
      </c>
      <c r="B79" s="1">
        <v>44784.535451388889</v>
      </c>
      <c r="C79">
        <v>3.7</v>
      </c>
      <c r="D79">
        <v>4.3</v>
      </c>
      <c r="E79">
        <v>47</v>
      </c>
      <c r="F79">
        <v>0</v>
      </c>
      <c r="G79" t="s">
        <v>33</v>
      </c>
      <c r="H79" t="s">
        <v>36</v>
      </c>
      <c r="I79">
        <v>1.31</v>
      </c>
      <c r="J79" s="2"/>
      <c r="K79" s="2"/>
    </row>
    <row r="80" spans="1:11" x14ac:dyDescent="0.25">
      <c r="A80" s="1">
        <v>44784.54241898148</v>
      </c>
      <c r="B80" s="1">
        <v>44784.542395833334</v>
      </c>
      <c r="C80">
        <v>3.7</v>
      </c>
      <c r="D80">
        <v>4.2</v>
      </c>
      <c r="E80">
        <v>47</v>
      </c>
      <c r="F80">
        <v>0</v>
      </c>
      <c r="G80" t="s">
        <v>33</v>
      </c>
      <c r="H80" t="s">
        <v>36</v>
      </c>
      <c r="I80">
        <v>1.28</v>
      </c>
      <c r="J80">
        <f>IF(COUNT(I75:I80)&gt;3.5,ROUND(AVERAGE(I75:I80),2),"")</f>
        <v>1.6</v>
      </c>
      <c r="K80">
        <f>IF(COUNT(0.36, -0.39, -0.68, -0.6, -0.69, -0.67, -0.6, -0.32, 0.25, 1, 1.17, 1.71, 1.95, 1.6, 1.41, 1.57, 1.99, 2.14, 1.63, 1.17, 0.89, 0.76, 0.79, 0.67)&gt;17.5,ROUND(AVERAGE(0.36, -0.39, -0.68, -0.6, -0.69, -0.67, -0.6, -0.32, 0.25, 1, 1.17, 1.71, 1.95, 1.6, 1.41, 1.57, 1.99, 2.14, 1.63, 1.17, 0.89, 0.76, 0.79, 0.67),2),"NO AVG")</f>
        <v>0.71</v>
      </c>
    </row>
    <row r="81" spans="1:11" x14ac:dyDescent="0.25">
      <c r="A81" s="1">
        <v>44784.549375000002</v>
      </c>
      <c r="B81" s="1">
        <v>44784.549340277779</v>
      </c>
      <c r="C81">
        <v>4.0999999999999996</v>
      </c>
      <c r="D81">
        <v>4.4000000000000004</v>
      </c>
      <c r="E81">
        <v>48</v>
      </c>
      <c r="F81">
        <v>0</v>
      </c>
      <c r="G81" t="s">
        <v>33</v>
      </c>
      <c r="H81" t="s">
        <v>36</v>
      </c>
      <c r="I81">
        <v>1.39</v>
      </c>
      <c r="J81" s="2"/>
      <c r="K81" s="2"/>
    </row>
    <row r="82" spans="1:11" x14ac:dyDescent="0.25">
      <c r="A82" s="1">
        <v>44784.55673611111</v>
      </c>
      <c r="B82" s="1">
        <v>44784.556284722225</v>
      </c>
      <c r="C82">
        <v>3.8</v>
      </c>
      <c r="D82">
        <v>4.3</v>
      </c>
      <c r="E82">
        <v>46</v>
      </c>
      <c r="F82">
        <v>0</v>
      </c>
      <c r="G82" t="s">
        <v>33</v>
      </c>
      <c r="H82" t="s">
        <v>36</v>
      </c>
      <c r="I82">
        <v>1.41</v>
      </c>
      <c r="J82" s="2"/>
      <c r="K82" s="2"/>
    </row>
    <row r="83" spans="1:11" x14ac:dyDescent="0.25">
      <c r="A83" s="1">
        <v>44784.563263888886</v>
      </c>
      <c r="B83" s="1">
        <v>44784.56322916667</v>
      </c>
      <c r="C83">
        <v>3.4</v>
      </c>
      <c r="D83">
        <v>3.9</v>
      </c>
      <c r="E83">
        <v>44</v>
      </c>
      <c r="F83">
        <v>0</v>
      </c>
      <c r="G83" t="s">
        <v>33</v>
      </c>
      <c r="H83" t="s">
        <v>36</v>
      </c>
      <c r="I83">
        <v>1.31</v>
      </c>
      <c r="J83" s="2"/>
      <c r="K83" s="2"/>
    </row>
    <row r="84" spans="1:11" x14ac:dyDescent="0.25">
      <c r="A84" s="1">
        <v>44784.570196759261</v>
      </c>
      <c r="B84" s="1">
        <v>44784.570173611108</v>
      </c>
      <c r="C84">
        <v>2.8</v>
      </c>
      <c r="D84">
        <v>3.2</v>
      </c>
      <c r="E84">
        <v>43</v>
      </c>
      <c r="F84">
        <v>0</v>
      </c>
      <c r="G84" t="s">
        <v>33</v>
      </c>
      <c r="H84" t="s">
        <v>36</v>
      </c>
      <c r="I84">
        <v>0.98</v>
      </c>
      <c r="J84" s="2"/>
      <c r="K84" s="2"/>
    </row>
    <row r="85" spans="1:11" x14ac:dyDescent="0.25">
      <c r="A85" s="1">
        <v>44784.577152777776</v>
      </c>
      <c r="B85" s="1">
        <v>44784.577118055553</v>
      </c>
      <c r="C85">
        <v>2.4</v>
      </c>
      <c r="D85">
        <v>2.8</v>
      </c>
      <c r="E85">
        <v>41</v>
      </c>
      <c r="F85">
        <v>0</v>
      </c>
      <c r="G85" t="s">
        <v>33</v>
      </c>
      <c r="H85" t="s">
        <v>36</v>
      </c>
      <c r="I85">
        <v>0.88</v>
      </c>
      <c r="J85" s="2"/>
      <c r="K85" s="2"/>
    </row>
    <row r="86" spans="1:11" x14ac:dyDescent="0.25">
      <c r="A86" s="1">
        <v>44784.584097222221</v>
      </c>
      <c r="B86" s="1">
        <v>44784.584062499998</v>
      </c>
      <c r="C86">
        <v>2.2999999999999998</v>
      </c>
      <c r="D86">
        <v>2.5</v>
      </c>
      <c r="E86">
        <v>41</v>
      </c>
      <c r="F86">
        <v>0</v>
      </c>
      <c r="G86" t="s">
        <v>33</v>
      </c>
      <c r="H86" t="s">
        <v>36</v>
      </c>
      <c r="I86">
        <v>0.75</v>
      </c>
      <c r="J86">
        <f>IF(COUNT(I81:I86)&gt;3.5,ROUND(AVERAGE(I81:I86),2),"")</f>
        <v>1.1200000000000001</v>
      </c>
      <c r="K86">
        <f>IF(COUNT(0.36, -0.39, -0.68, -0.6, -0.69, -0.67, -0.6, -0.32, 0.25, 1, 1.17, 1.71, 1.95, 1.6, 1.12, 1.57, 1.99, 2.14, 1.63, 1.17, 0.89, 0.76, 0.79, 0.67)&gt;17.5,ROUND(AVERAGE(0.36, -0.39, -0.68, -0.6, -0.69, -0.67, -0.6, -0.32, 0.25, 1, 1.17, 1.71, 1.95, 1.6, 1.12, 1.57, 1.99, 2.14, 1.63, 1.17, 0.89, 0.76, 0.79, 0.67),2),"NO AVG")</f>
        <v>0.7</v>
      </c>
    </row>
    <row r="87" spans="1:11" x14ac:dyDescent="0.25">
      <c r="A87" s="1">
        <v>44784.59103009259</v>
      </c>
      <c r="B87" s="1">
        <v>44784.591006944444</v>
      </c>
      <c r="C87">
        <v>2.2000000000000002</v>
      </c>
      <c r="D87">
        <v>2.4</v>
      </c>
      <c r="E87">
        <v>41</v>
      </c>
      <c r="F87">
        <v>0</v>
      </c>
      <c r="G87" t="s">
        <v>33</v>
      </c>
      <c r="H87" t="s">
        <v>36</v>
      </c>
      <c r="I87">
        <v>0.69</v>
      </c>
      <c r="J87" s="2"/>
      <c r="K87" s="2"/>
    </row>
    <row r="88" spans="1:11" x14ac:dyDescent="0.25">
      <c r="A88" s="1">
        <v>44784.597974537035</v>
      </c>
      <c r="B88" s="1">
        <v>44784.597951388889</v>
      </c>
      <c r="C88">
        <v>2.1</v>
      </c>
      <c r="D88">
        <v>2.4</v>
      </c>
      <c r="E88">
        <v>41</v>
      </c>
      <c r="F88">
        <v>0</v>
      </c>
      <c r="G88" t="s">
        <v>33</v>
      </c>
      <c r="H88" t="s">
        <v>36</v>
      </c>
      <c r="I88">
        <v>0.66</v>
      </c>
      <c r="J88" s="2"/>
      <c r="K88" s="2"/>
    </row>
    <row r="89" spans="1:11" x14ac:dyDescent="0.25">
      <c r="A89" s="1">
        <v>44784.604930555557</v>
      </c>
      <c r="B89" s="1">
        <v>44784.604895833334</v>
      </c>
      <c r="C89">
        <v>2.1</v>
      </c>
      <c r="D89">
        <v>2.2999999999999998</v>
      </c>
      <c r="E89">
        <v>41</v>
      </c>
      <c r="F89">
        <v>0</v>
      </c>
      <c r="G89" t="s">
        <v>33</v>
      </c>
      <c r="H89" t="s">
        <v>36</v>
      </c>
      <c r="I89">
        <v>0.63</v>
      </c>
      <c r="J89" s="2"/>
      <c r="K89" s="2"/>
    </row>
    <row r="90" spans="1:11" x14ac:dyDescent="0.25">
      <c r="A90" s="1">
        <v>44784.611875000002</v>
      </c>
      <c r="B90" s="1">
        <v>44784.611840277779</v>
      </c>
      <c r="C90">
        <v>2.1</v>
      </c>
      <c r="D90">
        <v>2.5</v>
      </c>
      <c r="E90">
        <v>41</v>
      </c>
      <c r="F90">
        <v>0</v>
      </c>
      <c r="G90" t="s">
        <v>33</v>
      </c>
      <c r="H90" t="s">
        <v>36</v>
      </c>
      <c r="I90">
        <v>0.69</v>
      </c>
      <c r="J90" s="2"/>
      <c r="K90" s="2"/>
    </row>
    <row r="91" spans="1:11" x14ac:dyDescent="0.25">
      <c r="A91" s="1">
        <v>44784.618819444448</v>
      </c>
      <c r="B91" s="1">
        <v>44784.618784722225</v>
      </c>
      <c r="C91">
        <v>2.1</v>
      </c>
      <c r="D91">
        <v>2.6</v>
      </c>
      <c r="E91">
        <v>41</v>
      </c>
      <c r="F91">
        <v>0</v>
      </c>
      <c r="G91" t="s">
        <v>33</v>
      </c>
      <c r="H91" t="s">
        <v>36</v>
      </c>
      <c r="I91">
        <v>0.72</v>
      </c>
      <c r="J91" s="2"/>
      <c r="K91" s="2"/>
    </row>
    <row r="92" spans="1:11" x14ac:dyDescent="0.25">
      <c r="A92" s="1">
        <v>44784.625763888886</v>
      </c>
      <c r="B92" s="1">
        <v>44784.62572916667</v>
      </c>
      <c r="C92">
        <v>2</v>
      </c>
      <c r="D92">
        <v>2.5</v>
      </c>
      <c r="E92">
        <v>40</v>
      </c>
      <c r="F92">
        <v>0</v>
      </c>
      <c r="G92" t="s">
        <v>33</v>
      </c>
      <c r="H92" t="s">
        <v>36</v>
      </c>
      <c r="I92">
        <v>0.73</v>
      </c>
      <c r="J92">
        <f>IF(COUNT(I87:I92)&gt;3.5,ROUND(AVERAGE(I87:I92),2),"")</f>
        <v>0.69</v>
      </c>
      <c r="K92">
        <f>IF(COUNT(0.36, -0.39, -0.68, -0.6, -0.69, -0.67, -0.6, -0.32, 0.25, 1, 1.17, 1.71, 1.95, 1.6, 1.12, 0.69, 1.99, 2.14, 1.63, 1.17, 0.89, 0.76, 0.79, 0.67)&gt;17.5,ROUND(AVERAGE(0.36, -0.39, -0.68, -0.6, -0.69, -0.67, -0.6, -0.32, 0.25, 1, 1.17, 1.71, 1.95, 1.6, 1.12, 0.69, 1.99, 2.14, 1.63, 1.17, 0.89, 0.76, 0.79, 0.67),2),"NO AVG")</f>
        <v>0.66</v>
      </c>
    </row>
    <row r="93" spans="1:11" x14ac:dyDescent="0.25">
      <c r="A93" s="1">
        <v>44784.632696759261</v>
      </c>
      <c r="B93" s="1">
        <v>44784.632673611108</v>
      </c>
      <c r="C93">
        <v>2.2000000000000002</v>
      </c>
      <c r="D93">
        <v>2.6</v>
      </c>
      <c r="E93">
        <v>41</v>
      </c>
      <c r="F93">
        <v>0</v>
      </c>
      <c r="G93" t="s">
        <v>33</v>
      </c>
      <c r="H93" t="s">
        <v>36</v>
      </c>
      <c r="I93">
        <v>0.75</v>
      </c>
      <c r="J93" s="2"/>
      <c r="K93" s="2"/>
    </row>
    <row r="94" spans="1:11" x14ac:dyDescent="0.25">
      <c r="A94" s="1">
        <v>44784.63962962963</v>
      </c>
      <c r="B94" s="1">
        <v>44784.639618055553</v>
      </c>
      <c r="C94">
        <v>2.2999999999999998</v>
      </c>
      <c r="D94">
        <v>2.8</v>
      </c>
      <c r="E94">
        <v>41</v>
      </c>
      <c r="F94">
        <v>0</v>
      </c>
      <c r="G94" t="s">
        <v>33</v>
      </c>
      <c r="H94" t="s">
        <v>36</v>
      </c>
      <c r="I94">
        <v>0.85</v>
      </c>
      <c r="J94" s="2"/>
      <c r="K94" s="2"/>
    </row>
    <row r="95" spans="1:11" x14ac:dyDescent="0.25">
      <c r="A95" s="1">
        <v>44784.646574074075</v>
      </c>
      <c r="B95" s="1">
        <v>44784.646562499998</v>
      </c>
      <c r="C95">
        <v>2.5</v>
      </c>
      <c r="D95">
        <v>3</v>
      </c>
      <c r="E95">
        <v>41</v>
      </c>
      <c r="F95">
        <v>0</v>
      </c>
      <c r="G95" t="s">
        <v>33</v>
      </c>
      <c r="H95" t="s">
        <v>36</v>
      </c>
      <c r="I95">
        <v>0.97</v>
      </c>
      <c r="J95" s="2"/>
      <c r="K95" s="2"/>
    </row>
    <row r="96" spans="1:11" x14ac:dyDescent="0.25">
      <c r="A96" s="1">
        <v>44784.65351851852</v>
      </c>
      <c r="B96" s="1">
        <v>44784.653506944444</v>
      </c>
      <c r="C96">
        <v>2.6</v>
      </c>
      <c r="D96">
        <v>2.9</v>
      </c>
      <c r="E96">
        <v>42</v>
      </c>
      <c r="F96">
        <v>0</v>
      </c>
      <c r="G96" t="s">
        <v>33</v>
      </c>
      <c r="H96" t="s">
        <v>36</v>
      </c>
      <c r="I96">
        <v>0.9</v>
      </c>
      <c r="J96" s="2"/>
      <c r="K96" s="2"/>
    </row>
    <row r="97" spans="1:11" x14ac:dyDescent="0.25">
      <c r="A97" s="1">
        <v>44784.660462962966</v>
      </c>
      <c r="B97" s="1">
        <v>44784.660451388889</v>
      </c>
      <c r="C97">
        <v>2.7</v>
      </c>
      <c r="D97">
        <v>3.1</v>
      </c>
      <c r="E97">
        <v>42</v>
      </c>
      <c r="F97">
        <v>0</v>
      </c>
      <c r="G97" t="s">
        <v>33</v>
      </c>
      <c r="H97" t="s">
        <v>36</v>
      </c>
      <c r="I97">
        <v>0.99</v>
      </c>
      <c r="J97" s="2"/>
      <c r="K97" s="2"/>
    </row>
    <row r="98" spans="1:11" x14ac:dyDescent="0.25">
      <c r="A98" s="1">
        <v>44784.667407407411</v>
      </c>
      <c r="B98" s="1">
        <v>44784.667395833334</v>
      </c>
      <c r="C98">
        <v>2.7</v>
      </c>
      <c r="D98">
        <v>3.1</v>
      </c>
      <c r="E98">
        <v>42</v>
      </c>
      <c r="F98">
        <v>0</v>
      </c>
      <c r="G98" t="s">
        <v>33</v>
      </c>
      <c r="H98" t="s">
        <v>36</v>
      </c>
      <c r="I98">
        <v>0.99</v>
      </c>
      <c r="J98">
        <f>IF(COUNT(I93:I98)&gt;3.5,ROUND(AVERAGE(I93:I98),2),"")</f>
        <v>0.91</v>
      </c>
      <c r="K98">
        <f>IF(COUNT(0.36, -0.39, -0.68, -0.6, -0.69, -0.67, -0.6, -0.32, 0.25, 1, 1.17, 1.71, 1.95, 1.6, 1.12, 0.69, 0.91, 2.14, 1.63, 1.17, 0.89, 0.76, 0.79, 0.67)&gt;17.5,ROUND(AVERAGE(0.36, -0.39, -0.68, -0.6, -0.69, -0.67, -0.6, -0.32, 0.25, 1, 1.17, 1.71, 1.95, 1.6, 1.12, 0.69, 0.91, 2.14, 1.63, 1.17, 0.89, 0.76, 0.79, 0.67),2),"NO AVG")</f>
        <v>0.62</v>
      </c>
    </row>
    <row r="99" spans="1:11" x14ac:dyDescent="0.25">
      <c r="A99" s="1">
        <v>44784.674351851849</v>
      </c>
      <c r="B99" s="1">
        <v>44784.674328703702</v>
      </c>
      <c r="C99">
        <v>2.6</v>
      </c>
      <c r="D99">
        <v>3.3</v>
      </c>
      <c r="E99">
        <v>42</v>
      </c>
      <c r="F99">
        <v>0</v>
      </c>
      <c r="G99" t="s">
        <v>33</v>
      </c>
      <c r="H99" t="s">
        <v>36</v>
      </c>
      <c r="I99">
        <v>1.02</v>
      </c>
      <c r="J99" s="2"/>
      <c r="K99" s="2"/>
    </row>
    <row r="100" spans="1:11" x14ac:dyDescent="0.25">
      <c r="A100" s="1">
        <v>44784.681296296294</v>
      </c>
      <c r="B100" s="1">
        <v>44784.681273148148</v>
      </c>
      <c r="C100">
        <v>2.5</v>
      </c>
      <c r="D100">
        <v>3.2</v>
      </c>
      <c r="E100">
        <v>42</v>
      </c>
      <c r="F100">
        <v>0</v>
      </c>
      <c r="G100" t="s">
        <v>33</v>
      </c>
      <c r="H100" t="s">
        <v>36</v>
      </c>
      <c r="I100">
        <v>0.96</v>
      </c>
      <c r="J100" s="2"/>
      <c r="K100" s="2"/>
    </row>
    <row r="101" spans="1:11" x14ac:dyDescent="0.25">
      <c r="A101" s="1">
        <v>44784.68822916667</v>
      </c>
      <c r="B101" s="1">
        <v>44784.688217592593</v>
      </c>
      <c r="C101">
        <v>2.7</v>
      </c>
      <c r="D101">
        <v>3.2</v>
      </c>
      <c r="E101">
        <v>43</v>
      </c>
      <c r="F101">
        <v>0</v>
      </c>
      <c r="G101" t="s">
        <v>33</v>
      </c>
      <c r="H101" t="s">
        <v>36</v>
      </c>
      <c r="I101">
        <v>0.95</v>
      </c>
      <c r="J101" s="2"/>
      <c r="K101" s="2"/>
    </row>
    <row r="102" spans="1:11" x14ac:dyDescent="0.25">
      <c r="A102" s="1">
        <v>44784.695173611108</v>
      </c>
      <c r="B102" s="1">
        <v>44784.695162037038</v>
      </c>
      <c r="C102">
        <v>2.7</v>
      </c>
      <c r="D102">
        <v>3.2</v>
      </c>
      <c r="E102">
        <v>42</v>
      </c>
      <c r="F102">
        <v>0</v>
      </c>
      <c r="G102" t="s">
        <v>33</v>
      </c>
      <c r="H102" t="s">
        <v>36</v>
      </c>
      <c r="I102">
        <v>1.02</v>
      </c>
      <c r="J102" s="2"/>
      <c r="K102" s="2"/>
    </row>
    <row r="103" spans="1:11" x14ac:dyDescent="0.25">
      <c r="A103" s="1">
        <v>44784.702118055553</v>
      </c>
      <c r="B103" s="1">
        <v>44784.702106481483</v>
      </c>
      <c r="C103">
        <v>2.6</v>
      </c>
      <c r="D103">
        <v>3.3</v>
      </c>
      <c r="E103">
        <v>41</v>
      </c>
      <c r="F103">
        <v>0</v>
      </c>
      <c r="G103" t="s">
        <v>33</v>
      </c>
      <c r="H103" t="s">
        <v>36</v>
      </c>
      <c r="I103">
        <v>1.0900000000000001</v>
      </c>
      <c r="J103" s="2"/>
      <c r="K103" s="2"/>
    </row>
    <row r="104" spans="1:11" x14ac:dyDescent="0.25">
      <c r="A104" s="1">
        <v>44784.709074074075</v>
      </c>
      <c r="B104" s="1">
        <v>44784.709050925929</v>
      </c>
      <c r="C104">
        <v>2.6</v>
      </c>
      <c r="D104">
        <v>3.2</v>
      </c>
      <c r="E104">
        <v>41</v>
      </c>
      <c r="F104">
        <v>0</v>
      </c>
      <c r="G104" t="s">
        <v>33</v>
      </c>
      <c r="H104" t="s">
        <v>36</v>
      </c>
      <c r="I104">
        <v>1.06</v>
      </c>
      <c r="J104">
        <f>IF(COUNT(I99:I104)&gt;3.5,ROUND(AVERAGE(I99:I104),2),"")</f>
        <v>1.02</v>
      </c>
      <c r="K104">
        <f>IF(COUNT(0.36, -0.39, -0.68, -0.6, -0.69, -0.67, -0.6, -0.32, 0.25, 1, 1.17, 1.71, 1.95, 1.6, 1.12, 0.69, 0.91, 1.02, 1.63, 1.17, 0.89, 0.76, 0.79, 0.67)&gt;17.5,ROUND(AVERAGE(0.36, -0.39, -0.68, -0.6, -0.69, -0.67, -0.6, -0.32, 0.25, 1, 1.17, 1.71, 1.95, 1.6, 1.12, 0.69, 0.91, 1.02, 1.63, 1.17, 0.89, 0.76, 0.79, 0.67),2),"NO AVG")</f>
        <v>0.56999999999999995</v>
      </c>
    </row>
    <row r="105" spans="1:11" x14ac:dyDescent="0.25">
      <c r="A105" s="1">
        <v>44784.716006944444</v>
      </c>
      <c r="B105" s="1">
        <v>44784.715995370374</v>
      </c>
      <c r="C105">
        <v>2.6</v>
      </c>
      <c r="D105">
        <v>3.1</v>
      </c>
      <c r="E105">
        <v>41</v>
      </c>
      <c r="F105">
        <v>0</v>
      </c>
      <c r="G105" t="s">
        <v>33</v>
      </c>
      <c r="H105" t="s">
        <v>36</v>
      </c>
      <c r="I105">
        <v>1.03</v>
      </c>
      <c r="J105" s="2"/>
      <c r="K105" s="2"/>
    </row>
    <row r="106" spans="1:11" x14ac:dyDescent="0.25">
      <c r="A106" s="1">
        <v>44784.722951388889</v>
      </c>
      <c r="B106" s="1">
        <v>44784.722939814812</v>
      </c>
      <c r="C106">
        <v>2.7</v>
      </c>
      <c r="D106">
        <v>3</v>
      </c>
      <c r="E106">
        <v>40</v>
      </c>
      <c r="F106">
        <v>0</v>
      </c>
      <c r="G106" t="s">
        <v>33</v>
      </c>
      <c r="H106" t="s">
        <v>36</v>
      </c>
      <c r="I106">
        <v>1.1000000000000001</v>
      </c>
      <c r="J106" s="2"/>
      <c r="K106" s="2"/>
    </row>
    <row r="107" spans="1:11" x14ac:dyDescent="0.25">
      <c r="A107" s="1">
        <v>44784.729907407411</v>
      </c>
      <c r="B107" s="1">
        <v>44784.729884259257</v>
      </c>
      <c r="C107">
        <v>2.6</v>
      </c>
      <c r="D107">
        <v>3</v>
      </c>
      <c r="E107">
        <v>41</v>
      </c>
      <c r="F107">
        <v>0</v>
      </c>
      <c r="G107" t="s">
        <v>33</v>
      </c>
      <c r="H107" t="s">
        <v>36</v>
      </c>
      <c r="I107">
        <v>1</v>
      </c>
      <c r="J107" s="2"/>
      <c r="K107" s="2"/>
    </row>
    <row r="108" spans="1:11" x14ac:dyDescent="0.25">
      <c r="A108" s="1">
        <v>44784.736851851849</v>
      </c>
      <c r="B108" s="1">
        <v>44784.736828703702</v>
      </c>
      <c r="C108">
        <v>2.7</v>
      </c>
      <c r="D108">
        <v>3.1</v>
      </c>
      <c r="E108">
        <v>42</v>
      </c>
      <c r="F108">
        <v>0</v>
      </c>
      <c r="G108" t="s">
        <v>33</v>
      </c>
      <c r="H108" t="s">
        <v>36</v>
      </c>
      <c r="I108">
        <v>0.99</v>
      </c>
      <c r="J108" s="2"/>
      <c r="K108" s="2"/>
    </row>
    <row r="109" spans="1:11" x14ac:dyDescent="0.25">
      <c r="A109" s="1">
        <v>44784.743796296294</v>
      </c>
      <c r="B109" s="1">
        <v>44784.743773148148</v>
      </c>
      <c r="C109">
        <v>2.8</v>
      </c>
      <c r="D109">
        <v>3.2</v>
      </c>
      <c r="E109">
        <v>41</v>
      </c>
      <c r="F109">
        <v>0</v>
      </c>
      <c r="G109" t="s">
        <v>33</v>
      </c>
      <c r="H109" t="s">
        <v>36</v>
      </c>
      <c r="I109">
        <v>1.1200000000000001</v>
      </c>
      <c r="J109" s="2"/>
      <c r="K109" s="2"/>
    </row>
    <row r="110" spans="1:11" x14ac:dyDescent="0.25">
      <c r="A110" s="1">
        <v>44784.750740740739</v>
      </c>
      <c r="B110" s="1">
        <v>44784.750717592593</v>
      </c>
      <c r="C110">
        <v>2.7</v>
      </c>
      <c r="D110">
        <v>2.9</v>
      </c>
      <c r="E110">
        <v>40</v>
      </c>
      <c r="F110">
        <v>0</v>
      </c>
      <c r="G110" t="s">
        <v>33</v>
      </c>
      <c r="H110" t="s">
        <v>36</v>
      </c>
      <c r="I110">
        <v>1.07</v>
      </c>
      <c r="J110">
        <f>IF(COUNT(I105:I110)&gt;3.5,ROUND(AVERAGE(I105:I110),2),"")</f>
        <v>1.05</v>
      </c>
      <c r="K110">
        <f>IF(COUNT(0.36, -0.39, -0.68, -0.6, -0.69, -0.67, -0.6, -0.32, 0.25, 1, 1.17, 1.71, 1.95, 1.6, 1.12, 0.69, 0.91, 1.02, 1.05, 1.17, 0.89, 0.76, 0.79, 0.67)&gt;17.5,ROUND(AVERAGE(0.36, -0.39, -0.68, -0.6, -0.69, -0.67, -0.6, -0.32, 0.25, 1, 1.17, 1.71, 1.95, 1.6, 1.12, 0.69, 0.91, 1.02, 1.05, 1.17, 0.89, 0.76, 0.79, 0.67),2),"NO AVG")</f>
        <v>0.55000000000000004</v>
      </c>
    </row>
    <row r="111" spans="1:11" x14ac:dyDescent="0.25">
      <c r="A111" s="1">
        <v>44784.757685185185</v>
      </c>
      <c r="B111" s="1">
        <v>44784.757662037038</v>
      </c>
      <c r="C111">
        <v>2.7</v>
      </c>
      <c r="D111">
        <v>3</v>
      </c>
      <c r="E111">
        <v>40</v>
      </c>
      <c r="F111">
        <v>0</v>
      </c>
      <c r="G111" t="s">
        <v>33</v>
      </c>
      <c r="H111" t="s">
        <v>36</v>
      </c>
      <c r="I111">
        <v>1.1000000000000001</v>
      </c>
      <c r="J111" s="2"/>
      <c r="K111" s="2"/>
    </row>
    <row r="112" spans="1:11" x14ac:dyDescent="0.25">
      <c r="A112" s="1">
        <v>44784.76462962963</v>
      </c>
      <c r="B112" s="1">
        <v>44784.764606481483</v>
      </c>
      <c r="C112">
        <v>2.7</v>
      </c>
      <c r="D112">
        <v>3.2</v>
      </c>
      <c r="E112">
        <v>40</v>
      </c>
      <c r="F112">
        <v>0</v>
      </c>
      <c r="G112" t="s">
        <v>33</v>
      </c>
      <c r="H112" t="s">
        <v>36</v>
      </c>
      <c r="I112">
        <v>1.1599999999999999</v>
      </c>
      <c r="J112" s="2"/>
      <c r="K112" s="2"/>
    </row>
    <row r="113" spans="1:11" x14ac:dyDescent="0.25">
      <c r="A113" s="1">
        <v>44784.771562499998</v>
      </c>
      <c r="B113" s="1">
        <v>44784.771550925929</v>
      </c>
      <c r="C113">
        <v>2.6</v>
      </c>
      <c r="D113">
        <v>3.2</v>
      </c>
      <c r="E113">
        <v>40</v>
      </c>
      <c r="F113">
        <v>0</v>
      </c>
      <c r="G113" t="s">
        <v>33</v>
      </c>
      <c r="H113" t="s">
        <v>36</v>
      </c>
      <c r="I113">
        <v>1.1299999999999999</v>
      </c>
      <c r="J113" s="2"/>
      <c r="K113" s="2"/>
    </row>
    <row r="114" spans="1:11" x14ac:dyDescent="0.25">
      <c r="A114" s="1">
        <v>44784.77851851852</v>
      </c>
      <c r="B114" s="1">
        <v>44784.778495370374</v>
      </c>
      <c r="C114">
        <v>2.7</v>
      </c>
      <c r="D114">
        <v>3.1</v>
      </c>
      <c r="E114">
        <v>41</v>
      </c>
      <c r="F114">
        <v>0</v>
      </c>
      <c r="G114" t="s">
        <v>33</v>
      </c>
      <c r="H114" t="s">
        <v>36</v>
      </c>
      <c r="I114">
        <v>1.06</v>
      </c>
      <c r="J114" s="2"/>
      <c r="K114" s="2"/>
    </row>
    <row r="115" spans="1:11" x14ac:dyDescent="0.25">
      <c r="A115" s="1">
        <v>44784.785462962966</v>
      </c>
      <c r="B115" s="1">
        <v>44784.785439814812</v>
      </c>
      <c r="C115">
        <v>2.7</v>
      </c>
      <c r="D115">
        <v>3.2</v>
      </c>
      <c r="E115">
        <v>41</v>
      </c>
      <c r="F115">
        <v>0</v>
      </c>
      <c r="G115" t="s">
        <v>33</v>
      </c>
      <c r="H115" t="s">
        <v>36</v>
      </c>
      <c r="I115">
        <v>1.0900000000000001</v>
      </c>
      <c r="J115" s="2"/>
      <c r="K115" s="2"/>
    </row>
    <row r="116" spans="1:11" x14ac:dyDescent="0.25">
      <c r="A116" s="1">
        <v>44784.792407407411</v>
      </c>
      <c r="B116" s="1">
        <v>44784.792384259257</v>
      </c>
      <c r="C116">
        <v>2.8</v>
      </c>
      <c r="D116">
        <v>3.3</v>
      </c>
      <c r="E116">
        <v>43</v>
      </c>
      <c r="F116">
        <v>0</v>
      </c>
      <c r="G116" t="s">
        <v>33</v>
      </c>
      <c r="H116" t="s">
        <v>36</v>
      </c>
      <c r="I116">
        <v>1.01</v>
      </c>
      <c r="J116">
        <f>IF(COUNT(I111:I116)&gt;3.5,ROUND(AVERAGE(I111:I116),2),"")</f>
        <v>1.0900000000000001</v>
      </c>
      <c r="K116">
        <f>IF(COUNT(0.36, -0.39, -0.68, -0.6, -0.69, -0.67, -0.6, -0.32, 0.25, 1, 1.17, 1.71, 1.95, 1.6, 1.12, 0.69, 0.91, 1.02, 1.05, 1.09, 0.89, 0.76, 0.79, 0.67)&gt;17.5,ROUND(AVERAGE(0.36, -0.39, -0.68, -0.6, -0.69, -0.67, -0.6, -0.32, 0.25, 1, 1.17, 1.71, 1.95, 1.6, 1.12, 0.69, 0.91, 1.02, 1.05, 1.09, 0.89, 0.76, 0.79, 0.67),2),"NO AVG")</f>
        <v>0.55000000000000004</v>
      </c>
    </row>
    <row r="117" spans="1:11" x14ac:dyDescent="0.25">
      <c r="A117" s="1">
        <v>44784.799351851849</v>
      </c>
      <c r="B117" s="1">
        <v>44784.799328703702</v>
      </c>
      <c r="C117">
        <v>2.8</v>
      </c>
      <c r="D117">
        <v>3.3</v>
      </c>
      <c r="E117">
        <v>44</v>
      </c>
      <c r="F117">
        <v>0</v>
      </c>
      <c r="G117" t="s">
        <v>33</v>
      </c>
      <c r="H117" t="s">
        <v>36</v>
      </c>
      <c r="I117">
        <v>0.94</v>
      </c>
      <c r="J117" s="2"/>
      <c r="K117" s="2"/>
    </row>
    <row r="118" spans="1:11" x14ac:dyDescent="0.25">
      <c r="A118" s="1">
        <v>44784.806296296294</v>
      </c>
      <c r="B118" s="1">
        <v>44784.806273148148</v>
      </c>
      <c r="C118">
        <v>2.8</v>
      </c>
      <c r="D118">
        <v>3.4</v>
      </c>
      <c r="E118">
        <v>45</v>
      </c>
      <c r="F118">
        <v>0</v>
      </c>
      <c r="G118" t="s">
        <v>33</v>
      </c>
      <c r="H118" t="s">
        <v>36</v>
      </c>
      <c r="I118">
        <v>0.9</v>
      </c>
      <c r="J118" s="2"/>
      <c r="K118" s="2"/>
    </row>
    <row r="119" spans="1:11" x14ac:dyDescent="0.25">
      <c r="A119" s="1">
        <v>44784.813240740739</v>
      </c>
      <c r="B119" s="1">
        <v>44784.813217592593</v>
      </c>
      <c r="C119">
        <v>3</v>
      </c>
      <c r="D119">
        <v>3.5</v>
      </c>
      <c r="E119">
        <v>46</v>
      </c>
      <c r="F119">
        <v>0</v>
      </c>
      <c r="G119" t="s">
        <v>33</v>
      </c>
      <c r="H119" t="s">
        <v>36</v>
      </c>
      <c r="I119">
        <v>0.92</v>
      </c>
      <c r="J119" s="2"/>
      <c r="K119" s="2"/>
    </row>
    <row r="120" spans="1:11" x14ac:dyDescent="0.25">
      <c r="A120" s="1">
        <v>44784.820185185185</v>
      </c>
      <c r="B120" s="1">
        <v>44784.820162037038</v>
      </c>
      <c r="C120">
        <v>3.4</v>
      </c>
      <c r="D120">
        <v>4</v>
      </c>
      <c r="E120">
        <v>47</v>
      </c>
      <c r="F120">
        <v>0</v>
      </c>
      <c r="G120" t="s">
        <v>33</v>
      </c>
      <c r="H120" t="s">
        <v>36</v>
      </c>
      <c r="I120">
        <v>1.1299999999999999</v>
      </c>
      <c r="J120" s="2"/>
      <c r="K120" s="2"/>
    </row>
    <row r="121" spans="1:11" x14ac:dyDescent="0.25">
      <c r="A121" s="1">
        <v>44784.82712962963</v>
      </c>
      <c r="B121" s="1">
        <v>44784.827106481483</v>
      </c>
      <c r="C121">
        <v>4.0999999999999996</v>
      </c>
      <c r="D121">
        <v>4.7</v>
      </c>
      <c r="E121">
        <v>48</v>
      </c>
      <c r="F121">
        <v>0</v>
      </c>
      <c r="G121" t="s">
        <v>33</v>
      </c>
      <c r="H121" t="s">
        <v>36</v>
      </c>
      <c r="I121">
        <v>1.48</v>
      </c>
      <c r="J121" s="2"/>
      <c r="K121" s="2"/>
    </row>
    <row r="122" spans="1:11" x14ac:dyDescent="0.25">
      <c r="A122" s="1">
        <v>44784.834074074075</v>
      </c>
      <c r="B122" s="1">
        <v>44784.834050925929</v>
      </c>
      <c r="C122">
        <v>5</v>
      </c>
      <c r="D122">
        <v>5.8</v>
      </c>
      <c r="E122">
        <v>50</v>
      </c>
      <c r="F122">
        <v>0</v>
      </c>
      <c r="G122" t="s">
        <v>33</v>
      </c>
      <c r="H122" t="s">
        <v>36</v>
      </c>
      <c r="I122">
        <v>1.95</v>
      </c>
      <c r="J122">
        <f>IF(COUNT(I117:I122)&gt;3.5,ROUND(AVERAGE(I117:I122),2),"")</f>
        <v>1.22</v>
      </c>
      <c r="K122">
        <f>IF(COUNT(0.36, -0.39, -0.68, -0.6, -0.69, -0.67, -0.6, -0.32, 0.25, 1, 1.17, 1.71, 1.95, 1.6, 1.12, 0.69, 0.91, 1.02, 1.05, 1.09, 1.22, 0.76, 0.79, 0.67)&gt;17.5,ROUND(AVERAGE(0.36, -0.39, -0.68, -0.6, -0.69, -0.67, -0.6, -0.32, 0.25, 1, 1.17, 1.71, 1.95, 1.6, 1.12, 0.69, 0.91, 1.02, 1.05, 1.09, 1.22, 0.76, 0.79, 0.67),2),"NO AVG")</f>
        <v>0.56000000000000005</v>
      </c>
    </row>
    <row r="123" spans="1:11" x14ac:dyDescent="0.25">
      <c r="A123" s="1">
        <v>44784.84101851852</v>
      </c>
      <c r="B123" s="1">
        <v>44784.840995370374</v>
      </c>
      <c r="C123">
        <v>5.2</v>
      </c>
      <c r="D123">
        <v>5.7</v>
      </c>
      <c r="E123">
        <v>51</v>
      </c>
      <c r="F123">
        <v>0</v>
      </c>
      <c r="G123" t="s">
        <v>33</v>
      </c>
      <c r="H123" t="s">
        <v>36</v>
      </c>
      <c r="I123">
        <v>1.91</v>
      </c>
      <c r="J123" s="2"/>
      <c r="K123" s="2"/>
    </row>
    <row r="124" spans="1:11" x14ac:dyDescent="0.25">
      <c r="A124" s="1">
        <v>44784.847962962966</v>
      </c>
      <c r="B124" s="1">
        <v>44784.847939814812</v>
      </c>
      <c r="C124">
        <v>4.7</v>
      </c>
      <c r="D124">
        <v>5.2</v>
      </c>
      <c r="E124">
        <v>53</v>
      </c>
      <c r="F124">
        <v>0</v>
      </c>
      <c r="G124" t="s">
        <v>33</v>
      </c>
      <c r="H124" t="s">
        <v>36</v>
      </c>
      <c r="I124">
        <v>1.47</v>
      </c>
      <c r="J124" s="2"/>
      <c r="K124" s="2"/>
    </row>
    <row r="125" spans="1:11" x14ac:dyDescent="0.25">
      <c r="A125" s="1">
        <v>44784.854907407411</v>
      </c>
      <c r="B125" s="1">
        <v>44784.854884259257</v>
      </c>
      <c r="C125">
        <v>4.2</v>
      </c>
      <c r="D125">
        <v>4.8</v>
      </c>
      <c r="E125">
        <v>55</v>
      </c>
      <c r="F125">
        <v>0</v>
      </c>
      <c r="G125" t="s">
        <v>33</v>
      </c>
      <c r="H125" t="s">
        <v>36</v>
      </c>
      <c r="I125">
        <v>1.05</v>
      </c>
      <c r="J125" s="2"/>
      <c r="K125" s="2"/>
    </row>
    <row r="126" spans="1:11" x14ac:dyDescent="0.25">
      <c r="A126" s="1">
        <v>44784.861851851849</v>
      </c>
      <c r="B126" s="1">
        <v>44784.861828703702</v>
      </c>
      <c r="C126">
        <v>3.9</v>
      </c>
      <c r="D126">
        <v>4.4000000000000004</v>
      </c>
      <c r="E126">
        <v>50</v>
      </c>
      <c r="F126">
        <v>0</v>
      </c>
      <c r="G126" t="s">
        <v>33</v>
      </c>
      <c r="H126" t="s">
        <v>36</v>
      </c>
      <c r="I126">
        <v>1.19</v>
      </c>
      <c r="J126" s="2"/>
      <c r="K126" s="2"/>
    </row>
    <row r="127" spans="1:11" x14ac:dyDescent="0.25">
      <c r="A127" s="1">
        <v>44784.868796296294</v>
      </c>
      <c r="B127" s="1">
        <v>44784.868773148148</v>
      </c>
      <c r="C127">
        <v>3.4</v>
      </c>
      <c r="D127">
        <v>3.8</v>
      </c>
      <c r="E127">
        <v>48</v>
      </c>
      <c r="F127">
        <v>0</v>
      </c>
      <c r="G127" t="s">
        <v>33</v>
      </c>
      <c r="H127" t="s">
        <v>36</v>
      </c>
      <c r="I127">
        <v>1</v>
      </c>
      <c r="J127" s="2"/>
      <c r="K127" s="2"/>
    </row>
    <row r="128" spans="1:11" x14ac:dyDescent="0.25">
      <c r="A128" s="1">
        <v>44784.875740740739</v>
      </c>
      <c r="B128" s="1">
        <v>44784.875717592593</v>
      </c>
      <c r="C128">
        <v>3</v>
      </c>
      <c r="D128">
        <v>3.5</v>
      </c>
      <c r="E128">
        <v>47</v>
      </c>
      <c r="F128">
        <v>0</v>
      </c>
      <c r="G128" t="s">
        <v>33</v>
      </c>
      <c r="H128" t="s">
        <v>36</v>
      </c>
      <c r="I128">
        <v>0.85</v>
      </c>
      <c r="J128">
        <f>IF(COUNT(I123:I128)&gt;3.5,ROUND(AVERAGE(I123:I128),2),"")</f>
        <v>1.25</v>
      </c>
      <c r="K128">
        <f>IF(COUNT(0.36, -0.39, -0.68, -0.6, -0.69, -0.67, -0.6, -0.32, 0.25, 1, 1.17, 1.71, 1.95, 1.6, 1.12, 0.69, 0.91, 1.02, 1.05, 1.09, 1.22, 1.25, 0.79, 0.67)&gt;17.5,ROUND(AVERAGE(0.36, -0.39, -0.68, -0.6, -0.69, -0.67, -0.6, -0.32, 0.25, 1, 1.17, 1.71, 1.95, 1.6, 1.12, 0.69, 0.91, 1.02, 1.05, 1.09, 1.22, 1.25, 0.79, 0.67),2),"NO AVG")</f>
        <v>0.57999999999999996</v>
      </c>
    </row>
    <row r="129" spans="1:11" x14ac:dyDescent="0.25">
      <c r="A129" s="1">
        <v>44784.882685185185</v>
      </c>
      <c r="B129" s="1">
        <v>44784.882662037038</v>
      </c>
      <c r="C129">
        <v>2.8</v>
      </c>
      <c r="D129">
        <v>3.4</v>
      </c>
      <c r="E129">
        <v>47</v>
      </c>
      <c r="F129">
        <v>0</v>
      </c>
      <c r="G129" t="s">
        <v>33</v>
      </c>
      <c r="H129" t="s">
        <v>36</v>
      </c>
      <c r="I129">
        <v>0.76</v>
      </c>
      <c r="J129" s="2"/>
      <c r="K129" s="2"/>
    </row>
    <row r="130" spans="1:11" x14ac:dyDescent="0.25">
      <c r="A130" s="1">
        <v>44784.88962962963</v>
      </c>
      <c r="B130" s="1">
        <v>44784.889606481483</v>
      </c>
      <c r="C130">
        <v>2.7</v>
      </c>
      <c r="D130">
        <v>3.3</v>
      </c>
      <c r="E130">
        <v>46</v>
      </c>
      <c r="F130">
        <v>0</v>
      </c>
      <c r="G130" t="s">
        <v>33</v>
      </c>
      <c r="H130" t="s">
        <v>36</v>
      </c>
      <c r="I130">
        <v>0.77</v>
      </c>
      <c r="J130" s="2"/>
      <c r="K130" s="2"/>
    </row>
    <row r="131" spans="1:11" x14ac:dyDescent="0.25">
      <c r="A131" s="1">
        <v>44784.896574074075</v>
      </c>
      <c r="B131" s="1">
        <v>44784.896550925929</v>
      </c>
      <c r="C131">
        <v>2.7</v>
      </c>
      <c r="D131">
        <v>3.1</v>
      </c>
      <c r="E131">
        <v>46</v>
      </c>
      <c r="F131">
        <v>0</v>
      </c>
      <c r="G131" t="s">
        <v>33</v>
      </c>
      <c r="H131" t="s">
        <v>36</v>
      </c>
      <c r="I131">
        <v>0.71</v>
      </c>
      <c r="J131" s="2"/>
      <c r="K131" s="2"/>
    </row>
    <row r="132" spans="1:11" x14ac:dyDescent="0.25">
      <c r="A132" s="1">
        <v>44784.90351851852</v>
      </c>
      <c r="B132" s="1">
        <v>44784.903495370374</v>
      </c>
      <c r="C132">
        <v>2.7</v>
      </c>
      <c r="D132">
        <v>3.1</v>
      </c>
      <c r="E132">
        <v>47</v>
      </c>
      <c r="F132">
        <v>0</v>
      </c>
      <c r="G132" t="s">
        <v>33</v>
      </c>
      <c r="H132" t="s">
        <v>36</v>
      </c>
      <c r="I132">
        <v>0.64</v>
      </c>
      <c r="J132" s="2"/>
      <c r="K132" s="2"/>
    </row>
    <row r="133" spans="1:11" x14ac:dyDescent="0.25">
      <c r="A133" s="1">
        <v>44784.910462962966</v>
      </c>
      <c r="B133" s="1">
        <v>44784.910439814812</v>
      </c>
      <c r="C133">
        <v>2.7</v>
      </c>
      <c r="D133">
        <v>3.1</v>
      </c>
      <c r="E133">
        <v>47</v>
      </c>
      <c r="F133">
        <v>0</v>
      </c>
      <c r="G133" t="s">
        <v>33</v>
      </c>
      <c r="H133" t="s">
        <v>36</v>
      </c>
      <c r="I133">
        <v>0.64</v>
      </c>
      <c r="J133" s="2"/>
      <c r="K133" s="2"/>
    </row>
    <row r="134" spans="1:11" x14ac:dyDescent="0.25">
      <c r="A134" s="1">
        <v>44784.917407407411</v>
      </c>
      <c r="B134" s="1">
        <v>44784.917384259257</v>
      </c>
      <c r="C134">
        <v>2.6</v>
      </c>
      <c r="D134">
        <v>3</v>
      </c>
      <c r="E134">
        <v>47</v>
      </c>
      <c r="F134">
        <v>0</v>
      </c>
      <c r="G134" t="s">
        <v>33</v>
      </c>
      <c r="H134" t="s">
        <v>36</v>
      </c>
      <c r="I134">
        <v>0.57999999999999996</v>
      </c>
      <c r="J134">
        <f>IF(COUNT(I129:I134)&gt;3.5,ROUND(AVERAGE(I129:I134),2),"")</f>
        <v>0.68</v>
      </c>
      <c r="K134">
        <f>IF(COUNT(0.36, -0.39, -0.68, -0.6, -0.69, -0.67, -0.6, -0.32, 0.25, 1, 1.17, 1.71, 1.95, 1.6, 1.12, 0.69, 0.91, 1.02, 1.05, 1.09, 1.22, 1.25, 0.68, 0.67)&gt;17.5,ROUND(AVERAGE(0.36, -0.39, -0.68, -0.6, -0.69, -0.67, -0.6, -0.32, 0.25, 1, 1.17, 1.71, 1.95, 1.6, 1.12, 0.69, 0.91, 1.02, 1.05, 1.09, 1.22, 1.25, 0.68, 0.67),2),"NO AVG")</f>
        <v>0.56999999999999995</v>
      </c>
    </row>
    <row r="135" spans="1:11" x14ac:dyDescent="0.25">
      <c r="A135" s="1">
        <v>44784.924351851849</v>
      </c>
      <c r="B135" s="1">
        <v>44784.924328703702</v>
      </c>
      <c r="C135">
        <v>2.5</v>
      </c>
      <c r="D135">
        <v>2.9</v>
      </c>
      <c r="E135">
        <v>47</v>
      </c>
      <c r="F135">
        <v>0</v>
      </c>
      <c r="G135" t="s">
        <v>33</v>
      </c>
      <c r="H135" t="s">
        <v>36</v>
      </c>
      <c r="I135">
        <v>0.52</v>
      </c>
      <c r="J135" s="2"/>
      <c r="K135" s="2"/>
    </row>
    <row r="136" spans="1:11" x14ac:dyDescent="0.25">
      <c r="A136" s="1">
        <v>44784.931296296294</v>
      </c>
      <c r="B136" s="1">
        <v>44784.931273148148</v>
      </c>
      <c r="C136">
        <v>2.5</v>
      </c>
      <c r="D136">
        <v>2.8</v>
      </c>
      <c r="E136">
        <v>48</v>
      </c>
      <c r="F136">
        <v>0</v>
      </c>
      <c r="G136" t="s">
        <v>33</v>
      </c>
      <c r="H136" t="s">
        <v>36</v>
      </c>
      <c r="I136">
        <v>0.42</v>
      </c>
      <c r="J136" s="2"/>
      <c r="K136" s="2"/>
    </row>
    <row r="137" spans="1:11" x14ac:dyDescent="0.25">
      <c r="A137" s="1">
        <v>44784.938240740739</v>
      </c>
      <c r="B137" s="1">
        <v>44784.938217592593</v>
      </c>
      <c r="C137">
        <v>2.5</v>
      </c>
      <c r="D137">
        <v>2.8</v>
      </c>
      <c r="E137">
        <v>48</v>
      </c>
      <c r="F137">
        <v>0</v>
      </c>
      <c r="G137" t="s">
        <v>33</v>
      </c>
      <c r="H137" t="s">
        <v>36</v>
      </c>
      <c r="I137">
        <v>0.42</v>
      </c>
      <c r="J137" s="2"/>
      <c r="K137" s="2"/>
    </row>
    <row r="138" spans="1:11" x14ac:dyDescent="0.25">
      <c r="A138" s="1">
        <v>44784.945185185185</v>
      </c>
      <c r="B138" s="1">
        <v>44784.945162037038</v>
      </c>
      <c r="C138">
        <v>2.6</v>
      </c>
      <c r="D138">
        <v>3.1</v>
      </c>
      <c r="E138">
        <v>49</v>
      </c>
      <c r="F138">
        <v>0</v>
      </c>
      <c r="G138" t="s">
        <v>33</v>
      </c>
      <c r="H138" t="s">
        <v>36</v>
      </c>
      <c r="I138">
        <v>0.47</v>
      </c>
      <c r="J138" s="2"/>
      <c r="K138" s="2"/>
    </row>
    <row r="139" spans="1:11" x14ac:dyDescent="0.25">
      <c r="A139" s="1">
        <v>44784.95212962963</v>
      </c>
      <c r="B139" s="1">
        <v>44784.952106481483</v>
      </c>
      <c r="C139">
        <v>2.6</v>
      </c>
      <c r="D139">
        <v>3.2</v>
      </c>
      <c r="E139">
        <v>50</v>
      </c>
      <c r="F139">
        <v>0</v>
      </c>
      <c r="G139" t="s">
        <v>33</v>
      </c>
      <c r="H139" t="s">
        <v>36</v>
      </c>
      <c r="I139">
        <v>0.43</v>
      </c>
      <c r="J139" s="2"/>
      <c r="K139" s="2"/>
    </row>
    <row r="140" spans="1:11" x14ac:dyDescent="0.25">
      <c r="A140" s="1">
        <v>44784.959074074075</v>
      </c>
      <c r="B140" s="1">
        <v>44784.959050925929</v>
      </c>
      <c r="C140">
        <v>2.6</v>
      </c>
      <c r="D140">
        <v>3.2</v>
      </c>
      <c r="E140">
        <v>51</v>
      </c>
      <c r="F140">
        <v>0</v>
      </c>
      <c r="G140" t="s">
        <v>33</v>
      </c>
      <c r="H140" t="s">
        <v>36</v>
      </c>
      <c r="I140">
        <v>0.36</v>
      </c>
      <c r="J140">
        <f>IF(COUNT(I135:I140)&gt;3.5,ROUND(AVERAGE(I135:I140),2),"")</f>
        <v>0.44</v>
      </c>
      <c r="K140">
        <f>IF(COUNT(0.36, -0.39, -0.68, -0.6, -0.69, -0.67, -0.6, -0.32, 0.25, 1, 1.17, 1.71, 1.95, 1.6, 1.12, 0.69, 0.91, 1.02, 1.05, 1.09, 1.22, 1.25, 0.68, 0.44)&gt;17.5,ROUND(AVERAGE(0.36, -0.39, -0.68, -0.6, -0.69, -0.67, -0.6, -0.32, 0.25, 1, 1.17, 1.71, 1.95, 1.6, 1.12, 0.69, 0.91, 1.02, 1.05, 1.09, 1.22, 1.25, 0.68, 0.44),2),"NO AVG")</f>
        <v>0.56999999999999995</v>
      </c>
    </row>
    <row r="141" spans="1:11" x14ac:dyDescent="0.25">
      <c r="A141" s="1">
        <v>44784.96601851852</v>
      </c>
      <c r="B141" s="1">
        <v>44784.965995370374</v>
      </c>
      <c r="C141">
        <v>2.6</v>
      </c>
      <c r="D141">
        <v>3.3</v>
      </c>
      <c r="E141">
        <v>52</v>
      </c>
      <c r="F141">
        <v>0</v>
      </c>
      <c r="G141" t="s">
        <v>33</v>
      </c>
      <c r="H141" t="s">
        <v>36</v>
      </c>
      <c r="I141">
        <v>0.32</v>
      </c>
      <c r="J141" s="2"/>
      <c r="K141" s="2"/>
    </row>
    <row r="142" spans="1:11" x14ac:dyDescent="0.25">
      <c r="A142" s="1">
        <v>44784.972962962966</v>
      </c>
      <c r="B142" s="1">
        <v>44784.972939814812</v>
      </c>
      <c r="C142">
        <v>2.8</v>
      </c>
      <c r="D142">
        <v>3.3</v>
      </c>
      <c r="E142">
        <v>53</v>
      </c>
      <c r="F142">
        <v>0</v>
      </c>
      <c r="G142" t="s">
        <v>33</v>
      </c>
      <c r="H142" t="s">
        <v>36</v>
      </c>
      <c r="I142">
        <v>0.31</v>
      </c>
      <c r="J142" s="2"/>
      <c r="K142" s="2"/>
    </row>
    <row r="143" spans="1:11" x14ac:dyDescent="0.25">
      <c r="A143" s="1">
        <v>44784.979907407411</v>
      </c>
      <c r="B143" s="1">
        <v>44784.979884259257</v>
      </c>
      <c r="C143">
        <v>2.7</v>
      </c>
      <c r="D143">
        <v>3.2</v>
      </c>
      <c r="E143">
        <v>54</v>
      </c>
      <c r="F143">
        <v>0</v>
      </c>
      <c r="G143" t="s">
        <v>33</v>
      </c>
      <c r="H143" t="s">
        <v>36</v>
      </c>
      <c r="I143">
        <v>0.18</v>
      </c>
      <c r="J143" s="2"/>
      <c r="K143" s="2"/>
    </row>
    <row r="144" spans="1:11" x14ac:dyDescent="0.25">
      <c r="A144" s="1">
        <v>44784.986851851849</v>
      </c>
      <c r="B144" s="1">
        <v>44784.986828703702</v>
      </c>
      <c r="C144">
        <v>2.8</v>
      </c>
      <c r="D144">
        <v>3.2</v>
      </c>
      <c r="E144">
        <v>55</v>
      </c>
      <c r="F144">
        <v>0</v>
      </c>
      <c r="G144" t="s">
        <v>33</v>
      </c>
      <c r="H144" t="s">
        <v>36</v>
      </c>
      <c r="I144">
        <v>0.14000000000000001</v>
      </c>
      <c r="J144" s="2"/>
      <c r="K144" s="2"/>
    </row>
    <row r="145" spans="1:12" x14ac:dyDescent="0.25">
      <c r="A145" s="1">
        <v>44784.993796296294</v>
      </c>
      <c r="B145" s="1">
        <v>44784.993773148148</v>
      </c>
      <c r="C145">
        <v>2.7</v>
      </c>
      <c r="D145">
        <v>3.3</v>
      </c>
      <c r="E145">
        <v>56</v>
      </c>
      <c r="F145">
        <v>0</v>
      </c>
      <c r="G145" t="s">
        <v>33</v>
      </c>
      <c r="H145" t="s">
        <v>36</v>
      </c>
      <c r="I145">
        <v>7.0000000000000007E-2</v>
      </c>
      <c r="J145" s="2"/>
      <c r="K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ED054-FB2D-4A39-BA57-2973410C4C9D}">
  <sheetPr codeName="Sheet4"/>
  <dimension ref="A1:M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3" max="13" width="13.42578125" bestFit="1" customWidth="1"/>
  </cols>
  <sheetData>
    <row r="1" spans="1:13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M1" t="s">
        <v>3</v>
      </c>
    </row>
    <row r="2" spans="1:13" x14ac:dyDescent="0.25">
      <c r="A2" s="1">
        <v>44784.000740740739</v>
      </c>
      <c r="B2" s="1">
        <v>44784.000717592593</v>
      </c>
      <c r="C2">
        <v>3.3</v>
      </c>
      <c r="D2">
        <v>3.2</v>
      </c>
      <c r="E2">
        <v>0</v>
      </c>
      <c r="F2">
        <v>0</v>
      </c>
      <c r="G2" t="s">
        <v>33</v>
      </c>
      <c r="H2" t="s">
        <v>38</v>
      </c>
      <c r="K2" t="str">
        <f>IF(COUNT(, NA, NA, NA, NA, NA, NA, NA, NA, NA, NA, NA, NA, NA, NA, NA, NA, NA, NA, NA, NA, NA, NA, NA)&gt;17.5,ROUND(AVERAGE(, 0, 0, 0, 0, 0, 0, 0, 0, 0, 0, 0, 0, 0, 0, 0, 0, 0, 0, 0, 0, 0, 0, 0),2),"NO AVG")</f>
        <v>NO AVG</v>
      </c>
      <c r="M2" t="s">
        <v>37</v>
      </c>
    </row>
    <row r="3" spans="1:13" x14ac:dyDescent="0.25">
      <c r="A3" s="1">
        <v>44784.007696759261</v>
      </c>
      <c r="B3" s="1">
        <v>44784.007662037038</v>
      </c>
      <c r="C3">
        <v>3.4</v>
      </c>
      <c r="D3">
        <v>3.1</v>
      </c>
      <c r="E3">
        <v>0</v>
      </c>
      <c r="F3">
        <v>0</v>
      </c>
      <c r="G3" t="s">
        <v>33</v>
      </c>
      <c r="H3" t="s">
        <v>38</v>
      </c>
      <c r="J3" s="2"/>
      <c r="K3" s="2"/>
    </row>
    <row r="4" spans="1:13" x14ac:dyDescent="0.25">
      <c r="A4" s="1">
        <v>44784.014618055553</v>
      </c>
      <c r="B4" s="1">
        <v>44784.014606481483</v>
      </c>
      <c r="C4">
        <v>3.4</v>
      </c>
      <c r="D4">
        <v>3.1</v>
      </c>
      <c r="E4">
        <v>0</v>
      </c>
      <c r="F4">
        <v>0</v>
      </c>
      <c r="G4" t="s">
        <v>33</v>
      </c>
      <c r="H4" t="s">
        <v>38</v>
      </c>
      <c r="J4" s="2"/>
      <c r="K4" s="2"/>
    </row>
    <row r="5" spans="1:13" x14ac:dyDescent="0.25">
      <c r="A5" s="1">
        <v>44784.021574074075</v>
      </c>
      <c r="B5" s="1">
        <v>44784.021550925929</v>
      </c>
      <c r="C5">
        <v>3.3</v>
      </c>
      <c r="D5">
        <v>3.1</v>
      </c>
      <c r="E5">
        <v>0</v>
      </c>
      <c r="F5">
        <v>0</v>
      </c>
      <c r="G5" t="s">
        <v>33</v>
      </c>
      <c r="H5" t="s">
        <v>38</v>
      </c>
      <c r="J5" s="2"/>
      <c r="K5" s="2"/>
    </row>
    <row r="6" spans="1:13" x14ac:dyDescent="0.25">
      <c r="A6" s="1">
        <v>44784.02851851852</v>
      </c>
      <c r="B6" s="1">
        <v>44784.028495370374</v>
      </c>
      <c r="C6">
        <v>3.3</v>
      </c>
      <c r="D6">
        <v>3</v>
      </c>
      <c r="E6">
        <v>0</v>
      </c>
      <c r="F6">
        <v>0</v>
      </c>
      <c r="G6" t="s">
        <v>33</v>
      </c>
      <c r="H6" t="s">
        <v>38</v>
      </c>
      <c r="J6" s="2"/>
      <c r="K6" s="2"/>
    </row>
    <row r="7" spans="1:13" x14ac:dyDescent="0.25">
      <c r="A7" s="1">
        <v>44784.035462962966</v>
      </c>
      <c r="B7" s="1">
        <v>44784.035439814812</v>
      </c>
      <c r="C7">
        <v>3.3</v>
      </c>
      <c r="D7">
        <v>3.1</v>
      </c>
      <c r="E7">
        <v>0</v>
      </c>
      <c r="F7">
        <v>0</v>
      </c>
      <c r="G7" t="s">
        <v>33</v>
      </c>
      <c r="H7" t="s">
        <v>38</v>
      </c>
      <c r="J7" s="2"/>
      <c r="K7" s="2"/>
    </row>
    <row r="8" spans="1:13" x14ac:dyDescent="0.25">
      <c r="A8" s="1">
        <v>44784.042407407411</v>
      </c>
      <c r="B8" s="1">
        <v>44784.042384259257</v>
      </c>
      <c r="C8">
        <v>3.4</v>
      </c>
      <c r="D8">
        <v>3.1</v>
      </c>
      <c r="E8">
        <v>0</v>
      </c>
      <c r="F8">
        <v>0</v>
      </c>
      <c r="G8" t="s">
        <v>33</v>
      </c>
      <c r="H8" t="s">
        <v>38</v>
      </c>
      <c r="J8" t="str">
        <f>IF(COUNT(I3:I8)&gt;3.5,ROUND(AVERAGE(I3:I8),2),"")</f>
        <v/>
      </c>
      <c r="K8" t="str">
        <f>IF(COUNT(, , NA, NA, NA, NA, NA, NA, NA, NA, NA, NA, NA, NA, NA, NA, NA, NA, NA, NA, NA, NA, NA, NA)&gt;17.5,ROUND(AVERAGE(, , 0, 0, 0, 0, 0, 0, 0, 0, 0, 0, 0, 0, 0, 0, 0, 0, 0, 0, 0, 0, 0, 0),2),"NO AVG")</f>
        <v>NO AVG</v>
      </c>
    </row>
    <row r="9" spans="1:13" x14ac:dyDescent="0.25">
      <c r="A9" s="1">
        <v>44784.049351851849</v>
      </c>
      <c r="B9" s="1">
        <v>44784.049328703702</v>
      </c>
      <c r="C9">
        <v>3.3</v>
      </c>
      <c r="D9">
        <v>2.9</v>
      </c>
      <c r="E9">
        <v>0</v>
      </c>
      <c r="F9">
        <v>0</v>
      </c>
      <c r="G9" t="s">
        <v>33</v>
      </c>
      <c r="H9" t="s">
        <v>38</v>
      </c>
      <c r="J9" s="2"/>
      <c r="K9" s="2"/>
    </row>
    <row r="10" spans="1:13" x14ac:dyDescent="0.25">
      <c r="A10" s="1">
        <v>44784.056296296294</v>
      </c>
      <c r="B10" s="1">
        <v>44784.056273148148</v>
      </c>
      <c r="C10">
        <v>3.2</v>
      </c>
      <c r="D10">
        <v>2.9</v>
      </c>
      <c r="E10">
        <v>0</v>
      </c>
      <c r="F10">
        <v>0</v>
      </c>
      <c r="G10" t="s">
        <v>33</v>
      </c>
      <c r="H10" t="s">
        <v>38</v>
      </c>
      <c r="J10" s="2"/>
      <c r="K10" s="2"/>
    </row>
    <row r="11" spans="1:13" x14ac:dyDescent="0.25">
      <c r="A11" s="1">
        <v>44784.063240740739</v>
      </c>
      <c r="B11" s="1">
        <v>44784.063217592593</v>
      </c>
      <c r="C11">
        <v>3.2</v>
      </c>
      <c r="D11">
        <v>2.8</v>
      </c>
      <c r="E11">
        <v>0</v>
      </c>
      <c r="F11">
        <v>0</v>
      </c>
      <c r="G11" t="s">
        <v>33</v>
      </c>
      <c r="H11" t="s">
        <v>38</v>
      </c>
      <c r="J11" s="2"/>
      <c r="K11" s="2"/>
    </row>
    <row r="12" spans="1:13" x14ac:dyDescent="0.25">
      <c r="A12" s="1">
        <v>44784.070185185185</v>
      </c>
      <c r="B12" s="1">
        <v>44784.070162037038</v>
      </c>
      <c r="C12">
        <v>3.2</v>
      </c>
      <c r="D12">
        <v>2.9</v>
      </c>
      <c r="E12">
        <v>0</v>
      </c>
      <c r="F12">
        <v>0</v>
      </c>
      <c r="G12" t="s">
        <v>33</v>
      </c>
      <c r="H12" t="s">
        <v>38</v>
      </c>
      <c r="J12" s="2"/>
      <c r="K12" s="2"/>
    </row>
    <row r="13" spans="1:13" x14ac:dyDescent="0.25">
      <c r="A13" s="1">
        <v>44784.07712962963</v>
      </c>
      <c r="B13" s="1">
        <v>44784.077106481483</v>
      </c>
      <c r="C13">
        <v>3.4</v>
      </c>
      <c r="D13">
        <v>3.1</v>
      </c>
      <c r="E13">
        <v>0</v>
      </c>
      <c r="F13">
        <v>0</v>
      </c>
      <c r="G13" t="s">
        <v>33</v>
      </c>
      <c r="H13" t="s">
        <v>38</v>
      </c>
      <c r="J13" s="2"/>
      <c r="K13" s="2"/>
    </row>
    <row r="14" spans="1:13" x14ac:dyDescent="0.25">
      <c r="A14" s="1">
        <v>44784.084074074075</v>
      </c>
      <c r="B14" s="1">
        <v>44784.084050925929</v>
      </c>
      <c r="C14">
        <v>3.4</v>
      </c>
      <c r="D14">
        <v>3.2</v>
      </c>
      <c r="E14">
        <v>0</v>
      </c>
      <c r="F14">
        <v>0</v>
      </c>
      <c r="G14" t="s">
        <v>33</v>
      </c>
      <c r="H14" t="s">
        <v>38</v>
      </c>
      <c r="J14" t="str">
        <f>IF(COUNT(I9:I14)&gt;3.5,ROUND(AVERAGE(I9:I14),2),"")</f>
        <v/>
      </c>
      <c r="K14" t="str">
        <f>IF(COUNT(, , , NA, NA, NA, NA, NA, NA, NA, NA, NA, NA, NA, NA, NA, NA, NA, NA, NA, NA, NA, NA, NA)&gt;17.5,ROUND(AVERAGE(, , , 0, 0, 0, 0, 0, 0, 0, 0, 0, 0, 0, 0, 0, 0, 0, 0, 0, 0, 0, 0, 0),2),"NO AVG")</f>
        <v>NO AVG</v>
      </c>
    </row>
    <row r="15" spans="1:13" x14ac:dyDescent="0.25">
      <c r="A15" s="1">
        <v>44784.09101851852</v>
      </c>
      <c r="B15" s="1">
        <v>44784.090995370374</v>
      </c>
      <c r="C15">
        <v>3.3</v>
      </c>
      <c r="D15">
        <v>3.2</v>
      </c>
      <c r="E15">
        <v>0</v>
      </c>
      <c r="F15">
        <v>0</v>
      </c>
      <c r="G15" t="s">
        <v>33</v>
      </c>
      <c r="H15" t="s">
        <v>38</v>
      </c>
      <c r="J15" s="2"/>
      <c r="K15" s="2"/>
    </row>
    <row r="16" spans="1:13" x14ac:dyDescent="0.25">
      <c r="A16" s="1">
        <v>44784.097962962966</v>
      </c>
      <c r="B16" s="1">
        <v>44784.097939814812</v>
      </c>
      <c r="C16">
        <v>3.4</v>
      </c>
      <c r="D16">
        <v>3.1</v>
      </c>
      <c r="E16">
        <v>0</v>
      </c>
      <c r="F16">
        <v>0</v>
      </c>
      <c r="G16" t="s">
        <v>33</v>
      </c>
      <c r="H16" t="s">
        <v>38</v>
      </c>
      <c r="J16" s="2"/>
      <c r="K16" s="2"/>
    </row>
    <row r="17" spans="1:11" x14ac:dyDescent="0.25">
      <c r="A17" s="1">
        <v>44784.104907407411</v>
      </c>
      <c r="B17" s="1">
        <v>44784.104884259257</v>
      </c>
      <c r="C17">
        <v>3.2</v>
      </c>
      <c r="D17">
        <v>3.1</v>
      </c>
      <c r="E17">
        <v>0</v>
      </c>
      <c r="F17">
        <v>0</v>
      </c>
      <c r="G17" t="s">
        <v>33</v>
      </c>
      <c r="H17" t="s">
        <v>38</v>
      </c>
      <c r="J17" s="2"/>
      <c r="K17" s="2"/>
    </row>
    <row r="18" spans="1:11" x14ac:dyDescent="0.25">
      <c r="A18" s="1">
        <v>44784.111851851849</v>
      </c>
      <c r="B18" s="1">
        <v>44784.111828703702</v>
      </c>
      <c r="C18">
        <v>3.2</v>
      </c>
      <c r="D18">
        <v>3</v>
      </c>
      <c r="E18">
        <v>0</v>
      </c>
      <c r="F18">
        <v>0</v>
      </c>
      <c r="G18" t="s">
        <v>33</v>
      </c>
      <c r="H18" t="s">
        <v>38</v>
      </c>
      <c r="J18" s="2"/>
      <c r="K18" s="2"/>
    </row>
    <row r="19" spans="1:11" x14ac:dyDescent="0.25">
      <c r="A19" s="1">
        <v>44784.118796296294</v>
      </c>
      <c r="B19" s="1">
        <v>44784.118773148148</v>
      </c>
      <c r="C19">
        <v>3.2</v>
      </c>
      <c r="D19">
        <v>3.1</v>
      </c>
      <c r="E19">
        <v>0</v>
      </c>
      <c r="F19">
        <v>0</v>
      </c>
      <c r="G19" t="s">
        <v>33</v>
      </c>
      <c r="H19" t="s">
        <v>38</v>
      </c>
      <c r="J19" s="2"/>
      <c r="K19" s="2"/>
    </row>
    <row r="20" spans="1:11" x14ac:dyDescent="0.25">
      <c r="A20" s="1">
        <v>44784.125740740739</v>
      </c>
      <c r="B20" s="1">
        <v>44784.125717592593</v>
      </c>
      <c r="C20">
        <v>3.3</v>
      </c>
      <c r="D20">
        <v>3.2</v>
      </c>
      <c r="E20">
        <v>0</v>
      </c>
      <c r="F20">
        <v>0</v>
      </c>
      <c r="G20" t="s">
        <v>33</v>
      </c>
      <c r="H20" t="s">
        <v>38</v>
      </c>
      <c r="J20" t="str">
        <f>IF(COUNT(I15:I20)&gt;3.5,ROUND(AVERAGE(I15:I20),2),"")</f>
        <v/>
      </c>
      <c r="K20" t="str">
        <f>IF(COUNT(, , , , NA, NA, NA, NA, NA, NA, NA, NA, NA, NA, NA, NA, NA, NA, NA, NA, NA, NA, NA, NA)&gt;17.5,ROUND(AVERAGE(, , , , 0, 0, 0, 0, 0, 0, 0, 0, 0, 0, 0, 0, 0, 0, 0, 0, 0, 0, 0, 0),2),"NO AVG")</f>
        <v>NO AVG</v>
      </c>
    </row>
    <row r="21" spans="1:11" x14ac:dyDescent="0.25">
      <c r="A21" s="1">
        <v>44784.132685185185</v>
      </c>
      <c r="B21" s="1">
        <v>44784.132662037038</v>
      </c>
      <c r="C21">
        <v>3.6</v>
      </c>
      <c r="D21">
        <v>3.4</v>
      </c>
      <c r="E21">
        <v>0</v>
      </c>
      <c r="F21">
        <v>0</v>
      </c>
      <c r="G21" t="s">
        <v>33</v>
      </c>
      <c r="H21" t="s">
        <v>38</v>
      </c>
      <c r="J21" s="2"/>
      <c r="K21" s="2"/>
    </row>
    <row r="22" spans="1:11" x14ac:dyDescent="0.25">
      <c r="A22" s="1">
        <v>44784.13962962963</v>
      </c>
      <c r="B22" s="1">
        <v>44784.139606481483</v>
      </c>
      <c r="C22">
        <v>3.8</v>
      </c>
      <c r="D22">
        <v>3.6</v>
      </c>
      <c r="E22">
        <v>0</v>
      </c>
      <c r="F22">
        <v>0</v>
      </c>
      <c r="G22" t="s">
        <v>33</v>
      </c>
      <c r="H22" t="s">
        <v>38</v>
      </c>
      <c r="J22" s="2"/>
      <c r="K22" s="2"/>
    </row>
    <row r="23" spans="1:11" x14ac:dyDescent="0.25">
      <c r="A23" s="1">
        <v>44784.146574074075</v>
      </c>
      <c r="B23" s="1">
        <v>44784.146550925929</v>
      </c>
      <c r="C23">
        <v>3.8</v>
      </c>
      <c r="D23">
        <v>3.6</v>
      </c>
      <c r="E23">
        <v>0</v>
      </c>
      <c r="F23">
        <v>0</v>
      </c>
      <c r="G23" t="s">
        <v>33</v>
      </c>
      <c r="H23" t="s">
        <v>38</v>
      </c>
      <c r="J23" s="2"/>
      <c r="K23" s="2"/>
    </row>
    <row r="24" spans="1:11" x14ac:dyDescent="0.25">
      <c r="A24" s="1">
        <v>44784.15351851852</v>
      </c>
      <c r="B24" s="1">
        <v>44784.153495370374</v>
      </c>
      <c r="C24">
        <v>3.8</v>
      </c>
      <c r="D24">
        <v>3.6</v>
      </c>
      <c r="E24">
        <v>0</v>
      </c>
      <c r="F24">
        <v>0</v>
      </c>
      <c r="G24" t="s">
        <v>33</v>
      </c>
      <c r="H24" t="s">
        <v>38</v>
      </c>
      <c r="J24" s="2"/>
      <c r="K24" s="2"/>
    </row>
    <row r="25" spans="1:11" x14ac:dyDescent="0.25">
      <c r="A25" s="1">
        <v>44784.160462962966</v>
      </c>
      <c r="B25" s="1">
        <v>44784.160439814812</v>
      </c>
      <c r="C25">
        <v>3.8</v>
      </c>
      <c r="D25">
        <v>3.7</v>
      </c>
      <c r="E25">
        <v>0</v>
      </c>
      <c r="F25">
        <v>0</v>
      </c>
      <c r="G25" t="s">
        <v>33</v>
      </c>
      <c r="H25" t="s">
        <v>38</v>
      </c>
      <c r="J25" s="2"/>
      <c r="K25" s="2"/>
    </row>
    <row r="26" spans="1:11" x14ac:dyDescent="0.25">
      <c r="A26" s="1">
        <v>44784.167407407411</v>
      </c>
      <c r="B26" s="1">
        <v>44784.167384259257</v>
      </c>
      <c r="C26">
        <v>3.9</v>
      </c>
      <c r="D26">
        <v>3.8</v>
      </c>
      <c r="E26">
        <v>0</v>
      </c>
      <c r="F26">
        <v>0</v>
      </c>
      <c r="G26" t="s">
        <v>33</v>
      </c>
      <c r="H26" t="s">
        <v>38</v>
      </c>
      <c r="J26" t="str">
        <f>IF(COUNT(I21:I26)&gt;3.5,ROUND(AVERAGE(I21:I26),2),"")</f>
        <v/>
      </c>
      <c r="K26" t="str">
        <f>IF(COUNT(, , , , , NA, NA, NA, NA, NA, NA, NA, NA, NA, NA, NA, NA, NA, NA, NA, NA, NA, NA, NA)&gt;17.5,ROUND(AVERAGE(, , , , , 0, 0, 0, 0, 0, 0, 0, 0, 0, 0, 0, 0, 0, 0, 0, 0, 0, 0, 0),2),"NO AVG")</f>
        <v>NO AVG</v>
      </c>
    </row>
    <row r="27" spans="1:11" x14ac:dyDescent="0.25">
      <c r="A27" s="1">
        <v>44784.174363425926</v>
      </c>
      <c r="B27" s="1">
        <v>44784.174328703702</v>
      </c>
      <c r="C27">
        <v>4</v>
      </c>
      <c r="D27">
        <v>3.9</v>
      </c>
      <c r="E27">
        <v>0</v>
      </c>
      <c r="F27">
        <v>0</v>
      </c>
      <c r="G27" t="s">
        <v>33</v>
      </c>
      <c r="H27" t="s">
        <v>38</v>
      </c>
      <c r="J27" s="2"/>
      <c r="K27" s="2"/>
    </row>
    <row r="28" spans="1:11" x14ac:dyDescent="0.25">
      <c r="A28" s="1"/>
      <c r="B28" s="1">
        <v>44784.180555555555</v>
      </c>
      <c r="J28" s="2"/>
      <c r="K28" s="2"/>
    </row>
    <row r="29" spans="1:11" x14ac:dyDescent="0.25">
      <c r="A29" s="1">
        <v>44784.188240740739</v>
      </c>
      <c r="B29" s="1">
        <v>44784.188217592593</v>
      </c>
      <c r="C29">
        <v>4.0999999999999996</v>
      </c>
      <c r="D29">
        <v>3.8</v>
      </c>
      <c r="E29">
        <v>0</v>
      </c>
      <c r="F29">
        <v>0</v>
      </c>
      <c r="G29" t="s">
        <v>33</v>
      </c>
      <c r="H29" t="s">
        <v>38</v>
      </c>
      <c r="J29" s="2"/>
      <c r="K29" s="2"/>
    </row>
    <row r="30" spans="1:11" x14ac:dyDescent="0.25">
      <c r="A30" s="1">
        <v>44784.195185185185</v>
      </c>
      <c r="B30" s="1">
        <v>44784.195162037038</v>
      </c>
      <c r="C30">
        <v>4.2</v>
      </c>
      <c r="D30">
        <v>3.8</v>
      </c>
      <c r="E30">
        <v>0</v>
      </c>
      <c r="F30">
        <v>0</v>
      </c>
      <c r="G30" t="s">
        <v>33</v>
      </c>
      <c r="H30" t="s">
        <v>38</v>
      </c>
      <c r="J30" s="2"/>
      <c r="K30" s="2"/>
    </row>
    <row r="31" spans="1:11" x14ac:dyDescent="0.25">
      <c r="A31" s="1">
        <v>44784.202141203707</v>
      </c>
      <c r="B31" s="1">
        <v>44784.20212962963</v>
      </c>
      <c r="C31">
        <v>4.2</v>
      </c>
      <c r="D31">
        <v>3.9</v>
      </c>
      <c r="E31">
        <v>0</v>
      </c>
      <c r="F31">
        <v>0</v>
      </c>
      <c r="G31" t="s">
        <v>33</v>
      </c>
      <c r="H31" t="s">
        <v>38</v>
      </c>
      <c r="J31" s="2"/>
      <c r="K31" s="2"/>
    </row>
    <row r="32" spans="1:11" x14ac:dyDescent="0.25">
      <c r="A32" s="1">
        <v>44784.209074074075</v>
      </c>
      <c r="B32" s="1">
        <v>44784.209050925929</v>
      </c>
      <c r="C32">
        <v>4.0999999999999996</v>
      </c>
      <c r="D32">
        <v>4</v>
      </c>
      <c r="E32">
        <v>0</v>
      </c>
      <c r="F32">
        <v>0</v>
      </c>
      <c r="G32" t="s">
        <v>33</v>
      </c>
      <c r="H32" t="s">
        <v>38</v>
      </c>
      <c r="J32" t="str">
        <f>IF(COUNT(I27:I32)&gt;3.5,ROUND(AVERAGE(I27:I32),2),"")</f>
        <v/>
      </c>
      <c r="K32" t="str">
        <f>IF(COUNT(, , , , , , NA, NA, NA, NA, NA, NA, NA, NA, NA, NA, NA, NA, NA, NA, NA, NA, NA, NA)&gt;17.5,ROUND(AVERAGE(, , , , , , 0, 0, 0, 0, 0, 0, 0, 0, 0, 0, 0, 0, 0, 0, 0, 0, 0, 0),2),"NO AVG")</f>
        <v>NO AVG</v>
      </c>
    </row>
    <row r="33" spans="1:11" x14ac:dyDescent="0.25">
      <c r="A33" s="1">
        <v>44784.21603009259</v>
      </c>
      <c r="B33" s="1">
        <v>44784.215995370374</v>
      </c>
      <c r="C33">
        <v>4.3</v>
      </c>
      <c r="D33">
        <v>4.0999999999999996</v>
      </c>
      <c r="E33">
        <v>0</v>
      </c>
      <c r="F33">
        <v>0</v>
      </c>
      <c r="G33" t="s">
        <v>33</v>
      </c>
      <c r="H33" t="s">
        <v>38</v>
      </c>
      <c r="J33" s="2"/>
      <c r="K33" s="2"/>
    </row>
    <row r="34" spans="1:11" x14ac:dyDescent="0.25">
      <c r="A34" s="1">
        <v>44784.222962962966</v>
      </c>
      <c r="B34" s="1">
        <v>44784.222939814812</v>
      </c>
      <c r="C34">
        <v>4.4000000000000004</v>
      </c>
      <c r="D34">
        <v>4.2</v>
      </c>
      <c r="E34">
        <v>0</v>
      </c>
      <c r="F34">
        <v>0</v>
      </c>
      <c r="G34" t="s">
        <v>33</v>
      </c>
      <c r="H34" t="s">
        <v>38</v>
      </c>
      <c r="J34" s="2"/>
      <c r="K34" s="2"/>
    </row>
    <row r="35" spans="1:11" x14ac:dyDescent="0.25">
      <c r="A35" s="1">
        <v>44784.229907407411</v>
      </c>
      <c r="B35" s="1">
        <v>44784.229884259257</v>
      </c>
      <c r="C35">
        <v>4.5</v>
      </c>
      <c r="D35">
        <v>4.2</v>
      </c>
      <c r="E35">
        <v>0</v>
      </c>
      <c r="F35">
        <v>0</v>
      </c>
      <c r="G35" t="s">
        <v>33</v>
      </c>
      <c r="H35" t="s">
        <v>38</v>
      </c>
      <c r="J35" s="2"/>
      <c r="K35" s="2"/>
    </row>
    <row r="36" spans="1:11" x14ac:dyDescent="0.25">
      <c r="A36" s="1">
        <v>44784.236851851849</v>
      </c>
      <c r="B36" s="1">
        <v>44784.236840277779</v>
      </c>
      <c r="C36">
        <v>4.4000000000000004</v>
      </c>
      <c r="D36">
        <v>4.0999999999999996</v>
      </c>
      <c r="E36">
        <v>0</v>
      </c>
      <c r="F36">
        <v>0</v>
      </c>
      <c r="G36" t="s">
        <v>33</v>
      </c>
      <c r="H36" t="s">
        <v>38</v>
      </c>
      <c r="J36" s="2"/>
      <c r="K36" s="2"/>
    </row>
    <row r="37" spans="1:11" x14ac:dyDescent="0.25">
      <c r="A37" s="1">
        <v>44784.243796296294</v>
      </c>
      <c r="B37" s="1">
        <v>44784.243773148148</v>
      </c>
      <c r="C37">
        <v>4.3</v>
      </c>
      <c r="D37">
        <v>4</v>
      </c>
      <c r="E37">
        <v>0</v>
      </c>
      <c r="F37">
        <v>0</v>
      </c>
      <c r="G37" t="s">
        <v>33</v>
      </c>
      <c r="H37" t="s">
        <v>38</v>
      </c>
      <c r="J37" s="2"/>
      <c r="K37" s="2"/>
    </row>
    <row r="38" spans="1:11" x14ac:dyDescent="0.25">
      <c r="A38" s="1">
        <v>44784.250752314816</v>
      </c>
      <c r="B38" s="1">
        <v>44784.25072916667</v>
      </c>
      <c r="C38">
        <v>4.3</v>
      </c>
      <c r="D38">
        <v>4</v>
      </c>
      <c r="E38">
        <v>0</v>
      </c>
      <c r="F38">
        <v>0</v>
      </c>
      <c r="G38" t="s">
        <v>33</v>
      </c>
      <c r="H38" t="s">
        <v>38</v>
      </c>
      <c r="J38" t="str">
        <f>IF(COUNT(I33:I38)&gt;3.5,ROUND(AVERAGE(I33:I38),2),"")</f>
        <v/>
      </c>
      <c r="K38" t="str">
        <f>IF(COUNT(, , , , , , , NA, NA, NA, NA, NA, NA, NA, NA, NA, NA, NA, NA, NA, NA, NA, NA, NA)&gt;17.5,ROUND(AVERAGE(, , , , , , , 0, 0, 0, 0, 0, 0, 0, 0, 0, 0, 0, 0, 0, 0, 0, 0, 0),2),"NO AVG")</f>
        <v>NO AVG</v>
      </c>
    </row>
    <row r="39" spans="1:11" x14ac:dyDescent="0.25">
      <c r="A39" s="1">
        <v>44784.257696759261</v>
      </c>
      <c r="B39" s="1">
        <v>44784.257662037038</v>
      </c>
      <c r="C39">
        <v>4.3</v>
      </c>
      <c r="D39">
        <v>4</v>
      </c>
      <c r="E39">
        <v>0</v>
      </c>
      <c r="F39">
        <v>0</v>
      </c>
      <c r="G39" t="s">
        <v>33</v>
      </c>
      <c r="H39" t="s">
        <v>38</v>
      </c>
      <c r="J39" s="2"/>
      <c r="K39" s="2"/>
    </row>
    <row r="40" spans="1:11" x14ac:dyDescent="0.25">
      <c r="A40" s="1">
        <v>44784.26462962963</v>
      </c>
      <c r="B40" s="1">
        <v>44784.264606481483</v>
      </c>
      <c r="C40">
        <v>4.5</v>
      </c>
      <c r="D40">
        <v>4.0999999999999996</v>
      </c>
      <c r="E40">
        <v>0</v>
      </c>
      <c r="F40">
        <v>0</v>
      </c>
      <c r="G40" t="s">
        <v>33</v>
      </c>
      <c r="H40" t="s">
        <v>38</v>
      </c>
      <c r="J40" s="2"/>
      <c r="K40" s="2"/>
    </row>
    <row r="41" spans="1:11" x14ac:dyDescent="0.25">
      <c r="A41" s="1">
        <v>44784.271574074075</v>
      </c>
      <c r="B41" s="1">
        <v>44784.271550925929</v>
      </c>
      <c r="C41">
        <v>4.5999999999999996</v>
      </c>
      <c r="D41">
        <v>4.0999999999999996</v>
      </c>
      <c r="E41">
        <v>0</v>
      </c>
      <c r="F41">
        <v>0</v>
      </c>
      <c r="G41" t="s">
        <v>33</v>
      </c>
      <c r="H41" t="s">
        <v>38</v>
      </c>
      <c r="J41" s="2"/>
      <c r="K41" s="2"/>
    </row>
    <row r="42" spans="1:11" x14ac:dyDescent="0.25">
      <c r="A42" s="1">
        <v>44784.27851851852</v>
      </c>
      <c r="B42" s="1">
        <v>44784.278495370374</v>
      </c>
      <c r="C42">
        <v>4.5</v>
      </c>
      <c r="D42">
        <v>4.2</v>
      </c>
      <c r="E42">
        <v>0</v>
      </c>
      <c r="F42">
        <v>0</v>
      </c>
      <c r="G42" t="s">
        <v>33</v>
      </c>
      <c r="H42" t="s">
        <v>38</v>
      </c>
      <c r="J42" s="2"/>
      <c r="K42" s="2"/>
    </row>
    <row r="43" spans="1:11" x14ac:dyDescent="0.25">
      <c r="A43" s="1">
        <v>44784.285462962966</v>
      </c>
      <c r="B43" s="1">
        <v>44784.285439814812</v>
      </c>
      <c r="C43">
        <v>4.5</v>
      </c>
      <c r="D43">
        <v>4.3</v>
      </c>
      <c r="E43">
        <v>0</v>
      </c>
      <c r="F43">
        <v>0</v>
      </c>
      <c r="G43" t="s">
        <v>33</v>
      </c>
      <c r="H43" t="s">
        <v>38</v>
      </c>
      <c r="J43" s="2"/>
      <c r="K43" s="2"/>
    </row>
    <row r="44" spans="1:11" x14ac:dyDescent="0.25">
      <c r="A44" s="1">
        <v>44784.292407407411</v>
      </c>
      <c r="B44" s="1">
        <v>44784.292384259257</v>
      </c>
      <c r="C44">
        <v>4.3</v>
      </c>
      <c r="D44">
        <v>4.3</v>
      </c>
      <c r="E44">
        <v>0</v>
      </c>
      <c r="F44">
        <v>0</v>
      </c>
      <c r="G44" t="s">
        <v>33</v>
      </c>
      <c r="H44" t="s">
        <v>38</v>
      </c>
      <c r="J44" t="str">
        <f>IF(COUNT(I39:I44)&gt;3.5,ROUND(AVERAGE(I39:I44),2),"")</f>
        <v/>
      </c>
      <c r="K44" t="str">
        <f>IF(COUNT(, , , , , , , , NA, NA, NA, NA, NA, NA, NA, NA, NA, NA, NA, NA, NA, NA, NA, NA)&gt;17.5,ROUND(AVERAGE(, , , , , , , , 0, 0, 0, 0, 0, 0, 0, 0, 0, 0, 0, 0, 0, 0, 0, 0),2),"NO AVG")</f>
        <v>NO AVG</v>
      </c>
    </row>
    <row r="45" spans="1:11" x14ac:dyDescent="0.25">
      <c r="A45" s="1">
        <v>44784.299363425926</v>
      </c>
      <c r="B45" s="1">
        <v>44784.299340277779</v>
      </c>
      <c r="C45">
        <v>4.4000000000000004</v>
      </c>
      <c r="D45">
        <v>4.4000000000000004</v>
      </c>
      <c r="E45">
        <v>0</v>
      </c>
      <c r="F45">
        <v>0</v>
      </c>
      <c r="G45" t="s">
        <v>33</v>
      </c>
      <c r="H45" t="s">
        <v>38</v>
      </c>
      <c r="J45" s="2"/>
      <c r="K45" s="2"/>
    </row>
    <row r="46" spans="1:11" x14ac:dyDescent="0.25">
      <c r="A46" s="1">
        <v>44784.306296296294</v>
      </c>
      <c r="B46" s="1">
        <v>44784.306273148148</v>
      </c>
      <c r="C46">
        <v>4.5999999999999996</v>
      </c>
      <c r="D46">
        <v>4.5</v>
      </c>
      <c r="E46">
        <v>0</v>
      </c>
      <c r="F46">
        <v>0</v>
      </c>
      <c r="G46" t="s">
        <v>33</v>
      </c>
      <c r="H46" t="s">
        <v>38</v>
      </c>
      <c r="J46" s="2"/>
      <c r="K46" s="2"/>
    </row>
    <row r="47" spans="1:11" x14ac:dyDescent="0.25">
      <c r="A47" s="1">
        <v>44784.313240740739</v>
      </c>
      <c r="B47" s="1">
        <v>44784.313217592593</v>
      </c>
      <c r="C47">
        <v>4.5999999999999996</v>
      </c>
      <c r="D47">
        <v>4.4000000000000004</v>
      </c>
      <c r="E47">
        <v>0</v>
      </c>
      <c r="F47">
        <v>0</v>
      </c>
      <c r="G47" t="s">
        <v>33</v>
      </c>
      <c r="H47" t="s">
        <v>38</v>
      </c>
      <c r="J47" s="2"/>
      <c r="K47" s="2"/>
    </row>
    <row r="48" spans="1:11" x14ac:dyDescent="0.25">
      <c r="A48" s="1">
        <v>44784.320185185185</v>
      </c>
      <c r="B48" s="1">
        <v>44784.320162037038</v>
      </c>
      <c r="C48">
        <v>4.5999999999999996</v>
      </c>
      <c r="D48">
        <v>4.4000000000000004</v>
      </c>
      <c r="E48">
        <v>0</v>
      </c>
      <c r="F48">
        <v>0</v>
      </c>
      <c r="G48" t="s">
        <v>33</v>
      </c>
      <c r="H48" t="s">
        <v>38</v>
      </c>
      <c r="J48" s="2"/>
      <c r="K48" s="2"/>
    </row>
    <row r="49" spans="1:11" x14ac:dyDescent="0.25">
      <c r="A49" s="1">
        <v>44784.327141203707</v>
      </c>
      <c r="B49" s="1">
        <v>44784.327106481483</v>
      </c>
      <c r="C49">
        <v>4.7</v>
      </c>
      <c r="D49">
        <v>4.5999999999999996</v>
      </c>
      <c r="E49">
        <v>0</v>
      </c>
      <c r="F49">
        <v>0</v>
      </c>
      <c r="G49" t="s">
        <v>33</v>
      </c>
      <c r="H49" t="s">
        <v>38</v>
      </c>
      <c r="J49" s="2"/>
      <c r="K49" s="2"/>
    </row>
    <row r="50" spans="1:11" x14ac:dyDescent="0.25">
      <c r="A50" s="1">
        <v>44784.334074074075</v>
      </c>
      <c r="B50" s="1">
        <v>44784.334050925929</v>
      </c>
      <c r="C50">
        <v>4.5999999999999996</v>
      </c>
      <c r="D50">
        <v>4.5999999999999996</v>
      </c>
      <c r="E50">
        <v>0</v>
      </c>
      <c r="F50">
        <v>0</v>
      </c>
      <c r="G50" t="s">
        <v>33</v>
      </c>
      <c r="H50" t="s">
        <v>38</v>
      </c>
      <c r="J50" t="str">
        <f>IF(COUNT(I45:I50)&gt;3.5,ROUND(AVERAGE(I45:I50),2),"")</f>
        <v/>
      </c>
      <c r="K50" t="str">
        <f>IF(COUNT(, , , , , , , , , NA, NA, NA, NA, NA, NA, NA, NA, NA, NA, NA, NA, NA, NA, NA)&gt;17.5,ROUND(AVERAGE(, , , , , , , , , 0, 0, 0, 0, 0, 0, 0, 0, 0, 0, 0, 0, 0, 0, 0),2),"NO AVG")</f>
        <v>NO AVG</v>
      </c>
    </row>
    <row r="51" spans="1:11" x14ac:dyDescent="0.25">
      <c r="A51" s="1">
        <v>44784.34103009259</v>
      </c>
      <c r="B51" s="1">
        <v>44784.340995370374</v>
      </c>
      <c r="C51">
        <v>4.5</v>
      </c>
      <c r="D51">
        <v>4.7</v>
      </c>
      <c r="E51">
        <v>0</v>
      </c>
      <c r="F51">
        <v>0</v>
      </c>
      <c r="G51" t="s">
        <v>33</v>
      </c>
      <c r="H51" t="s">
        <v>38</v>
      </c>
      <c r="J51" s="2"/>
      <c r="K51" s="2"/>
    </row>
    <row r="52" spans="1:11" x14ac:dyDescent="0.25">
      <c r="A52" s="1">
        <v>44784.347974537035</v>
      </c>
      <c r="B52" s="1">
        <v>44784.347951388889</v>
      </c>
      <c r="C52">
        <v>4.3</v>
      </c>
      <c r="D52">
        <v>4.5</v>
      </c>
      <c r="E52">
        <v>0</v>
      </c>
      <c r="F52">
        <v>0</v>
      </c>
      <c r="G52" t="s">
        <v>33</v>
      </c>
      <c r="H52" t="s">
        <v>38</v>
      </c>
      <c r="J52" s="2"/>
      <c r="K52" s="2"/>
    </row>
    <row r="53" spans="1:11" x14ac:dyDescent="0.25">
      <c r="A53" s="1">
        <v>44784.354907407411</v>
      </c>
      <c r="B53" s="1">
        <v>44784.354884259257</v>
      </c>
      <c r="C53">
        <v>4.4000000000000004</v>
      </c>
      <c r="D53">
        <v>4.4000000000000004</v>
      </c>
      <c r="E53">
        <v>0</v>
      </c>
      <c r="F53">
        <v>0</v>
      </c>
      <c r="G53" t="s">
        <v>33</v>
      </c>
      <c r="H53" t="s">
        <v>38</v>
      </c>
      <c r="J53" s="2"/>
      <c r="K53" s="2"/>
    </row>
    <row r="54" spans="1:11" x14ac:dyDescent="0.25">
      <c r="A54" s="1">
        <v>44784.361851851849</v>
      </c>
      <c r="B54" s="1">
        <v>44784.361828703702</v>
      </c>
      <c r="C54">
        <v>4.5</v>
      </c>
      <c r="D54">
        <v>4.5</v>
      </c>
      <c r="E54">
        <v>0</v>
      </c>
      <c r="F54">
        <v>0</v>
      </c>
      <c r="G54" t="s">
        <v>33</v>
      </c>
      <c r="H54" t="s">
        <v>38</v>
      </c>
      <c r="J54" s="2"/>
      <c r="K54" s="2"/>
    </row>
    <row r="55" spans="1:11" x14ac:dyDescent="0.25">
      <c r="A55" s="1">
        <v>44784.368807870371</v>
      </c>
      <c r="B55" s="1">
        <v>44784.368784722225</v>
      </c>
      <c r="C55">
        <v>4.9000000000000004</v>
      </c>
      <c r="D55">
        <v>4.7</v>
      </c>
      <c r="E55">
        <v>0</v>
      </c>
      <c r="F55">
        <v>0</v>
      </c>
      <c r="G55" t="s">
        <v>33</v>
      </c>
      <c r="H55" t="s">
        <v>38</v>
      </c>
      <c r="J55" s="2"/>
      <c r="K55" s="2"/>
    </row>
    <row r="56" spans="1:11" x14ac:dyDescent="0.25">
      <c r="A56" s="1">
        <v>44784.375752314816</v>
      </c>
      <c r="B56" s="1">
        <v>44784.375717592593</v>
      </c>
      <c r="C56">
        <v>5.4</v>
      </c>
      <c r="D56">
        <v>5.0999999999999996</v>
      </c>
      <c r="E56">
        <v>0</v>
      </c>
      <c r="F56">
        <v>0</v>
      </c>
      <c r="G56" t="s">
        <v>33</v>
      </c>
      <c r="H56" t="s">
        <v>38</v>
      </c>
      <c r="J56" t="str">
        <f>IF(COUNT(I51:I56)&gt;3.5,ROUND(AVERAGE(I51:I56),2),"")</f>
        <v/>
      </c>
      <c r="K56" t="str">
        <f>IF(COUNT(, , , , , , , , , , NA, NA, NA, NA, NA, NA, NA, NA, NA, NA, NA, NA, NA, NA)&gt;17.5,ROUND(AVERAGE(, , , , , , , , , , 0, 0, 0, 0, 0, 0, 0, 0, 0, 0, 0, 0, 0, 0),2),"NO AVG")</f>
        <v>NO AVG</v>
      </c>
    </row>
    <row r="57" spans="1:11" x14ac:dyDescent="0.25">
      <c r="A57" s="1">
        <v>44784.382696759261</v>
      </c>
      <c r="B57" s="1">
        <v>44784.382662037038</v>
      </c>
      <c r="C57">
        <v>5.6</v>
      </c>
      <c r="D57">
        <v>5.4</v>
      </c>
      <c r="E57">
        <v>0</v>
      </c>
      <c r="F57">
        <v>0</v>
      </c>
      <c r="G57" t="s">
        <v>33</v>
      </c>
      <c r="H57" t="s">
        <v>38</v>
      </c>
      <c r="J57" s="2"/>
      <c r="K57" s="2"/>
    </row>
    <row r="58" spans="1:11" x14ac:dyDescent="0.25">
      <c r="A58" s="1">
        <v>44784.389641203707</v>
      </c>
      <c r="B58" s="1">
        <v>44784.389618055553</v>
      </c>
      <c r="C58">
        <v>5.6</v>
      </c>
      <c r="D58">
        <v>5.5</v>
      </c>
      <c r="E58">
        <v>0</v>
      </c>
      <c r="F58">
        <v>0</v>
      </c>
      <c r="G58" t="s">
        <v>33</v>
      </c>
      <c r="H58" t="s">
        <v>38</v>
      </c>
      <c r="J58" s="2"/>
      <c r="K58" s="2"/>
    </row>
    <row r="59" spans="1:11" x14ac:dyDescent="0.25">
      <c r="A59" s="1">
        <v>44784.396585648145</v>
      </c>
      <c r="B59" s="1">
        <v>44784.396562499998</v>
      </c>
      <c r="C59">
        <v>5.7</v>
      </c>
      <c r="D59">
        <v>5.3</v>
      </c>
      <c r="E59">
        <v>0</v>
      </c>
      <c r="F59">
        <v>0</v>
      </c>
      <c r="G59" t="s">
        <v>33</v>
      </c>
      <c r="H59" t="s">
        <v>38</v>
      </c>
      <c r="J59" s="2"/>
      <c r="K59" s="2"/>
    </row>
    <row r="60" spans="1:11" x14ac:dyDescent="0.25">
      <c r="A60" s="1">
        <v>44784.40353009259</v>
      </c>
      <c r="B60" s="1">
        <v>44784.403506944444</v>
      </c>
      <c r="C60">
        <v>5.7</v>
      </c>
      <c r="D60">
        <v>5.3</v>
      </c>
      <c r="E60">
        <v>0</v>
      </c>
      <c r="F60">
        <v>0</v>
      </c>
      <c r="G60" t="s">
        <v>33</v>
      </c>
      <c r="H60" t="s">
        <v>38</v>
      </c>
      <c r="J60" s="2"/>
      <c r="K60" s="2"/>
    </row>
    <row r="61" spans="1:11" x14ac:dyDescent="0.25">
      <c r="A61" s="1">
        <v>44784.410474537035</v>
      </c>
      <c r="B61" s="1">
        <v>44784.410451388889</v>
      </c>
      <c r="C61">
        <v>5.3</v>
      </c>
      <c r="D61">
        <v>5</v>
      </c>
      <c r="E61">
        <v>0</v>
      </c>
      <c r="F61">
        <v>0</v>
      </c>
      <c r="G61" t="s">
        <v>33</v>
      </c>
      <c r="H61" t="s">
        <v>38</v>
      </c>
      <c r="J61" s="2"/>
      <c r="K61" s="2"/>
    </row>
    <row r="62" spans="1:11" x14ac:dyDescent="0.25">
      <c r="A62" s="1">
        <v>44784.41741898148</v>
      </c>
      <c r="B62" s="1">
        <v>44784.417395833334</v>
      </c>
      <c r="C62">
        <v>5.3</v>
      </c>
      <c r="D62">
        <v>5</v>
      </c>
      <c r="E62">
        <v>0</v>
      </c>
      <c r="F62">
        <v>0</v>
      </c>
      <c r="G62" t="s">
        <v>33</v>
      </c>
      <c r="H62" t="s">
        <v>38</v>
      </c>
      <c r="J62" t="str">
        <f>IF(COUNT(I57:I62)&gt;3.5,ROUND(AVERAGE(I57:I62),2),"")</f>
        <v/>
      </c>
      <c r="K62" t="str">
        <f>IF(COUNT(, , , , , , , , , , , NA, NA, NA, NA, NA, NA, NA, NA, NA, NA, NA, NA, NA)&gt;17.5,ROUND(AVERAGE(, , , , , , , , , , , 0, 0, 0, 0, 0, 0, 0, 0, 0, 0, 0, 0, 0),2),"NO AVG")</f>
        <v>NO AVG</v>
      </c>
    </row>
    <row r="63" spans="1:11" x14ac:dyDescent="0.25">
      <c r="A63" s="1">
        <v>44784.424363425926</v>
      </c>
      <c r="B63" s="1">
        <v>44784.424340277779</v>
      </c>
      <c r="C63">
        <v>5.5</v>
      </c>
      <c r="D63">
        <v>5.3</v>
      </c>
      <c r="E63">
        <v>0</v>
      </c>
      <c r="F63">
        <v>0</v>
      </c>
      <c r="G63" t="s">
        <v>33</v>
      </c>
      <c r="H63" t="s">
        <v>38</v>
      </c>
      <c r="J63" s="2"/>
      <c r="K63" s="2"/>
    </row>
    <row r="64" spans="1:11" x14ac:dyDescent="0.25">
      <c r="A64" s="1">
        <v>44784.431307870371</v>
      </c>
      <c r="B64" s="1">
        <v>44784.431284722225</v>
      </c>
      <c r="C64">
        <v>5.5</v>
      </c>
      <c r="D64">
        <v>5.4</v>
      </c>
      <c r="E64">
        <v>0</v>
      </c>
      <c r="F64">
        <v>0</v>
      </c>
      <c r="G64" t="s">
        <v>33</v>
      </c>
      <c r="H64" t="s">
        <v>38</v>
      </c>
      <c r="J64" s="2"/>
      <c r="K64" s="2"/>
    </row>
    <row r="65" spans="1:11" x14ac:dyDescent="0.25">
      <c r="A65" s="1">
        <v>44784.438252314816</v>
      </c>
      <c r="B65" s="1">
        <v>44784.43822916667</v>
      </c>
      <c r="C65">
        <v>5.7</v>
      </c>
      <c r="D65">
        <v>5.4</v>
      </c>
      <c r="E65">
        <v>0</v>
      </c>
      <c r="F65">
        <v>0</v>
      </c>
      <c r="G65" t="s">
        <v>33</v>
      </c>
      <c r="H65" t="s">
        <v>38</v>
      </c>
      <c r="J65" s="2"/>
      <c r="K65" s="2"/>
    </row>
    <row r="66" spans="1:11" x14ac:dyDescent="0.25">
      <c r="A66" s="1">
        <v>44784.445196759261</v>
      </c>
      <c r="B66" s="1">
        <v>44784.445173611108</v>
      </c>
      <c r="C66">
        <v>5.7</v>
      </c>
      <c r="D66">
        <v>5.4</v>
      </c>
      <c r="E66">
        <v>0</v>
      </c>
      <c r="F66">
        <v>0</v>
      </c>
      <c r="G66" t="s">
        <v>33</v>
      </c>
      <c r="H66" t="s">
        <v>38</v>
      </c>
      <c r="J66" s="2"/>
      <c r="K66" s="2"/>
    </row>
    <row r="67" spans="1:11" x14ac:dyDescent="0.25">
      <c r="A67" s="1">
        <v>44784.452141203707</v>
      </c>
      <c r="B67" s="1">
        <v>44784.452118055553</v>
      </c>
      <c r="C67">
        <v>5.8</v>
      </c>
      <c r="D67">
        <v>5.4</v>
      </c>
      <c r="E67">
        <v>0</v>
      </c>
      <c r="F67">
        <v>0</v>
      </c>
      <c r="G67" t="s">
        <v>33</v>
      </c>
      <c r="H67" t="s">
        <v>38</v>
      </c>
      <c r="J67" s="2"/>
      <c r="K67" s="2"/>
    </row>
    <row r="68" spans="1:11" x14ac:dyDescent="0.25">
      <c r="A68" s="1">
        <v>44784.459085648145</v>
      </c>
      <c r="B68" s="1">
        <v>44784.459062499998</v>
      </c>
      <c r="C68">
        <v>5.4</v>
      </c>
      <c r="D68">
        <v>5.2</v>
      </c>
      <c r="E68">
        <v>0</v>
      </c>
      <c r="F68">
        <v>0</v>
      </c>
      <c r="G68" t="s">
        <v>33</v>
      </c>
      <c r="H68" t="s">
        <v>38</v>
      </c>
      <c r="J68" t="str">
        <f>IF(COUNT(I63:I68)&gt;3.5,ROUND(AVERAGE(I63:I68),2),"")</f>
        <v/>
      </c>
      <c r="K68" t="str">
        <f>IF(COUNT(, , , , , , , , , , , , NA, NA, NA, NA, NA, NA, NA, NA, NA, NA, NA, NA)&gt;17.5,ROUND(AVERAGE(, , , , , , , , , , , , 0, 0, 0, 0, 0, 0, 0, 0, 0, 0, 0, 0),2),"NO AVG")</f>
        <v>NO AVG</v>
      </c>
    </row>
    <row r="69" spans="1:11" x14ac:dyDescent="0.25">
      <c r="A69" s="1">
        <v>44784.46603009259</v>
      </c>
      <c r="B69" s="1">
        <v>44784.466006944444</v>
      </c>
      <c r="C69">
        <v>5.3</v>
      </c>
      <c r="D69">
        <v>5.0999999999999996</v>
      </c>
      <c r="E69">
        <v>0</v>
      </c>
      <c r="F69">
        <v>0</v>
      </c>
      <c r="G69" t="s">
        <v>33</v>
      </c>
      <c r="H69" t="s">
        <v>38</v>
      </c>
      <c r="J69" s="2"/>
      <c r="K69" s="2"/>
    </row>
    <row r="70" spans="1:11" x14ac:dyDescent="0.25">
      <c r="A70" s="1">
        <v>44784.472974537035</v>
      </c>
      <c r="B70" s="1">
        <v>44784.472951388889</v>
      </c>
      <c r="C70">
        <v>4.9000000000000004</v>
      </c>
      <c r="D70">
        <v>4.8</v>
      </c>
      <c r="E70">
        <v>0</v>
      </c>
      <c r="F70">
        <v>0</v>
      </c>
      <c r="G70" t="s">
        <v>33</v>
      </c>
      <c r="H70" t="s">
        <v>38</v>
      </c>
      <c r="J70" s="2"/>
      <c r="K70" s="2"/>
    </row>
    <row r="71" spans="1:11" x14ac:dyDescent="0.25">
      <c r="A71" s="1">
        <v>44784.47991898148</v>
      </c>
      <c r="B71" s="1">
        <v>44784.479895833334</v>
      </c>
      <c r="C71">
        <v>4.5999999999999996</v>
      </c>
      <c r="D71">
        <v>4.5999999999999996</v>
      </c>
      <c r="E71">
        <v>0</v>
      </c>
      <c r="F71">
        <v>0</v>
      </c>
      <c r="G71" t="s">
        <v>33</v>
      </c>
      <c r="H71" t="s">
        <v>38</v>
      </c>
      <c r="J71" s="2"/>
      <c r="K71" s="2"/>
    </row>
    <row r="72" spans="1:11" x14ac:dyDescent="0.25">
      <c r="A72" s="1">
        <v>44784.486863425926</v>
      </c>
      <c r="B72" s="1">
        <v>44784.486840277779</v>
      </c>
      <c r="C72">
        <v>4.0999999999999996</v>
      </c>
      <c r="D72">
        <v>4.0999999999999996</v>
      </c>
      <c r="E72">
        <v>0</v>
      </c>
      <c r="F72">
        <v>0</v>
      </c>
      <c r="G72" t="s">
        <v>33</v>
      </c>
      <c r="H72" t="s">
        <v>38</v>
      </c>
      <c r="J72" s="2"/>
      <c r="K72" s="2"/>
    </row>
    <row r="73" spans="1:11" x14ac:dyDescent="0.25">
      <c r="A73" s="1">
        <v>44784.493807870371</v>
      </c>
      <c r="B73" s="1">
        <v>44784.493784722225</v>
      </c>
      <c r="C73">
        <v>3.7</v>
      </c>
      <c r="D73">
        <v>3.5</v>
      </c>
      <c r="E73">
        <v>0</v>
      </c>
      <c r="F73">
        <v>0</v>
      </c>
      <c r="G73" t="s">
        <v>33</v>
      </c>
      <c r="H73" t="s">
        <v>38</v>
      </c>
      <c r="J73" s="2"/>
      <c r="K73" s="2"/>
    </row>
    <row r="74" spans="1:11" x14ac:dyDescent="0.25">
      <c r="A74" s="1">
        <v>44784.500752314816</v>
      </c>
      <c r="B74" s="1">
        <v>44784.50072916667</v>
      </c>
      <c r="C74">
        <v>3.6</v>
      </c>
      <c r="D74">
        <v>3.5</v>
      </c>
      <c r="E74">
        <v>0</v>
      </c>
      <c r="F74">
        <v>0</v>
      </c>
      <c r="G74" t="s">
        <v>33</v>
      </c>
      <c r="H74" t="s">
        <v>38</v>
      </c>
      <c r="J74" t="str">
        <f>IF(COUNT(I69:I74)&gt;3.5,ROUND(AVERAGE(I69:I74),2),"")</f>
        <v/>
      </c>
      <c r="K74" t="str">
        <f>IF(COUNT(, , , , , , , , , , , , , NA, NA, NA, NA, NA, NA, NA, NA, NA, NA, NA)&gt;17.5,ROUND(AVERAGE(, , , , , , , , , , , , , 0, 0, 0, 0, 0, 0, 0, 0, 0, 0, 0),2),"NO AVG")</f>
        <v>NO AVG</v>
      </c>
    </row>
    <row r="75" spans="1:11" x14ac:dyDescent="0.25">
      <c r="A75" s="1">
        <v>44784.507696759261</v>
      </c>
      <c r="B75" s="1">
        <v>44784.507673611108</v>
      </c>
      <c r="C75">
        <v>3.4</v>
      </c>
      <c r="D75">
        <v>3.3</v>
      </c>
      <c r="E75">
        <v>0</v>
      </c>
      <c r="F75">
        <v>0</v>
      </c>
      <c r="G75" t="s">
        <v>33</v>
      </c>
      <c r="H75" t="s">
        <v>38</v>
      </c>
      <c r="J75" s="2"/>
      <c r="K75" s="2"/>
    </row>
    <row r="76" spans="1:11" x14ac:dyDescent="0.25">
      <c r="A76" s="1">
        <v>44784.514641203707</v>
      </c>
      <c r="B76" s="1">
        <v>44784.514618055553</v>
      </c>
      <c r="C76">
        <v>3.2</v>
      </c>
      <c r="D76">
        <v>3.2</v>
      </c>
      <c r="E76">
        <v>0</v>
      </c>
      <c r="F76">
        <v>0</v>
      </c>
      <c r="G76" t="s">
        <v>33</v>
      </c>
      <c r="H76" t="s">
        <v>38</v>
      </c>
      <c r="J76" s="2"/>
      <c r="K76" s="2"/>
    </row>
    <row r="77" spans="1:11" x14ac:dyDescent="0.25">
      <c r="A77" s="1">
        <v>44784.521585648145</v>
      </c>
      <c r="B77" s="1">
        <v>44784.521562499998</v>
      </c>
      <c r="C77">
        <v>3.2</v>
      </c>
      <c r="D77">
        <v>3.2</v>
      </c>
      <c r="E77">
        <v>0</v>
      </c>
      <c r="F77">
        <v>0</v>
      </c>
      <c r="G77" t="s">
        <v>33</v>
      </c>
      <c r="H77" t="s">
        <v>38</v>
      </c>
      <c r="J77" s="2"/>
      <c r="K77" s="2"/>
    </row>
    <row r="78" spans="1:11" x14ac:dyDescent="0.25">
      <c r="A78" s="1">
        <v>44784.52853009259</v>
      </c>
      <c r="B78" s="1">
        <v>44784.528506944444</v>
      </c>
      <c r="C78">
        <v>3.2</v>
      </c>
      <c r="D78">
        <v>3.2</v>
      </c>
      <c r="E78">
        <v>0</v>
      </c>
      <c r="F78">
        <v>0</v>
      </c>
      <c r="G78" t="s">
        <v>33</v>
      </c>
      <c r="H78" t="s">
        <v>38</v>
      </c>
      <c r="J78" s="2"/>
      <c r="K78" s="2"/>
    </row>
    <row r="79" spans="1:11" x14ac:dyDescent="0.25">
      <c r="A79" s="1">
        <v>44784.535474537035</v>
      </c>
      <c r="B79" s="1">
        <v>44784.535451388889</v>
      </c>
      <c r="C79">
        <v>3.3</v>
      </c>
      <c r="D79">
        <v>3.1</v>
      </c>
      <c r="E79">
        <v>0</v>
      </c>
      <c r="F79">
        <v>0</v>
      </c>
      <c r="G79" t="s">
        <v>33</v>
      </c>
      <c r="H79" t="s">
        <v>38</v>
      </c>
      <c r="J79" s="2"/>
      <c r="K79" s="2"/>
    </row>
    <row r="80" spans="1:11" x14ac:dyDescent="0.25">
      <c r="A80" s="1">
        <v>44784.54241898148</v>
      </c>
      <c r="B80" s="1">
        <v>44784.542395833334</v>
      </c>
      <c r="C80">
        <v>3.2</v>
      </c>
      <c r="D80">
        <v>2.9</v>
      </c>
      <c r="E80">
        <v>0</v>
      </c>
      <c r="F80">
        <v>0</v>
      </c>
      <c r="G80" t="s">
        <v>33</v>
      </c>
      <c r="H80" t="s">
        <v>38</v>
      </c>
      <c r="J80" t="str">
        <f>IF(COUNT(I75:I80)&gt;3.5,ROUND(AVERAGE(I75:I80),2),"")</f>
        <v/>
      </c>
      <c r="K80" t="str">
        <f>IF(COUNT(, , , , , , , , , , , , , , NA, NA, NA, NA, NA, NA, NA, NA, NA, NA)&gt;17.5,ROUND(AVERAGE(, , , , , , , , , , , , , , 0, 0, 0, 0, 0, 0, 0, 0, 0, 0),2),"NO AVG")</f>
        <v>NO AVG</v>
      </c>
    </row>
    <row r="81" spans="1:11" x14ac:dyDescent="0.25">
      <c r="A81" s="1">
        <v>44784.549363425926</v>
      </c>
      <c r="B81" s="1">
        <v>44784.549340277779</v>
      </c>
      <c r="C81">
        <v>3</v>
      </c>
      <c r="D81">
        <v>2.8</v>
      </c>
      <c r="E81">
        <v>0</v>
      </c>
      <c r="F81">
        <v>0</v>
      </c>
      <c r="G81" t="s">
        <v>33</v>
      </c>
      <c r="H81" t="s">
        <v>38</v>
      </c>
      <c r="J81" s="2"/>
      <c r="K81" s="2"/>
    </row>
    <row r="82" spans="1:11" x14ac:dyDescent="0.25">
      <c r="A82" s="1">
        <v>44784.55672453704</v>
      </c>
      <c r="B82" s="1">
        <v>44784.556284722225</v>
      </c>
      <c r="C82">
        <v>2.7</v>
      </c>
      <c r="D82">
        <v>2.8</v>
      </c>
      <c r="E82">
        <v>0</v>
      </c>
      <c r="F82">
        <v>0</v>
      </c>
      <c r="G82" t="s">
        <v>33</v>
      </c>
      <c r="H82" t="s">
        <v>38</v>
      </c>
      <c r="J82" s="2"/>
      <c r="K82" s="2"/>
    </row>
    <row r="83" spans="1:11" x14ac:dyDescent="0.25">
      <c r="A83" s="1">
        <v>44784.563252314816</v>
      </c>
      <c r="B83" s="1">
        <v>44784.56322916667</v>
      </c>
      <c r="C83">
        <v>2.6</v>
      </c>
      <c r="D83">
        <v>2.6</v>
      </c>
      <c r="E83">
        <v>0</v>
      </c>
      <c r="F83">
        <v>0</v>
      </c>
      <c r="G83" t="s">
        <v>33</v>
      </c>
      <c r="H83" t="s">
        <v>38</v>
      </c>
      <c r="J83" s="2"/>
      <c r="K83" s="2"/>
    </row>
    <row r="84" spans="1:11" x14ac:dyDescent="0.25">
      <c r="A84" s="1">
        <v>44784.570196759261</v>
      </c>
      <c r="B84" s="1">
        <v>44784.570173611108</v>
      </c>
      <c r="C84">
        <v>2.5</v>
      </c>
      <c r="D84">
        <v>2.5</v>
      </c>
      <c r="E84">
        <v>0</v>
      </c>
      <c r="F84">
        <v>0</v>
      </c>
      <c r="G84" t="s">
        <v>33</v>
      </c>
      <c r="H84" t="s">
        <v>38</v>
      </c>
      <c r="J84" s="2"/>
      <c r="K84" s="2"/>
    </row>
    <row r="85" spans="1:11" x14ac:dyDescent="0.25">
      <c r="A85" s="1">
        <v>44784.577141203707</v>
      </c>
      <c r="B85" s="1">
        <v>44784.577118055553</v>
      </c>
      <c r="C85">
        <v>2.4</v>
      </c>
      <c r="D85">
        <v>2.4</v>
      </c>
      <c r="E85">
        <v>0</v>
      </c>
      <c r="F85">
        <v>0</v>
      </c>
      <c r="G85" t="s">
        <v>33</v>
      </c>
      <c r="H85" t="s">
        <v>38</v>
      </c>
      <c r="J85" s="2"/>
      <c r="K85" s="2"/>
    </row>
    <row r="86" spans="1:11" x14ac:dyDescent="0.25">
      <c r="A86" s="1">
        <v>44784.584085648145</v>
      </c>
      <c r="B86" s="1">
        <v>44784.584062499998</v>
      </c>
      <c r="C86">
        <v>2.2000000000000002</v>
      </c>
      <c r="D86">
        <v>2.2999999999999998</v>
      </c>
      <c r="E86">
        <v>0</v>
      </c>
      <c r="F86">
        <v>0</v>
      </c>
      <c r="G86" t="s">
        <v>33</v>
      </c>
      <c r="H86" t="s">
        <v>38</v>
      </c>
      <c r="J86" t="str">
        <f>IF(COUNT(I81:I86)&gt;3.5,ROUND(AVERAGE(I81:I86),2),"")</f>
        <v/>
      </c>
      <c r="K86" t="str">
        <f>IF(COUNT(, , , , , , , , , , , , , , , NA, NA, NA, NA, NA, NA, NA, NA, NA)&gt;17.5,ROUND(AVERAGE(, , , , , , , , , , , , , , , 0, 0, 0, 0, 0, 0, 0, 0, 0),2),"NO AVG")</f>
        <v>NO AVG</v>
      </c>
    </row>
    <row r="87" spans="1:11" x14ac:dyDescent="0.25">
      <c r="A87" s="1">
        <v>44784.59103009259</v>
      </c>
      <c r="B87" s="1">
        <v>44784.591006944444</v>
      </c>
      <c r="C87">
        <v>2.1</v>
      </c>
      <c r="D87">
        <v>2.2000000000000002</v>
      </c>
      <c r="E87">
        <v>0</v>
      </c>
      <c r="F87">
        <v>0</v>
      </c>
      <c r="G87" t="s">
        <v>33</v>
      </c>
      <c r="H87" t="s">
        <v>38</v>
      </c>
      <c r="J87" s="2"/>
      <c r="K87" s="2"/>
    </row>
    <row r="88" spans="1:11" x14ac:dyDescent="0.25">
      <c r="A88" s="1">
        <v>44784.597974537035</v>
      </c>
      <c r="B88" s="1">
        <v>44784.597951388889</v>
      </c>
      <c r="C88">
        <v>2.1</v>
      </c>
      <c r="D88">
        <v>2.1</v>
      </c>
      <c r="E88">
        <v>0</v>
      </c>
      <c r="F88">
        <v>0</v>
      </c>
      <c r="G88" t="s">
        <v>33</v>
      </c>
      <c r="H88" t="s">
        <v>38</v>
      </c>
      <c r="J88" s="2"/>
      <c r="K88" s="2"/>
    </row>
    <row r="89" spans="1:11" x14ac:dyDescent="0.25">
      <c r="A89" s="1">
        <v>44784.60491898148</v>
      </c>
      <c r="B89" s="1">
        <v>44784.604895833334</v>
      </c>
      <c r="C89">
        <v>2.1</v>
      </c>
      <c r="D89">
        <v>2.2000000000000002</v>
      </c>
      <c r="E89">
        <v>0</v>
      </c>
      <c r="F89">
        <v>0</v>
      </c>
      <c r="G89" t="s">
        <v>33</v>
      </c>
      <c r="H89" t="s">
        <v>38</v>
      </c>
      <c r="J89" s="2"/>
      <c r="K89" s="2"/>
    </row>
    <row r="90" spans="1:11" x14ac:dyDescent="0.25">
      <c r="A90" s="1">
        <v>44784.611863425926</v>
      </c>
      <c r="B90" s="1">
        <v>44784.611840277779</v>
      </c>
      <c r="C90">
        <v>2.2000000000000002</v>
      </c>
      <c r="D90">
        <v>2.2999999999999998</v>
      </c>
      <c r="E90">
        <v>0</v>
      </c>
      <c r="F90">
        <v>0</v>
      </c>
      <c r="G90" t="s">
        <v>33</v>
      </c>
      <c r="H90" t="s">
        <v>38</v>
      </c>
      <c r="J90" s="2"/>
      <c r="K90" s="2"/>
    </row>
    <row r="91" spans="1:11" x14ac:dyDescent="0.25">
      <c r="A91" s="1">
        <v>44784.618807870371</v>
      </c>
      <c r="B91" s="1">
        <v>44784.618784722225</v>
      </c>
      <c r="C91">
        <v>2.2000000000000002</v>
      </c>
      <c r="D91">
        <v>2.4</v>
      </c>
      <c r="E91">
        <v>0</v>
      </c>
      <c r="F91">
        <v>0</v>
      </c>
      <c r="G91" t="s">
        <v>33</v>
      </c>
      <c r="H91" t="s">
        <v>38</v>
      </c>
      <c r="J91" s="2"/>
      <c r="K91" s="2"/>
    </row>
    <row r="92" spans="1:11" x14ac:dyDescent="0.25">
      <c r="A92" s="1">
        <v>44784.625752314816</v>
      </c>
      <c r="B92" s="1">
        <v>44784.62572916667</v>
      </c>
      <c r="C92">
        <v>2.2999999999999998</v>
      </c>
      <c r="D92">
        <v>2.2000000000000002</v>
      </c>
      <c r="E92">
        <v>0</v>
      </c>
      <c r="F92">
        <v>0</v>
      </c>
      <c r="G92" t="s">
        <v>33</v>
      </c>
      <c r="H92" t="s">
        <v>38</v>
      </c>
      <c r="J92" t="str">
        <f>IF(COUNT(I87:I92)&gt;3.5,ROUND(AVERAGE(I87:I92),2),"")</f>
        <v/>
      </c>
      <c r="K92" t="str">
        <f>IF(COUNT(, , , , , , , , , , , , , , , , NA, NA, NA, NA, NA, NA, NA, NA)&gt;17.5,ROUND(AVERAGE(, , , , , , , , , , , , , , , , 0, 0, 0, 0, 0, 0, 0, 0),2),"NO AVG")</f>
        <v>NO AVG</v>
      </c>
    </row>
    <row r="93" spans="1:11" x14ac:dyDescent="0.25">
      <c r="A93" s="1">
        <v>44784.632685185185</v>
      </c>
      <c r="B93" s="1">
        <v>44784.632673611108</v>
      </c>
      <c r="C93">
        <v>2.2999999999999998</v>
      </c>
      <c r="D93">
        <v>2.2999999999999998</v>
      </c>
      <c r="E93">
        <v>0</v>
      </c>
      <c r="F93">
        <v>0</v>
      </c>
      <c r="G93" t="s">
        <v>33</v>
      </c>
      <c r="H93" t="s">
        <v>38</v>
      </c>
      <c r="J93" s="2"/>
      <c r="K93" s="2"/>
    </row>
    <row r="94" spans="1:11" x14ac:dyDescent="0.25">
      <c r="A94" s="1">
        <v>44784.63962962963</v>
      </c>
      <c r="B94" s="1">
        <v>44784.639618055553</v>
      </c>
      <c r="C94">
        <v>2.2999999999999998</v>
      </c>
      <c r="D94">
        <v>2.2999999999999998</v>
      </c>
      <c r="E94">
        <v>0</v>
      </c>
      <c r="F94">
        <v>0</v>
      </c>
      <c r="G94" t="s">
        <v>33</v>
      </c>
      <c r="H94" t="s">
        <v>38</v>
      </c>
      <c r="J94" s="2"/>
      <c r="K94" s="2"/>
    </row>
    <row r="95" spans="1:11" x14ac:dyDescent="0.25">
      <c r="A95" s="1">
        <v>44784.646574074075</v>
      </c>
      <c r="B95" s="1">
        <v>44784.646562499998</v>
      </c>
      <c r="C95">
        <v>2.2999999999999998</v>
      </c>
      <c r="D95">
        <v>2.2999999999999998</v>
      </c>
      <c r="E95">
        <v>0</v>
      </c>
      <c r="F95">
        <v>0</v>
      </c>
      <c r="G95" t="s">
        <v>33</v>
      </c>
      <c r="H95" t="s">
        <v>38</v>
      </c>
      <c r="J95" s="2"/>
      <c r="K95" s="2"/>
    </row>
    <row r="96" spans="1:11" x14ac:dyDescent="0.25">
      <c r="A96" s="1">
        <v>44784.65351851852</v>
      </c>
      <c r="B96" s="1">
        <v>44784.653506944444</v>
      </c>
      <c r="C96">
        <v>2.2999999999999998</v>
      </c>
      <c r="D96">
        <v>2.2999999999999998</v>
      </c>
      <c r="E96">
        <v>0</v>
      </c>
      <c r="F96">
        <v>0</v>
      </c>
      <c r="G96" t="s">
        <v>33</v>
      </c>
      <c r="H96" t="s">
        <v>38</v>
      </c>
      <c r="J96" s="2"/>
      <c r="K96" s="2"/>
    </row>
    <row r="97" spans="1:11" x14ac:dyDescent="0.25">
      <c r="A97" s="1">
        <v>44784.660462962966</v>
      </c>
      <c r="B97" s="1">
        <v>44784.660451388889</v>
      </c>
      <c r="C97">
        <v>2.4</v>
      </c>
      <c r="D97">
        <v>2.2000000000000002</v>
      </c>
      <c r="E97">
        <v>0</v>
      </c>
      <c r="F97">
        <v>0</v>
      </c>
      <c r="G97" t="s">
        <v>33</v>
      </c>
      <c r="H97" t="s">
        <v>38</v>
      </c>
      <c r="J97" s="2"/>
      <c r="K97" s="2"/>
    </row>
    <row r="98" spans="1:11" x14ac:dyDescent="0.25">
      <c r="A98" s="1">
        <v>44784.667407407411</v>
      </c>
      <c r="B98" s="1">
        <v>44784.667395833334</v>
      </c>
      <c r="C98">
        <v>2.4</v>
      </c>
      <c r="D98">
        <v>2.2000000000000002</v>
      </c>
      <c r="E98">
        <v>0</v>
      </c>
      <c r="F98">
        <v>0</v>
      </c>
      <c r="G98" t="s">
        <v>33</v>
      </c>
      <c r="H98" t="s">
        <v>38</v>
      </c>
      <c r="J98" t="str">
        <f>IF(COUNT(I93:I98)&gt;3.5,ROUND(AVERAGE(I93:I98),2),"")</f>
        <v/>
      </c>
      <c r="K98" t="str">
        <f>IF(COUNT(, , , , , , , , , , , , , , , , , NA, NA, NA, NA, NA, NA, NA)&gt;17.5,ROUND(AVERAGE(, , , , , , , , , , , , , , , , , 0, 0, 0, 0, 0, 0, 0),2),"NO AVG")</f>
        <v>NO AVG</v>
      </c>
    </row>
    <row r="99" spans="1:11" x14ac:dyDescent="0.25">
      <c r="A99" s="1">
        <v>44784.674340277779</v>
      </c>
      <c r="B99" s="1">
        <v>44784.674328703702</v>
      </c>
      <c r="C99">
        <v>2.6</v>
      </c>
      <c r="D99">
        <v>2.2999999999999998</v>
      </c>
      <c r="E99">
        <v>0</v>
      </c>
      <c r="F99">
        <v>0</v>
      </c>
      <c r="G99" t="s">
        <v>33</v>
      </c>
      <c r="H99" t="s">
        <v>38</v>
      </c>
      <c r="J99" s="2"/>
      <c r="K99" s="2"/>
    </row>
    <row r="100" spans="1:11" x14ac:dyDescent="0.25">
      <c r="A100" s="1">
        <v>44784.681284722225</v>
      </c>
      <c r="B100" s="1">
        <v>44784.681273148148</v>
      </c>
      <c r="C100">
        <v>2.6</v>
      </c>
      <c r="D100">
        <v>2.5</v>
      </c>
      <c r="E100">
        <v>0</v>
      </c>
      <c r="F100">
        <v>0</v>
      </c>
      <c r="G100" t="s">
        <v>33</v>
      </c>
      <c r="H100" t="s">
        <v>38</v>
      </c>
      <c r="J100" s="2"/>
      <c r="K100" s="2"/>
    </row>
    <row r="101" spans="1:11" x14ac:dyDescent="0.25">
      <c r="A101" s="1">
        <v>44784.68822916667</v>
      </c>
      <c r="B101" s="1">
        <v>44784.688217592593</v>
      </c>
      <c r="C101">
        <v>2.6</v>
      </c>
      <c r="D101">
        <v>2.6</v>
      </c>
      <c r="E101">
        <v>0</v>
      </c>
      <c r="F101">
        <v>0</v>
      </c>
      <c r="G101" t="s">
        <v>33</v>
      </c>
      <c r="H101" t="s">
        <v>38</v>
      </c>
      <c r="J101" s="2"/>
      <c r="K101" s="2"/>
    </row>
    <row r="102" spans="1:11" x14ac:dyDescent="0.25">
      <c r="A102" s="1">
        <v>44784.695173611108</v>
      </c>
      <c r="B102" s="1">
        <v>44784.695162037038</v>
      </c>
      <c r="C102">
        <v>2.7</v>
      </c>
      <c r="D102">
        <v>2.7</v>
      </c>
      <c r="E102">
        <v>0</v>
      </c>
      <c r="F102">
        <v>0</v>
      </c>
      <c r="G102" t="s">
        <v>33</v>
      </c>
      <c r="H102" t="s">
        <v>38</v>
      </c>
      <c r="J102" s="2"/>
      <c r="K102" s="2"/>
    </row>
    <row r="103" spans="1:11" x14ac:dyDescent="0.25">
      <c r="A103" s="1">
        <v>44784.702118055553</v>
      </c>
      <c r="B103" s="1">
        <v>44784.702106481483</v>
      </c>
      <c r="C103">
        <v>2.7</v>
      </c>
      <c r="D103">
        <v>2.7</v>
      </c>
      <c r="E103">
        <v>0</v>
      </c>
      <c r="F103">
        <v>0</v>
      </c>
      <c r="G103" t="s">
        <v>33</v>
      </c>
      <c r="H103" t="s">
        <v>38</v>
      </c>
      <c r="J103" s="2"/>
      <c r="K103" s="2"/>
    </row>
    <row r="104" spans="1:11" x14ac:dyDescent="0.25">
      <c r="A104" s="1">
        <v>44784.709062499998</v>
      </c>
      <c r="B104" s="1">
        <v>44784.709050925929</v>
      </c>
      <c r="C104">
        <v>3</v>
      </c>
      <c r="D104">
        <v>2.8</v>
      </c>
      <c r="E104">
        <v>0</v>
      </c>
      <c r="F104">
        <v>0</v>
      </c>
      <c r="G104" t="s">
        <v>33</v>
      </c>
      <c r="H104" t="s">
        <v>38</v>
      </c>
      <c r="J104" t="str">
        <f>IF(COUNT(I99:I104)&gt;3.5,ROUND(AVERAGE(I99:I104),2),"")</f>
        <v/>
      </c>
      <c r="K104">
        <f>IF(COUNT(, , , , , , , , , , , , , , , , , , NA, NA, NA, NA, NA, NA)&gt;17.5,ROUND(AVERAGE(, , , , , , , , , , , , , , , , , , 0, 0, 0, 0, 0, 0),2),"NO AVG")</f>
        <v>0</v>
      </c>
    </row>
    <row r="105" spans="1:11" x14ac:dyDescent="0.25">
      <c r="A105" s="1">
        <v>44784.716006944444</v>
      </c>
      <c r="B105" s="1">
        <v>44784.715995370374</v>
      </c>
      <c r="C105">
        <v>3.1</v>
      </c>
      <c r="D105">
        <v>3</v>
      </c>
      <c r="E105">
        <v>0</v>
      </c>
      <c r="F105">
        <v>0</v>
      </c>
      <c r="G105" t="s">
        <v>33</v>
      </c>
      <c r="H105" t="s">
        <v>38</v>
      </c>
      <c r="J105" s="2"/>
      <c r="K105" s="2"/>
    </row>
    <row r="106" spans="1:11" x14ac:dyDescent="0.25">
      <c r="A106" s="1">
        <v>44784.722951388889</v>
      </c>
      <c r="B106" s="1">
        <v>44784.722939814812</v>
      </c>
      <c r="C106">
        <v>3.3</v>
      </c>
      <c r="D106">
        <v>3.2</v>
      </c>
      <c r="E106">
        <v>0</v>
      </c>
      <c r="F106">
        <v>0</v>
      </c>
      <c r="G106" t="s">
        <v>33</v>
      </c>
      <c r="H106" t="s">
        <v>38</v>
      </c>
      <c r="J106" s="2"/>
      <c r="K106" s="2"/>
    </row>
    <row r="107" spans="1:11" x14ac:dyDescent="0.25">
      <c r="A107" s="1">
        <v>44784.729895833334</v>
      </c>
      <c r="B107" s="1">
        <v>44784.729884259257</v>
      </c>
      <c r="C107">
        <v>3.3</v>
      </c>
      <c r="D107">
        <v>3.4</v>
      </c>
      <c r="E107">
        <v>0</v>
      </c>
      <c r="F107">
        <v>0</v>
      </c>
      <c r="G107" t="s">
        <v>33</v>
      </c>
      <c r="H107" t="s">
        <v>38</v>
      </c>
      <c r="J107" s="2"/>
      <c r="K107" s="2"/>
    </row>
    <row r="108" spans="1:11" x14ac:dyDescent="0.25">
      <c r="A108" s="1">
        <v>44784.736840277779</v>
      </c>
      <c r="B108" s="1">
        <v>44784.736828703702</v>
      </c>
      <c r="C108">
        <v>3.4</v>
      </c>
      <c r="D108">
        <v>3.5</v>
      </c>
      <c r="E108">
        <v>0</v>
      </c>
      <c r="F108">
        <v>0</v>
      </c>
      <c r="G108" t="s">
        <v>33</v>
      </c>
      <c r="H108" t="s">
        <v>38</v>
      </c>
      <c r="J108" s="2"/>
      <c r="K108" s="2"/>
    </row>
    <row r="109" spans="1:11" x14ac:dyDescent="0.25">
      <c r="A109" s="1">
        <v>44784.743784722225</v>
      </c>
      <c r="B109" s="1">
        <v>44784.743773148148</v>
      </c>
      <c r="C109">
        <v>3.5</v>
      </c>
      <c r="D109">
        <v>3.6</v>
      </c>
      <c r="E109">
        <v>0</v>
      </c>
      <c r="F109">
        <v>0</v>
      </c>
      <c r="G109" t="s">
        <v>33</v>
      </c>
      <c r="H109" t="s">
        <v>38</v>
      </c>
      <c r="J109" s="2"/>
      <c r="K109" s="2"/>
    </row>
    <row r="110" spans="1:11" x14ac:dyDescent="0.25">
      <c r="A110" s="1">
        <v>44784.75072916667</v>
      </c>
      <c r="B110" s="1">
        <v>44784.750717592593</v>
      </c>
      <c r="C110">
        <v>3.5</v>
      </c>
      <c r="D110">
        <v>3.7</v>
      </c>
      <c r="E110">
        <v>0</v>
      </c>
      <c r="F110">
        <v>0</v>
      </c>
      <c r="G110" t="s">
        <v>33</v>
      </c>
      <c r="H110" t="s">
        <v>38</v>
      </c>
      <c r="J110" t="str">
        <f>IF(COUNT(I105:I110)&gt;3.5,ROUND(AVERAGE(I105:I110),2),"")</f>
        <v/>
      </c>
      <c r="K110">
        <f>IF(COUNT(, , , , , , , , , , , , , , , , , , , NA, NA, NA, NA, NA)&gt;17.5,ROUND(AVERAGE(, , , , , , , , , , , , , , , , , , , 0, 0, 0, 0, 0),2),"NO AVG")</f>
        <v>0</v>
      </c>
    </row>
    <row r="111" spans="1:11" x14ac:dyDescent="0.25">
      <c r="A111" s="1">
        <v>44784.757673611108</v>
      </c>
      <c r="B111" s="1">
        <v>44784.757662037038</v>
      </c>
      <c r="C111">
        <v>3.5</v>
      </c>
      <c r="D111">
        <v>3.7</v>
      </c>
      <c r="E111">
        <v>0</v>
      </c>
      <c r="F111">
        <v>0</v>
      </c>
      <c r="G111" t="s">
        <v>33</v>
      </c>
      <c r="H111" t="s">
        <v>38</v>
      </c>
      <c r="J111" s="2"/>
      <c r="K111" s="2"/>
    </row>
    <row r="112" spans="1:11" x14ac:dyDescent="0.25">
      <c r="A112" s="1">
        <v>44784.764618055553</v>
      </c>
      <c r="B112" s="1">
        <v>44784.764606481483</v>
      </c>
      <c r="C112">
        <v>3.7</v>
      </c>
      <c r="D112">
        <v>3.7</v>
      </c>
      <c r="E112">
        <v>0</v>
      </c>
      <c r="F112">
        <v>0</v>
      </c>
      <c r="G112" t="s">
        <v>33</v>
      </c>
      <c r="H112" t="s">
        <v>38</v>
      </c>
      <c r="J112" s="2"/>
      <c r="K112" s="2"/>
    </row>
    <row r="113" spans="1:11" x14ac:dyDescent="0.25">
      <c r="A113" s="1">
        <v>44784.771562499998</v>
      </c>
      <c r="B113" s="1">
        <v>44784.771550925929</v>
      </c>
      <c r="C113">
        <v>3.8</v>
      </c>
      <c r="D113">
        <v>3.7</v>
      </c>
      <c r="E113">
        <v>0</v>
      </c>
      <c r="F113">
        <v>0</v>
      </c>
      <c r="G113" t="s">
        <v>33</v>
      </c>
      <c r="H113" t="s">
        <v>38</v>
      </c>
      <c r="J113" s="2"/>
      <c r="K113" s="2"/>
    </row>
    <row r="114" spans="1:11" x14ac:dyDescent="0.25">
      <c r="A114" s="1">
        <v>44784.778506944444</v>
      </c>
      <c r="B114" s="1">
        <v>44784.778495370374</v>
      </c>
      <c r="C114">
        <v>3.8</v>
      </c>
      <c r="D114">
        <v>3.8</v>
      </c>
      <c r="E114">
        <v>0</v>
      </c>
      <c r="F114">
        <v>0</v>
      </c>
      <c r="G114" t="s">
        <v>33</v>
      </c>
      <c r="H114" t="s">
        <v>38</v>
      </c>
      <c r="J114" s="2"/>
      <c r="K114" s="2"/>
    </row>
    <row r="115" spans="1:11" x14ac:dyDescent="0.25">
      <c r="A115" s="1">
        <v>44784.785462962966</v>
      </c>
      <c r="B115" s="1">
        <v>44784.785439814812</v>
      </c>
      <c r="C115">
        <v>3.9</v>
      </c>
      <c r="D115">
        <v>4</v>
      </c>
      <c r="E115">
        <v>0</v>
      </c>
      <c r="F115">
        <v>0</v>
      </c>
      <c r="G115" t="s">
        <v>33</v>
      </c>
      <c r="H115" t="s">
        <v>38</v>
      </c>
      <c r="J115" s="2"/>
      <c r="K115" s="2"/>
    </row>
    <row r="116" spans="1:11" x14ac:dyDescent="0.25">
      <c r="A116" s="1">
        <v>44784.792395833334</v>
      </c>
      <c r="B116" s="1">
        <v>44784.792384259257</v>
      </c>
      <c r="C116">
        <v>4</v>
      </c>
      <c r="D116">
        <v>4.0999999999999996</v>
      </c>
      <c r="E116">
        <v>0</v>
      </c>
      <c r="F116">
        <v>0</v>
      </c>
      <c r="G116" t="s">
        <v>33</v>
      </c>
      <c r="H116" t="s">
        <v>38</v>
      </c>
      <c r="J116" t="str">
        <f>IF(COUNT(I111:I116)&gt;3.5,ROUND(AVERAGE(I111:I116),2),"")</f>
        <v/>
      </c>
      <c r="K116">
        <f>IF(COUNT(, , , , , , , , , , , , , , , , , , , , NA, NA, NA, NA)&gt;17.5,ROUND(AVERAGE(, , , , , , , , , , , , , , , , , , , , 0, 0, 0, 0),2),"NO AVG")</f>
        <v>0</v>
      </c>
    </row>
    <row r="117" spans="1:11" x14ac:dyDescent="0.25">
      <c r="A117" s="1">
        <v>44784.799340277779</v>
      </c>
      <c r="B117" s="1">
        <v>44784.799328703702</v>
      </c>
      <c r="C117">
        <v>4.2</v>
      </c>
      <c r="D117">
        <v>4.2</v>
      </c>
      <c r="E117">
        <v>0</v>
      </c>
      <c r="F117">
        <v>0</v>
      </c>
      <c r="G117" t="s">
        <v>33</v>
      </c>
      <c r="H117" t="s">
        <v>38</v>
      </c>
      <c r="J117" s="2"/>
      <c r="K117" s="2"/>
    </row>
    <row r="118" spans="1:11" x14ac:dyDescent="0.25">
      <c r="A118" s="1">
        <v>44784.806284722225</v>
      </c>
      <c r="B118" s="1">
        <v>44784.806273148148</v>
      </c>
      <c r="C118">
        <v>4.0999999999999996</v>
      </c>
      <c r="D118">
        <v>4.3</v>
      </c>
      <c r="E118">
        <v>0</v>
      </c>
      <c r="F118">
        <v>0</v>
      </c>
      <c r="G118" t="s">
        <v>33</v>
      </c>
      <c r="H118" t="s">
        <v>38</v>
      </c>
      <c r="J118" s="2"/>
      <c r="K118" s="2"/>
    </row>
    <row r="119" spans="1:11" x14ac:dyDescent="0.25">
      <c r="A119" s="1">
        <v>44784.813240740739</v>
      </c>
      <c r="B119" s="1">
        <v>44784.813217592593</v>
      </c>
      <c r="C119">
        <v>4.3</v>
      </c>
      <c r="D119">
        <v>4.5</v>
      </c>
      <c r="E119">
        <v>0</v>
      </c>
      <c r="F119">
        <v>0</v>
      </c>
      <c r="G119" t="s">
        <v>33</v>
      </c>
      <c r="H119" t="s">
        <v>38</v>
      </c>
      <c r="J119" s="2"/>
      <c r="K119" s="2"/>
    </row>
    <row r="120" spans="1:11" x14ac:dyDescent="0.25">
      <c r="A120" s="1">
        <v>44784.820173611108</v>
      </c>
      <c r="B120" s="1">
        <v>44784.820162037038</v>
      </c>
      <c r="C120">
        <v>4.3</v>
      </c>
      <c r="D120">
        <v>4.2</v>
      </c>
      <c r="E120">
        <v>0</v>
      </c>
      <c r="F120">
        <v>0</v>
      </c>
      <c r="G120" t="s">
        <v>33</v>
      </c>
      <c r="H120" t="s">
        <v>38</v>
      </c>
      <c r="J120" s="2"/>
      <c r="K120" s="2"/>
    </row>
    <row r="121" spans="1:11" x14ac:dyDescent="0.25">
      <c r="A121" s="1">
        <v>44784.82712962963</v>
      </c>
      <c r="B121" s="1">
        <v>44784.827106481483</v>
      </c>
      <c r="C121">
        <v>4.2</v>
      </c>
      <c r="D121">
        <v>4.2</v>
      </c>
      <c r="E121">
        <v>0</v>
      </c>
      <c r="F121">
        <v>0</v>
      </c>
      <c r="G121" t="s">
        <v>33</v>
      </c>
      <c r="H121" t="s">
        <v>38</v>
      </c>
      <c r="J121" s="2"/>
      <c r="K121" s="2"/>
    </row>
    <row r="122" spans="1:11" x14ac:dyDescent="0.25">
      <c r="A122" s="1">
        <v>44784.834062499998</v>
      </c>
      <c r="B122" s="1">
        <v>44784.834050925929</v>
      </c>
      <c r="C122">
        <v>4.2</v>
      </c>
      <c r="D122">
        <v>4.2</v>
      </c>
      <c r="E122">
        <v>0</v>
      </c>
      <c r="F122">
        <v>0</v>
      </c>
      <c r="G122" t="s">
        <v>33</v>
      </c>
      <c r="H122" t="s">
        <v>38</v>
      </c>
      <c r="J122" t="str">
        <f>IF(COUNT(I117:I122)&gt;3.5,ROUND(AVERAGE(I117:I122),2),"")</f>
        <v/>
      </c>
      <c r="K122">
        <f>IF(COUNT(, , , , , , , , , , , , , , , , , , , , , NA, NA, NA)&gt;17.5,ROUND(AVERAGE(, , , , , , , , , , , , , , , , , , , , , 0, 0, 0),2),"NO AVG")</f>
        <v>0</v>
      </c>
    </row>
    <row r="123" spans="1:11" x14ac:dyDescent="0.25">
      <c r="A123" s="1">
        <v>44784.84101851852</v>
      </c>
      <c r="B123" s="1">
        <v>44784.840995370374</v>
      </c>
      <c r="C123">
        <v>4.2</v>
      </c>
      <c r="D123">
        <v>4.0999999999999996</v>
      </c>
      <c r="E123">
        <v>0</v>
      </c>
      <c r="F123">
        <v>0</v>
      </c>
      <c r="G123" t="s">
        <v>33</v>
      </c>
      <c r="H123" t="s">
        <v>38</v>
      </c>
      <c r="J123" s="2"/>
      <c r="K123" s="2"/>
    </row>
    <row r="124" spans="1:11" x14ac:dyDescent="0.25">
      <c r="A124" s="1">
        <v>44784.847951388889</v>
      </c>
      <c r="B124" s="1">
        <v>44784.847939814812</v>
      </c>
      <c r="C124">
        <v>4.2</v>
      </c>
      <c r="D124">
        <v>4</v>
      </c>
      <c r="E124">
        <v>0</v>
      </c>
      <c r="F124">
        <v>0</v>
      </c>
      <c r="G124" t="s">
        <v>33</v>
      </c>
      <c r="H124" t="s">
        <v>38</v>
      </c>
      <c r="J124" s="2"/>
      <c r="K124" s="2"/>
    </row>
    <row r="125" spans="1:11" x14ac:dyDescent="0.25">
      <c r="A125" s="1">
        <v>44784.854895833334</v>
      </c>
      <c r="B125" s="1">
        <v>44784.854884259257</v>
      </c>
      <c r="C125">
        <v>4.0999999999999996</v>
      </c>
      <c r="D125">
        <v>4</v>
      </c>
      <c r="E125">
        <v>0</v>
      </c>
      <c r="F125">
        <v>0</v>
      </c>
      <c r="G125" t="s">
        <v>33</v>
      </c>
      <c r="H125" t="s">
        <v>38</v>
      </c>
      <c r="J125" s="2"/>
      <c r="K125" s="2"/>
    </row>
    <row r="126" spans="1:11" x14ac:dyDescent="0.25">
      <c r="A126" s="1">
        <v>44784.861851851849</v>
      </c>
      <c r="B126" s="1">
        <v>44784.861828703702</v>
      </c>
      <c r="C126">
        <v>3.9</v>
      </c>
      <c r="D126">
        <v>3.8</v>
      </c>
      <c r="E126">
        <v>0</v>
      </c>
      <c r="F126">
        <v>0</v>
      </c>
      <c r="G126" t="s">
        <v>33</v>
      </c>
      <c r="H126" t="s">
        <v>38</v>
      </c>
      <c r="J126" s="2"/>
      <c r="K126" s="2"/>
    </row>
    <row r="127" spans="1:11" x14ac:dyDescent="0.25">
      <c r="A127" s="1">
        <v>44784.868796296294</v>
      </c>
      <c r="B127" s="1">
        <v>44784.868773148148</v>
      </c>
      <c r="C127">
        <v>3.6</v>
      </c>
      <c r="D127">
        <v>3.4</v>
      </c>
      <c r="E127">
        <v>0</v>
      </c>
      <c r="F127">
        <v>0</v>
      </c>
      <c r="G127" t="s">
        <v>33</v>
      </c>
      <c r="H127" t="s">
        <v>38</v>
      </c>
      <c r="J127" s="2"/>
      <c r="K127" s="2"/>
    </row>
    <row r="128" spans="1:11" x14ac:dyDescent="0.25">
      <c r="A128" s="1">
        <v>44784.875740740739</v>
      </c>
      <c r="B128" s="1">
        <v>44784.875717592593</v>
      </c>
      <c r="C128">
        <v>3.4</v>
      </c>
      <c r="D128">
        <v>3.4</v>
      </c>
      <c r="E128">
        <v>0</v>
      </c>
      <c r="F128">
        <v>0</v>
      </c>
      <c r="G128" t="s">
        <v>33</v>
      </c>
      <c r="H128" t="s">
        <v>38</v>
      </c>
      <c r="J128" t="str">
        <f>IF(COUNT(I123:I128)&gt;3.5,ROUND(AVERAGE(I123:I128),2),"")</f>
        <v/>
      </c>
      <c r="K128">
        <f>IF(COUNT(, , , , , , , , , , , , , , , , , , , , , , NA, NA)&gt;17.5,ROUND(AVERAGE(, , , , , , , , , , , , , , , , , , , , , , 0, 0),2),"NO AVG")</f>
        <v>0</v>
      </c>
    </row>
    <row r="129" spans="1:11" x14ac:dyDescent="0.25">
      <c r="A129" s="1">
        <v>44784.882673611108</v>
      </c>
      <c r="B129" s="1">
        <v>44784.882662037038</v>
      </c>
      <c r="C129">
        <v>3.3</v>
      </c>
      <c r="D129">
        <v>3.2</v>
      </c>
      <c r="E129">
        <v>0</v>
      </c>
      <c r="F129">
        <v>0</v>
      </c>
      <c r="G129" t="s">
        <v>33</v>
      </c>
      <c r="H129" t="s">
        <v>38</v>
      </c>
      <c r="J129" s="2"/>
      <c r="K129" s="2"/>
    </row>
    <row r="130" spans="1:11" x14ac:dyDescent="0.25">
      <c r="A130" s="1">
        <v>44784.889618055553</v>
      </c>
      <c r="B130" s="1">
        <v>44784.889606481483</v>
      </c>
      <c r="C130">
        <v>3.3</v>
      </c>
      <c r="D130">
        <v>3.2</v>
      </c>
      <c r="E130">
        <v>0</v>
      </c>
      <c r="F130">
        <v>0</v>
      </c>
      <c r="G130" t="s">
        <v>33</v>
      </c>
      <c r="H130" t="s">
        <v>38</v>
      </c>
      <c r="J130" s="2"/>
      <c r="K130" s="2"/>
    </row>
    <row r="131" spans="1:11" x14ac:dyDescent="0.25">
      <c r="A131" s="1">
        <v>44784.896574074075</v>
      </c>
      <c r="B131" s="1">
        <v>44784.896550925929</v>
      </c>
      <c r="C131">
        <v>3.2</v>
      </c>
      <c r="D131">
        <v>3.2</v>
      </c>
      <c r="E131">
        <v>0</v>
      </c>
      <c r="F131">
        <v>0</v>
      </c>
      <c r="G131" t="s">
        <v>33</v>
      </c>
      <c r="H131" t="s">
        <v>38</v>
      </c>
      <c r="J131" s="2"/>
      <c r="K131" s="2"/>
    </row>
    <row r="132" spans="1:11" x14ac:dyDescent="0.25">
      <c r="A132" s="1">
        <v>44784.90351851852</v>
      </c>
      <c r="B132" s="1">
        <v>44784.903495370374</v>
      </c>
      <c r="C132">
        <v>3.3</v>
      </c>
      <c r="D132">
        <v>3.3</v>
      </c>
      <c r="E132">
        <v>0</v>
      </c>
      <c r="F132">
        <v>0</v>
      </c>
      <c r="G132" t="s">
        <v>33</v>
      </c>
      <c r="H132" t="s">
        <v>38</v>
      </c>
      <c r="J132" s="2"/>
      <c r="K132" s="2"/>
    </row>
    <row r="133" spans="1:11" x14ac:dyDescent="0.25">
      <c r="A133" s="1">
        <v>44784.910462962966</v>
      </c>
      <c r="B133" s="1">
        <v>44784.910439814812</v>
      </c>
      <c r="C133">
        <v>3.4</v>
      </c>
      <c r="D133">
        <v>3.4</v>
      </c>
      <c r="E133">
        <v>0</v>
      </c>
      <c r="F133">
        <v>0</v>
      </c>
      <c r="G133" t="s">
        <v>33</v>
      </c>
      <c r="H133" t="s">
        <v>38</v>
      </c>
      <c r="J133" s="2"/>
      <c r="K133" s="2"/>
    </row>
    <row r="134" spans="1:11" x14ac:dyDescent="0.25">
      <c r="A134" s="1">
        <v>44784.917407407411</v>
      </c>
      <c r="B134" s="1">
        <v>44784.917384259257</v>
      </c>
      <c r="C134">
        <v>3.3</v>
      </c>
      <c r="D134">
        <v>3.3</v>
      </c>
      <c r="E134">
        <v>0</v>
      </c>
      <c r="F134">
        <v>0</v>
      </c>
      <c r="G134" t="s">
        <v>33</v>
      </c>
      <c r="H134" t="s">
        <v>38</v>
      </c>
      <c r="J134" t="str">
        <f>IF(COUNT(I129:I134)&gt;3.5,ROUND(AVERAGE(I129:I134),2),"")</f>
        <v/>
      </c>
      <c r="K134">
        <f>IF(COUNT(, , , , , , , , , , , , , , , , , , , , , , , NA)&gt;17.5,ROUND(AVERAGE(, , , , , , , , , , , , , , , , , , , , , , , 0),2),"NO AVG")</f>
        <v>0</v>
      </c>
    </row>
    <row r="135" spans="1:11" x14ac:dyDescent="0.25">
      <c r="A135" s="1">
        <v>44784.924351851849</v>
      </c>
      <c r="B135" s="1">
        <v>44784.924328703702</v>
      </c>
      <c r="C135">
        <v>3.1</v>
      </c>
      <c r="D135">
        <v>3.2</v>
      </c>
      <c r="E135">
        <v>0</v>
      </c>
      <c r="F135">
        <v>0</v>
      </c>
      <c r="G135" t="s">
        <v>33</v>
      </c>
      <c r="H135" t="s">
        <v>38</v>
      </c>
      <c r="J135" s="2"/>
      <c r="K135" s="2"/>
    </row>
    <row r="136" spans="1:11" x14ac:dyDescent="0.25">
      <c r="A136" s="1">
        <v>44784.931296296294</v>
      </c>
      <c r="B136" s="1">
        <v>44784.931273148148</v>
      </c>
      <c r="C136">
        <v>3.1</v>
      </c>
      <c r="D136">
        <v>3.1</v>
      </c>
      <c r="E136">
        <v>0</v>
      </c>
      <c r="F136">
        <v>0</v>
      </c>
      <c r="G136" t="s">
        <v>33</v>
      </c>
      <c r="H136" t="s">
        <v>38</v>
      </c>
      <c r="J136" s="2"/>
      <c r="K136" s="2"/>
    </row>
    <row r="137" spans="1:11" x14ac:dyDescent="0.25">
      <c r="A137" s="1">
        <v>44784.938240740739</v>
      </c>
      <c r="B137" s="1">
        <v>44784.938217592593</v>
      </c>
      <c r="C137">
        <v>3.2</v>
      </c>
      <c r="D137">
        <v>3.2</v>
      </c>
      <c r="E137">
        <v>0</v>
      </c>
      <c r="F137">
        <v>0</v>
      </c>
      <c r="G137" t="s">
        <v>33</v>
      </c>
      <c r="H137" t="s">
        <v>38</v>
      </c>
      <c r="J137" s="2"/>
      <c r="K137" s="2"/>
    </row>
    <row r="138" spans="1:11" x14ac:dyDescent="0.25">
      <c r="A138" s="1">
        <v>44784.945185185185</v>
      </c>
      <c r="B138" s="1">
        <v>44784.945162037038</v>
      </c>
      <c r="C138">
        <v>3.2</v>
      </c>
      <c r="D138">
        <v>3.3</v>
      </c>
      <c r="E138">
        <v>0</v>
      </c>
      <c r="F138">
        <v>0</v>
      </c>
      <c r="G138" t="s">
        <v>33</v>
      </c>
      <c r="H138" t="s">
        <v>38</v>
      </c>
      <c r="J138" s="2"/>
      <c r="K138" s="2"/>
    </row>
    <row r="139" spans="1:11" x14ac:dyDescent="0.25">
      <c r="A139" s="1">
        <v>44784.95212962963</v>
      </c>
      <c r="B139" s="1">
        <v>44784.952106481483</v>
      </c>
      <c r="C139">
        <v>3.2</v>
      </c>
      <c r="D139">
        <v>3.3</v>
      </c>
      <c r="E139">
        <v>0</v>
      </c>
      <c r="F139">
        <v>0</v>
      </c>
      <c r="G139" t="s">
        <v>33</v>
      </c>
      <c r="H139" t="s">
        <v>38</v>
      </c>
      <c r="J139" s="2"/>
      <c r="K139" s="2"/>
    </row>
    <row r="140" spans="1:11" x14ac:dyDescent="0.25">
      <c r="A140" s="1">
        <v>44784.959074074075</v>
      </c>
      <c r="B140" s="1">
        <v>44784.959050925929</v>
      </c>
      <c r="C140">
        <v>3.2</v>
      </c>
      <c r="D140">
        <v>3.4</v>
      </c>
      <c r="E140">
        <v>0</v>
      </c>
      <c r="F140">
        <v>0</v>
      </c>
      <c r="G140" t="s">
        <v>33</v>
      </c>
      <c r="H140" t="s">
        <v>38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</row>
    <row r="141" spans="1:11" x14ac:dyDescent="0.25">
      <c r="A141" s="1">
        <v>44784.96601851852</v>
      </c>
      <c r="B141" s="1">
        <v>44784.965995370374</v>
      </c>
      <c r="C141">
        <v>3.5</v>
      </c>
      <c r="D141">
        <v>3.6</v>
      </c>
      <c r="E141">
        <v>0</v>
      </c>
      <c r="F141">
        <v>0</v>
      </c>
      <c r="G141" t="s">
        <v>33</v>
      </c>
      <c r="H141" t="s">
        <v>38</v>
      </c>
      <c r="J141" s="2"/>
      <c r="K141" s="2"/>
    </row>
    <row r="142" spans="1:11" x14ac:dyDescent="0.25">
      <c r="A142" s="1">
        <v>44784.972962962966</v>
      </c>
      <c r="B142" s="1">
        <v>44784.972939814812</v>
      </c>
      <c r="C142">
        <v>3.8</v>
      </c>
      <c r="D142">
        <v>3.7</v>
      </c>
      <c r="E142">
        <v>0</v>
      </c>
      <c r="F142">
        <v>0</v>
      </c>
      <c r="G142" t="s">
        <v>33</v>
      </c>
      <c r="H142" t="s">
        <v>38</v>
      </c>
      <c r="J142" s="2"/>
      <c r="K142" s="2"/>
    </row>
    <row r="143" spans="1:11" x14ac:dyDescent="0.25">
      <c r="A143" s="1">
        <v>44784.979907407411</v>
      </c>
      <c r="B143" s="1">
        <v>44784.979884259257</v>
      </c>
      <c r="C143">
        <v>3.8</v>
      </c>
      <c r="D143">
        <v>3.8</v>
      </c>
      <c r="E143">
        <v>0</v>
      </c>
      <c r="F143">
        <v>0</v>
      </c>
      <c r="G143" t="s">
        <v>33</v>
      </c>
      <c r="H143" t="s">
        <v>38</v>
      </c>
      <c r="J143" s="2"/>
      <c r="K143" s="2"/>
    </row>
    <row r="144" spans="1:11" x14ac:dyDescent="0.25">
      <c r="A144" s="1">
        <v>44784.986851851849</v>
      </c>
      <c r="B144" s="1">
        <v>44784.986828703702</v>
      </c>
      <c r="C144">
        <v>4</v>
      </c>
      <c r="D144">
        <v>3.9</v>
      </c>
      <c r="E144">
        <v>0</v>
      </c>
      <c r="F144">
        <v>0</v>
      </c>
      <c r="G144" t="s">
        <v>33</v>
      </c>
      <c r="H144" t="s">
        <v>38</v>
      </c>
      <c r="J144" s="2"/>
      <c r="K144" s="2"/>
    </row>
    <row r="145" spans="1:12" x14ac:dyDescent="0.25">
      <c r="A145" s="1">
        <v>44784.993796296294</v>
      </c>
      <c r="B145" s="1">
        <v>44784.993773148148</v>
      </c>
      <c r="C145">
        <v>4.2</v>
      </c>
      <c r="D145">
        <v>4.3</v>
      </c>
      <c r="E145">
        <v>0</v>
      </c>
      <c r="F145">
        <v>0</v>
      </c>
      <c r="G145" t="s">
        <v>33</v>
      </c>
      <c r="H145" t="s">
        <v>38</v>
      </c>
      <c r="J145" s="2"/>
      <c r="K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D01B1-467B-43D4-B0BC-DCB86D4D766D}">
  <sheetPr codeName="Sheet3"/>
  <dimension ref="A1:M151"/>
  <sheetViews>
    <sheetView workbookViewId="0">
      <selection activeCell="K128" sqref="K128"/>
    </sheetView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3" max="13" width="9" bestFit="1" customWidth="1"/>
  </cols>
  <sheetData>
    <row r="1" spans="1:13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M1" t="s">
        <v>3</v>
      </c>
    </row>
    <row r="2" spans="1:13" x14ac:dyDescent="0.25">
      <c r="A2" s="1">
        <v>44784.00072916667</v>
      </c>
      <c r="B2" s="1">
        <v>44784.000717592593</v>
      </c>
      <c r="C2">
        <v>4.4000000000000004</v>
      </c>
      <c r="D2">
        <v>4.8</v>
      </c>
      <c r="E2">
        <v>66</v>
      </c>
      <c r="F2">
        <v>0</v>
      </c>
      <c r="G2" t="s">
        <v>33</v>
      </c>
      <c r="H2" t="s">
        <v>36</v>
      </c>
      <c r="I2">
        <v>0.35</v>
      </c>
      <c r="J2">
        <v>0.33</v>
      </c>
      <c r="K2">
        <f>IF(COUNT(0.33, 0.36, 0.31, 0.26, -0.23, -0.62, -0.68, -0.65, -0.55, -0.2, 0.66, 1.2, 1.41, 1.35, 1.78, 2.16, 2.09, 1.92, 1.34, 0.86, 0.88, 0.54, 0.28, 0.16)&gt;17.5,ROUND(AVERAGE(0.33, 0.36, 0.31, 0.26, -0.23, -0.62, -0.68, -0.65, -0.55, -0.2, 0.66, 1.2, 1.41, 1.35, 1.78, 2.16, 2.09, 1.92, 1.34, 0.86, 0.88, 0.54, 0.28, 0.16),2),"NO AVG")</f>
        <v>0.62</v>
      </c>
      <c r="M2" t="s">
        <v>34</v>
      </c>
    </row>
    <row r="3" spans="1:13" x14ac:dyDescent="0.25">
      <c r="A3" s="1">
        <v>44784.007685185185</v>
      </c>
      <c r="B3" s="1">
        <v>44784.007662037038</v>
      </c>
      <c r="C3">
        <v>4</v>
      </c>
      <c r="D3">
        <v>4.3</v>
      </c>
      <c r="E3">
        <v>67</v>
      </c>
      <c r="F3">
        <v>0</v>
      </c>
      <c r="G3" t="s">
        <v>33</v>
      </c>
      <c r="H3" t="s">
        <v>36</v>
      </c>
      <c r="I3">
        <v>0</v>
      </c>
      <c r="J3" s="2"/>
      <c r="K3" s="2"/>
    </row>
    <row r="4" spans="1:13" x14ac:dyDescent="0.25">
      <c r="A4" s="1">
        <v>44784.014618055553</v>
      </c>
      <c r="B4" s="1">
        <v>44784.014606481483</v>
      </c>
      <c r="C4">
        <v>3.8</v>
      </c>
      <c r="D4">
        <v>4.2</v>
      </c>
      <c r="E4">
        <v>67</v>
      </c>
      <c r="F4">
        <v>0</v>
      </c>
      <c r="G4" t="s">
        <v>33</v>
      </c>
      <c r="H4" t="s">
        <v>36</v>
      </c>
      <c r="I4">
        <v>-0.09</v>
      </c>
      <c r="J4" s="2"/>
      <c r="K4" s="2"/>
    </row>
    <row r="5" spans="1:13" x14ac:dyDescent="0.25">
      <c r="A5" s="1">
        <v>44784.021562499998</v>
      </c>
      <c r="B5" s="1">
        <v>44784.021550925929</v>
      </c>
      <c r="C5">
        <v>3.7</v>
      </c>
      <c r="D5">
        <v>4</v>
      </c>
      <c r="E5">
        <v>68</v>
      </c>
      <c r="F5">
        <v>0</v>
      </c>
      <c r="G5" t="s">
        <v>33</v>
      </c>
      <c r="H5" t="s">
        <v>36</v>
      </c>
      <c r="I5">
        <v>-0.25</v>
      </c>
      <c r="J5" s="2"/>
      <c r="K5" s="2"/>
    </row>
    <row r="6" spans="1:13" x14ac:dyDescent="0.25">
      <c r="A6" s="1">
        <v>44784.028506944444</v>
      </c>
      <c r="B6" s="1">
        <v>44784.028495370374</v>
      </c>
      <c r="C6">
        <v>3.5</v>
      </c>
      <c r="D6">
        <v>3.8</v>
      </c>
      <c r="E6">
        <v>67</v>
      </c>
      <c r="F6">
        <v>0</v>
      </c>
      <c r="G6" t="s">
        <v>33</v>
      </c>
      <c r="H6" t="s">
        <v>36</v>
      </c>
      <c r="I6">
        <v>-0.3</v>
      </c>
      <c r="J6" s="2"/>
      <c r="K6" s="2"/>
    </row>
    <row r="7" spans="1:13" x14ac:dyDescent="0.25">
      <c r="A7" s="1">
        <v>44784.035451388889</v>
      </c>
      <c r="B7" s="1">
        <v>44784.035439814812</v>
      </c>
      <c r="C7">
        <v>3.4</v>
      </c>
      <c r="D7">
        <v>3.6</v>
      </c>
      <c r="E7">
        <v>68</v>
      </c>
      <c r="F7">
        <v>0</v>
      </c>
      <c r="G7" t="s">
        <v>33</v>
      </c>
      <c r="H7" t="s">
        <v>36</v>
      </c>
      <c r="I7">
        <v>-0.47</v>
      </c>
      <c r="J7" s="2"/>
      <c r="K7" s="2"/>
    </row>
    <row r="8" spans="1:13" x14ac:dyDescent="0.25">
      <c r="A8" s="1">
        <v>44784.042395833334</v>
      </c>
      <c r="B8" s="1">
        <v>44784.042384259257</v>
      </c>
      <c r="C8">
        <v>3.5</v>
      </c>
      <c r="D8">
        <v>3.5</v>
      </c>
      <c r="E8">
        <v>69</v>
      </c>
      <c r="F8">
        <v>0</v>
      </c>
      <c r="G8" t="s">
        <v>33</v>
      </c>
      <c r="H8" t="s">
        <v>36</v>
      </c>
      <c r="I8">
        <v>-0.54</v>
      </c>
      <c r="J8">
        <f>IF(COUNT(I3:I8)&gt;3.5,ROUND(AVERAGE(I3:I8),2),"")</f>
        <v>-0.28000000000000003</v>
      </c>
      <c r="K8">
        <f>IF(COUNT(0.33, -0.28, 0.31, 0.26, -0.23, -0.62, -0.68, -0.65, -0.55, -0.2, 0.66, 1.2, 1.41, 1.35, 1.78, 2.16, 2.09, 1.92, 1.34, 0.86, 0.88, 0.54, 0.28, 0.16)&gt;17.5,ROUND(AVERAGE(0.33, -0.28, 0.31, 0.26, -0.23, -0.62, -0.68, -0.65, -0.55, -0.2, 0.66, 1.2, 1.41, 1.35, 1.78, 2.16, 2.09, 1.92, 1.34, 0.86, 0.88, 0.54, 0.28, 0.16),2),"NO AVG")</f>
        <v>0.6</v>
      </c>
    </row>
    <row r="9" spans="1:13" x14ac:dyDescent="0.25">
      <c r="A9" s="1">
        <v>44784.049340277779</v>
      </c>
      <c r="B9" s="1">
        <v>44784.049328703702</v>
      </c>
      <c r="C9">
        <v>3.5</v>
      </c>
      <c r="D9">
        <v>3.5</v>
      </c>
      <c r="E9">
        <v>69</v>
      </c>
      <c r="F9">
        <v>0</v>
      </c>
      <c r="G9" t="s">
        <v>33</v>
      </c>
      <c r="H9" t="s">
        <v>36</v>
      </c>
      <c r="I9">
        <v>-0.54</v>
      </c>
      <c r="J9" s="2"/>
      <c r="K9" s="2"/>
    </row>
    <row r="10" spans="1:13" x14ac:dyDescent="0.25">
      <c r="A10" s="1">
        <v>44784.056296296294</v>
      </c>
      <c r="B10" s="1">
        <v>44784.056273148148</v>
      </c>
      <c r="C10">
        <v>3.4</v>
      </c>
      <c r="D10">
        <v>3.5</v>
      </c>
      <c r="E10">
        <v>68</v>
      </c>
      <c r="F10">
        <v>0</v>
      </c>
      <c r="G10" t="s">
        <v>33</v>
      </c>
      <c r="H10" t="s">
        <v>36</v>
      </c>
      <c r="I10">
        <v>-0.5</v>
      </c>
      <c r="J10" s="2"/>
      <c r="K10" s="2"/>
    </row>
    <row r="11" spans="1:13" x14ac:dyDescent="0.25">
      <c r="A11" s="1">
        <v>44784.063240740739</v>
      </c>
      <c r="B11" s="1">
        <v>44784.063217592593</v>
      </c>
      <c r="C11">
        <v>3.3</v>
      </c>
      <c r="D11">
        <v>3.5</v>
      </c>
      <c r="E11">
        <v>69</v>
      </c>
      <c r="F11">
        <v>0</v>
      </c>
      <c r="G11" t="s">
        <v>33</v>
      </c>
      <c r="H11" t="s">
        <v>36</v>
      </c>
      <c r="I11">
        <v>-0.6</v>
      </c>
      <c r="J11" s="2"/>
      <c r="K11" s="2"/>
    </row>
    <row r="12" spans="1:13" x14ac:dyDescent="0.25">
      <c r="A12" s="1">
        <v>44784.070185185185</v>
      </c>
      <c r="B12" s="1">
        <v>44784.070162037038</v>
      </c>
      <c r="C12">
        <v>3.2</v>
      </c>
      <c r="D12">
        <v>3.5</v>
      </c>
      <c r="E12">
        <v>69</v>
      </c>
      <c r="F12">
        <v>0</v>
      </c>
      <c r="G12" t="s">
        <v>33</v>
      </c>
      <c r="H12" t="s">
        <v>36</v>
      </c>
      <c r="I12">
        <v>-0.63</v>
      </c>
      <c r="J12" s="2"/>
      <c r="K12" s="2"/>
    </row>
    <row r="13" spans="1:13" x14ac:dyDescent="0.25">
      <c r="A13" s="1">
        <v>44784.07712962963</v>
      </c>
      <c r="B13" s="1">
        <v>44784.077106481483</v>
      </c>
      <c r="C13">
        <v>3.2</v>
      </c>
      <c r="D13">
        <v>3.3</v>
      </c>
      <c r="E13">
        <v>69</v>
      </c>
      <c r="F13">
        <v>0</v>
      </c>
      <c r="G13" t="s">
        <v>33</v>
      </c>
      <c r="H13" t="s">
        <v>36</v>
      </c>
      <c r="I13">
        <v>-0.69</v>
      </c>
      <c r="J13" s="2"/>
      <c r="K13" s="2"/>
    </row>
    <row r="14" spans="1:13" x14ac:dyDescent="0.25">
      <c r="A14" s="1">
        <v>44784.084074074075</v>
      </c>
      <c r="B14" s="1">
        <v>44784.084050925929</v>
      </c>
      <c r="C14">
        <v>3</v>
      </c>
      <c r="D14">
        <v>3.4</v>
      </c>
      <c r="E14">
        <v>70</v>
      </c>
      <c r="F14">
        <v>0</v>
      </c>
      <c r="G14" t="s">
        <v>33</v>
      </c>
      <c r="H14" t="s">
        <v>36</v>
      </c>
      <c r="I14">
        <v>-0.79</v>
      </c>
      <c r="J14">
        <f>IF(COUNT(I9:I14)&gt;3.5,ROUND(AVERAGE(I9:I14),2),"")</f>
        <v>-0.63</v>
      </c>
      <c r="K14">
        <f>IF(COUNT(0.33, -0.28, -0.63, 0.26, -0.23, -0.62, -0.68, -0.65, -0.55, -0.2, 0.66, 1.2, 1.41, 1.35, 1.78, 2.16, 2.09, 1.92, 1.34, 0.86, 0.88, 0.54, 0.28, 0.16)&gt;17.5,ROUND(AVERAGE(0.33, -0.28, -0.63, 0.26, -0.23, -0.62, -0.68, -0.65, -0.55, -0.2, 0.66, 1.2, 1.41, 1.35, 1.78, 2.16, 2.09, 1.92, 1.34, 0.86, 0.88, 0.54, 0.28, 0.16),2),"NO AVG")</f>
        <v>0.56000000000000005</v>
      </c>
    </row>
    <row r="15" spans="1:13" x14ac:dyDescent="0.25">
      <c r="A15" s="1">
        <v>44784.09101851852</v>
      </c>
      <c r="B15" s="1">
        <v>44784.090995370374</v>
      </c>
      <c r="C15">
        <v>2.9</v>
      </c>
      <c r="D15">
        <v>3.3</v>
      </c>
      <c r="E15">
        <v>70</v>
      </c>
      <c r="F15">
        <v>0</v>
      </c>
      <c r="G15" t="s">
        <v>33</v>
      </c>
      <c r="H15" t="s">
        <v>36</v>
      </c>
      <c r="I15">
        <v>-0.85</v>
      </c>
      <c r="J15" s="2"/>
      <c r="K15" s="2"/>
    </row>
    <row r="16" spans="1:13" x14ac:dyDescent="0.25">
      <c r="A16" s="1">
        <v>44784.097962962966</v>
      </c>
      <c r="B16" s="1">
        <v>44784.097939814812</v>
      </c>
      <c r="C16">
        <v>3</v>
      </c>
      <c r="D16">
        <v>3.4</v>
      </c>
      <c r="E16">
        <v>70</v>
      </c>
      <c r="F16">
        <v>0</v>
      </c>
      <c r="G16" t="s">
        <v>33</v>
      </c>
      <c r="H16" t="s">
        <v>36</v>
      </c>
      <c r="I16">
        <v>-0.79</v>
      </c>
      <c r="J16" s="2"/>
      <c r="K16" s="2"/>
    </row>
    <row r="17" spans="1:11" x14ac:dyDescent="0.25">
      <c r="A17" s="1">
        <v>44784.104907407411</v>
      </c>
      <c r="B17" s="1">
        <v>44784.104884259257</v>
      </c>
      <c r="C17">
        <v>2.9</v>
      </c>
      <c r="D17">
        <v>3.3</v>
      </c>
      <c r="E17">
        <v>70</v>
      </c>
      <c r="F17">
        <v>0</v>
      </c>
      <c r="G17" t="s">
        <v>33</v>
      </c>
      <c r="H17" t="s">
        <v>36</v>
      </c>
      <c r="I17">
        <v>-0.85</v>
      </c>
      <c r="J17" s="2"/>
      <c r="K17" s="2"/>
    </row>
    <row r="18" spans="1:11" x14ac:dyDescent="0.25">
      <c r="A18" s="1">
        <v>44784.111851851849</v>
      </c>
      <c r="B18" s="1">
        <v>44784.111828703702</v>
      </c>
      <c r="C18">
        <v>2.7</v>
      </c>
      <c r="D18">
        <v>3.3</v>
      </c>
      <c r="E18">
        <v>70</v>
      </c>
      <c r="F18">
        <v>0</v>
      </c>
      <c r="G18" t="s">
        <v>33</v>
      </c>
      <c r="H18" t="s">
        <v>36</v>
      </c>
      <c r="I18">
        <v>-0.91</v>
      </c>
      <c r="J18" s="2"/>
      <c r="K18" s="2"/>
    </row>
    <row r="19" spans="1:11" x14ac:dyDescent="0.25">
      <c r="A19" s="1">
        <v>44784.118796296294</v>
      </c>
      <c r="B19" s="1">
        <v>44784.118773148148</v>
      </c>
      <c r="C19">
        <v>2.8</v>
      </c>
      <c r="D19">
        <v>3.2</v>
      </c>
      <c r="E19">
        <v>70</v>
      </c>
      <c r="F19">
        <v>0</v>
      </c>
      <c r="G19" t="s">
        <v>33</v>
      </c>
      <c r="H19" t="s">
        <v>36</v>
      </c>
      <c r="I19">
        <v>-0.91</v>
      </c>
      <c r="J19" s="2"/>
      <c r="K19" s="2"/>
    </row>
    <row r="20" spans="1:11" x14ac:dyDescent="0.25">
      <c r="A20" s="1">
        <v>44784.125740740739</v>
      </c>
      <c r="B20" s="1">
        <v>44784.125717592593</v>
      </c>
      <c r="C20">
        <v>2.9</v>
      </c>
      <c r="D20">
        <v>3.1</v>
      </c>
      <c r="E20">
        <v>71</v>
      </c>
      <c r="F20">
        <v>0</v>
      </c>
      <c r="G20" t="s">
        <v>33</v>
      </c>
      <c r="H20" t="s">
        <v>36</v>
      </c>
      <c r="I20">
        <v>-0.98</v>
      </c>
      <c r="J20">
        <f>IF(COUNT(I15:I20)&gt;3.5,ROUND(AVERAGE(I15:I20),2),"")</f>
        <v>-0.88</v>
      </c>
      <c r="K20">
        <f>IF(COUNT(0.33, -0.28, -0.63, -0.88, -0.23, -0.62, -0.68, -0.65, -0.55, -0.2, 0.66, 1.2, 1.41, 1.35, 1.78, 2.16, 2.09, 1.92, 1.34, 0.86, 0.88, 0.54, 0.28, 0.16)&gt;17.5,ROUND(AVERAGE(0.33, -0.28, -0.63, -0.88, -0.23, -0.62, -0.68, -0.65, -0.55, -0.2, 0.66, 1.2, 1.41, 1.35, 1.78, 2.16, 2.09, 1.92, 1.34, 0.86, 0.88, 0.54, 0.28, 0.16),2),"NO AVG")</f>
        <v>0.51</v>
      </c>
    </row>
    <row r="21" spans="1:11" x14ac:dyDescent="0.25">
      <c r="A21" s="1">
        <v>44784.132685185185</v>
      </c>
      <c r="B21" s="1">
        <v>44784.132662037038</v>
      </c>
      <c r="C21">
        <v>2.8</v>
      </c>
      <c r="D21">
        <v>3.1</v>
      </c>
      <c r="E21">
        <v>71</v>
      </c>
      <c r="F21">
        <v>0</v>
      </c>
      <c r="G21" t="s">
        <v>33</v>
      </c>
      <c r="H21" t="s">
        <v>36</v>
      </c>
      <c r="I21">
        <v>-1.01</v>
      </c>
      <c r="J21" s="2"/>
      <c r="K21" s="2"/>
    </row>
    <row r="22" spans="1:11" x14ac:dyDescent="0.25">
      <c r="A22" s="1">
        <v>44784.13962962963</v>
      </c>
      <c r="B22" s="1">
        <v>44784.139606481483</v>
      </c>
      <c r="C22">
        <v>2.8</v>
      </c>
      <c r="D22">
        <v>3</v>
      </c>
      <c r="E22">
        <v>71</v>
      </c>
      <c r="F22">
        <v>0</v>
      </c>
      <c r="G22" t="s">
        <v>33</v>
      </c>
      <c r="H22" t="s">
        <v>36</v>
      </c>
      <c r="I22">
        <v>-1.04</v>
      </c>
      <c r="J22" s="2"/>
      <c r="K22" s="2"/>
    </row>
    <row r="23" spans="1:11" x14ac:dyDescent="0.25">
      <c r="A23" s="1">
        <v>44784.146574074075</v>
      </c>
      <c r="B23" s="1">
        <v>44784.146550925929</v>
      </c>
      <c r="C23">
        <v>2.8</v>
      </c>
      <c r="D23">
        <v>2.9</v>
      </c>
      <c r="E23">
        <v>71</v>
      </c>
      <c r="F23">
        <v>0</v>
      </c>
      <c r="G23" t="s">
        <v>33</v>
      </c>
      <c r="H23" t="s">
        <v>36</v>
      </c>
      <c r="I23">
        <v>-1.07</v>
      </c>
      <c r="J23" s="2"/>
      <c r="K23" s="2"/>
    </row>
    <row r="24" spans="1:11" x14ac:dyDescent="0.25">
      <c r="A24" s="1">
        <v>44784.15351851852</v>
      </c>
      <c r="B24" s="1">
        <v>44784.153495370374</v>
      </c>
      <c r="C24">
        <v>2.7</v>
      </c>
      <c r="D24">
        <v>2.9</v>
      </c>
      <c r="E24">
        <v>71</v>
      </c>
      <c r="F24">
        <v>0</v>
      </c>
      <c r="G24" t="s">
        <v>33</v>
      </c>
      <c r="H24" t="s">
        <v>36</v>
      </c>
      <c r="I24">
        <v>-1.1000000000000001</v>
      </c>
      <c r="J24" s="2"/>
      <c r="K24" s="2"/>
    </row>
    <row r="25" spans="1:11" x14ac:dyDescent="0.25">
      <c r="A25" s="1">
        <v>44784.160462962966</v>
      </c>
      <c r="B25" s="1">
        <v>44784.160439814812</v>
      </c>
      <c r="C25">
        <v>2.7</v>
      </c>
      <c r="D25">
        <v>2.9</v>
      </c>
      <c r="E25">
        <v>72</v>
      </c>
      <c r="F25">
        <v>0</v>
      </c>
      <c r="G25" t="s">
        <v>33</v>
      </c>
      <c r="H25" t="s">
        <v>36</v>
      </c>
      <c r="I25">
        <v>-1.17</v>
      </c>
      <c r="J25" s="2"/>
      <c r="K25" s="2"/>
    </row>
    <row r="26" spans="1:11" x14ac:dyDescent="0.25">
      <c r="A26" s="1">
        <v>44784.167407407411</v>
      </c>
      <c r="B26" s="1">
        <v>44784.167384259257</v>
      </c>
      <c r="C26">
        <v>2.8</v>
      </c>
      <c r="D26">
        <v>3</v>
      </c>
      <c r="E26">
        <v>72</v>
      </c>
      <c r="F26">
        <v>0</v>
      </c>
      <c r="G26" t="s">
        <v>33</v>
      </c>
      <c r="H26" t="s">
        <v>36</v>
      </c>
      <c r="I26">
        <v>-1.1100000000000001</v>
      </c>
      <c r="J26">
        <f>IF(COUNT(I21:I26)&gt;3.5,ROUND(AVERAGE(I21:I26),2),"")</f>
        <v>-1.08</v>
      </c>
      <c r="K26">
        <f>IF(COUNT(0.33, -0.28, -0.63, -0.88, -1.08, -0.62, -0.68, -0.65, -0.55, -0.2, 0.66, 1.2, 1.41, 1.35, 1.78, 2.16, 2.09, 1.92, 1.34, 0.86, 0.88, 0.54, 0.28, 0.16)&gt;17.5,ROUND(AVERAGE(0.33, -0.28, -0.63, -0.88, -1.08, -0.62, -0.68, -0.65, -0.55, -0.2, 0.66, 1.2, 1.41, 1.35, 1.78, 2.16, 2.09, 1.92, 1.34, 0.86, 0.88, 0.54, 0.28, 0.16),2),"NO AVG")</f>
        <v>0.47</v>
      </c>
    </row>
    <row r="27" spans="1:11" x14ac:dyDescent="0.25">
      <c r="A27" s="1">
        <v>44784.174351851849</v>
      </c>
      <c r="B27" s="1">
        <v>44784.174328703702</v>
      </c>
      <c r="C27">
        <v>2.8</v>
      </c>
      <c r="D27">
        <v>3.1</v>
      </c>
      <c r="E27">
        <v>73</v>
      </c>
      <c r="F27">
        <v>0</v>
      </c>
      <c r="G27" t="s">
        <v>33</v>
      </c>
      <c r="H27" t="s">
        <v>36</v>
      </c>
      <c r="I27">
        <v>-1.1499999999999999</v>
      </c>
      <c r="J27" s="2"/>
      <c r="K27" s="2"/>
    </row>
    <row r="28" spans="1:11" x14ac:dyDescent="0.25">
      <c r="A28" s="1"/>
      <c r="B28" s="1">
        <v>44784.180555555555</v>
      </c>
      <c r="J28" s="2"/>
      <c r="K28" s="2"/>
    </row>
    <row r="29" spans="1:11" x14ac:dyDescent="0.25">
      <c r="A29" s="1">
        <v>44784.188240740739</v>
      </c>
      <c r="B29" s="1">
        <v>44784.188217592593</v>
      </c>
      <c r="C29">
        <v>3</v>
      </c>
      <c r="D29">
        <v>3.6</v>
      </c>
      <c r="E29">
        <v>72</v>
      </c>
      <c r="F29">
        <v>0</v>
      </c>
      <c r="G29" t="s">
        <v>33</v>
      </c>
      <c r="H29" t="s">
        <v>36</v>
      </c>
      <c r="I29">
        <v>-0.87</v>
      </c>
      <c r="J29" s="2"/>
      <c r="K29" s="2"/>
    </row>
    <row r="30" spans="1:11" x14ac:dyDescent="0.25">
      <c r="A30" s="1">
        <v>44784.195185185185</v>
      </c>
      <c r="B30" s="1">
        <v>44784.195162037038</v>
      </c>
      <c r="C30">
        <v>3.1</v>
      </c>
      <c r="D30">
        <v>3.5</v>
      </c>
      <c r="E30">
        <v>72</v>
      </c>
      <c r="F30">
        <v>0</v>
      </c>
      <c r="G30" t="s">
        <v>33</v>
      </c>
      <c r="H30" t="s">
        <v>36</v>
      </c>
      <c r="I30">
        <v>-0.87</v>
      </c>
      <c r="J30" s="2"/>
      <c r="K30" s="2"/>
    </row>
    <row r="31" spans="1:11" x14ac:dyDescent="0.25">
      <c r="A31" s="1">
        <v>44784.202141203707</v>
      </c>
      <c r="B31" s="1">
        <v>44784.20212962963</v>
      </c>
      <c r="C31">
        <v>3.3</v>
      </c>
      <c r="D31">
        <v>3.6</v>
      </c>
      <c r="E31">
        <v>71</v>
      </c>
      <c r="F31">
        <v>0</v>
      </c>
      <c r="G31" t="s">
        <v>33</v>
      </c>
      <c r="H31" t="s">
        <v>36</v>
      </c>
      <c r="I31">
        <v>-0.71</v>
      </c>
      <c r="J31" s="2"/>
      <c r="K31" s="2"/>
    </row>
    <row r="32" spans="1:11" x14ac:dyDescent="0.25">
      <c r="A32" s="1">
        <v>44784.209074074075</v>
      </c>
      <c r="B32" s="1">
        <v>44784.209050925929</v>
      </c>
      <c r="C32">
        <v>3.3</v>
      </c>
      <c r="D32">
        <v>3.7</v>
      </c>
      <c r="E32">
        <v>72</v>
      </c>
      <c r="F32">
        <v>0</v>
      </c>
      <c r="G32" t="s">
        <v>33</v>
      </c>
      <c r="H32" t="s">
        <v>36</v>
      </c>
      <c r="I32">
        <v>-0.75</v>
      </c>
      <c r="J32">
        <f>IF(COUNT(I27:I32)&gt;3.5,ROUND(AVERAGE(I27:I32),2),"")</f>
        <v>-0.87</v>
      </c>
      <c r="K32">
        <f>IF(COUNT(0.33, -0.28, -0.63, -0.88, -1.08, -0.87, -0.68, -0.65, -0.55, -0.2, 0.66, 1.2, 1.41, 1.35, 1.78, 2.16, 2.09, 1.92, 1.34, 0.86, 0.88, 0.54, 0.28, 0.16)&gt;17.5,ROUND(AVERAGE(0.33, -0.28, -0.63, -0.88, -1.08, -0.87, -0.68, -0.65, -0.55, -0.2, 0.66, 1.2, 1.41, 1.35, 1.78, 2.16, 2.09, 1.92, 1.34, 0.86, 0.88, 0.54, 0.28, 0.16),2),"NO AVG")</f>
        <v>0.46</v>
      </c>
    </row>
    <row r="33" spans="1:11" x14ac:dyDescent="0.25">
      <c r="A33" s="1">
        <v>44784.21603009259</v>
      </c>
      <c r="B33" s="1">
        <v>44784.215995370374</v>
      </c>
      <c r="C33">
        <v>3.3</v>
      </c>
      <c r="D33">
        <v>3.6</v>
      </c>
      <c r="E33">
        <v>72</v>
      </c>
      <c r="F33">
        <v>0</v>
      </c>
      <c r="G33" t="s">
        <v>33</v>
      </c>
      <c r="H33" t="s">
        <v>36</v>
      </c>
      <c r="I33">
        <v>-0.78</v>
      </c>
      <c r="J33" s="2"/>
      <c r="K33" s="2"/>
    </row>
    <row r="34" spans="1:11" x14ac:dyDescent="0.25">
      <c r="A34" s="1">
        <v>44784.222962962966</v>
      </c>
      <c r="B34" s="1">
        <v>44784.222939814812</v>
      </c>
      <c r="C34">
        <v>3.3</v>
      </c>
      <c r="D34">
        <v>3.7</v>
      </c>
      <c r="E34">
        <v>72</v>
      </c>
      <c r="F34">
        <v>0</v>
      </c>
      <c r="G34" t="s">
        <v>33</v>
      </c>
      <c r="H34" t="s">
        <v>36</v>
      </c>
      <c r="I34">
        <v>-0.75</v>
      </c>
      <c r="J34" s="2"/>
      <c r="K34" s="2"/>
    </row>
    <row r="35" spans="1:11" x14ac:dyDescent="0.25">
      <c r="A35" s="1">
        <v>44784.229907407411</v>
      </c>
      <c r="B35" s="1">
        <v>44784.229884259257</v>
      </c>
      <c r="C35">
        <v>3.3</v>
      </c>
      <c r="D35">
        <v>3.7</v>
      </c>
      <c r="E35">
        <v>72</v>
      </c>
      <c r="F35">
        <v>0</v>
      </c>
      <c r="G35" t="s">
        <v>33</v>
      </c>
      <c r="H35" t="s">
        <v>36</v>
      </c>
      <c r="I35">
        <v>-0.75</v>
      </c>
      <c r="J35" s="2"/>
      <c r="K35" s="2"/>
    </row>
    <row r="36" spans="1:11" x14ac:dyDescent="0.25">
      <c r="A36" s="1">
        <v>44784.236851851849</v>
      </c>
      <c r="B36" s="1">
        <v>44784.236840277779</v>
      </c>
      <c r="C36">
        <v>3.3</v>
      </c>
      <c r="D36">
        <v>3.6</v>
      </c>
      <c r="E36">
        <v>72</v>
      </c>
      <c r="F36">
        <v>0</v>
      </c>
      <c r="G36" t="s">
        <v>33</v>
      </c>
      <c r="H36" t="s">
        <v>36</v>
      </c>
      <c r="I36">
        <v>-0.78</v>
      </c>
      <c r="J36" s="2"/>
      <c r="K36" s="2"/>
    </row>
    <row r="37" spans="1:11" x14ac:dyDescent="0.25">
      <c r="A37" s="1">
        <v>44784.243796296294</v>
      </c>
      <c r="B37" s="1">
        <v>44784.243773148148</v>
      </c>
      <c r="C37">
        <v>3.2</v>
      </c>
      <c r="D37">
        <v>3.6</v>
      </c>
      <c r="E37">
        <v>73</v>
      </c>
      <c r="F37">
        <v>0</v>
      </c>
      <c r="G37" t="s">
        <v>33</v>
      </c>
      <c r="H37" t="s">
        <v>36</v>
      </c>
      <c r="I37">
        <v>-0.88</v>
      </c>
      <c r="J37" s="2"/>
      <c r="K37" s="2"/>
    </row>
    <row r="38" spans="1:11" x14ac:dyDescent="0.25">
      <c r="A38" s="1">
        <v>44784.250752314816</v>
      </c>
      <c r="B38" s="1">
        <v>44784.25072916667</v>
      </c>
      <c r="C38">
        <v>3.2</v>
      </c>
      <c r="D38">
        <v>3.6</v>
      </c>
      <c r="E38">
        <v>72</v>
      </c>
      <c r="F38">
        <v>0</v>
      </c>
      <c r="G38" t="s">
        <v>33</v>
      </c>
      <c r="H38" t="s">
        <v>36</v>
      </c>
      <c r="I38">
        <v>-0.81</v>
      </c>
      <c r="J38">
        <f>IF(COUNT(I33:I38)&gt;3.5,ROUND(AVERAGE(I33:I38),2),"")</f>
        <v>-0.79</v>
      </c>
      <c r="K38">
        <f>IF(COUNT(0.33, -0.28, -0.63, -0.88, -1.08, -0.87, -0.79, -0.65, -0.55, -0.2, 0.66, 1.2, 1.41, 1.35, 1.78, 2.16, 2.09, 1.92, 1.34, 0.86, 0.88, 0.54, 0.28, 0.16)&gt;17.5,ROUND(AVERAGE(0.33, -0.28, -0.63, -0.88, -1.08, -0.87, -0.79, -0.65, -0.55, -0.2, 0.66, 1.2, 1.41, 1.35, 1.78, 2.16, 2.09, 1.92, 1.34, 0.86, 0.88, 0.54, 0.28, 0.16),2),"NO AVG")</f>
        <v>0.46</v>
      </c>
    </row>
    <row r="39" spans="1:11" x14ac:dyDescent="0.25">
      <c r="A39" s="1">
        <v>44784.257685185185</v>
      </c>
      <c r="B39" s="1">
        <v>44784.257662037038</v>
      </c>
      <c r="C39">
        <v>3.2</v>
      </c>
      <c r="D39">
        <v>3.6</v>
      </c>
      <c r="E39">
        <v>73</v>
      </c>
      <c r="F39">
        <v>0</v>
      </c>
      <c r="G39" t="s">
        <v>33</v>
      </c>
      <c r="H39" t="s">
        <v>36</v>
      </c>
      <c r="I39">
        <v>-0.88</v>
      </c>
      <c r="J39" s="2"/>
      <c r="K39" s="2"/>
    </row>
    <row r="40" spans="1:11" x14ac:dyDescent="0.25">
      <c r="A40" s="1">
        <v>44784.26462962963</v>
      </c>
      <c r="B40" s="1">
        <v>44784.264606481483</v>
      </c>
      <c r="C40">
        <v>3.2</v>
      </c>
      <c r="D40">
        <v>3.6</v>
      </c>
      <c r="E40">
        <v>72</v>
      </c>
      <c r="F40">
        <v>0</v>
      </c>
      <c r="G40" t="s">
        <v>33</v>
      </c>
      <c r="H40" t="s">
        <v>36</v>
      </c>
      <c r="I40">
        <v>-0.81</v>
      </c>
      <c r="J40" s="2"/>
      <c r="K40" s="2"/>
    </row>
    <row r="41" spans="1:11" x14ac:dyDescent="0.25">
      <c r="A41" s="1">
        <v>44784.271574074075</v>
      </c>
      <c r="B41" s="1">
        <v>44784.271550925929</v>
      </c>
      <c r="C41">
        <v>3.3</v>
      </c>
      <c r="D41">
        <v>3.7</v>
      </c>
      <c r="E41">
        <v>73</v>
      </c>
      <c r="F41">
        <v>0</v>
      </c>
      <c r="G41" t="s">
        <v>33</v>
      </c>
      <c r="H41" t="s">
        <v>36</v>
      </c>
      <c r="I41">
        <v>-0.82</v>
      </c>
      <c r="J41" s="2"/>
      <c r="K41" s="2"/>
    </row>
    <row r="42" spans="1:11" x14ac:dyDescent="0.25">
      <c r="A42" s="1">
        <v>44784.27851851852</v>
      </c>
      <c r="B42" s="1">
        <v>44784.278495370374</v>
      </c>
      <c r="C42">
        <v>3.4</v>
      </c>
      <c r="D42">
        <v>3.7</v>
      </c>
      <c r="E42">
        <v>72</v>
      </c>
      <c r="F42">
        <v>0</v>
      </c>
      <c r="G42" t="s">
        <v>33</v>
      </c>
      <c r="H42" t="s">
        <v>36</v>
      </c>
      <c r="I42">
        <v>-0.71</v>
      </c>
      <c r="J42" s="2"/>
      <c r="K42" s="2"/>
    </row>
    <row r="43" spans="1:11" x14ac:dyDescent="0.25">
      <c r="A43" s="1">
        <v>44784.285462962966</v>
      </c>
      <c r="B43" s="1">
        <v>44784.285439814812</v>
      </c>
      <c r="C43">
        <v>3.5</v>
      </c>
      <c r="D43">
        <v>3.7</v>
      </c>
      <c r="E43">
        <v>73</v>
      </c>
      <c r="F43">
        <v>0</v>
      </c>
      <c r="G43" t="s">
        <v>33</v>
      </c>
      <c r="H43" t="s">
        <v>36</v>
      </c>
      <c r="I43">
        <v>-0.75</v>
      </c>
      <c r="J43" s="2"/>
      <c r="K43" s="2"/>
    </row>
    <row r="44" spans="1:11" x14ac:dyDescent="0.25">
      <c r="A44" s="1">
        <v>44784.292407407411</v>
      </c>
      <c r="B44" s="1">
        <v>44784.292384259257</v>
      </c>
      <c r="C44">
        <v>3.4</v>
      </c>
      <c r="D44">
        <v>3.6</v>
      </c>
      <c r="E44">
        <v>72</v>
      </c>
      <c r="F44">
        <v>0</v>
      </c>
      <c r="G44" t="s">
        <v>33</v>
      </c>
      <c r="H44" t="s">
        <v>36</v>
      </c>
      <c r="I44">
        <v>-0.75</v>
      </c>
      <c r="J44">
        <f>IF(COUNT(I39:I44)&gt;3.5,ROUND(AVERAGE(I39:I44),2),"")</f>
        <v>-0.79</v>
      </c>
      <c r="K44">
        <f>IF(COUNT(0.33, -0.28, -0.63, -0.88, -1.08, -0.87, -0.79, -0.79, -0.55, -0.2, 0.66, 1.2, 1.41, 1.35, 1.78, 2.16, 2.09, 1.92, 1.34, 0.86, 0.88, 0.54, 0.28, 0.16)&gt;17.5,ROUND(AVERAGE(0.33, -0.28, -0.63, -0.88, -1.08, -0.87, -0.79, -0.79, -0.55, -0.2, 0.66, 1.2, 1.41, 1.35, 1.78, 2.16, 2.09, 1.92, 1.34, 0.86, 0.88, 0.54, 0.28, 0.16),2),"NO AVG")</f>
        <v>0.45</v>
      </c>
    </row>
    <row r="45" spans="1:11" x14ac:dyDescent="0.25">
      <c r="A45" s="1">
        <v>44784.299351851849</v>
      </c>
      <c r="B45" s="1">
        <v>44784.299340277779</v>
      </c>
      <c r="C45">
        <v>3.4</v>
      </c>
      <c r="D45">
        <v>3.5</v>
      </c>
      <c r="E45">
        <v>72</v>
      </c>
      <c r="F45">
        <v>0</v>
      </c>
      <c r="G45" t="s">
        <v>33</v>
      </c>
      <c r="H45" t="s">
        <v>36</v>
      </c>
      <c r="I45">
        <v>-0.78</v>
      </c>
      <c r="J45" s="2"/>
      <c r="K45" s="2"/>
    </row>
    <row r="46" spans="1:11" x14ac:dyDescent="0.25">
      <c r="A46" s="1">
        <v>44784.306296296294</v>
      </c>
      <c r="B46" s="1">
        <v>44784.306273148148</v>
      </c>
      <c r="C46">
        <v>3.2</v>
      </c>
      <c r="D46">
        <v>3.4</v>
      </c>
      <c r="E46">
        <v>72</v>
      </c>
      <c r="F46">
        <v>0</v>
      </c>
      <c r="G46" t="s">
        <v>33</v>
      </c>
      <c r="H46" t="s">
        <v>36</v>
      </c>
      <c r="I46">
        <v>-0.87</v>
      </c>
      <c r="J46" s="2"/>
      <c r="K46" s="2"/>
    </row>
    <row r="47" spans="1:11" x14ac:dyDescent="0.25">
      <c r="A47" s="1">
        <v>44784.313240740739</v>
      </c>
      <c r="B47" s="1">
        <v>44784.313217592593</v>
      </c>
      <c r="C47">
        <v>3</v>
      </c>
      <c r="D47">
        <v>3.4</v>
      </c>
      <c r="E47">
        <v>72</v>
      </c>
      <c r="F47">
        <v>0</v>
      </c>
      <c r="G47" t="s">
        <v>33</v>
      </c>
      <c r="H47" t="s">
        <v>36</v>
      </c>
      <c r="I47">
        <v>-0.93</v>
      </c>
      <c r="J47" s="2"/>
      <c r="K47" s="2"/>
    </row>
    <row r="48" spans="1:11" x14ac:dyDescent="0.25">
      <c r="A48" s="1">
        <v>44784.320185185185</v>
      </c>
      <c r="B48" s="1">
        <v>44784.320162037038</v>
      </c>
      <c r="C48">
        <v>3.8</v>
      </c>
      <c r="D48">
        <v>4.2</v>
      </c>
      <c r="E48">
        <v>71</v>
      </c>
      <c r="F48">
        <v>0</v>
      </c>
      <c r="G48" t="s">
        <v>33</v>
      </c>
      <c r="H48" t="s">
        <v>36</v>
      </c>
      <c r="I48">
        <v>-0.37</v>
      </c>
      <c r="J48" s="2"/>
      <c r="K48" s="2"/>
    </row>
    <row r="49" spans="1:11" x14ac:dyDescent="0.25">
      <c r="A49" s="1">
        <v>44784.32712962963</v>
      </c>
      <c r="B49" s="1">
        <v>44784.327106481483</v>
      </c>
      <c r="C49">
        <v>4.2</v>
      </c>
      <c r="D49">
        <v>4.4000000000000004</v>
      </c>
      <c r="E49">
        <v>71</v>
      </c>
      <c r="F49">
        <v>0</v>
      </c>
      <c r="G49" t="s">
        <v>33</v>
      </c>
      <c r="H49" t="s">
        <v>36</v>
      </c>
      <c r="I49">
        <v>-0.19</v>
      </c>
      <c r="J49" s="2"/>
      <c r="K49" s="2"/>
    </row>
    <row r="50" spans="1:11" x14ac:dyDescent="0.25">
      <c r="A50" s="1">
        <v>44784.334074074075</v>
      </c>
      <c r="B50" s="1">
        <v>44784.334050925929</v>
      </c>
      <c r="C50">
        <v>4</v>
      </c>
      <c r="D50">
        <v>4.3</v>
      </c>
      <c r="E50">
        <v>71</v>
      </c>
      <c r="F50">
        <v>0</v>
      </c>
      <c r="G50" t="s">
        <v>33</v>
      </c>
      <c r="H50" t="s">
        <v>36</v>
      </c>
      <c r="I50">
        <v>-0.28000000000000003</v>
      </c>
      <c r="J50">
        <f>IF(COUNT(I45:I50)&gt;3.5,ROUND(AVERAGE(I45:I50),2),"")</f>
        <v>-0.56999999999999995</v>
      </c>
      <c r="K50">
        <f>IF(COUNT(0.33, -0.28, -0.63, -0.88, -1.08, -0.87, -0.79, -0.79, -0.57, -0.2, 0.66, 1.2, 1.41, 1.35, 1.78, 2.16, 2.09, 1.92, 1.34, 0.86, 0.88, 0.54, 0.28, 0.16)&gt;17.5,ROUND(AVERAGE(0.33, -0.28, -0.63, -0.88, -1.08, -0.87, -0.79, -0.79, -0.57, -0.2, 0.66, 1.2, 1.41, 1.35, 1.78, 2.16, 2.09, 1.92, 1.34, 0.86, 0.88, 0.54, 0.28, 0.16),2),"NO AVG")</f>
        <v>0.45</v>
      </c>
    </row>
    <row r="51" spans="1:11" x14ac:dyDescent="0.25">
      <c r="A51" s="1">
        <v>44784.34101851852</v>
      </c>
      <c r="B51" s="1">
        <v>44784.340995370374</v>
      </c>
      <c r="C51">
        <v>3.9</v>
      </c>
      <c r="D51">
        <v>4.0999999999999996</v>
      </c>
      <c r="E51">
        <v>71</v>
      </c>
      <c r="F51">
        <v>0</v>
      </c>
      <c r="G51" t="s">
        <v>33</v>
      </c>
      <c r="H51" t="s">
        <v>36</v>
      </c>
      <c r="I51">
        <v>-0.37</v>
      </c>
      <c r="J51" s="2"/>
      <c r="K51" s="2"/>
    </row>
    <row r="52" spans="1:11" x14ac:dyDescent="0.25">
      <c r="A52" s="1">
        <v>44784.347962962966</v>
      </c>
      <c r="B52" s="1">
        <v>44784.347951388889</v>
      </c>
      <c r="C52">
        <v>3.9</v>
      </c>
      <c r="D52">
        <v>4.0999999999999996</v>
      </c>
      <c r="E52">
        <v>72</v>
      </c>
      <c r="F52">
        <v>0</v>
      </c>
      <c r="G52" t="s">
        <v>33</v>
      </c>
      <c r="H52" t="s">
        <v>36</v>
      </c>
      <c r="I52">
        <v>-0.44</v>
      </c>
      <c r="J52" s="2"/>
      <c r="K52" s="2"/>
    </row>
    <row r="53" spans="1:11" x14ac:dyDescent="0.25">
      <c r="A53" s="1">
        <v>44784.354907407411</v>
      </c>
      <c r="B53" s="1">
        <v>44784.354884259257</v>
      </c>
      <c r="C53">
        <v>4</v>
      </c>
      <c r="D53">
        <v>4.2</v>
      </c>
      <c r="E53">
        <v>70</v>
      </c>
      <c r="F53">
        <v>0</v>
      </c>
      <c r="G53" t="s">
        <v>33</v>
      </c>
      <c r="H53" t="s">
        <v>36</v>
      </c>
      <c r="I53">
        <v>-0.24</v>
      </c>
      <c r="J53" s="2"/>
      <c r="K53" s="2"/>
    </row>
    <row r="54" spans="1:11" x14ac:dyDescent="0.25">
      <c r="A54" s="1">
        <v>44784.361851851849</v>
      </c>
      <c r="B54" s="1">
        <v>44784.361828703702</v>
      </c>
      <c r="C54">
        <v>4</v>
      </c>
      <c r="D54">
        <v>4.3</v>
      </c>
      <c r="E54">
        <v>70</v>
      </c>
      <c r="F54">
        <v>0</v>
      </c>
      <c r="G54" t="s">
        <v>33</v>
      </c>
      <c r="H54" t="s">
        <v>36</v>
      </c>
      <c r="I54">
        <v>-0.21</v>
      </c>
      <c r="J54" s="2"/>
      <c r="K54" s="2"/>
    </row>
    <row r="55" spans="1:11" x14ac:dyDescent="0.25">
      <c r="A55" s="1">
        <v>44784.368796296294</v>
      </c>
      <c r="B55" s="1">
        <v>44784.368784722225</v>
      </c>
      <c r="C55">
        <v>4</v>
      </c>
      <c r="D55">
        <v>4.2</v>
      </c>
      <c r="E55">
        <v>69</v>
      </c>
      <c r="F55">
        <v>0</v>
      </c>
      <c r="G55" t="s">
        <v>33</v>
      </c>
      <c r="H55" t="s">
        <v>36</v>
      </c>
      <c r="I55">
        <v>-0.17</v>
      </c>
      <c r="J55" s="2"/>
      <c r="K55" s="2"/>
    </row>
    <row r="56" spans="1:11" x14ac:dyDescent="0.25">
      <c r="A56" s="1">
        <v>44784.375740740739</v>
      </c>
      <c r="B56" s="1">
        <v>44784.375717592593</v>
      </c>
      <c r="C56">
        <v>4.3</v>
      </c>
      <c r="D56">
        <v>4.5</v>
      </c>
      <c r="E56">
        <v>68</v>
      </c>
      <c r="F56">
        <v>0</v>
      </c>
      <c r="G56" t="s">
        <v>33</v>
      </c>
      <c r="H56" t="s">
        <v>36</v>
      </c>
      <c r="I56">
        <v>0.08</v>
      </c>
      <c r="J56">
        <f>IF(COUNT(I51:I56)&gt;3.5,ROUND(AVERAGE(I51:I56),2),"")</f>
        <v>-0.23</v>
      </c>
      <c r="K56">
        <f>IF(COUNT(0.33, -0.28, -0.63, -0.88, -1.08, -0.87, -0.79, -0.79, -0.57, -0.23, 0.66, 1.2, 1.41, 1.35, 1.78, 2.16, 2.09, 1.92, 1.34, 0.86, 0.88, 0.54, 0.28, 0.16)&gt;17.5,ROUND(AVERAGE(0.33, -0.28, -0.63, -0.88, -1.08, -0.87, -0.79, -0.79, -0.57, -0.23, 0.66, 1.2, 1.41, 1.35, 1.78, 2.16, 2.09, 1.92, 1.34, 0.86, 0.88, 0.54, 0.28, 0.16),2),"NO AVG")</f>
        <v>0.45</v>
      </c>
    </row>
    <row r="57" spans="1:11" x14ac:dyDescent="0.25">
      <c r="A57" s="1">
        <v>44784.382685185185</v>
      </c>
      <c r="B57" s="1">
        <v>44784.382662037038</v>
      </c>
      <c r="C57">
        <v>4.4000000000000004</v>
      </c>
      <c r="D57">
        <v>4.5</v>
      </c>
      <c r="E57">
        <v>68</v>
      </c>
      <c r="F57">
        <v>0</v>
      </c>
      <c r="G57" t="s">
        <v>33</v>
      </c>
      <c r="H57" t="s">
        <v>36</v>
      </c>
      <c r="I57">
        <v>0.11</v>
      </c>
      <c r="J57" s="2"/>
      <c r="K57" s="2"/>
    </row>
    <row r="58" spans="1:11" x14ac:dyDescent="0.25">
      <c r="A58" s="1">
        <v>44784.38962962963</v>
      </c>
      <c r="B58" s="1">
        <v>44784.389618055553</v>
      </c>
      <c r="C58">
        <v>4.5999999999999996</v>
      </c>
      <c r="D58">
        <v>4.8</v>
      </c>
      <c r="E58">
        <v>67</v>
      </c>
      <c r="F58">
        <v>0</v>
      </c>
      <c r="G58" t="s">
        <v>33</v>
      </c>
      <c r="H58" t="s">
        <v>36</v>
      </c>
      <c r="I58">
        <v>0.34</v>
      </c>
      <c r="J58" s="2"/>
      <c r="K58" s="2"/>
    </row>
    <row r="59" spans="1:11" x14ac:dyDescent="0.25">
      <c r="A59" s="1">
        <v>44784.396574074075</v>
      </c>
      <c r="B59" s="1">
        <v>44784.396562499998</v>
      </c>
      <c r="C59">
        <v>4.9000000000000004</v>
      </c>
      <c r="D59">
        <v>5.0999999999999996</v>
      </c>
      <c r="E59">
        <v>64</v>
      </c>
      <c r="F59">
        <v>0</v>
      </c>
      <c r="G59" t="s">
        <v>33</v>
      </c>
      <c r="H59" t="s">
        <v>36</v>
      </c>
      <c r="I59">
        <v>0.73</v>
      </c>
      <c r="J59" s="2"/>
      <c r="K59" s="2"/>
    </row>
    <row r="60" spans="1:11" x14ac:dyDescent="0.25">
      <c r="A60" s="1">
        <v>44784.40351851852</v>
      </c>
      <c r="B60" s="1">
        <v>44784.403506944444</v>
      </c>
      <c r="C60">
        <v>5.3</v>
      </c>
      <c r="D60">
        <v>5.6</v>
      </c>
      <c r="E60">
        <v>64</v>
      </c>
      <c r="F60">
        <v>0</v>
      </c>
      <c r="G60" t="s">
        <v>33</v>
      </c>
      <c r="H60" t="s">
        <v>36</v>
      </c>
      <c r="I60">
        <v>1</v>
      </c>
      <c r="J60" s="2"/>
      <c r="K60" s="2"/>
    </row>
    <row r="61" spans="1:11" x14ac:dyDescent="0.25">
      <c r="A61" s="1">
        <v>44784.410462962966</v>
      </c>
      <c r="B61" s="1">
        <v>44784.410451388889</v>
      </c>
      <c r="C61">
        <v>5.3</v>
      </c>
      <c r="D61">
        <v>5.8</v>
      </c>
      <c r="E61">
        <v>63</v>
      </c>
      <c r="F61">
        <v>0</v>
      </c>
      <c r="G61" t="s">
        <v>33</v>
      </c>
      <c r="H61" t="s">
        <v>36</v>
      </c>
      <c r="I61">
        <v>1.1399999999999999</v>
      </c>
      <c r="J61" s="2"/>
      <c r="K61" s="2"/>
    </row>
    <row r="62" spans="1:11" x14ac:dyDescent="0.25">
      <c r="A62" s="1">
        <v>44784.417407407411</v>
      </c>
      <c r="B62" s="1">
        <v>44784.417395833334</v>
      </c>
      <c r="C62">
        <v>5.2</v>
      </c>
      <c r="D62">
        <v>5.8</v>
      </c>
      <c r="E62">
        <v>63</v>
      </c>
      <c r="F62">
        <v>0</v>
      </c>
      <c r="G62" t="s">
        <v>33</v>
      </c>
      <c r="H62" t="s">
        <v>36</v>
      </c>
      <c r="I62">
        <v>1.1000000000000001</v>
      </c>
      <c r="J62">
        <f>IF(COUNT(I57:I62)&gt;3.5,ROUND(AVERAGE(I57:I62),2),"")</f>
        <v>0.74</v>
      </c>
      <c r="K62">
        <f>IF(COUNT(0.33, -0.28, -0.63, -0.88, -1.08, -0.87, -0.79, -0.79, -0.57, -0.23, 0.74, 1.2, 1.41, 1.35, 1.78, 2.16, 2.09, 1.92, 1.34, 0.86, 0.88, 0.54, 0.28, 0.16)&gt;17.5,ROUND(AVERAGE(0.33, -0.28, -0.63, -0.88, -1.08, -0.87, -0.79, -0.79, -0.57, -0.23, 0.74, 1.2, 1.41, 1.35, 1.78, 2.16, 2.09, 1.92, 1.34, 0.86, 0.88, 0.54, 0.28, 0.16),2),"NO AVG")</f>
        <v>0.46</v>
      </c>
    </row>
    <row r="63" spans="1:11" x14ac:dyDescent="0.25">
      <c r="A63" s="1">
        <v>44784.424363425926</v>
      </c>
      <c r="B63" s="1">
        <v>44784.424340277779</v>
      </c>
      <c r="C63">
        <v>5.0999999999999996</v>
      </c>
      <c r="D63">
        <v>5.6</v>
      </c>
      <c r="E63">
        <v>64</v>
      </c>
      <c r="F63">
        <v>0</v>
      </c>
      <c r="G63" t="s">
        <v>33</v>
      </c>
      <c r="H63" t="s">
        <v>36</v>
      </c>
      <c r="I63">
        <v>0.94</v>
      </c>
      <c r="J63" s="2"/>
      <c r="K63" s="2"/>
    </row>
    <row r="64" spans="1:11" x14ac:dyDescent="0.25">
      <c r="A64" s="1">
        <v>44784.431296296294</v>
      </c>
      <c r="B64" s="1">
        <v>44784.431284722225</v>
      </c>
      <c r="C64">
        <v>5</v>
      </c>
      <c r="D64">
        <v>5.4</v>
      </c>
      <c r="E64">
        <v>62</v>
      </c>
      <c r="F64">
        <v>0</v>
      </c>
      <c r="G64" t="s">
        <v>33</v>
      </c>
      <c r="H64" t="s">
        <v>36</v>
      </c>
      <c r="I64">
        <v>0.99</v>
      </c>
      <c r="J64" s="2"/>
      <c r="K64" s="2"/>
    </row>
    <row r="65" spans="1:11" x14ac:dyDescent="0.25">
      <c r="A65" s="1">
        <v>44784.438252314816</v>
      </c>
      <c r="B65" s="1">
        <v>44784.43822916667</v>
      </c>
      <c r="C65">
        <v>5.0999999999999996</v>
      </c>
      <c r="D65">
        <v>5.5</v>
      </c>
      <c r="E65">
        <v>61</v>
      </c>
      <c r="F65">
        <v>0</v>
      </c>
      <c r="G65" t="s">
        <v>33</v>
      </c>
      <c r="H65" t="s">
        <v>36</v>
      </c>
      <c r="I65">
        <v>1.1200000000000001</v>
      </c>
      <c r="J65" s="2"/>
      <c r="K65" s="2"/>
    </row>
    <row r="66" spans="1:11" x14ac:dyDescent="0.25">
      <c r="A66" s="1">
        <v>44784.445185185185</v>
      </c>
      <c r="B66" s="1">
        <v>44784.445173611108</v>
      </c>
      <c r="C66">
        <v>5.3</v>
      </c>
      <c r="D66">
        <v>5.9</v>
      </c>
      <c r="E66">
        <v>62</v>
      </c>
      <c r="F66">
        <v>0</v>
      </c>
      <c r="G66" t="s">
        <v>33</v>
      </c>
      <c r="H66" t="s">
        <v>36</v>
      </c>
      <c r="I66">
        <v>1.24</v>
      </c>
      <c r="J66" s="2"/>
      <c r="K66" s="2"/>
    </row>
    <row r="67" spans="1:11" x14ac:dyDescent="0.25">
      <c r="A67" s="1">
        <v>44784.452141203707</v>
      </c>
      <c r="B67" s="1">
        <v>44784.452118055553</v>
      </c>
      <c r="C67">
        <v>5.7</v>
      </c>
      <c r="D67">
        <v>6</v>
      </c>
      <c r="E67">
        <v>62</v>
      </c>
      <c r="F67">
        <v>0</v>
      </c>
      <c r="G67" t="s">
        <v>33</v>
      </c>
      <c r="H67" t="s">
        <v>36</v>
      </c>
      <c r="I67">
        <v>1.39</v>
      </c>
      <c r="J67" s="2"/>
      <c r="K67" s="2"/>
    </row>
    <row r="68" spans="1:11" x14ac:dyDescent="0.25">
      <c r="A68" s="1">
        <v>44784.459085648145</v>
      </c>
      <c r="B68" s="1">
        <v>44784.459062499998</v>
      </c>
      <c r="C68">
        <v>6.2</v>
      </c>
      <c r="D68">
        <v>6.1</v>
      </c>
      <c r="E68">
        <v>60</v>
      </c>
      <c r="F68">
        <v>0</v>
      </c>
      <c r="G68" t="s">
        <v>33</v>
      </c>
      <c r="H68" t="s">
        <v>36</v>
      </c>
      <c r="I68">
        <v>1.71</v>
      </c>
      <c r="J68">
        <f>IF(COUNT(I63:I68)&gt;3.5,ROUND(AVERAGE(I63:I68),2),"")</f>
        <v>1.23</v>
      </c>
      <c r="K68">
        <f>IF(COUNT(0.33, -0.28, -0.63, -0.88, -1.08, -0.87, -0.79, -0.79, -0.57, -0.23, 0.74, 1.23, 1.41, 1.35, 1.78, 2.16, 2.09, 1.92, 1.34, 0.86, 0.88, 0.54, 0.28, 0.16)&gt;17.5,ROUND(AVERAGE(0.33, -0.28, -0.63, -0.88, -1.08, -0.87, -0.79, -0.79, -0.57, -0.23, 0.74, 1.23, 1.41, 1.35, 1.78, 2.16, 2.09, 1.92, 1.34, 0.86, 0.88, 0.54, 0.28, 0.16),2),"NO AVG")</f>
        <v>0.46</v>
      </c>
    </row>
    <row r="69" spans="1:11" x14ac:dyDescent="0.25">
      <c r="A69" s="1">
        <v>44784.46601851852</v>
      </c>
      <c r="B69" s="1">
        <v>44784.466006944444</v>
      </c>
      <c r="C69">
        <v>6.3</v>
      </c>
      <c r="D69">
        <v>6.3</v>
      </c>
      <c r="E69">
        <v>60</v>
      </c>
      <c r="F69">
        <v>0</v>
      </c>
      <c r="G69" t="s">
        <v>33</v>
      </c>
      <c r="H69" t="s">
        <v>36</v>
      </c>
      <c r="I69">
        <v>1.8</v>
      </c>
      <c r="J69" s="2"/>
      <c r="K69" s="2"/>
    </row>
    <row r="70" spans="1:11" x14ac:dyDescent="0.25">
      <c r="A70" s="1">
        <v>44784.472962962966</v>
      </c>
      <c r="B70" s="1">
        <v>44784.472951388889</v>
      </c>
      <c r="C70">
        <v>6.6</v>
      </c>
      <c r="D70">
        <v>6.6</v>
      </c>
      <c r="E70">
        <v>58</v>
      </c>
      <c r="F70">
        <v>0</v>
      </c>
      <c r="G70" t="s">
        <v>33</v>
      </c>
      <c r="H70" t="s">
        <v>36</v>
      </c>
      <c r="I70">
        <v>2.13</v>
      </c>
      <c r="J70" s="2"/>
      <c r="K70" s="2"/>
    </row>
    <row r="71" spans="1:11" x14ac:dyDescent="0.25">
      <c r="A71" s="1">
        <v>44784.47991898148</v>
      </c>
      <c r="B71" s="1">
        <v>44784.479895833334</v>
      </c>
      <c r="C71">
        <v>6.4</v>
      </c>
      <c r="D71">
        <v>6.5</v>
      </c>
      <c r="E71">
        <v>55</v>
      </c>
      <c r="F71">
        <v>0</v>
      </c>
      <c r="G71" t="s">
        <v>33</v>
      </c>
      <c r="H71" t="s">
        <v>36</v>
      </c>
      <c r="I71">
        <v>2.2400000000000002</v>
      </c>
      <c r="J71" s="2"/>
      <c r="K71" s="2"/>
    </row>
    <row r="72" spans="1:11" x14ac:dyDescent="0.25">
      <c r="A72" s="1">
        <v>44784.486863425926</v>
      </c>
      <c r="B72" s="1">
        <v>44784.486840277779</v>
      </c>
      <c r="C72">
        <v>6.3</v>
      </c>
      <c r="D72">
        <v>5.8</v>
      </c>
      <c r="E72">
        <v>54</v>
      </c>
      <c r="F72">
        <v>0</v>
      </c>
      <c r="G72" t="s">
        <v>33</v>
      </c>
      <c r="H72" t="s">
        <v>36</v>
      </c>
      <c r="I72">
        <v>2.0699999999999998</v>
      </c>
      <c r="J72" s="2"/>
      <c r="K72" s="2"/>
    </row>
    <row r="73" spans="1:11" x14ac:dyDescent="0.25">
      <c r="A73" s="1">
        <v>44784.493807870371</v>
      </c>
      <c r="B73" s="1">
        <v>44784.493784722225</v>
      </c>
      <c r="C73">
        <v>5.8</v>
      </c>
      <c r="D73">
        <v>5.5</v>
      </c>
      <c r="E73">
        <v>51</v>
      </c>
      <c r="F73">
        <v>0</v>
      </c>
      <c r="G73" t="s">
        <v>33</v>
      </c>
      <c r="H73" t="s">
        <v>36</v>
      </c>
      <c r="I73">
        <v>2.04</v>
      </c>
      <c r="J73" s="2"/>
      <c r="K73" s="2"/>
    </row>
    <row r="74" spans="1:11" x14ac:dyDescent="0.25">
      <c r="A74" s="1">
        <v>44784.500752314816</v>
      </c>
      <c r="B74" s="1">
        <v>44784.50072916667</v>
      </c>
      <c r="C74">
        <v>5.0999999999999996</v>
      </c>
      <c r="D74">
        <v>5</v>
      </c>
      <c r="E74">
        <v>50</v>
      </c>
      <c r="F74">
        <v>0</v>
      </c>
      <c r="G74" t="s">
        <v>33</v>
      </c>
      <c r="H74" t="s">
        <v>36</v>
      </c>
      <c r="I74">
        <v>1.74</v>
      </c>
      <c r="J74">
        <f>IF(COUNT(I69:I74)&gt;3.5,ROUND(AVERAGE(I69:I74),2),"")</f>
        <v>2</v>
      </c>
      <c r="K74">
        <f>IF(COUNT(0.33, -0.28, -0.63, -0.88, -1.08, -0.87, -0.79, -0.79, -0.57, -0.23, 0.74, 1.23, 2, 1.35, 1.78, 2.16, 2.09, 1.92, 1.34, 0.86, 0.88, 0.54, 0.28, 0.16)&gt;17.5,ROUND(AVERAGE(0.33, -0.28, -0.63, -0.88, -1.08, -0.87, -0.79, -0.79, -0.57, -0.23, 0.74, 1.23, 2, 1.35, 1.78, 2.16, 2.09, 1.92, 1.34, 0.86, 0.88, 0.54, 0.28, 0.16),2),"NO AVG")</f>
        <v>0.48</v>
      </c>
    </row>
    <row r="75" spans="1:11" x14ac:dyDescent="0.25">
      <c r="A75" s="1">
        <v>44784.507696759261</v>
      </c>
      <c r="B75" s="1">
        <v>44784.507673611108</v>
      </c>
      <c r="C75">
        <v>4.4000000000000004</v>
      </c>
      <c r="D75">
        <v>4.5</v>
      </c>
      <c r="E75">
        <v>47</v>
      </c>
      <c r="F75">
        <v>0</v>
      </c>
      <c r="G75" t="s">
        <v>33</v>
      </c>
      <c r="H75" t="s">
        <v>36</v>
      </c>
      <c r="I75">
        <v>1.58</v>
      </c>
      <c r="J75" s="2"/>
      <c r="K75" s="2"/>
    </row>
    <row r="76" spans="1:11" x14ac:dyDescent="0.25">
      <c r="A76" s="1">
        <v>44784.514641203707</v>
      </c>
      <c r="B76" s="1">
        <v>44784.514618055553</v>
      </c>
      <c r="C76">
        <v>3.9</v>
      </c>
      <c r="D76">
        <v>4.0999999999999996</v>
      </c>
      <c r="E76">
        <v>45</v>
      </c>
      <c r="F76">
        <v>0</v>
      </c>
      <c r="G76" t="s">
        <v>33</v>
      </c>
      <c r="H76" t="s">
        <v>36</v>
      </c>
      <c r="I76">
        <v>1.45</v>
      </c>
      <c r="J76" s="2"/>
      <c r="K76" s="2"/>
    </row>
    <row r="77" spans="1:11" x14ac:dyDescent="0.25">
      <c r="A77" s="1">
        <v>44784.521585648145</v>
      </c>
      <c r="B77" s="1">
        <v>44784.521562499998</v>
      </c>
      <c r="C77">
        <v>3.5</v>
      </c>
      <c r="D77">
        <v>3.7</v>
      </c>
      <c r="E77">
        <v>43</v>
      </c>
      <c r="F77">
        <v>0</v>
      </c>
      <c r="G77" t="s">
        <v>33</v>
      </c>
      <c r="H77" t="s">
        <v>36</v>
      </c>
      <c r="I77">
        <v>1.35</v>
      </c>
      <c r="J77" s="2"/>
      <c r="K77" s="2"/>
    </row>
    <row r="78" spans="1:11" x14ac:dyDescent="0.25">
      <c r="A78" s="1">
        <v>44784.52853009259</v>
      </c>
      <c r="B78" s="1">
        <v>44784.528506944444</v>
      </c>
      <c r="C78">
        <v>3</v>
      </c>
      <c r="D78">
        <v>3.3</v>
      </c>
      <c r="E78">
        <v>44</v>
      </c>
      <c r="F78">
        <v>0</v>
      </c>
      <c r="G78" t="s">
        <v>33</v>
      </c>
      <c r="H78" t="s">
        <v>36</v>
      </c>
      <c r="I78">
        <v>1</v>
      </c>
      <c r="J78" s="2"/>
      <c r="K78" s="2"/>
    </row>
    <row r="79" spans="1:11" x14ac:dyDescent="0.25">
      <c r="A79" s="1">
        <v>44784.535474537035</v>
      </c>
      <c r="B79" s="1">
        <v>44784.535451388889</v>
      </c>
      <c r="C79">
        <v>2.6</v>
      </c>
      <c r="D79">
        <v>3.1</v>
      </c>
      <c r="E79">
        <v>41</v>
      </c>
      <c r="F79">
        <v>0</v>
      </c>
      <c r="G79" t="s">
        <v>33</v>
      </c>
      <c r="H79" t="s">
        <v>36</v>
      </c>
      <c r="I79">
        <v>1.03</v>
      </c>
      <c r="J79" s="2"/>
      <c r="K79" s="2"/>
    </row>
    <row r="80" spans="1:11" x14ac:dyDescent="0.25">
      <c r="A80" s="1">
        <v>44784.54241898148</v>
      </c>
      <c r="B80" s="1">
        <v>44784.542395833334</v>
      </c>
      <c r="C80">
        <v>2.4</v>
      </c>
      <c r="D80">
        <v>3</v>
      </c>
      <c r="E80">
        <v>44</v>
      </c>
      <c r="F80">
        <v>0</v>
      </c>
      <c r="G80" t="s">
        <v>33</v>
      </c>
      <c r="H80" t="s">
        <v>36</v>
      </c>
      <c r="I80">
        <v>0.73</v>
      </c>
      <c r="J80">
        <f>IF(COUNT(I75:I80)&gt;3.5,ROUND(AVERAGE(I75:I80),2),"")</f>
        <v>1.19</v>
      </c>
      <c r="K80">
        <f>IF(COUNT(0.33, -0.28, -0.63, -0.88, -1.08, -0.87, -0.79, -0.79, -0.57, -0.23, 0.74, 1.23, 2, 1.19, 1.78, 2.16, 2.09, 1.92, 1.34, 0.86, 0.88, 0.54, 0.28, 0.16)&gt;17.5,ROUND(AVERAGE(0.33, -0.28, -0.63, -0.88, -1.08, -0.87, -0.79, -0.79, -0.57, -0.23, 0.74, 1.23, 2, 1.19, 1.78, 2.16, 2.09, 1.92, 1.34, 0.86, 0.88, 0.54, 0.28, 0.16),2),"NO AVG")</f>
        <v>0.47</v>
      </c>
    </row>
    <row r="81" spans="1:11" x14ac:dyDescent="0.25">
      <c r="A81" s="1">
        <v>44784.549363425926</v>
      </c>
      <c r="B81" s="1">
        <v>44784.549340277779</v>
      </c>
      <c r="C81">
        <v>2.4</v>
      </c>
      <c r="D81">
        <v>3</v>
      </c>
      <c r="E81">
        <v>48</v>
      </c>
      <c r="F81">
        <v>0</v>
      </c>
      <c r="G81" t="s">
        <v>33</v>
      </c>
      <c r="H81" t="s">
        <v>36</v>
      </c>
      <c r="I81">
        <v>0.45</v>
      </c>
      <c r="J81" s="2"/>
      <c r="K81" s="2"/>
    </row>
    <row r="82" spans="1:11" x14ac:dyDescent="0.25">
      <c r="A82" s="1">
        <v>44784.55672453704</v>
      </c>
      <c r="B82" s="1">
        <v>44784.556284722225</v>
      </c>
      <c r="C82">
        <v>2.4</v>
      </c>
      <c r="D82">
        <v>2.9</v>
      </c>
      <c r="E82">
        <v>50</v>
      </c>
      <c r="F82">
        <v>0</v>
      </c>
      <c r="G82" t="s">
        <v>33</v>
      </c>
      <c r="H82" t="s">
        <v>36</v>
      </c>
      <c r="I82">
        <v>0.28000000000000003</v>
      </c>
      <c r="J82" s="2"/>
      <c r="K82" s="2"/>
    </row>
    <row r="83" spans="1:11" x14ac:dyDescent="0.25">
      <c r="A83" s="1">
        <v>44784.563252314816</v>
      </c>
      <c r="B83" s="1">
        <v>44784.56322916667</v>
      </c>
      <c r="C83">
        <v>2.4</v>
      </c>
      <c r="D83">
        <v>3</v>
      </c>
      <c r="E83">
        <v>47</v>
      </c>
      <c r="F83">
        <v>0</v>
      </c>
      <c r="G83" t="s">
        <v>33</v>
      </c>
      <c r="H83" t="s">
        <v>36</v>
      </c>
      <c r="I83">
        <v>0.52</v>
      </c>
      <c r="J83" s="2"/>
      <c r="K83" s="2"/>
    </row>
    <row r="84" spans="1:11" x14ac:dyDescent="0.25">
      <c r="A84" s="1">
        <v>44784.570196759261</v>
      </c>
      <c r="B84" s="1">
        <v>44784.570173611108</v>
      </c>
      <c r="C84">
        <v>2.5</v>
      </c>
      <c r="D84">
        <v>3</v>
      </c>
      <c r="E84">
        <v>49</v>
      </c>
      <c r="F84">
        <v>0</v>
      </c>
      <c r="G84" t="s">
        <v>33</v>
      </c>
      <c r="H84" t="s">
        <v>36</v>
      </c>
      <c r="I84">
        <v>0.41</v>
      </c>
      <c r="J84" s="2"/>
      <c r="K84" s="2"/>
    </row>
    <row r="85" spans="1:11" x14ac:dyDescent="0.25">
      <c r="A85" s="1">
        <v>44784.577141203707</v>
      </c>
      <c r="B85" s="1">
        <v>44784.577118055553</v>
      </c>
      <c r="C85">
        <v>2.7</v>
      </c>
      <c r="D85">
        <v>3.2</v>
      </c>
      <c r="E85">
        <v>51</v>
      </c>
      <c r="F85">
        <v>0</v>
      </c>
      <c r="G85" t="s">
        <v>33</v>
      </c>
      <c r="H85" t="s">
        <v>36</v>
      </c>
      <c r="I85">
        <v>0.39</v>
      </c>
      <c r="J85" s="2"/>
      <c r="K85" s="2"/>
    </row>
    <row r="86" spans="1:11" x14ac:dyDescent="0.25">
      <c r="A86" s="1">
        <v>44784.584085648145</v>
      </c>
      <c r="B86" s="1">
        <v>44784.584062499998</v>
      </c>
      <c r="C86">
        <v>2.8</v>
      </c>
      <c r="D86">
        <v>3.2</v>
      </c>
      <c r="E86">
        <v>52</v>
      </c>
      <c r="F86">
        <v>0</v>
      </c>
      <c r="G86" t="s">
        <v>33</v>
      </c>
      <c r="H86" t="s">
        <v>36</v>
      </c>
      <c r="I86">
        <v>0.35</v>
      </c>
      <c r="J86">
        <f>IF(COUNT(I81:I86)&gt;3.5,ROUND(AVERAGE(I81:I86),2),"")</f>
        <v>0.4</v>
      </c>
      <c r="K86">
        <f>IF(COUNT(0.33, -0.28, -0.63, -0.88, -1.08, -0.87, -0.79, -0.79, -0.57, -0.23, 0.74, 1.23, 2, 1.19, 0.4, 2.16, 2.09, 1.92, 1.34, 0.86, 0.88, 0.54, 0.28, 0.16)&gt;17.5,ROUND(AVERAGE(0.33, -0.28, -0.63, -0.88, -1.08, -0.87, -0.79, -0.79, -0.57, -0.23, 0.74, 1.23, 2, 1.19, 0.4, 2.16, 2.09, 1.92, 1.34, 0.86, 0.88, 0.54, 0.28, 0.16),2),"NO AVG")</f>
        <v>0.42</v>
      </c>
    </row>
    <row r="87" spans="1:11" x14ac:dyDescent="0.25">
      <c r="A87" s="1">
        <v>44784.59103009259</v>
      </c>
      <c r="B87" s="1">
        <v>44784.591006944444</v>
      </c>
      <c r="C87">
        <v>3</v>
      </c>
      <c r="D87">
        <v>3.4</v>
      </c>
      <c r="E87">
        <v>45</v>
      </c>
      <c r="F87">
        <v>0</v>
      </c>
      <c r="G87" t="s">
        <v>33</v>
      </c>
      <c r="H87" t="s">
        <v>36</v>
      </c>
      <c r="I87">
        <v>0.96</v>
      </c>
      <c r="J87" s="2"/>
      <c r="K87" s="2"/>
    </row>
    <row r="88" spans="1:11" x14ac:dyDescent="0.25">
      <c r="A88" s="1">
        <v>44784.597974537035</v>
      </c>
      <c r="B88" s="1">
        <v>44784.597951388889</v>
      </c>
      <c r="C88">
        <v>3.3</v>
      </c>
      <c r="D88">
        <v>3.6</v>
      </c>
      <c r="E88">
        <v>49</v>
      </c>
      <c r="F88">
        <v>0</v>
      </c>
      <c r="G88" t="s">
        <v>33</v>
      </c>
      <c r="H88" t="s">
        <v>36</v>
      </c>
      <c r="I88">
        <v>0.83</v>
      </c>
      <c r="J88" s="2"/>
      <c r="K88" s="2"/>
    </row>
    <row r="89" spans="1:11" x14ac:dyDescent="0.25">
      <c r="A89" s="1">
        <v>44784.60491898148</v>
      </c>
      <c r="B89" s="1">
        <v>44784.604895833334</v>
      </c>
      <c r="C89">
        <v>3.6</v>
      </c>
      <c r="D89">
        <v>3.9</v>
      </c>
      <c r="E89">
        <v>49</v>
      </c>
      <c r="F89">
        <v>0</v>
      </c>
      <c r="G89" t="s">
        <v>33</v>
      </c>
      <c r="H89" t="s">
        <v>36</v>
      </c>
      <c r="I89">
        <v>1.02</v>
      </c>
      <c r="J89" s="2"/>
      <c r="K89" s="2"/>
    </row>
    <row r="90" spans="1:11" x14ac:dyDescent="0.25">
      <c r="A90" s="1">
        <v>44784.611863425926</v>
      </c>
      <c r="B90" s="1">
        <v>44784.611840277779</v>
      </c>
      <c r="C90">
        <v>3.7</v>
      </c>
      <c r="D90">
        <v>4.2</v>
      </c>
      <c r="E90">
        <v>47</v>
      </c>
      <c r="F90">
        <v>0</v>
      </c>
      <c r="G90" t="s">
        <v>33</v>
      </c>
      <c r="H90" t="s">
        <v>36</v>
      </c>
      <c r="I90">
        <v>1.28</v>
      </c>
      <c r="J90" s="2"/>
      <c r="K90" s="2"/>
    </row>
    <row r="91" spans="1:11" x14ac:dyDescent="0.25">
      <c r="A91" s="1">
        <v>44784.618807870371</v>
      </c>
      <c r="B91" s="1">
        <v>44784.618784722225</v>
      </c>
      <c r="C91">
        <v>3.7</v>
      </c>
      <c r="D91">
        <v>4.3</v>
      </c>
      <c r="E91">
        <v>43</v>
      </c>
      <c r="F91">
        <v>0</v>
      </c>
      <c r="G91" t="s">
        <v>33</v>
      </c>
      <c r="H91" t="s">
        <v>36</v>
      </c>
      <c r="I91">
        <v>1.59</v>
      </c>
      <c r="J91" s="2"/>
      <c r="K91" s="2"/>
    </row>
    <row r="92" spans="1:11" x14ac:dyDescent="0.25">
      <c r="A92" s="1">
        <v>44784.625752314816</v>
      </c>
      <c r="B92" s="1">
        <v>44784.62572916667</v>
      </c>
      <c r="C92">
        <v>3.8</v>
      </c>
      <c r="D92">
        <v>4.3</v>
      </c>
      <c r="E92">
        <v>46</v>
      </c>
      <c r="F92">
        <v>0</v>
      </c>
      <c r="G92" t="s">
        <v>33</v>
      </c>
      <c r="H92" t="s">
        <v>36</v>
      </c>
      <c r="I92">
        <v>1.41</v>
      </c>
      <c r="J92">
        <f>IF(COUNT(I87:I92)&gt;3.5,ROUND(AVERAGE(I87:I92),2),"")</f>
        <v>1.18</v>
      </c>
      <c r="K92">
        <f>IF(COUNT(0.33, -0.28, -0.63, -0.88, -1.08, -0.87, -0.79, -0.79, -0.57, -0.23, 0.74, 1.23, 2, 1.19, 0.4, 1.18, 2.09, 1.92, 1.34, 0.86, 0.88, 0.54, 0.28, 0.16)&gt;17.5,ROUND(AVERAGE(0.33, -0.28, -0.63, -0.88, -1.08, -0.87, -0.79, -0.79, -0.57, -0.23, 0.74, 1.23, 2, 1.19, 0.4, 1.18, 2.09, 1.92, 1.34, 0.86, 0.88, 0.54, 0.28, 0.16),2),"NO AVG")</f>
        <v>0.38</v>
      </c>
    </row>
    <row r="93" spans="1:11" x14ac:dyDescent="0.25">
      <c r="A93" s="1">
        <v>44784.632685185185</v>
      </c>
      <c r="B93" s="1">
        <v>44784.632673611108</v>
      </c>
      <c r="C93">
        <v>3.6</v>
      </c>
      <c r="D93">
        <v>4.0999999999999996</v>
      </c>
      <c r="E93">
        <v>46</v>
      </c>
      <c r="F93">
        <v>0</v>
      </c>
      <c r="G93" t="s">
        <v>33</v>
      </c>
      <c r="H93" t="s">
        <v>36</v>
      </c>
      <c r="I93">
        <v>1.29</v>
      </c>
      <c r="J93" s="2"/>
      <c r="K93" s="2"/>
    </row>
    <row r="94" spans="1:11" x14ac:dyDescent="0.25">
      <c r="A94" s="1">
        <v>44784.639618055553</v>
      </c>
      <c r="B94" s="1">
        <v>44784.639618055553</v>
      </c>
      <c r="C94">
        <v>3.3</v>
      </c>
      <c r="D94">
        <v>3.9</v>
      </c>
      <c r="E94">
        <v>49</v>
      </c>
      <c r="F94">
        <v>0</v>
      </c>
      <c r="G94" t="s">
        <v>33</v>
      </c>
      <c r="H94" t="s">
        <v>36</v>
      </c>
      <c r="I94">
        <v>0.93</v>
      </c>
      <c r="J94" s="2"/>
      <c r="K94" s="2"/>
    </row>
    <row r="95" spans="1:11" x14ac:dyDescent="0.25">
      <c r="A95" s="1">
        <v>44784.646574074075</v>
      </c>
      <c r="B95" s="1">
        <v>44784.646562499998</v>
      </c>
      <c r="C95">
        <v>3.2</v>
      </c>
      <c r="D95">
        <v>3.8</v>
      </c>
      <c r="E95">
        <v>44</v>
      </c>
      <c r="F95">
        <v>0</v>
      </c>
      <c r="G95" t="s">
        <v>33</v>
      </c>
      <c r="H95" t="s">
        <v>36</v>
      </c>
      <c r="I95">
        <v>1.21</v>
      </c>
      <c r="J95" s="2"/>
      <c r="K95" s="2"/>
    </row>
    <row r="96" spans="1:11" x14ac:dyDescent="0.25">
      <c r="A96" s="1">
        <v>44784.65351851852</v>
      </c>
      <c r="B96" s="1">
        <v>44784.653506944444</v>
      </c>
      <c r="C96">
        <v>3.2</v>
      </c>
      <c r="D96">
        <v>3.6</v>
      </c>
      <c r="E96">
        <v>43</v>
      </c>
      <c r="F96">
        <v>0</v>
      </c>
      <c r="G96" t="s">
        <v>33</v>
      </c>
      <c r="H96" t="s">
        <v>36</v>
      </c>
      <c r="I96">
        <v>1.22</v>
      </c>
      <c r="J96" s="2"/>
      <c r="K96" s="2"/>
    </row>
    <row r="97" spans="1:11" x14ac:dyDescent="0.25">
      <c r="A97" s="1">
        <v>44784.660451388889</v>
      </c>
      <c r="B97" s="1">
        <v>44784.660451388889</v>
      </c>
      <c r="C97">
        <v>3.2</v>
      </c>
      <c r="D97">
        <v>3.5</v>
      </c>
      <c r="E97">
        <v>45</v>
      </c>
      <c r="F97">
        <v>0</v>
      </c>
      <c r="G97" t="s">
        <v>33</v>
      </c>
      <c r="H97" t="s">
        <v>36</v>
      </c>
      <c r="I97">
        <v>1.05</v>
      </c>
      <c r="J97" s="2"/>
      <c r="K97" s="2"/>
    </row>
    <row r="98" spans="1:11" x14ac:dyDescent="0.25">
      <c r="A98" s="1">
        <v>44784.667407407411</v>
      </c>
      <c r="B98" s="1">
        <v>44784.667395833334</v>
      </c>
      <c r="C98">
        <v>3</v>
      </c>
      <c r="D98">
        <v>3.5</v>
      </c>
      <c r="E98">
        <v>47</v>
      </c>
      <c r="F98">
        <v>0</v>
      </c>
      <c r="G98" t="s">
        <v>33</v>
      </c>
      <c r="H98" t="s">
        <v>36</v>
      </c>
      <c r="I98">
        <v>0.85</v>
      </c>
      <c r="J98">
        <f>IF(COUNT(I93:I98)&gt;3.5,ROUND(AVERAGE(I93:I98),2),"")</f>
        <v>1.0900000000000001</v>
      </c>
      <c r="K98">
        <f>IF(COUNT(0.33, -0.28, -0.63, -0.88, -1.08, -0.87, -0.79, -0.79, -0.57, -0.23, 0.74, 1.23, 2, 1.19, 0.4, 1.18, 1.09, 1.92, 1.34, 0.86, 0.88, 0.54, 0.28, 0.16)&gt;17.5,ROUND(AVERAGE(0.33, -0.28, -0.63, -0.88, -1.08, -0.87, -0.79, -0.79, -0.57, -0.23, 0.74, 1.23, 2, 1.19, 0.4, 1.18, 1.09, 1.92, 1.34, 0.86, 0.88, 0.54, 0.28, 0.16),2),"NO AVG")</f>
        <v>0.33</v>
      </c>
    </row>
    <row r="99" spans="1:11" x14ac:dyDescent="0.25">
      <c r="A99" s="1">
        <v>44784.674340277779</v>
      </c>
      <c r="B99" s="1">
        <v>44784.674328703702</v>
      </c>
      <c r="C99">
        <v>2.9</v>
      </c>
      <c r="D99">
        <v>3.5</v>
      </c>
      <c r="E99">
        <v>45</v>
      </c>
      <c r="F99">
        <v>0</v>
      </c>
      <c r="G99" t="s">
        <v>33</v>
      </c>
      <c r="H99" t="s">
        <v>36</v>
      </c>
      <c r="I99">
        <v>0.96</v>
      </c>
      <c r="J99" s="2"/>
      <c r="K99" s="2"/>
    </row>
    <row r="100" spans="1:11" x14ac:dyDescent="0.25">
      <c r="A100" s="1">
        <v>44784.681284722225</v>
      </c>
      <c r="B100" s="1">
        <v>44784.681273148148</v>
      </c>
      <c r="C100">
        <v>3.1</v>
      </c>
      <c r="D100">
        <v>3.4</v>
      </c>
      <c r="E100">
        <v>48</v>
      </c>
      <c r="F100">
        <v>0</v>
      </c>
      <c r="G100" t="s">
        <v>33</v>
      </c>
      <c r="H100" t="s">
        <v>36</v>
      </c>
      <c r="I100">
        <v>0.78</v>
      </c>
      <c r="J100" s="2"/>
      <c r="K100" s="2"/>
    </row>
    <row r="101" spans="1:11" x14ac:dyDescent="0.25">
      <c r="A101" s="1">
        <v>44784.68822916667</v>
      </c>
      <c r="B101" s="1">
        <v>44784.688217592593</v>
      </c>
      <c r="C101">
        <v>3.1</v>
      </c>
      <c r="D101">
        <v>3.5</v>
      </c>
      <c r="E101">
        <v>46</v>
      </c>
      <c r="F101">
        <v>0</v>
      </c>
      <c r="G101" t="s">
        <v>33</v>
      </c>
      <c r="H101" t="s">
        <v>36</v>
      </c>
      <c r="I101">
        <v>0.95</v>
      </c>
      <c r="J101" s="2"/>
      <c r="K101" s="2"/>
    </row>
    <row r="102" spans="1:11" x14ac:dyDescent="0.25">
      <c r="A102" s="1">
        <v>44784.695173611108</v>
      </c>
      <c r="B102" s="1">
        <v>44784.695162037038</v>
      </c>
      <c r="C102">
        <v>3</v>
      </c>
      <c r="D102">
        <v>3.5</v>
      </c>
      <c r="E102">
        <v>49</v>
      </c>
      <c r="F102">
        <v>0</v>
      </c>
      <c r="G102" t="s">
        <v>33</v>
      </c>
      <c r="H102" t="s">
        <v>36</v>
      </c>
      <c r="I102">
        <v>0.71</v>
      </c>
      <c r="J102" s="2"/>
      <c r="K102" s="2"/>
    </row>
    <row r="103" spans="1:11" x14ac:dyDescent="0.25">
      <c r="A103" s="1">
        <v>44784.702118055553</v>
      </c>
      <c r="B103" s="1">
        <v>44784.702106481483</v>
      </c>
      <c r="C103">
        <v>3.2</v>
      </c>
      <c r="D103">
        <v>3.5</v>
      </c>
      <c r="E103">
        <v>50</v>
      </c>
      <c r="F103">
        <v>0</v>
      </c>
      <c r="G103" t="s">
        <v>33</v>
      </c>
      <c r="H103" t="s">
        <v>36</v>
      </c>
      <c r="I103">
        <v>0.7</v>
      </c>
      <c r="J103" s="2"/>
      <c r="K103" s="2"/>
    </row>
    <row r="104" spans="1:11" x14ac:dyDescent="0.25">
      <c r="A104" s="1">
        <v>44784.709062499998</v>
      </c>
      <c r="B104" s="1">
        <v>44784.709050925929</v>
      </c>
      <c r="C104">
        <v>3.1</v>
      </c>
      <c r="D104">
        <v>3.4</v>
      </c>
      <c r="E104">
        <v>51</v>
      </c>
      <c r="F104">
        <v>0</v>
      </c>
      <c r="G104" t="s">
        <v>33</v>
      </c>
      <c r="H104" t="s">
        <v>36</v>
      </c>
      <c r="I104">
        <v>0.56999999999999995</v>
      </c>
      <c r="J104">
        <f>IF(COUNT(I99:I104)&gt;3.5,ROUND(AVERAGE(I99:I104),2),"")</f>
        <v>0.78</v>
      </c>
      <c r="K104">
        <f>IF(COUNT(0.33, -0.28, -0.63, -0.88, -1.08, -0.87, -0.79, -0.79, -0.57, -0.23, 0.74, 1.23, 2, 1.19, 0.4, 1.18, 1.09, 0.78, 1.34, 0.86, 0.88, 0.54, 0.28, 0.16)&gt;17.5,ROUND(AVERAGE(0.33, -0.28, -0.63, -0.88, -1.08, -0.87, -0.79, -0.79, -0.57, -0.23, 0.74, 1.23, 2, 1.19, 0.4, 1.18, 1.09, 0.78, 1.34, 0.86, 0.88, 0.54, 0.28, 0.16),2),"NO AVG")</f>
        <v>0.28999999999999998</v>
      </c>
    </row>
    <row r="105" spans="1:11" x14ac:dyDescent="0.25">
      <c r="A105" s="1">
        <v>44784.716006944444</v>
      </c>
      <c r="B105" s="1">
        <v>44784.715995370374</v>
      </c>
      <c r="C105">
        <v>3</v>
      </c>
      <c r="D105">
        <v>3.3</v>
      </c>
      <c r="E105">
        <v>52</v>
      </c>
      <c r="F105">
        <v>0</v>
      </c>
      <c r="G105" t="s">
        <v>33</v>
      </c>
      <c r="H105" t="s">
        <v>36</v>
      </c>
      <c r="I105">
        <v>0.44</v>
      </c>
      <c r="J105" s="2"/>
      <c r="K105" s="2"/>
    </row>
    <row r="106" spans="1:11" x14ac:dyDescent="0.25">
      <c r="A106" s="1">
        <v>44784.722951388889</v>
      </c>
      <c r="B106" s="1">
        <v>44784.722939814812</v>
      </c>
      <c r="C106">
        <v>2.9</v>
      </c>
      <c r="D106">
        <v>3.3</v>
      </c>
      <c r="E106">
        <v>54</v>
      </c>
      <c r="F106">
        <v>0</v>
      </c>
      <c r="G106" t="s">
        <v>33</v>
      </c>
      <c r="H106" t="s">
        <v>36</v>
      </c>
      <c r="I106">
        <v>0.27</v>
      </c>
      <c r="J106" s="2"/>
      <c r="K106" s="2"/>
    </row>
    <row r="107" spans="1:11" x14ac:dyDescent="0.25">
      <c r="A107" s="1">
        <v>44784.729895833334</v>
      </c>
      <c r="B107" s="1">
        <v>44784.729884259257</v>
      </c>
      <c r="C107">
        <v>2.9</v>
      </c>
      <c r="D107">
        <v>3.4</v>
      </c>
      <c r="E107">
        <v>51</v>
      </c>
      <c r="F107">
        <v>0</v>
      </c>
      <c r="G107" t="s">
        <v>33</v>
      </c>
      <c r="H107" t="s">
        <v>36</v>
      </c>
      <c r="I107">
        <v>0.51</v>
      </c>
      <c r="J107" s="2"/>
      <c r="K107" s="2"/>
    </row>
    <row r="108" spans="1:11" x14ac:dyDescent="0.25">
      <c r="A108" s="1">
        <v>44784.736840277779</v>
      </c>
      <c r="B108" s="1">
        <v>44784.736828703702</v>
      </c>
      <c r="C108">
        <v>2.9</v>
      </c>
      <c r="D108">
        <v>3.5</v>
      </c>
      <c r="E108">
        <v>49</v>
      </c>
      <c r="F108">
        <v>0</v>
      </c>
      <c r="G108" t="s">
        <v>33</v>
      </c>
      <c r="H108" t="s">
        <v>36</v>
      </c>
      <c r="I108">
        <v>0.68</v>
      </c>
      <c r="J108" s="2"/>
      <c r="K108" s="2"/>
    </row>
    <row r="109" spans="1:11" x14ac:dyDescent="0.25">
      <c r="A109" s="1">
        <v>44784.743784722225</v>
      </c>
      <c r="B109" s="1">
        <v>44784.743773148148</v>
      </c>
      <c r="C109">
        <v>3</v>
      </c>
      <c r="D109">
        <v>3.4</v>
      </c>
      <c r="E109">
        <v>49</v>
      </c>
      <c r="F109">
        <v>0</v>
      </c>
      <c r="G109" t="s">
        <v>33</v>
      </c>
      <c r="H109" t="s">
        <v>36</v>
      </c>
      <c r="I109">
        <v>0.68</v>
      </c>
      <c r="J109" s="2"/>
      <c r="K109" s="2"/>
    </row>
    <row r="110" spans="1:11" x14ac:dyDescent="0.25">
      <c r="A110" s="1">
        <v>44784.75072916667</v>
      </c>
      <c r="B110" s="1">
        <v>44784.750717592593</v>
      </c>
      <c r="C110">
        <v>3.2</v>
      </c>
      <c r="D110">
        <v>3.4</v>
      </c>
      <c r="E110">
        <v>45</v>
      </c>
      <c r="F110">
        <v>0</v>
      </c>
      <c r="G110" t="s">
        <v>33</v>
      </c>
      <c r="H110" t="s">
        <v>36</v>
      </c>
      <c r="I110">
        <v>1.02</v>
      </c>
      <c r="J110">
        <f>IF(COUNT(I105:I110)&gt;3.5,ROUND(AVERAGE(I105:I110),2),"")</f>
        <v>0.6</v>
      </c>
      <c r="K110">
        <f>IF(COUNT(0.33, -0.28, -0.63, -0.88, -1.08, -0.87, -0.79, -0.79, -0.57, -0.23, 0.74, 1.23, 2, 1.19, 0.4, 1.18, 1.09, 0.78, 0.6, 0.86, 0.88, 0.54, 0.28, 0.16)&gt;17.5,ROUND(AVERAGE(0.33, -0.28, -0.63, -0.88, -1.08, -0.87, -0.79, -0.79, -0.57, -0.23, 0.74, 1.23, 2, 1.19, 0.4, 1.18, 1.09, 0.78, 0.6, 0.86, 0.88, 0.54, 0.28, 0.16),2),"NO AVG")</f>
        <v>0.26</v>
      </c>
    </row>
    <row r="111" spans="1:11" x14ac:dyDescent="0.25">
      <c r="A111" s="1">
        <v>44784.757673611108</v>
      </c>
      <c r="B111" s="1">
        <v>44784.757662037038</v>
      </c>
      <c r="C111">
        <v>3.2</v>
      </c>
      <c r="D111">
        <v>3.5</v>
      </c>
      <c r="E111">
        <v>47</v>
      </c>
      <c r="F111">
        <v>0</v>
      </c>
      <c r="G111" t="s">
        <v>33</v>
      </c>
      <c r="H111" t="s">
        <v>36</v>
      </c>
      <c r="I111">
        <v>0.91</v>
      </c>
      <c r="J111" s="2"/>
      <c r="K111" s="2"/>
    </row>
    <row r="112" spans="1:11" x14ac:dyDescent="0.25">
      <c r="A112" s="1">
        <v>44784.764618055553</v>
      </c>
      <c r="B112" s="1">
        <v>44784.764606481483</v>
      </c>
      <c r="C112">
        <v>3.2</v>
      </c>
      <c r="D112">
        <v>3.7</v>
      </c>
      <c r="E112">
        <v>50</v>
      </c>
      <c r="F112">
        <v>0</v>
      </c>
      <c r="G112" t="s">
        <v>33</v>
      </c>
      <c r="H112" t="s">
        <v>36</v>
      </c>
      <c r="I112">
        <v>0.76</v>
      </c>
      <c r="J112" s="2"/>
      <c r="K112" s="2"/>
    </row>
    <row r="113" spans="1:11" x14ac:dyDescent="0.25">
      <c r="A113" s="1">
        <v>44784.771562499998</v>
      </c>
      <c r="B113" s="1">
        <v>44784.771550925929</v>
      </c>
      <c r="C113">
        <v>3.4</v>
      </c>
      <c r="D113">
        <v>3.8</v>
      </c>
      <c r="E113">
        <v>51</v>
      </c>
      <c r="F113">
        <v>0</v>
      </c>
      <c r="G113" t="s">
        <v>33</v>
      </c>
      <c r="H113" t="s">
        <v>36</v>
      </c>
      <c r="I113">
        <v>0.79</v>
      </c>
      <c r="J113" s="2"/>
      <c r="K113" s="2"/>
    </row>
    <row r="114" spans="1:11" x14ac:dyDescent="0.25">
      <c r="A114" s="1">
        <v>44784.778506944444</v>
      </c>
      <c r="B114" s="1">
        <v>44784.778495370374</v>
      </c>
      <c r="C114">
        <v>4.5</v>
      </c>
      <c r="D114">
        <v>4.7</v>
      </c>
      <c r="E114">
        <v>53</v>
      </c>
      <c r="F114">
        <v>0</v>
      </c>
      <c r="G114" t="s">
        <v>33</v>
      </c>
      <c r="H114" t="s">
        <v>36</v>
      </c>
      <c r="I114">
        <v>1.26</v>
      </c>
      <c r="J114" s="2"/>
      <c r="K114" s="2"/>
    </row>
    <row r="115" spans="1:11" x14ac:dyDescent="0.25">
      <c r="A115" s="1">
        <v>44784.785451388889</v>
      </c>
      <c r="B115" s="1">
        <v>44784.785439814812</v>
      </c>
      <c r="C115">
        <v>4.4000000000000004</v>
      </c>
      <c r="D115">
        <v>4.7</v>
      </c>
      <c r="E115">
        <v>54</v>
      </c>
      <c r="F115">
        <v>0</v>
      </c>
      <c r="G115" t="s">
        <v>33</v>
      </c>
      <c r="H115" t="s">
        <v>36</v>
      </c>
      <c r="I115">
        <v>1.1599999999999999</v>
      </c>
      <c r="J115" s="2"/>
      <c r="K115" s="2"/>
    </row>
    <row r="116" spans="1:11" x14ac:dyDescent="0.25">
      <c r="A116" s="1">
        <v>44784.792395833334</v>
      </c>
      <c r="B116" s="1">
        <v>44784.792384259257</v>
      </c>
      <c r="C116">
        <v>4.0999999999999996</v>
      </c>
      <c r="D116">
        <v>4.3</v>
      </c>
      <c r="E116">
        <v>54</v>
      </c>
      <c r="F116">
        <v>0</v>
      </c>
      <c r="G116" t="s">
        <v>33</v>
      </c>
      <c r="H116" t="s">
        <v>36</v>
      </c>
      <c r="I116">
        <v>0.94</v>
      </c>
      <c r="J116">
        <f>IF(COUNT(I111:I116)&gt;3.5,ROUND(AVERAGE(I111:I116),2),"")</f>
        <v>0.97</v>
      </c>
      <c r="K116">
        <f>IF(COUNT(0.33, -0.28, -0.63, -0.88, -1.08, -0.87, -0.79, -0.79, -0.57, -0.23, 0.74, 1.23, 2, 1.19, 0.4, 1.18, 1.09, 0.78, 0.6, 0.97, 0.88, 0.54, 0.28, 0.16)&gt;17.5,ROUND(AVERAGE(0.33, -0.28, -0.63, -0.88, -1.08, -0.87, -0.79, -0.79, -0.57, -0.23, 0.74, 1.23, 2, 1.19, 0.4, 1.18, 1.09, 0.78, 0.6, 0.97, 0.88, 0.54, 0.28, 0.16),2),"NO AVG")</f>
        <v>0.26</v>
      </c>
    </row>
    <row r="117" spans="1:11" x14ac:dyDescent="0.25">
      <c r="A117" s="1">
        <v>44784.799340277779</v>
      </c>
      <c r="B117" s="1">
        <v>44784.799328703702</v>
      </c>
      <c r="C117">
        <v>4</v>
      </c>
      <c r="D117">
        <v>4.2</v>
      </c>
      <c r="E117">
        <v>55</v>
      </c>
      <c r="F117">
        <v>0</v>
      </c>
      <c r="G117" t="s">
        <v>33</v>
      </c>
      <c r="H117" t="s">
        <v>36</v>
      </c>
      <c r="I117">
        <v>0.81</v>
      </c>
      <c r="J117" s="2"/>
      <c r="K117" s="2"/>
    </row>
    <row r="118" spans="1:11" x14ac:dyDescent="0.25">
      <c r="A118" s="1">
        <v>44784.806284722225</v>
      </c>
      <c r="B118" s="1">
        <v>44784.806273148148</v>
      </c>
      <c r="C118">
        <v>3.8</v>
      </c>
      <c r="D118">
        <v>4</v>
      </c>
      <c r="E118">
        <v>56</v>
      </c>
      <c r="F118">
        <v>0</v>
      </c>
      <c r="G118" t="s">
        <v>33</v>
      </c>
      <c r="H118" t="s">
        <v>36</v>
      </c>
      <c r="I118">
        <v>0.62</v>
      </c>
      <c r="J118" s="2"/>
      <c r="K118" s="2"/>
    </row>
    <row r="119" spans="1:11" x14ac:dyDescent="0.25">
      <c r="A119" s="1">
        <v>44784.81322916667</v>
      </c>
      <c r="B119" s="1">
        <v>44784.813217592593</v>
      </c>
      <c r="C119">
        <v>3.7</v>
      </c>
      <c r="D119">
        <v>3.9</v>
      </c>
      <c r="E119">
        <v>55</v>
      </c>
      <c r="F119">
        <v>0</v>
      </c>
      <c r="G119" t="s">
        <v>33</v>
      </c>
      <c r="H119" t="s">
        <v>36</v>
      </c>
      <c r="I119">
        <v>0.63</v>
      </c>
      <c r="J119" s="2"/>
      <c r="K119" s="2"/>
    </row>
    <row r="120" spans="1:11" x14ac:dyDescent="0.25">
      <c r="A120" s="1">
        <v>44784.820173611108</v>
      </c>
      <c r="B120" s="1">
        <v>44784.820162037038</v>
      </c>
      <c r="C120">
        <v>3.6</v>
      </c>
      <c r="D120">
        <v>4</v>
      </c>
      <c r="E120">
        <v>56</v>
      </c>
      <c r="F120">
        <v>0</v>
      </c>
      <c r="G120" t="s">
        <v>33</v>
      </c>
      <c r="H120" t="s">
        <v>36</v>
      </c>
      <c r="I120">
        <v>0.56000000000000005</v>
      </c>
      <c r="J120" s="2"/>
      <c r="K120" s="2"/>
    </row>
    <row r="121" spans="1:11" x14ac:dyDescent="0.25">
      <c r="A121" s="1">
        <v>44784.827118055553</v>
      </c>
      <c r="B121" s="1">
        <v>44784.827106481483</v>
      </c>
      <c r="C121">
        <v>3.7</v>
      </c>
      <c r="D121">
        <v>4</v>
      </c>
      <c r="E121">
        <v>56</v>
      </c>
      <c r="F121">
        <v>0</v>
      </c>
      <c r="G121" t="s">
        <v>33</v>
      </c>
      <c r="H121" t="s">
        <v>36</v>
      </c>
      <c r="I121">
        <v>0.59</v>
      </c>
      <c r="J121" s="2"/>
      <c r="K121" s="2"/>
    </row>
    <row r="122" spans="1:11" x14ac:dyDescent="0.25">
      <c r="A122" s="1">
        <v>44784.834062499998</v>
      </c>
      <c r="B122" s="1">
        <v>44784.834050925929</v>
      </c>
      <c r="C122">
        <v>3.7</v>
      </c>
      <c r="D122">
        <v>4</v>
      </c>
      <c r="E122">
        <v>56</v>
      </c>
      <c r="F122">
        <v>0</v>
      </c>
      <c r="G122" t="s">
        <v>33</v>
      </c>
      <c r="H122" t="s">
        <v>36</v>
      </c>
      <c r="I122">
        <v>0.59</v>
      </c>
      <c r="J122">
        <f>IF(COUNT(I117:I122)&gt;3.5,ROUND(AVERAGE(I117:I122),2),"")</f>
        <v>0.63</v>
      </c>
      <c r="K122">
        <f>IF(COUNT(0.33, -0.28, -0.63, -0.88, -1.08, -0.87, -0.79, -0.79, -0.57, -0.23, 0.74, 1.23, 2, 1.19, 0.4, 1.18, 1.09, 0.78, 0.6, 0.97, 0.63, 0.54, 0.28, 0.16)&gt;17.5,ROUND(AVERAGE(0.33, -0.28, -0.63, -0.88, -1.08, -0.87, -0.79, -0.79, -0.57, -0.23, 0.74, 1.23, 2, 1.19, 0.4, 1.18, 1.09, 0.78, 0.6, 0.97, 0.63, 0.54, 0.28, 0.16),2),"NO AVG")</f>
        <v>0.25</v>
      </c>
    </row>
    <row r="123" spans="1:11" x14ac:dyDescent="0.25">
      <c r="A123" s="1">
        <v>44784.841006944444</v>
      </c>
      <c r="B123" s="1">
        <v>44784.840995370374</v>
      </c>
      <c r="C123">
        <v>3.7</v>
      </c>
      <c r="D123">
        <v>4.0999999999999996</v>
      </c>
      <c r="E123">
        <v>56</v>
      </c>
      <c r="F123">
        <v>0</v>
      </c>
      <c r="G123" t="s">
        <v>33</v>
      </c>
      <c r="H123" t="s">
        <v>36</v>
      </c>
      <c r="I123">
        <v>0.62</v>
      </c>
      <c r="J123" s="2"/>
      <c r="K123" s="2"/>
    </row>
    <row r="124" spans="1:11" x14ac:dyDescent="0.25">
      <c r="A124" s="1">
        <v>44784.847951388889</v>
      </c>
      <c r="B124" s="1">
        <v>44784.847939814812</v>
      </c>
      <c r="C124">
        <v>3.7</v>
      </c>
      <c r="D124">
        <v>4.0999999999999996</v>
      </c>
      <c r="E124">
        <v>57</v>
      </c>
      <c r="F124">
        <v>0</v>
      </c>
      <c r="G124" t="s">
        <v>33</v>
      </c>
      <c r="H124" t="s">
        <v>36</v>
      </c>
      <c r="I124">
        <v>0.55000000000000004</v>
      </c>
      <c r="J124" s="2"/>
      <c r="K124" s="2"/>
    </row>
    <row r="125" spans="1:11" x14ac:dyDescent="0.25">
      <c r="A125" s="1">
        <v>44784.854895833334</v>
      </c>
      <c r="B125" s="1">
        <v>44784.854884259257</v>
      </c>
      <c r="C125">
        <v>3.7</v>
      </c>
      <c r="D125">
        <v>4</v>
      </c>
      <c r="E125">
        <v>56</v>
      </c>
      <c r="F125">
        <v>0</v>
      </c>
      <c r="G125" t="s">
        <v>33</v>
      </c>
      <c r="H125" t="s">
        <v>36</v>
      </c>
      <c r="I125">
        <v>0.59</v>
      </c>
      <c r="J125" s="2"/>
      <c r="K125" s="2"/>
    </row>
    <row r="126" spans="1:11" x14ac:dyDescent="0.25">
      <c r="A126" s="1">
        <v>44784.861840277779</v>
      </c>
      <c r="B126" s="1">
        <v>44784.861828703702</v>
      </c>
      <c r="C126">
        <v>3.7</v>
      </c>
      <c r="D126">
        <v>4.0999999999999996</v>
      </c>
      <c r="E126">
        <v>57</v>
      </c>
      <c r="F126">
        <v>0</v>
      </c>
      <c r="G126" t="s">
        <v>33</v>
      </c>
      <c r="H126" t="s">
        <v>36</v>
      </c>
      <c r="I126">
        <v>0.55000000000000004</v>
      </c>
      <c r="J126" s="2"/>
      <c r="K126" s="2"/>
    </row>
    <row r="127" spans="1:11" x14ac:dyDescent="0.25">
      <c r="A127" s="1">
        <v>44784.868784722225</v>
      </c>
      <c r="B127" s="1">
        <v>44784.868773148148</v>
      </c>
      <c r="C127">
        <v>3.7</v>
      </c>
      <c r="D127">
        <v>4.0999999999999996</v>
      </c>
      <c r="E127">
        <v>58</v>
      </c>
      <c r="F127">
        <v>0</v>
      </c>
      <c r="G127" t="s">
        <v>33</v>
      </c>
      <c r="H127" t="s">
        <v>36</v>
      </c>
      <c r="I127">
        <v>0.48</v>
      </c>
      <c r="J127" s="2"/>
      <c r="K127" s="2"/>
    </row>
    <row r="128" spans="1:11" x14ac:dyDescent="0.25">
      <c r="A128" s="1">
        <v>44784.87572916667</v>
      </c>
      <c r="B128" s="1">
        <v>44784.875717592593</v>
      </c>
      <c r="C128">
        <v>3.7</v>
      </c>
      <c r="D128">
        <v>4.2</v>
      </c>
      <c r="E128">
        <v>57</v>
      </c>
      <c r="F128">
        <v>0</v>
      </c>
      <c r="G128" t="s">
        <v>33</v>
      </c>
      <c r="H128" t="s">
        <v>36</v>
      </c>
      <c r="I128">
        <v>0.57999999999999996</v>
      </c>
      <c r="J128">
        <f>IF(COUNT(I123:I128)&gt;3.5,ROUND(AVERAGE(I123:I128),2),"")</f>
        <v>0.56000000000000005</v>
      </c>
      <c r="K128">
        <f>IF(COUNT(0.33, -0.28, -0.63, -0.88, -1.08, -0.87, -0.79, -0.79, -0.57, -0.23, 0.74, 1.23, 2, 1.19, 0.4, 1.18, 1.09, 0.78, 0.6, 0.97, 0.63, 0.56, 0.28, 0.16)&gt;17.5,ROUND(AVERAGE(0.33, -0.28, -0.63, -0.88, -1.08, -0.87, -0.79, -0.79, -0.57, -0.23, 0.74, 1.23, 2, 1.19, 0.4, 1.18, 1.09, 0.78, 0.6, 0.97, 0.63, 0.56, 0.28, 0.16),2),"NO AVG")</f>
        <v>0.25</v>
      </c>
    </row>
    <row r="129" spans="1:11" x14ac:dyDescent="0.25">
      <c r="A129" s="1">
        <v>44784.882673611108</v>
      </c>
      <c r="B129" s="1">
        <v>44784.882662037038</v>
      </c>
      <c r="C129">
        <v>3.5</v>
      </c>
      <c r="D129">
        <v>4.0999999999999996</v>
      </c>
      <c r="E129">
        <v>56</v>
      </c>
      <c r="F129">
        <v>0</v>
      </c>
      <c r="G129" t="s">
        <v>33</v>
      </c>
      <c r="H129" t="s">
        <v>36</v>
      </c>
      <c r="I129">
        <v>0.56000000000000005</v>
      </c>
      <c r="J129" s="2"/>
      <c r="K129" s="2"/>
    </row>
    <row r="130" spans="1:11" x14ac:dyDescent="0.25">
      <c r="A130" s="1">
        <v>44784.889618055553</v>
      </c>
      <c r="B130" s="1">
        <v>44784.889606481483</v>
      </c>
      <c r="C130">
        <v>3.5</v>
      </c>
      <c r="D130">
        <v>3.9</v>
      </c>
      <c r="E130">
        <v>56</v>
      </c>
      <c r="F130">
        <v>0</v>
      </c>
      <c r="G130" t="s">
        <v>33</v>
      </c>
      <c r="H130" t="s">
        <v>36</v>
      </c>
      <c r="I130">
        <v>0.5</v>
      </c>
      <c r="J130" s="2"/>
      <c r="K130" s="2"/>
    </row>
    <row r="131" spans="1:11" x14ac:dyDescent="0.25">
      <c r="A131" s="1">
        <v>44784.896562499998</v>
      </c>
      <c r="B131" s="1">
        <v>44784.896550925929</v>
      </c>
      <c r="C131">
        <v>3.3</v>
      </c>
      <c r="D131">
        <v>3.8</v>
      </c>
      <c r="E131">
        <v>57</v>
      </c>
      <c r="F131">
        <v>0</v>
      </c>
      <c r="G131" t="s">
        <v>33</v>
      </c>
      <c r="H131" t="s">
        <v>36</v>
      </c>
      <c r="I131">
        <v>0.34</v>
      </c>
      <c r="J131" s="2"/>
      <c r="K131" s="2"/>
    </row>
    <row r="132" spans="1:11" x14ac:dyDescent="0.25">
      <c r="A132" s="1">
        <v>44784.903506944444</v>
      </c>
      <c r="B132" s="1">
        <v>44784.903495370374</v>
      </c>
      <c r="C132">
        <v>3.3</v>
      </c>
      <c r="D132">
        <v>3.9</v>
      </c>
      <c r="E132">
        <v>57</v>
      </c>
      <c r="F132">
        <v>0</v>
      </c>
      <c r="G132" t="s">
        <v>33</v>
      </c>
      <c r="H132" t="s">
        <v>36</v>
      </c>
      <c r="I132">
        <v>0.37</v>
      </c>
      <c r="J132" s="2"/>
      <c r="K132" s="2"/>
    </row>
    <row r="133" spans="1:11" x14ac:dyDescent="0.25">
      <c r="A133" s="1">
        <v>44784.910451388889</v>
      </c>
      <c r="B133" s="1">
        <v>44784.910439814812</v>
      </c>
      <c r="C133">
        <v>3.3</v>
      </c>
      <c r="D133">
        <v>3.8</v>
      </c>
      <c r="E133">
        <v>56</v>
      </c>
      <c r="F133">
        <v>0</v>
      </c>
      <c r="G133" t="s">
        <v>33</v>
      </c>
      <c r="H133" t="s">
        <v>36</v>
      </c>
      <c r="I133">
        <v>0.41</v>
      </c>
      <c r="J133" s="2"/>
      <c r="K133" s="2"/>
    </row>
    <row r="134" spans="1:11" x14ac:dyDescent="0.25">
      <c r="A134" s="1">
        <v>44784.917395833334</v>
      </c>
      <c r="B134" s="1">
        <v>44784.917384259257</v>
      </c>
      <c r="C134">
        <v>3.2</v>
      </c>
      <c r="D134">
        <v>3.7</v>
      </c>
      <c r="E134">
        <v>56</v>
      </c>
      <c r="F134">
        <v>0</v>
      </c>
      <c r="G134" t="s">
        <v>33</v>
      </c>
      <c r="H134" t="s">
        <v>36</v>
      </c>
      <c r="I134">
        <v>0.34</v>
      </c>
      <c r="J134">
        <f>IF(COUNT(I129:I134)&gt;3.5,ROUND(AVERAGE(I129:I134),2),"")</f>
        <v>0.42</v>
      </c>
      <c r="K134">
        <f>IF(COUNT(0.33, -0.28, -0.63, -0.88, -1.08, -0.87, -0.79, -0.79, -0.57, -0.23, 0.74, 1.23, 2, 1.19, 0.4, 1.18, 1.09, 0.78, 0.6, 0.97, 0.63, 0.56, 0.42, 0.16)&gt;17.5,ROUND(AVERAGE(0.33, -0.28, -0.63, -0.88, -1.08, -0.87, -0.79, -0.79, -0.57, -0.23, 0.74, 1.23, 2, 1.19, 0.4, 1.18, 1.09, 0.78, 0.6, 0.97, 0.63, 0.56, 0.42, 0.16),2),"NO AVG")</f>
        <v>0.26</v>
      </c>
    </row>
    <row r="135" spans="1:11" x14ac:dyDescent="0.25">
      <c r="A135" s="1">
        <v>44784.924340277779</v>
      </c>
      <c r="B135" s="1">
        <v>44784.924328703702</v>
      </c>
      <c r="C135">
        <v>3.2</v>
      </c>
      <c r="D135">
        <v>3.6</v>
      </c>
      <c r="E135">
        <v>57</v>
      </c>
      <c r="F135">
        <v>0</v>
      </c>
      <c r="G135" t="s">
        <v>33</v>
      </c>
      <c r="H135" t="s">
        <v>36</v>
      </c>
      <c r="I135">
        <v>0.24</v>
      </c>
      <c r="J135" s="2"/>
      <c r="K135" s="2"/>
    </row>
    <row r="136" spans="1:11" x14ac:dyDescent="0.25">
      <c r="A136" s="1">
        <v>44784.931284722225</v>
      </c>
      <c r="B136" s="1">
        <v>44784.931273148148</v>
      </c>
      <c r="C136">
        <v>3.2</v>
      </c>
      <c r="D136">
        <v>3.7</v>
      </c>
      <c r="E136">
        <v>58</v>
      </c>
      <c r="F136">
        <v>0</v>
      </c>
      <c r="G136" t="s">
        <v>33</v>
      </c>
      <c r="H136" t="s">
        <v>36</v>
      </c>
      <c r="I136">
        <v>0.2</v>
      </c>
      <c r="J136" s="2"/>
      <c r="K136" s="2"/>
    </row>
    <row r="137" spans="1:11" x14ac:dyDescent="0.25">
      <c r="A137" s="1">
        <v>44784.93822916667</v>
      </c>
      <c r="B137" s="1">
        <v>44784.938217592593</v>
      </c>
      <c r="C137">
        <v>3.2</v>
      </c>
      <c r="D137">
        <v>3.6</v>
      </c>
      <c r="E137">
        <v>59</v>
      </c>
      <c r="F137">
        <v>0</v>
      </c>
      <c r="G137" t="s">
        <v>33</v>
      </c>
      <c r="H137" t="s">
        <v>36</v>
      </c>
      <c r="I137">
        <v>0.1</v>
      </c>
      <c r="J137" s="2"/>
      <c r="K137" s="2"/>
    </row>
    <row r="138" spans="1:11" x14ac:dyDescent="0.25">
      <c r="A138" s="1">
        <v>44784.945173611108</v>
      </c>
      <c r="B138" s="1">
        <v>44784.945162037038</v>
      </c>
      <c r="C138">
        <v>3</v>
      </c>
      <c r="D138">
        <v>3.6</v>
      </c>
      <c r="E138">
        <v>58</v>
      </c>
      <c r="F138">
        <v>0</v>
      </c>
      <c r="G138" t="s">
        <v>33</v>
      </c>
      <c r="H138" t="s">
        <v>36</v>
      </c>
      <c r="I138">
        <v>0.11</v>
      </c>
      <c r="J138" s="2"/>
      <c r="K138" s="2"/>
    </row>
    <row r="139" spans="1:11" x14ac:dyDescent="0.25">
      <c r="A139" s="1">
        <v>44784.952118055553</v>
      </c>
      <c r="B139" s="1">
        <v>44784.952106481483</v>
      </c>
      <c r="C139">
        <v>3</v>
      </c>
      <c r="D139">
        <v>3.5</v>
      </c>
      <c r="E139">
        <v>58</v>
      </c>
      <c r="F139">
        <v>0</v>
      </c>
      <c r="G139" t="s">
        <v>33</v>
      </c>
      <c r="H139" t="s">
        <v>36</v>
      </c>
      <c r="I139">
        <v>0.08</v>
      </c>
      <c r="J139" s="2"/>
      <c r="K139" s="2"/>
    </row>
    <row r="140" spans="1:11" x14ac:dyDescent="0.25">
      <c r="A140" s="1">
        <v>44784.959062499998</v>
      </c>
      <c r="B140" s="1">
        <v>44784.959050925929</v>
      </c>
      <c r="C140">
        <v>3.1</v>
      </c>
      <c r="D140">
        <v>3.6</v>
      </c>
      <c r="E140">
        <v>59</v>
      </c>
      <c r="F140">
        <v>0</v>
      </c>
      <c r="G140" t="s">
        <v>33</v>
      </c>
      <c r="H140" t="s">
        <v>36</v>
      </c>
      <c r="I140">
        <v>7.0000000000000007E-2</v>
      </c>
      <c r="J140">
        <f>IF(COUNT(I135:I140)&gt;3.5,ROUND(AVERAGE(I135:I140),2),"")</f>
        <v>0.13</v>
      </c>
      <c r="K140">
        <f>IF(COUNT(0.33, -0.28, -0.63, -0.88, -1.08, -0.87, -0.79, -0.79, -0.57, -0.23, 0.74, 1.23, 2, 1.19, 0.4, 1.18, 1.09, 0.78, 0.6, 0.97, 0.63, 0.56, 0.42, 0.13)&gt;17.5,ROUND(AVERAGE(0.33, -0.28, -0.63, -0.88, -1.08, -0.87, -0.79, -0.79, -0.57, -0.23, 0.74, 1.23, 2, 1.19, 0.4, 1.18, 1.09, 0.78, 0.6, 0.97, 0.63, 0.56, 0.42, 0.13),2),"NO AVG")</f>
        <v>0.26</v>
      </c>
    </row>
    <row r="141" spans="1:11" x14ac:dyDescent="0.25">
      <c r="A141" s="1">
        <v>44784.966006944444</v>
      </c>
      <c r="B141" s="1">
        <v>44784.965995370374</v>
      </c>
      <c r="C141">
        <v>3</v>
      </c>
      <c r="D141">
        <v>3.6</v>
      </c>
      <c r="E141">
        <v>59</v>
      </c>
      <c r="F141">
        <v>0</v>
      </c>
      <c r="G141" t="s">
        <v>33</v>
      </c>
      <c r="H141" t="s">
        <v>36</v>
      </c>
      <c r="I141">
        <v>0.04</v>
      </c>
      <c r="J141" s="2"/>
      <c r="K141" s="2"/>
    </row>
    <row r="142" spans="1:11" x14ac:dyDescent="0.25">
      <c r="A142" s="1">
        <v>44784.972962962966</v>
      </c>
      <c r="B142" s="1">
        <v>44784.972939814812</v>
      </c>
      <c r="C142">
        <v>3</v>
      </c>
      <c r="D142">
        <v>3.7</v>
      </c>
      <c r="E142">
        <v>58</v>
      </c>
      <c r="F142">
        <v>0</v>
      </c>
      <c r="G142" t="s">
        <v>33</v>
      </c>
      <c r="H142" t="s">
        <v>36</v>
      </c>
      <c r="I142">
        <v>0.14000000000000001</v>
      </c>
      <c r="J142" s="2"/>
      <c r="K142" s="2"/>
    </row>
    <row r="143" spans="1:11" x14ac:dyDescent="0.25">
      <c r="A143" s="1">
        <v>44784.979895833334</v>
      </c>
      <c r="B143" s="1">
        <v>44784.979884259257</v>
      </c>
      <c r="C143">
        <v>3.1</v>
      </c>
      <c r="D143">
        <v>3.7</v>
      </c>
      <c r="E143">
        <v>58</v>
      </c>
      <c r="F143">
        <v>0</v>
      </c>
      <c r="G143" t="s">
        <v>33</v>
      </c>
      <c r="H143" t="s">
        <v>36</v>
      </c>
      <c r="I143">
        <v>0.17</v>
      </c>
      <c r="J143" s="2"/>
      <c r="K143" s="2"/>
    </row>
    <row r="144" spans="1:11" x14ac:dyDescent="0.25">
      <c r="A144" s="1">
        <v>44784.986840277779</v>
      </c>
      <c r="B144" s="1">
        <v>44784.986828703702</v>
      </c>
      <c r="C144">
        <v>3.2</v>
      </c>
      <c r="D144">
        <v>3.7</v>
      </c>
      <c r="E144">
        <v>59</v>
      </c>
      <c r="F144">
        <v>0</v>
      </c>
      <c r="G144" t="s">
        <v>33</v>
      </c>
      <c r="H144" t="s">
        <v>36</v>
      </c>
      <c r="I144">
        <v>0.13</v>
      </c>
      <c r="J144" s="2"/>
      <c r="K144" s="2"/>
    </row>
    <row r="145" spans="1:12" x14ac:dyDescent="0.25">
      <c r="A145" s="1">
        <v>44784.993784722225</v>
      </c>
      <c r="B145" s="1">
        <v>44784.993773148148</v>
      </c>
      <c r="C145">
        <v>3.4</v>
      </c>
      <c r="D145">
        <v>3.9</v>
      </c>
      <c r="E145">
        <v>60</v>
      </c>
      <c r="F145">
        <v>0</v>
      </c>
      <c r="G145" t="s">
        <v>33</v>
      </c>
      <c r="H145" t="s">
        <v>36</v>
      </c>
      <c r="I145">
        <v>0.19</v>
      </c>
      <c r="J145" s="2"/>
      <c r="K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A877-DDCF-4384-B36D-E974731A7790}">
  <sheetPr codeName="Sheet2"/>
  <dimension ref="A1:M151"/>
  <sheetViews>
    <sheetView workbookViewId="0"/>
  </sheetViews>
  <sheetFormatPr defaultColWidth="15" defaultRowHeight="15" x14ac:dyDescent="0.25"/>
  <cols>
    <col min="1" max="2" width="14.85546875" bestFit="1" customWidth="1"/>
    <col min="3" max="3" width="18.140625" bestFit="1" customWidth="1"/>
    <col min="4" max="4" width="18.28515625" bestFit="1" customWidth="1"/>
    <col min="5" max="5" width="11" bestFit="1" customWidth="1"/>
    <col min="6" max="6" width="11.140625" bestFit="1" customWidth="1"/>
    <col min="7" max="7" width="13.7109375" bestFit="1" customWidth="1"/>
    <col min="8" max="8" width="10.5703125" bestFit="1" customWidth="1"/>
    <col min="9" max="9" width="15.7109375" bestFit="1" customWidth="1"/>
    <col min="10" max="10" width="21.5703125" bestFit="1" customWidth="1"/>
    <col min="11" max="11" width="22.42578125" bestFit="1" customWidth="1"/>
    <col min="13" max="13" width="27.42578125" bestFit="1" customWidth="1"/>
  </cols>
  <sheetData>
    <row r="1" spans="1:13" x14ac:dyDescent="0.25">
      <c r="A1" t="s">
        <v>0</v>
      </c>
      <c r="B1" t="s">
        <v>11</v>
      </c>
      <c r="C1" t="s">
        <v>12</v>
      </c>
      <c r="D1" t="s">
        <v>13</v>
      </c>
      <c r="E1" t="s">
        <v>21</v>
      </c>
      <c r="F1" t="s">
        <v>22</v>
      </c>
      <c r="G1" t="s">
        <v>19</v>
      </c>
      <c r="H1" t="s">
        <v>27</v>
      </c>
      <c r="I1" t="s">
        <v>29</v>
      </c>
      <c r="J1" t="s">
        <v>61</v>
      </c>
      <c r="K1" t="s">
        <v>62</v>
      </c>
      <c r="M1" t="s">
        <v>3</v>
      </c>
    </row>
    <row r="2" spans="1:13" x14ac:dyDescent="0.25">
      <c r="A2" s="1">
        <v>44784.00072916667</v>
      </c>
      <c r="B2" s="1">
        <v>44784.000717592593</v>
      </c>
      <c r="C2">
        <v>7.9</v>
      </c>
      <c r="D2">
        <v>7.6</v>
      </c>
      <c r="E2">
        <v>42</v>
      </c>
      <c r="F2">
        <v>41</v>
      </c>
      <c r="G2" t="s">
        <v>32</v>
      </c>
      <c r="H2" t="s">
        <v>33</v>
      </c>
      <c r="K2" t="str">
        <f>IF(COUNT(, NA, NA, NA, NA, NA, NA, NA, NA, NA, NA, NA, NA, NA, NA, NA, NA, NA, NA, NA, NA, NA, NA, NA)&gt;17.5,ROUND(AVERAGE(, 0, 0, 0, 0, 0, 0, 0, 0, 0, 0, 0, 0, 0, 0, 0, 0, 0, 0, 0, 0, 0, 0, 0),2),"NO AVG")</f>
        <v>NO AVG</v>
      </c>
      <c r="M2" t="s">
        <v>30</v>
      </c>
    </row>
    <row r="3" spans="1:13" x14ac:dyDescent="0.25">
      <c r="A3" s="1">
        <v>44784.007685185185</v>
      </c>
      <c r="B3" s="1">
        <v>44784.007662037038</v>
      </c>
      <c r="C3">
        <v>7.9</v>
      </c>
      <c r="D3">
        <v>7.6</v>
      </c>
      <c r="E3">
        <v>42</v>
      </c>
      <c r="F3">
        <v>41</v>
      </c>
      <c r="G3" t="s">
        <v>32</v>
      </c>
      <c r="H3" t="s">
        <v>33</v>
      </c>
      <c r="J3" s="2"/>
      <c r="K3" s="2"/>
    </row>
    <row r="4" spans="1:13" x14ac:dyDescent="0.25">
      <c r="A4" s="1">
        <v>44784.014618055553</v>
      </c>
      <c r="B4" s="1">
        <v>44784.014606481483</v>
      </c>
      <c r="C4">
        <v>7.9</v>
      </c>
      <c r="D4">
        <v>7.6</v>
      </c>
      <c r="E4">
        <v>42</v>
      </c>
      <c r="F4">
        <v>41</v>
      </c>
      <c r="G4" t="s">
        <v>32</v>
      </c>
      <c r="H4" t="s">
        <v>33</v>
      </c>
      <c r="J4" s="2"/>
      <c r="K4" s="2"/>
    </row>
    <row r="5" spans="1:13" x14ac:dyDescent="0.25">
      <c r="A5" s="1">
        <v>44784.021562499998</v>
      </c>
      <c r="B5" s="1">
        <v>44784.021550925929</v>
      </c>
      <c r="C5">
        <v>7.9</v>
      </c>
      <c r="D5">
        <v>7.6</v>
      </c>
      <c r="E5">
        <v>42</v>
      </c>
      <c r="F5">
        <v>41</v>
      </c>
      <c r="G5" t="s">
        <v>32</v>
      </c>
      <c r="H5" t="s">
        <v>33</v>
      </c>
      <c r="J5" s="2"/>
      <c r="K5" s="2"/>
    </row>
    <row r="6" spans="1:13" x14ac:dyDescent="0.25">
      <c r="A6" s="1">
        <v>44784.028506944444</v>
      </c>
      <c r="B6" s="1">
        <v>44784.028495370374</v>
      </c>
      <c r="C6">
        <v>7.9</v>
      </c>
      <c r="D6">
        <v>7.6</v>
      </c>
      <c r="E6">
        <v>42</v>
      </c>
      <c r="F6">
        <v>41</v>
      </c>
      <c r="G6" t="s">
        <v>32</v>
      </c>
      <c r="H6" t="s">
        <v>33</v>
      </c>
      <c r="J6" s="2"/>
      <c r="K6" s="2"/>
    </row>
    <row r="7" spans="1:13" x14ac:dyDescent="0.25">
      <c r="A7" s="1">
        <v>44784.035451388889</v>
      </c>
      <c r="B7" s="1">
        <v>44784.035439814812</v>
      </c>
      <c r="C7">
        <v>7.9</v>
      </c>
      <c r="D7">
        <v>7.6</v>
      </c>
      <c r="E7">
        <v>42</v>
      </c>
      <c r="F7">
        <v>41</v>
      </c>
      <c r="G7" t="s">
        <v>32</v>
      </c>
      <c r="H7" t="s">
        <v>33</v>
      </c>
      <c r="J7" s="2"/>
      <c r="K7" s="2"/>
    </row>
    <row r="8" spans="1:13" x14ac:dyDescent="0.25">
      <c r="A8" s="1">
        <v>44784.042395833334</v>
      </c>
      <c r="B8" s="1">
        <v>44784.042384259257</v>
      </c>
      <c r="C8">
        <v>7.9</v>
      </c>
      <c r="D8">
        <v>7.6</v>
      </c>
      <c r="E8">
        <v>42</v>
      </c>
      <c r="F8">
        <v>41</v>
      </c>
      <c r="G8" t="s">
        <v>32</v>
      </c>
      <c r="H8" t="s">
        <v>33</v>
      </c>
      <c r="J8" t="str">
        <f>IF(COUNT(I3:I8)&gt;3.5,ROUND(AVERAGE(I3:I8),2),"")</f>
        <v/>
      </c>
      <c r="K8" t="str">
        <f>IF(COUNT(, , NA, NA, NA, NA, NA, NA, NA, NA, NA, NA, NA, NA, NA, NA, NA, NA, NA, NA, NA, NA, NA, NA)&gt;17.5,ROUND(AVERAGE(, , 0, 0, 0, 0, 0, 0, 0, 0, 0, 0, 0, 0, 0, 0, 0, 0, 0, 0, 0, 0, 0, 0),2),"NO AVG")</f>
        <v>NO AVG</v>
      </c>
    </row>
    <row r="9" spans="1:13" x14ac:dyDescent="0.25">
      <c r="A9" s="1">
        <v>44784.049340277779</v>
      </c>
      <c r="B9" s="1">
        <v>44784.049328703702</v>
      </c>
      <c r="C9">
        <v>7.9</v>
      </c>
      <c r="D9">
        <v>7.6</v>
      </c>
      <c r="E9">
        <v>42</v>
      </c>
      <c r="F9">
        <v>41</v>
      </c>
      <c r="G9" t="s">
        <v>32</v>
      </c>
      <c r="H9" t="s">
        <v>33</v>
      </c>
      <c r="J9" s="2"/>
      <c r="K9" s="2"/>
    </row>
    <row r="10" spans="1:13" x14ac:dyDescent="0.25">
      <c r="A10" s="1">
        <v>44784.056296296294</v>
      </c>
      <c r="B10" s="1">
        <v>44784.056273148148</v>
      </c>
      <c r="C10">
        <v>7.9</v>
      </c>
      <c r="D10">
        <v>7.6</v>
      </c>
      <c r="E10">
        <v>42</v>
      </c>
      <c r="F10">
        <v>41</v>
      </c>
      <c r="G10" t="s">
        <v>32</v>
      </c>
      <c r="H10" t="s">
        <v>33</v>
      </c>
      <c r="J10" s="2"/>
      <c r="K10" s="2"/>
    </row>
    <row r="11" spans="1:13" x14ac:dyDescent="0.25">
      <c r="A11" s="1">
        <v>44784.06322916667</v>
      </c>
      <c r="B11" s="1">
        <v>44784.063217592593</v>
      </c>
      <c r="C11">
        <v>7.9</v>
      </c>
      <c r="D11">
        <v>7.6</v>
      </c>
      <c r="E11">
        <v>42</v>
      </c>
      <c r="F11">
        <v>41</v>
      </c>
      <c r="G11" t="s">
        <v>32</v>
      </c>
      <c r="H11" t="s">
        <v>33</v>
      </c>
      <c r="J11" s="2"/>
      <c r="K11" s="2"/>
    </row>
    <row r="12" spans="1:13" x14ac:dyDescent="0.25">
      <c r="A12" s="1">
        <v>44784.070173611108</v>
      </c>
      <c r="B12" s="1">
        <v>44784.070162037038</v>
      </c>
      <c r="C12">
        <v>7.9</v>
      </c>
      <c r="D12">
        <v>7.6</v>
      </c>
      <c r="E12">
        <v>42</v>
      </c>
      <c r="F12">
        <v>41</v>
      </c>
      <c r="G12" t="s">
        <v>32</v>
      </c>
      <c r="H12" t="s">
        <v>33</v>
      </c>
      <c r="J12" s="2"/>
      <c r="K12" s="2"/>
    </row>
    <row r="13" spans="1:13" x14ac:dyDescent="0.25">
      <c r="A13" s="1">
        <v>44784.07712962963</v>
      </c>
      <c r="B13" s="1">
        <v>44784.077106481483</v>
      </c>
      <c r="C13">
        <v>7.9</v>
      </c>
      <c r="D13">
        <v>7.6</v>
      </c>
      <c r="E13">
        <v>42</v>
      </c>
      <c r="F13">
        <v>41</v>
      </c>
      <c r="G13" t="s">
        <v>32</v>
      </c>
      <c r="H13" t="s">
        <v>33</v>
      </c>
      <c r="J13" s="2"/>
      <c r="K13" s="2"/>
    </row>
    <row r="14" spans="1:13" x14ac:dyDescent="0.25">
      <c r="A14" s="1">
        <v>44784.084062499998</v>
      </c>
      <c r="B14" s="1">
        <v>44784.084050925929</v>
      </c>
      <c r="C14">
        <v>7.9</v>
      </c>
      <c r="D14">
        <v>7.6</v>
      </c>
      <c r="E14">
        <v>42</v>
      </c>
      <c r="F14">
        <v>41</v>
      </c>
      <c r="G14" t="s">
        <v>32</v>
      </c>
      <c r="H14" t="s">
        <v>33</v>
      </c>
      <c r="J14" t="str">
        <f>IF(COUNT(I9:I14)&gt;3.5,ROUND(AVERAGE(I9:I14),2),"")</f>
        <v/>
      </c>
      <c r="K14" t="str">
        <f>IF(COUNT(, , , NA, NA, NA, NA, NA, NA, NA, NA, NA, NA, NA, NA, NA, NA, NA, NA, NA, NA, NA, NA, NA)&gt;17.5,ROUND(AVERAGE(, , , 0, 0, 0, 0, 0, 0, 0, 0, 0, 0, 0, 0, 0, 0, 0, 0, 0, 0, 0, 0, 0),2),"NO AVG")</f>
        <v>NO AVG</v>
      </c>
    </row>
    <row r="15" spans="1:13" x14ac:dyDescent="0.25">
      <c r="A15" s="1">
        <v>44784.091006944444</v>
      </c>
      <c r="B15" s="1">
        <v>44784.090995370374</v>
      </c>
      <c r="C15">
        <v>7.9</v>
      </c>
      <c r="D15">
        <v>7.6</v>
      </c>
      <c r="E15">
        <v>42</v>
      </c>
      <c r="F15">
        <v>41</v>
      </c>
      <c r="G15" t="s">
        <v>32</v>
      </c>
      <c r="H15" t="s">
        <v>33</v>
      </c>
      <c r="J15" s="2"/>
      <c r="K15" s="2"/>
    </row>
    <row r="16" spans="1:13" x14ac:dyDescent="0.25">
      <c r="A16" s="1">
        <v>44784.097951388889</v>
      </c>
      <c r="B16" s="1">
        <v>44784.097939814812</v>
      </c>
      <c r="C16">
        <v>7.9</v>
      </c>
      <c r="D16">
        <v>7.6</v>
      </c>
      <c r="E16">
        <v>42</v>
      </c>
      <c r="F16">
        <v>41</v>
      </c>
      <c r="G16" t="s">
        <v>32</v>
      </c>
      <c r="H16" t="s">
        <v>33</v>
      </c>
      <c r="J16" s="2"/>
      <c r="K16" s="2"/>
    </row>
    <row r="17" spans="1:11" x14ac:dyDescent="0.25">
      <c r="A17" s="1">
        <v>44784.104907407411</v>
      </c>
      <c r="B17" s="1">
        <v>44784.104884259257</v>
      </c>
      <c r="C17">
        <v>7.9</v>
      </c>
      <c r="D17">
        <v>7.6</v>
      </c>
      <c r="E17">
        <v>42</v>
      </c>
      <c r="F17">
        <v>41</v>
      </c>
      <c r="G17" t="s">
        <v>32</v>
      </c>
      <c r="H17" t="s">
        <v>33</v>
      </c>
      <c r="J17" s="2"/>
      <c r="K17" s="2"/>
    </row>
    <row r="18" spans="1:11" x14ac:dyDescent="0.25">
      <c r="A18" s="1">
        <v>44784.111840277779</v>
      </c>
      <c r="B18" s="1">
        <v>44784.111828703702</v>
      </c>
      <c r="C18">
        <v>7.9</v>
      </c>
      <c r="D18">
        <v>7.6</v>
      </c>
      <c r="E18">
        <v>42</v>
      </c>
      <c r="F18">
        <v>41</v>
      </c>
      <c r="G18" t="s">
        <v>32</v>
      </c>
      <c r="H18" t="s">
        <v>33</v>
      </c>
      <c r="J18" s="2"/>
      <c r="K18" s="2"/>
    </row>
    <row r="19" spans="1:11" x14ac:dyDescent="0.25">
      <c r="A19" s="1">
        <v>44784.118796296294</v>
      </c>
      <c r="B19" s="1">
        <v>44784.118773148148</v>
      </c>
      <c r="C19">
        <v>7.9</v>
      </c>
      <c r="D19">
        <v>7.6</v>
      </c>
      <c r="E19">
        <v>42</v>
      </c>
      <c r="F19">
        <v>41</v>
      </c>
      <c r="G19" t="s">
        <v>32</v>
      </c>
      <c r="H19" t="s">
        <v>33</v>
      </c>
      <c r="J19" s="2"/>
      <c r="K19" s="2"/>
    </row>
    <row r="20" spans="1:11" x14ac:dyDescent="0.25">
      <c r="A20" s="1">
        <v>44784.12572916667</v>
      </c>
      <c r="B20" s="1">
        <v>44784.125717592593</v>
      </c>
      <c r="C20">
        <v>7.9</v>
      </c>
      <c r="D20">
        <v>7.6</v>
      </c>
      <c r="E20">
        <v>42</v>
      </c>
      <c r="F20">
        <v>41</v>
      </c>
      <c r="G20" t="s">
        <v>32</v>
      </c>
      <c r="H20" t="s">
        <v>33</v>
      </c>
      <c r="J20" t="str">
        <f>IF(COUNT(I15:I20)&gt;3.5,ROUND(AVERAGE(I15:I20),2),"")</f>
        <v/>
      </c>
      <c r="K20" t="str">
        <f>IF(COUNT(, , , , NA, NA, NA, NA, NA, NA, NA, NA, NA, NA, NA, NA, NA, NA, NA, NA, NA, NA, NA, NA)&gt;17.5,ROUND(AVERAGE(, , , , 0, 0, 0, 0, 0, 0, 0, 0, 0, 0, 0, 0, 0, 0, 0, 0, 0, 0, 0, 0),2),"NO AVG")</f>
        <v>NO AVG</v>
      </c>
    </row>
    <row r="21" spans="1:11" x14ac:dyDescent="0.25">
      <c r="A21" s="1">
        <v>44784.132685185185</v>
      </c>
      <c r="B21" s="1">
        <v>44784.132662037038</v>
      </c>
      <c r="C21">
        <v>7.9</v>
      </c>
      <c r="D21">
        <v>7.6</v>
      </c>
      <c r="E21">
        <v>42</v>
      </c>
      <c r="F21">
        <v>41</v>
      </c>
      <c r="G21" t="s">
        <v>32</v>
      </c>
      <c r="H21" t="s">
        <v>33</v>
      </c>
      <c r="J21" s="2"/>
      <c r="K21" s="2"/>
    </row>
    <row r="22" spans="1:11" x14ac:dyDescent="0.25">
      <c r="A22" s="1">
        <v>44784.139618055553</v>
      </c>
      <c r="B22" s="1">
        <v>44784.139606481483</v>
      </c>
      <c r="C22">
        <v>7.9</v>
      </c>
      <c r="D22">
        <v>7.6</v>
      </c>
      <c r="E22">
        <v>42</v>
      </c>
      <c r="F22">
        <v>41</v>
      </c>
      <c r="G22" t="s">
        <v>32</v>
      </c>
      <c r="H22" t="s">
        <v>33</v>
      </c>
      <c r="J22" s="2"/>
      <c r="K22" s="2"/>
    </row>
    <row r="23" spans="1:11" x14ac:dyDescent="0.25">
      <c r="A23" s="1">
        <v>44784.146562499998</v>
      </c>
      <c r="B23" s="1">
        <v>44784.146550925929</v>
      </c>
      <c r="C23">
        <v>7.9</v>
      </c>
      <c r="D23">
        <v>7.6</v>
      </c>
      <c r="E23">
        <v>42</v>
      </c>
      <c r="F23">
        <v>41</v>
      </c>
      <c r="G23" t="s">
        <v>32</v>
      </c>
      <c r="H23" t="s">
        <v>33</v>
      </c>
      <c r="J23" s="2"/>
      <c r="K23" s="2"/>
    </row>
    <row r="24" spans="1:11" x14ac:dyDescent="0.25">
      <c r="A24" s="1">
        <v>44784.15351851852</v>
      </c>
      <c r="B24" s="1">
        <v>44784.153495370374</v>
      </c>
      <c r="C24">
        <v>7.9</v>
      </c>
      <c r="D24">
        <v>7.6</v>
      </c>
      <c r="E24">
        <v>42</v>
      </c>
      <c r="F24">
        <v>41</v>
      </c>
      <c r="G24" t="s">
        <v>32</v>
      </c>
      <c r="H24" t="s">
        <v>33</v>
      </c>
      <c r="J24" s="2"/>
      <c r="K24" s="2"/>
    </row>
    <row r="25" spans="1:11" x14ac:dyDescent="0.25">
      <c r="A25" s="1">
        <v>44784.160451388889</v>
      </c>
      <c r="B25" s="1">
        <v>44784.160439814812</v>
      </c>
      <c r="C25">
        <v>7.9</v>
      </c>
      <c r="D25">
        <v>7.6</v>
      </c>
      <c r="E25">
        <v>42</v>
      </c>
      <c r="F25">
        <v>41</v>
      </c>
      <c r="G25" t="s">
        <v>32</v>
      </c>
      <c r="H25" t="s">
        <v>33</v>
      </c>
      <c r="J25" s="2"/>
      <c r="K25" s="2"/>
    </row>
    <row r="26" spans="1:11" x14ac:dyDescent="0.25">
      <c r="A26" s="1">
        <v>44784.167407407411</v>
      </c>
      <c r="B26" s="1">
        <v>44784.167384259257</v>
      </c>
      <c r="C26">
        <v>7.9</v>
      </c>
      <c r="D26">
        <v>7.6</v>
      </c>
      <c r="E26">
        <v>42</v>
      </c>
      <c r="F26">
        <v>41</v>
      </c>
      <c r="G26" t="s">
        <v>32</v>
      </c>
      <c r="H26" t="s">
        <v>33</v>
      </c>
      <c r="J26" t="str">
        <f>IF(COUNT(I21:I26)&gt;3.5,ROUND(AVERAGE(I21:I26),2),"")</f>
        <v/>
      </c>
      <c r="K26" t="str">
        <f>IF(COUNT(, , , , , NA, NA, NA, NA, NA, NA, NA, NA, NA, NA, NA, NA, NA, NA, NA, NA, NA, NA, NA)&gt;17.5,ROUND(AVERAGE(, , , , , 0, 0, 0, 0, 0, 0, 0, 0, 0, 0, 0, 0, 0, 0, 0, 0, 0, 0, 0),2),"NO AVG")</f>
        <v>NO AVG</v>
      </c>
    </row>
    <row r="27" spans="1:11" x14ac:dyDescent="0.25">
      <c r="A27" s="1">
        <v>44784.174351851849</v>
      </c>
      <c r="B27" s="1">
        <v>44784.174328703702</v>
      </c>
      <c r="C27">
        <v>7.9</v>
      </c>
      <c r="D27">
        <v>7.6</v>
      </c>
      <c r="E27">
        <v>42</v>
      </c>
      <c r="F27">
        <v>41</v>
      </c>
      <c r="G27" t="s">
        <v>32</v>
      </c>
      <c r="H27" t="s">
        <v>33</v>
      </c>
      <c r="J27" s="2"/>
      <c r="K27" s="2"/>
    </row>
    <row r="28" spans="1:11" x14ac:dyDescent="0.25">
      <c r="A28" s="1"/>
      <c r="B28" s="1">
        <v>44784.180555555555</v>
      </c>
      <c r="J28" s="2"/>
      <c r="K28" s="2"/>
    </row>
    <row r="29" spans="1:11" x14ac:dyDescent="0.25">
      <c r="A29" s="1">
        <v>44784.188240740739</v>
      </c>
      <c r="B29" s="1">
        <v>44784.188217592593</v>
      </c>
      <c r="C29">
        <v>7.9</v>
      </c>
      <c r="D29">
        <v>7.6</v>
      </c>
      <c r="E29">
        <v>42</v>
      </c>
      <c r="F29">
        <v>41</v>
      </c>
      <c r="G29" t="s">
        <v>32</v>
      </c>
      <c r="H29" t="s">
        <v>33</v>
      </c>
      <c r="J29" s="2"/>
      <c r="K29" s="2"/>
    </row>
    <row r="30" spans="1:11" x14ac:dyDescent="0.25">
      <c r="A30" s="1">
        <v>44784.195185185185</v>
      </c>
      <c r="B30" s="1">
        <v>44784.195162037038</v>
      </c>
      <c r="C30">
        <v>7.9</v>
      </c>
      <c r="D30">
        <v>7.6</v>
      </c>
      <c r="E30">
        <v>42</v>
      </c>
      <c r="F30">
        <v>41</v>
      </c>
      <c r="G30" t="s">
        <v>32</v>
      </c>
      <c r="H30" t="s">
        <v>33</v>
      </c>
      <c r="J30" s="2"/>
      <c r="K30" s="2"/>
    </row>
    <row r="31" spans="1:11" x14ac:dyDescent="0.25">
      <c r="A31" s="1">
        <v>44784.202141203707</v>
      </c>
      <c r="B31" s="1">
        <v>44784.20212962963</v>
      </c>
      <c r="C31">
        <v>7.9</v>
      </c>
      <c r="D31">
        <v>7.6</v>
      </c>
      <c r="E31">
        <v>42</v>
      </c>
      <c r="F31">
        <v>41</v>
      </c>
      <c r="G31" t="s">
        <v>32</v>
      </c>
      <c r="H31" t="s">
        <v>33</v>
      </c>
      <c r="J31" s="2"/>
      <c r="K31" s="2"/>
    </row>
    <row r="32" spans="1:11" x14ac:dyDescent="0.25">
      <c r="A32" s="1">
        <v>44784.209074074075</v>
      </c>
      <c r="B32" s="1">
        <v>44784.209050925929</v>
      </c>
      <c r="C32">
        <v>7.9</v>
      </c>
      <c r="D32">
        <v>7.6</v>
      </c>
      <c r="E32">
        <v>42</v>
      </c>
      <c r="F32">
        <v>41</v>
      </c>
      <c r="G32" t="s">
        <v>32</v>
      </c>
      <c r="H32" t="s">
        <v>33</v>
      </c>
      <c r="J32" t="str">
        <f>IF(COUNT(I27:I32)&gt;3.5,ROUND(AVERAGE(I27:I32),2),"")</f>
        <v/>
      </c>
      <c r="K32" t="str">
        <f>IF(COUNT(, , , , , , NA, NA, NA, NA, NA, NA, NA, NA, NA, NA, NA, NA, NA, NA, NA, NA, NA, NA)&gt;17.5,ROUND(AVERAGE(, , , , , , 0, 0, 0, 0, 0, 0, 0, 0, 0, 0, 0, 0, 0, 0, 0, 0, 0, 0),2),"NO AVG")</f>
        <v>NO AVG</v>
      </c>
    </row>
    <row r="33" spans="1:11" x14ac:dyDescent="0.25">
      <c r="A33" s="1">
        <v>44784.21601851852</v>
      </c>
      <c r="B33" s="1">
        <v>44784.215995370374</v>
      </c>
      <c r="C33">
        <v>7.9</v>
      </c>
      <c r="D33">
        <v>7.6</v>
      </c>
      <c r="E33">
        <v>42</v>
      </c>
      <c r="F33">
        <v>41</v>
      </c>
      <c r="G33" t="s">
        <v>32</v>
      </c>
      <c r="H33" t="s">
        <v>33</v>
      </c>
      <c r="J33" s="2"/>
      <c r="K33" s="2"/>
    </row>
    <row r="34" spans="1:11" x14ac:dyDescent="0.25">
      <c r="A34" s="1">
        <v>44784.222962962966</v>
      </c>
      <c r="B34" s="1">
        <v>44784.222939814812</v>
      </c>
      <c r="C34">
        <v>7.9</v>
      </c>
      <c r="D34">
        <v>7.6</v>
      </c>
      <c r="E34">
        <v>42</v>
      </c>
      <c r="F34">
        <v>41</v>
      </c>
      <c r="G34" t="s">
        <v>32</v>
      </c>
      <c r="H34" t="s">
        <v>33</v>
      </c>
      <c r="J34" s="2"/>
      <c r="K34" s="2"/>
    </row>
    <row r="35" spans="1:11" x14ac:dyDescent="0.25">
      <c r="A35" s="1">
        <v>44784.229907407411</v>
      </c>
      <c r="B35" s="1">
        <v>44784.229884259257</v>
      </c>
      <c r="C35">
        <v>7.9</v>
      </c>
      <c r="D35">
        <v>7.6</v>
      </c>
      <c r="E35">
        <v>42</v>
      </c>
      <c r="F35">
        <v>41</v>
      </c>
      <c r="G35" t="s">
        <v>32</v>
      </c>
      <c r="H35" t="s">
        <v>33</v>
      </c>
      <c r="J35" s="2"/>
      <c r="K35" s="2"/>
    </row>
    <row r="36" spans="1:11" x14ac:dyDescent="0.25">
      <c r="A36" s="1">
        <v>44784.236851851849</v>
      </c>
      <c r="B36" s="1">
        <v>44784.236840277779</v>
      </c>
      <c r="C36">
        <v>7.9</v>
      </c>
      <c r="D36">
        <v>7.6</v>
      </c>
      <c r="E36">
        <v>42</v>
      </c>
      <c r="F36">
        <v>41</v>
      </c>
      <c r="G36" t="s">
        <v>32</v>
      </c>
      <c r="H36" t="s">
        <v>33</v>
      </c>
      <c r="J36" s="2"/>
      <c r="K36" s="2"/>
    </row>
    <row r="37" spans="1:11" x14ac:dyDescent="0.25">
      <c r="A37" s="1">
        <v>44784.243796296294</v>
      </c>
      <c r="B37" s="1">
        <v>44784.243773148148</v>
      </c>
      <c r="C37">
        <v>7.9</v>
      </c>
      <c r="D37">
        <v>7.6</v>
      </c>
      <c r="E37">
        <v>42</v>
      </c>
      <c r="F37">
        <v>41</v>
      </c>
      <c r="G37" t="s">
        <v>32</v>
      </c>
      <c r="H37" t="s">
        <v>33</v>
      </c>
      <c r="J37" s="2"/>
      <c r="K37" s="2"/>
    </row>
    <row r="38" spans="1:11" x14ac:dyDescent="0.25">
      <c r="A38" s="1">
        <v>44784.250740740739</v>
      </c>
      <c r="B38" s="1">
        <v>44784.25072916667</v>
      </c>
      <c r="C38">
        <v>7.9</v>
      </c>
      <c r="D38">
        <v>7.6</v>
      </c>
      <c r="E38">
        <v>42</v>
      </c>
      <c r="F38">
        <v>41</v>
      </c>
      <c r="G38" t="s">
        <v>32</v>
      </c>
      <c r="H38" t="s">
        <v>33</v>
      </c>
      <c r="J38" t="str">
        <f>IF(COUNT(I33:I38)&gt;3.5,ROUND(AVERAGE(I33:I38),2),"")</f>
        <v/>
      </c>
      <c r="K38" t="str">
        <f>IF(COUNT(, , , , , , , NA, NA, NA, NA, NA, NA, NA, NA, NA, NA, NA, NA, NA, NA, NA, NA, NA)&gt;17.5,ROUND(AVERAGE(, , , , , , , 0, 0, 0, 0, 0, 0, 0, 0, 0, 0, 0, 0, 0, 0, 0, 0, 0),2),"NO AVG")</f>
        <v>NO AVG</v>
      </c>
    </row>
    <row r="39" spans="1:11" x14ac:dyDescent="0.25">
      <c r="A39" s="1">
        <v>44784.257685185185</v>
      </c>
      <c r="B39" s="1">
        <v>44784.257662037038</v>
      </c>
      <c r="C39">
        <v>7.9</v>
      </c>
      <c r="D39">
        <v>7.6</v>
      </c>
      <c r="E39">
        <v>42</v>
      </c>
      <c r="F39">
        <v>41</v>
      </c>
      <c r="G39" t="s">
        <v>32</v>
      </c>
      <c r="H39" t="s">
        <v>33</v>
      </c>
      <c r="J39" s="2"/>
      <c r="K39" s="2"/>
    </row>
    <row r="40" spans="1:11" x14ac:dyDescent="0.25">
      <c r="A40" s="1">
        <v>44784.26462962963</v>
      </c>
      <c r="B40" s="1">
        <v>44784.264606481483</v>
      </c>
      <c r="C40">
        <v>7.9</v>
      </c>
      <c r="D40">
        <v>7.6</v>
      </c>
      <c r="E40">
        <v>42</v>
      </c>
      <c r="F40">
        <v>41</v>
      </c>
      <c r="G40" t="s">
        <v>32</v>
      </c>
      <c r="H40" t="s">
        <v>33</v>
      </c>
      <c r="J40" s="2"/>
      <c r="K40" s="2"/>
    </row>
    <row r="41" spans="1:11" x14ac:dyDescent="0.25">
      <c r="A41" s="1">
        <v>44784.271574074075</v>
      </c>
      <c r="B41" s="1">
        <v>44784.271550925929</v>
      </c>
      <c r="C41">
        <v>7.9</v>
      </c>
      <c r="D41">
        <v>7.6</v>
      </c>
      <c r="E41">
        <v>42</v>
      </c>
      <c r="F41">
        <v>41</v>
      </c>
      <c r="G41" t="s">
        <v>32</v>
      </c>
      <c r="H41" t="s">
        <v>33</v>
      </c>
      <c r="J41" s="2"/>
      <c r="K41" s="2"/>
    </row>
    <row r="42" spans="1:11" x14ac:dyDescent="0.25">
      <c r="A42" s="1">
        <v>44784.27851851852</v>
      </c>
      <c r="B42" s="1">
        <v>44784.278495370374</v>
      </c>
      <c r="C42">
        <v>7.9</v>
      </c>
      <c r="D42">
        <v>7.6</v>
      </c>
      <c r="E42">
        <v>42</v>
      </c>
      <c r="F42">
        <v>41</v>
      </c>
      <c r="G42" t="s">
        <v>32</v>
      </c>
      <c r="H42" t="s">
        <v>33</v>
      </c>
      <c r="J42" s="2"/>
      <c r="K42" s="2"/>
    </row>
    <row r="43" spans="1:11" x14ac:dyDescent="0.25">
      <c r="A43" s="1">
        <v>44784.285462962966</v>
      </c>
      <c r="B43" s="1">
        <v>44784.285439814812</v>
      </c>
      <c r="C43">
        <v>7.9</v>
      </c>
      <c r="D43">
        <v>7.6</v>
      </c>
      <c r="E43">
        <v>42</v>
      </c>
      <c r="F43">
        <v>41</v>
      </c>
      <c r="G43" t="s">
        <v>32</v>
      </c>
      <c r="H43" t="s">
        <v>33</v>
      </c>
      <c r="J43" s="2"/>
      <c r="K43" s="2"/>
    </row>
    <row r="44" spans="1:11" x14ac:dyDescent="0.25">
      <c r="A44" s="1">
        <v>44784.292407407411</v>
      </c>
      <c r="B44" s="1">
        <v>44784.292384259257</v>
      </c>
      <c r="C44">
        <v>7.9</v>
      </c>
      <c r="D44">
        <v>7.6</v>
      </c>
      <c r="E44">
        <v>42</v>
      </c>
      <c r="F44">
        <v>41</v>
      </c>
      <c r="G44" t="s">
        <v>32</v>
      </c>
      <c r="H44" t="s">
        <v>33</v>
      </c>
      <c r="J44" t="str">
        <f>IF(COUNT(I39:I44)&gt;3.5,ROUND(AVERAGE(I39:I44),2),"")</f>
        <v/>
      </c>
      <c r="K44" t="str">
        <f>IF(COUNT(, , , , , , , , NA, NA, NA, NA, NA, NA, NA, NA, NA, NA, NA, NA, NA, NA, NA, NA)&gt;17.5,ROUND(AVERAGE(, , , , , , , , 0, 0, 0, 0, 0, 0, 0, 0, 0, 0, 0, 0, 0, 0, 0, 0),2),"NO AVG")</f>
        <v>NO AVG</v>
      </c>
    </row>
    <row r="45" spans="1:11" x14ac:dyDescent="0.25">
      <c r="A45" s="1">
        <v>44784.299351851849</v>
      </c>
      <c r="B45" s="1">
        <v>44784.299340277779</v>
      </c>
      <c r="C45">
        <v>7.9</v>
      </c>
      <c r="D45">
        <v>7.6</v>
      </c>
      <c r="E45">
        <v>42</v>
      </c>
      <c r="F45">
        <v>41</v>
      </c>
      <c r="G45" t="s">
        <v>32</v>
      </c>
      <c r="H45" t="s">
        <v>33</v>
      </c>
      <c r="J45" s="2"/>
      <c r="K45" s="2"/>
    </row>
    <row r="46" spans="1:11" x14ac:dyDescent="0.25">
      <c r="A46" s="1">
        <v>44784.306296296294</v>
      </c>
      <c r="B46" s="1">
        <v>44784.306273148148</v>
      </c>
      <c r="C46">
        <v>7.9</v>
      </c>
      <c r="D46">
        <v>7.6</v>
      </c>
      <c r="E46">
        <v>42</v>
      </c>
      <c r="F46">
        <v>41</v>
      </c>
      <c r="G46" t="s">
        <v>32</v>
      </c>
      <c r="H46" t="s">
        <v>33</v>
      </c>
      <c r="J46" s="2"/>
      <c r="K46" s="2"/>
    </row>
    <row r="47" spans="1:11" x14ac:dyDescent="0.25">
      <c r="A47" s="1">
        <v>44784.313240740739</v>
      </c>
      <c r="B47" s="1">
        <v>44784.313217592593</v>
      </c>
      <c r="C47">
        <v>7.9</v>
      </c>
      <c r="D47">
        <v>7.6</v>
      </c>
      <c r="E47">
        <v>42</v>
      </c>
      <c r="F47">
        <v>41</v>
      </c>
      <c r="G47" t="s">
        <v>32</v>
      </c>
      <c r="H47" t="s">
        <v>33</v>
      </c>
      <c r="J47" s="2"/>
      <c r="K47" s="2"/>
    </row>
    <row r="48" spans="1:11" x14ac:dyDescent="0.25">
      <c r="A48" s="1">
        <v>44784.320185185185</v>
      </c>
      <c r="B48" s="1">
        <v>44784.320162037038</v>
      </c>
      <c r="C48">
        <v>7.9</v>
      </c>
      <c r="D48">
        <v>7.6</v>
      </c>
      <c r="E48">
        <v>42</v>
      </c>
      <c r="F48">
        <v>41</v>
      </c>
      <c r="G48" t="s">
        <v>32</v>
      </c>
      <c r="H48" t="s">
        <v>33</v>
      </c>
      <c r="J48" s="2"/>
      <c r="K48" s="2"/>
    </row>
    <row r="49" spans="1:11" x14ac:dyDescent="0.25">
      <c r="A49" s="1">
        <v>44784.32712962963</v>
      </c>
      <c r="B49" s="1">
        <v>44784.327106481483</v>
      </c>
      <c r="C49">
        <v>7.9</v>
      </c>
      <c r="D49">
        <v>7.6</v>
      </c>
      <c r="E49">
        <v>42</v>
      </c>
      <c r="F49">
        <v>41</v>
      </c>
      <c r="G49" t="s">
        <v>32</v>
      </c>
      <c r="H49" t="s">
        <v>33</v>
      </c>
      <c r="J49" s="2"/>
      <c r="K49" s="2"/>
    </row>
    <row r="50" spans="1:11" x14ac:dyDescent="0.25">
      <c r="A50" s="1">
        <v>44784.334074074075</v>
      </c>
      <c r="B50" s="1">
        <v>44784.334050925929</v>
      </c>
      <c r="C50">
        <v>7.9</v>
      </c>
      <c r="D50">
        <v>7.6</v>
      </c>
      <c r="E50">
        <v>42</v>
      </c>
      <c r="F50">
        <v>41</v>
      </c>
      <c r="G50" t="s">
        <v>32</v>
      </c>
      <c r="H50" t="s">
        <v>33</v>
      </c>
      <c r="J50" t="str">
        <f>IF(COUNT(I45:I50)&gt;3.5,ROUND(AVERAGE(I45:I50),2),"")</f>
        <v/>
      </c>
      <c r="K50" t="str">
        <f>IF(COUNT(, , , , , , , , , NA, NA, NA, NA, NA, NA, NA, NA, NA, NA, NA, NA, NA, NA, NA)&gt;17.5,ROUND(AVERAGE(, , , , , , , , , 0, 0, 0, 0, 0, 0, 0, 0, 0, 0, 0, 0, 0, 0, 0),2),"NO AVG")</f>
        <v>NO AVG</v>
      </c>
    </row>
    <row r="51" spans="1:11" x14ac:dyDescent="0.25">
      <c r="A51" s="1">
        <v>44784.34101851852</v>
      </c>
      <c r="B51" s="1">
        <v>44784.340995370374</v>
      </c>
      <c r="C51">
        <v>7.9</v>
      </c>
      <c r="D51">
        <v>7.6</v>
      </c>
      <c r="E51">
        <v>42</v>
      </c>
      <c r="F51">
        <v>41</v>
      </c>
      <c r="G51" t="s">
        <v>32</v>
      </c>
      <c r="H51" t="s">
        <v>33</v>
      </c>
      <c r="J51" s="2"/>
      <c r="K51" s="2"/>
    </row>
    <row r="52" spans="1:11" x14ac:dyDescent="0.25">
      <c r="A52" s="1">
        <v>44784.347962962966</v>
      </c>
      <c r="B52" s="1">
        <v>44784.347951388889</v>
      </c>
      <c r="C52">
        <v>7.9</v>
      </c>
      <c r="D52">
        <v>7.6</v>
      </c>
      <c r="E52">
        <v>42</v>
      </c>
      <c r="F52">
        <v>41</v>
      </c>
      <c r="G52" t="s">
        <v>32</v>
      </c>
      <c r="H52" t="s">
        <v>33</v>
      </c>
      <c r="J52" s="2"/>
      <c r="K52" s="2"/>
    </row>
    <row r="53" spans="1:11" x14ac:dyDescent="0.25">
      <c r="A53" s="1">
        <v>44784.354907407411</v>
      </c>
      <c r="B53" s="1">
        <v>44784.354884259257</v>
      </c>
      <c r="C53">
        <v>7.9</v>
      </c>
      <c r="D53">
        <v>7.6</v>
      </c>
      <c r="E53">
        <v>42</v>
      </c>
      <c r="F53">
        <v>41</v>
      </c>
      <c r="G53" t="s">
        <v>32</v>
      </c>
      <c r="H53" t="s">
        <v>33</v>
      </c>
      <c r="J53" s="2"/>
      <c r="K53" s="2"/>
    </row>
    <row r="54" spans="1:11" x14ac:dyDescent="0.25">
      <c r="A54" s="1">
        <v>44784.361851851849</v>
      </c>
      <c r="B54" s="1">
        <v>44784.361828703702</v>
      </c>
      <c r="C54">
        <v>7.9</v>
      </c>
      <c r="D54">
        <v>7.6</v>
      </c>
      <c r="E54">
        <v>42</v>
      </c>
      <c r="F54">
        <v>41</v>
      </c>
      <c r="G54" t="s">
        <v>32</v>
      </c>
      <c r="H54" t="s">
        <v>33</v>
      </c>
      <c r="J54" s="2"/>
      <c r="K54" s="2"/>
    </row>
    <row r="55" spans="1:11" x14ac:dyDescent="0.25">
      <c r="A55" s="1">
        <v>44784.368796296294</v>
      </c>
      <c r="B55" s="1">
        <v>44784.368784722225</v>
      </c>
      <c r="C55">
        <v>7.9</v>
      </c>
      <c r="D55">
        <v>7.6</v>
      </c>
      <c r="E55">
        <v>42</v>
      </c>
      <c r="F55">
        <v>41</v>
      </c>
      <c r="G55" t="s">
        <v>32</v>
      </c>
      <c r="H55" t="s">
        <v>33</v>
      </c>
      <c r="J55" s="2"/>
      <c r="K55" s="2"/>
    </row>
    <row r="56" spans="1:11" x14ac:dyDescent="0.25">
      <c r="A56" s="1">
        <v>44784.375740740739</v>
      </c>
      <c r="B56" s="1">
        <v>44784.375717592593</v>
      </c>
      <c r="C56">
        <v>7.9</v>
      </c>
      <c r="D56">
        <v>7.6</v>
      </c>
      <c r="E56">
        <v>42</v>
      </c>
      <c r="F56">
        <v>41</v>
      </c>
      <c r="G56" t="s">
        <v>32</v>
      </c>
      <c r="H56" t="s">
        <v>33</v>
      </c>
      <c r="J56" t="str">
        <f>IF(COUNT(I51:I56)&gt;3.5,ROUND(AVERAGE(I51:I56),2),"")</f>
        <v/>
      </c>
      <c r="K56" t="str">
        <f>IF(COUNT(, , , , , , , , , , NA, NA, NA, NA, NA, NA, NA, NA, NA, NA, NA, NA, NA, NA)&gt;17.5,ROUND(AVERAGE(, , , , , , , , , , 0, 0, 0, 0, 0, 0, 0, 0, 0, 0, 0, 0, 0, 0),2),"NO AVG")</f>
        <v>NO AVG</v>
      </c>
    </row>
    <row r="57" spans="1:11" x14ac:dyDescent="0.25">
      <c r="A57" s="1">
        <v>44784.382685185185</v>
      </c>
      <c r="B57" s="1">
        <v>44784.382662037038</v>
      </c>
      <c r="C57">
        <v>7.9</v>
      </c>
      <c r="D57">
        <v>7.6</v>
      </c>
      <c r="E57">
        <v>42</v>
      </c>
      <c r="F57">
        <v>41</v>
      </c>
      <c r="G57" t="s">
        <v>32</v>
      </c>
      <c r="H57" t="s">
        <v>33</v>
      </c>
      <c r="J57" s="2"/>
      <c r="K57" s="2"/>
    </row>
    <row r="58" spans="1:11" x14ac:dyDescent="0.25">
      <c r="A58" s="1">
        <v>44784.38962962963</v>
      </c>
      <c r="B58" s="1">
        <v>44784.389618055553</v>
      </c>
      <c r="C58">
        <v>7.9</v>
      </c>
      <c r="D58">
        <v>7.6</v>
      </c>
      <c r="E58">
        <v>42</v>
      </c>
      <c r="F58">
        <v>41</v>
      </c>
      <c r="G58" t="s">
        <v>32</v>
      </c>
      <c r="H58" t="s">
        <v>33</v>
      </c>
      <c r="J58" s="2"/>
      <c r="K58" s="2"/>
    </row>
    <row r="59" spans="1:11" x14ac:dyDescent="0.25">
      <c r="A59" s="1">
        <v>44784.396574074075</v>
      </c>
      <c r="B59" s="1">
        <v>44784.396562499998</v>
      </c>
      <c r="C59">
        <v>7.9</v>
      </c>
      <c r="D59">
        <v>7.6</v>
      </c>
      <c r="E59">
        <v>42</v>
      </c>
      <c r="F59">
        <v>41</v>
      </c>
      <c r="G59" t="s">
        <v>32</v>
      </c>
      <c r="H59" t="s">
        <v>33</v>
      </c>
      <c r="J59" s="2"/>
      <c r="K59" s="2"/>
    </row>
    <row r="60" spans="1:11" x14ac:dyDescent="0.25">
      <c r="A60" s="1">
        <v>44784.40351851852</v>
      </c>
      <c r="B60" s="1">
        <v>44784.403506944444</v>
      </c>
      <c r="C60">
        <v>7.9</v>
      </c>
      <c r="D60">
        <v>7.6</v>
      </c>
      <c r="E60">
        <v>42</v>
      </c>
      <c r="F60">
        <v>41</v>
      </c>
      <c r="G60" t="s">
        <v>32</v>
      </c>
      <c r="H60" t="s">
        <v>33</v>
      </c>
      <c r="J60" s="2"/>
      <c r="K60" s="2"/>
    </row>
    <row r="61" spans="1:11" x14ac:dyDescent="0.25">
      <c r="A61" s="1">
        <v>44784.410462962966</v>
      </c>
      <c r="B61" s="1">
        <v>44784.410451388889</v>
      </c>
      <c r="C61">
        <v>7.9</v>
      </c>
      <c r="D61">
        <v>7.6</v>
      </c>
      <c r="E61">
        <v>42</v>
      </c>
      <c r="F61">
        <v>41</v>
      </c>
      <c r="G61" t="s">
        <v>32</v>
      </c>
      <c r="H61" t="s">
        <v>33</v>
      </c>
      <c r="J61" s="2"/>
      <c r="K61" s="2"/>
    </row>
    <row r="62" spans="1:11" x14ac:dyDescent="0.25">
      <c r="A62" s="1">
        <v>44784.417407407411</v>
      </c>
      <c r="B62" s="1">
        <v>44784.417395833334</v>
      </c>
      <c r="C62">
        <v>7.9</v>
      </c>
      <c r="D62">
        <v>7.6</v>
      </c>
      <c r="E62">
        <v>42</v>
      </c>
      <c r="F62">
        <v>41</v>
      </c>
      <c r="G62" t="s">
        <v>32</v>
      </c>
      <c r="H62" t="s">
        <v>33</v>
      </c>
      <c r="J62" t="str">
        <f>IF(COUNT(I57:I62)&gt;3.5,ROUND(AVERAGE(I57:I62),2),"")</f>
        <v/>
      </c>
      <c r="K62" t="str">
        <f>IF(COUNT(, , , , , , , , , , , NA, NA, NA, NA, NA, NA, NA, NA, NA, NA, NA, NA, NA)&gt;17.5,ROUND(AVERAGE(, , , , , , , , , , , 0, 0, 0, 0, 0, 0, 0, 0, 0, 0, 0, 0, 0),2),"NO AVG")</f>
        <v>NO AVG</v>
      </c>
    </row>
    <row r="63" spans="1:11" x14ac:dyDescent="0.25">
      <c r="A63" s="1">
        <v>44784.424351851849</v>
      </c>
      <c r="B63" s="1">
        <v>44784.424340277779</v>
      </c>
      <c r="C63">
        <v>7.9</v>
      </c>
      <c r="D63">
        <v>7.6</v>
      </c>
      <c r="E63">
        <v>42</v>
      </c>
      <c r="F63">
        <v>41</v>
      </c>
      <c r="G63" t="s">
        <v>32</v>
      </c>
      <c r="H63" t="s">
        <v>33</v>
      </c>
      <c r="J63" s="2"/>
      <c r="K63" s="2"/>
    </row>
    <row r="64" spans="1:11" x14ac:dyDescent="0.25">
      <c r="A64" s="1">
        <v>44784.431296296294</v>
      </c>
      <c r="B64" s="1">
        <v>44784.431284722225</v>
      </c>
      <c r="C64">
        <v>7.9</v>
      </c>
      <c r="D64">
        <v>7.6</v>
      </c>
      <c r="E64">
        <v>42</v>
      </c>
      <c r="F64">
        <v>41</v>
      </c>
      <c r="G64" t="s">
        <v>32</v>
      </c>
      <c r="H64" t="s">
        <v>33</v>
      </c>
      <c r="J64" s="2"/>
      <c r="K64" s="2"/>
    </row>
    <row r="65" spans="1:11" x14ac:dyDescent="0.25">
      <c r="A65" s="1">
        <v>44784.438252314816</v>
      </c>
      <c r="B65" s="1">
        <v>44784.43822916667</v>
      </c>
      <c r="C65">
        <v>7.9</v>
      </c>
      <c r="D65">
        <v>7.6</v>
      </c>
      <c r="E65">
        <v>42</v>
      </c>
      <c r="F65">
        <v>41</v>
      </c>
      <c r="G65" t="s">
        <v>32</v>
      </c>
      <c r="H65" t="s">
        <v>33</v>
      </c>
      <c r="J65" s="2"/>
      <c r="K65" s="2"/>
    </row>
    <row r="66" spans="1:11" x14ac:dyDescent="0.25">
      <c r="A66" s="1">
        <v>44784.445185185185</v>
      </c>
      <c r="B66" s="1">
        <v>44784.445173611108</v>
      </c>
      <c r="C66">
        <v>7.9</v>
      </c>
      <c r="D66">
        <v>7.6</v>
      </c>
      <c r="E66">
        <v>42</v>
      </c>
      <c r="F66">
        <v>41</v>
      </c>
      <c r="G66" t="s">
        <v>32</v>
      </c>
      <c r="H66" t="s">
        <v>33</v>
      </c>
      <c r="J66" s="2"/>
      <c r="K66" s="2"/>
    </row>
    <row r="67" spans="1:11" x14ac:dyDescent="0.25">
      <c r="A67" s="1">
        <v>44784.45212962963</v>
      </c>
      <c r="B67" s="1">
        <v>44784.452118055553</v>
      </c>
      <c r="C67">
        <v>7.9</v>
      </c>
      <c r="D67">
        <v>7.6</v>
      </c>
      <c r="E67">
        <v>42</v>
      </c>
      <c r="F67">
        <v>41</v>
      </c>
      <c r="G67" t="s">
        <v>32</v>
      </c>
      <c r="H67" t="s">
        <v>33</v>
      </c>
      <c r="J67" s="2"/>
      <c r="K67" s="2"/>
    </row>
    <row r="68" spans="1:11" x14ac:dyDescent="0.25">
      <c r="A68" s="1">
        <v>44784.459074074075</v>
      </c>
      <c r="B68" s="1">
        <v>44784.459062499998</v>
      </c>
      <c r="C68">
        <v>7.9</v>
      </c>
      <c r="D68">
        <v>7.6</v>
      </c>
      <c r="E68">
        <v>42</v>
      </c>
      <c r="F68">
        <v>41</v>
      </c>
      <c r="G68" t="s">
        <v>32</v>
      </c>
      <c r="H68" t="s">
        <v>33</v>
      </c>
      <c r="J68" t="str">
        <f>IF(COUNT(I63:I68)&gt;3.5,ROUND(AVERAGE(I63:I68),2),"")</f>
        <v/>
      </c>
      <c r="K68" t="str">
        <f>IF(COUNT(, , , , , , , , , , , , NA, NA, NA, NA, NA, NA, NA, NA, NA, NA, NA, NA)&gt;17.5,ROUND(AVERAGE(, , , , , , , , , , , , 0, 0, 0, 0, 0, 0, 0, 0, 0, 0, 0, 0),2),"NO AVG")</f>
        <v>NO AVG</v>
      </c>
    </row>
    <row r="69" spans="1:11" x14ac:dyDescent="0.25">
      <c r="A69" s="1">
        <v>44784.46601851852</v>
      </c>
      <c r="B69" s="1">
        <v>44784.466006944444</v>
      </c>
      <c r="C69">
        <v>7.9</v>
      </c>
      <c r="D69">
        <v>7.6</v>
      </c>
      <c r="E69">
        <v>42</v>
      </c>
      <c r="F69">
        <v>41</v>
      </c>
      <c r="G69" t="s">
        <v>32</v>
      </c>
      <c r="H69" t="s">
        <v>33</v>
      </c>
      <c r="J69" s="2"/>
      <c r="K69" s="2"/>
    </row>
    <row r="70" spans="1:11" x14ac:dyDescent="0.25">
      <c r="A70" s="1">
        <v>44784.472962962966</v>
      </c>
      <c r="B70" s="1">
        <v>44784.472951388889</v>
      </c>
      <c r="C70">
        <v>7.9</v>
      </c>
      <c r="D70">
        <v>7.6</v>
      </c>
      <c r="E70">
        <v>42</v>
      </c>
      <c r="F70">
        <v>41</v>
      </c>
      <c r="G70" t="s">
        <v>32</v>
      </c>
      <c r="H70" t="s">
        <v>33</v>
      </c>
      <c r="J70" s="2"/>
      <c r="K70" s="2"/>
    </row>
    <row r="71" spans="1:11" x14ac:dyDescent="0.25">
      <c r="A71" s="1">
        <v>44784.479907407411</v>
      </c>
      <c r="B71" s="1">
        <v>44784.479895833334</v>
      </c>
      <c r="C71">
        <v>7.9</v>
      </c>
      <c r="D71">
        <v>7.6</v>
      </c>
      <c r="E71">
        <v>42</v>
      </c>
      <c r="F71">
        <v>41</v>
      </c>
      <c r="G71" t="s">
        <v>32</v>
      </c>
      <c r="H71" t="s">
        <v>33</v>
      </c>
      <c r="J71" s="2"/>
      <c r="K71" s="2"/>
    </row>
    <row r="72" spans="1:11" x14ac:dyDescent="0.25">
      <c r="A72" s="1">
        <v>44784.486851851849</v>
      </c>
      <c r="B72" s="1">
        <v>44784.486840277779</v>
      </c>
      <c r="C72">
        <v>7.9</v>
      </c>
      <c r="D72">
        <v>7.6</v>
      </c>
      <c r="E72">
        <v>42</v>
      </c>
      <c r="F72">
        <v>41</v>
      </c>
      <c r="G72" t="s">
        <v>32</v>
      </c>
      <c r="H72" t="s">
        <v>33</v>
      </c>
      <c r="J72" s="2"/>
      <c r="K72" s="2"/>
    </row>
    <row r="73" spans="1:11" x14ac:dyDescent="0.25">
      <c r="A73" s="1">
        <v>44784.493796296294</v>
      </c>
      <c r="B73" s="1">
        <v>44784.493784722225</v>
      </c>
      <c r="C73">
        <v>7.9</v>
      </c>
      <c r="D73">
        <v>7.6</v>
      </c>
      <c r="E73">
        <v>42</v>
      </c>
      <c r="F73">
        <v>41</v>
      </c>
      <c r="G73" t="s">
        <v>32</v>
      </c>
      <c r="H73" t="s">
        <v>33</v>
      </c>
      <c r="J73" s="2"/>
      <c r="K73" s="2"/>
    </row>
    <row r="74" spans="1:11" x14ac:dyDescent="0.25">
      <c r="A74" s="1">
        <v>44784.500740740739</v>
      </c>
      <c r="B74" s="1">
        <v>44784.50072916667</v>
      </c>
      <c r="C74">
        <v>7.9</v>
      </c>
      <c r="D74">
        <v>7.6</v>
      </c>
      <c r="E74">
        <v>42</v>
      </c>
      <c r="F74">
        <v>41</v>
      </c>
      <c r="G74" t="s">
        <v>32</v>
      </c>
      <c r="H74" t="s">
        <v>33</v>
      </c>
      <c r="J74" t="str">
        <f>IF(COUNT(I69:I74)&gt;3.5,ROUND(AVERAGE(I69:I74),2),"")</f>
        <v/>
      </c>
      <c r="K74" t="str">
        <f>IF(COUNT(, , , , , , , , , , , , , NA, NA, NA, NA, NA, NA, NA, NA, NA, NA, NA)&gt;17.5,ROUND(AVERAGE(, , , , , , , , , , , , , 0, 0, 0, 0, 0, 0, 0, 0, 0, 0, 0),2),"NO AVG")</f>
        <v>NO AVG</v>
      </c>
    </row>
    <row r="75" spans="1:11" x14ac:dyDescent="0.25">
      <c r="A75" s="1">
        <v>44784.507685185185</v>
      </c>
      <c r="B75" s="1">
        <v>44784.507673611108</v>
      </c>
      <c r="C75">
        <v>7.9</v>
      </c>
      <c r="D75">
        <v>7.6</v>
      </c>
      <c r="E75">
        <v>42</v>
      </c>
      <c r="F75">
        <v>41</v>
      </c>
      <c r="G75" t="s">
        <v>32</v>
      </c>
      <c r="H75" t="s">
        <v>33</v>
      </c>
      <c r="J75" s="2"/>
      <c r="K75" s="2"/>
    </row>
    <row r="76" spans="1:11" x14ac:dyDescent="0.25">
      <c r="A76" s="1">
        <v>44784.51462962963</v>
      </c>
      <c r="B76" s="1">
        <v>44784.514618055553</v>
      </c>
      <c r="C76">
        <v>7.9</v>
      </c>
      <c r="D76">
        <v>7.6</v>
      </c>
      <c r="E76">
        <v>42</v>
      </c>
      <c r="F76">
        <v>41</v>
      </c>
      <c r="G76" t="s">
        <v>32</v>
      </c>
      <c r="H76" t="s">
        <v>33</v>
      </c>
      <c r="J76" s="2"/>
      <c r="K76" s="2"/>
    </row>
    <row r="77" spans="1:11" x14ac:dyDescent="0.25">
      <c r="A77" s="1">
        <v>44784.521574074075</v>
      </c>
      <c r="B77" s="1">
        <v>44784.521562499998</v>
      </c>
      <c r="C77">
        <v>7.9</v>
      </c>
      <c r="D77">
        <v>7.6</v>
      </c>
      <c r="E77">
        <v>42</v>
      </c>
      <c r="F77">
        <v>41</v>
      </c>
      <c r="G77" t="s">
        <v>32</v>
      </c>
      <c r="H77" t="s">
        <v>33</v>
      </c>
      <c r="J77" s="2"/>
      <c r="K77" s="2"/>
    </row>
    <row r="78" spans="1:11" x14ac:dyDescent="0.25">
      <c r="A78" s="1">
        <v>44784.52851851852</v>
      </c>
      <c r="B78" s="1">
        <v>44784.528506944444</v>
      </c>
      <c r="C78">
        <v>7.9</v>
      </c>
      <c r="D78">
        <v>7.6</v>
      </c>
      <c r="E78">
        <v>42</v>
      </c>
      <c r="F78">
        <v>41</v>
      </c>
      <c r="G78" t="s">
        <v>32</v>
      </c>
      <c r="H78" t="s">
        <v>33</v>
      </c>
      <c r="J78" s="2"/>
      <c r="K78" s="2"/>
    </row>
    <row r="79" spans="1:11" x14ac:dyDescent="0.25">
      <c r="A79" s="1">
        <v>44784.535474537035</v>
      </c>
      <c r="B79" s="1">
        <v>44784.535451388889</v>
      </c>
      <c r="C79">
        <v>7.9</v>
      </c>
      <c r="D79">
        <v>7.6</v>
      </c>
      <c r="E79">
        <v>42</v>
      </c>
      <c r="F79">
        <v>41</v>
      </c>
      <c r="G79" t="s">
        <v>32</v>
      </c>
      <c r="H79" t="s">
        <v>33</v>
      </c>
      <c r="J79" s="2"/>
      <c r="K79" s="2"/>
    </row>
    <row r="80" spans="1:11" x14ac:dyDescent="0.25">
      <c r="A80" s="1">
        <v>44784.542407407411</v>
      </c>
      <c r="B80" s="1">
        <v>44784.542395833334</v>
      </c>
      <c r="C80">
        <v>7.9</v>
      </c>
      <c r="D80">
        <v>7.6</v>
      </c>
      <c r="E80">
        <v>42</v>
      </c>
      <c r="F80">
        <v>41</v>
      </c>
      <c r="G80" t="s">
        <v>32</v>
      </c>
      <c r="H80" t="s">
        <v>33</v>
      </c>
      <c r="J80" t="str">
        <f>IF(COUNT(I75:I80)&gt;3.5,ROUND(AVERAGE(I75:I80),2),"")</f>
        <v/>
      </c>
      <c r="K80" t="str">
        <f>IF(COUNT(, , , , , , , , , , , , , , NA, NA, NA, NA, NA, NA, NA, NA, NA, NA)&gt;17.5,ROUND(AVERAGE(, , , , , , , , , , , , , , 0, 0, 0, 0, 0, 0, 0, 0, 0, 0),2),"NO AVG")</f>
        <v>NO AVG</v>
      </c>
    </row>
    <row r="81" spans="1:11" x14ac:dyDescent="0.25">
      <c r="A81" s="1">
        <v>44784.549351851849</v>
      </c>
      <c r="B81" s="1">
        <v>44784.549340277779</v>
      </c>
      <c r="C81">
        <v>7.9</v>
      </c>
      <c r="D81">
        <v>7.6</v>
      </c>
      <c r="E81">
        <v>42</v>
      </c>
      <c r="F81">
        <v>41</v>
      </c>
      <c r="G81" t="s">
        <v>32</v>
      </c>
      <c r="H81" t="s">
        <v>33</v>
      </c>
      <c r="J81" s="2"/>
      <c r="K81" s="2"/>
    </row>
    <row r="82" spans="1:11" x14ac:dyDescent="0.25">
      <c r="A82" s="1">
        <v>44784.556712962964</v>
      </c>
      <c r="B82" s="1">
        <v>44784.556284722225</v>
      </c>
      <c r="C82">
        <v>7.9</v>
      </c>
      <c r="D82">
        <v>7.6</v>
      </c>
      <c r="E82">
        <v>42</v>
      </c>
      <c r="F82">
        <v>41</v>
      </c>
      <c r="G82" t="s">
        <v>32</v>
      </c>
      <c r="H82" t="s">
        <v>33</v>
      </c>
      <c r="J82" s="2"/>
      <c r="K82" s="2"/>
    </row>
    <row r="83" spans="1:11" x14ac:dyDescent="0.25">
      <c r="A83" s="1">
        <v>44784.563240740739</v>
      </c>
      <c r="B83" s="1">
        <v>44784.56322916667</v>
      </c>
      <c r="C83">
        <v>7.9</v>
      </c>
      <c r="D83">
        <v>7.6</v>
      </c>
      <c r="E83">
        <v>42</v>
      </c>
      <c r="F83">
        <v>41</v>
      </c>
      <c r="G83" t="s">
        <v>32</v>
      </c>
      <c r="H83" t="s">
        <v>33</v>
      </c>
      <c r="J83" s="2"/>
      <c r="K83" s="2"/>
    </row>
    <row r="84" spans="1:11" x14ac:dyDescent="0.25">
      <c r="A84" s="1">
        <v>44784.570185185185</v>
      </c>
      <c r="B84" s="1">
        <v>44784.570173611108</v>
      </c>
      <c r="C84">
        <v>7.9</v>
      </c>
      <c r="D84">
        <v>7.6</v>
      </c>
      <c r="E84">
        <v>42</v>
      </c>
      <c r="F84">
        <v>41</v>
      </c>
      <c r="G84" t="s">
        <v>32</v>
      </c>
      <c r="H84" t="s">
        <v>33</v>
      </c>
      <c r="J84" s="2"/>
      <c r="K84" s="2"/>
    </row>
    <row r="85" spans="1:11" x14ac:dyDescent="0.25">
      <c r="A85" s="1">
        <v>44784.57712962963</v>
      </c>
      <c r="B85" s="1">
        <v>44784.577118055553</v>
      </c>
      <c r="C85">
        <v>7.9</v>
      </c>
      <c r="D85">
        <v>7.6</v>
      </c>
      <c r="E85">
        <v>42</v>
      </c>
      <c r="F85">
        <v>41</v>
      </c>
      <c r="G85" t="s">
        <v>32</v>
      </c>
      <c r="H85" t="s">
        <v>33</v>
      </c>
      <c r="J85" s="2"/>
      <c r="K85" s="2"/>
    </row>
    <row r="86" spans="1:11" x14ac:dyDescent="0.25">
      <c r="A86" s="1">
        <v>44784.584085648145</v>
      </c>
      <c r="B86" s="1">
        <v>44784.584062499998</v>
      </c>
      <c r="C86">
        <v>7.9</v>
      </c>
      <c r="D86">
        <v>7.6</v>
      </c>
      <c r="E86">
        <v>42</v>
      </c>
      <c r="F86">
        <v>41</v>
      </c>
      <c r="G86" t="s">
        <v>32</v>
      </c>
      <c r="H86" t="s">
        <v>33</v>
      </c>
      <c r="J86" t="str">
        <f>IF(COUNT(I81:I86)&gt;3.5,ROUND(AVERAGE(I81:I86),2),"")</f>
        <v/>
      </c>
      <c r="K86" t="str">
        <f>IF(COUNT(, , , , , , , , , , , , , , , NA, NA, NA, NA, NA, NA, NA, NA, NA)&gt;17.5,ROUND(AVERAGE(, , , , , , , , , , , , , , , 0, 0, 0, 0, 0, 0, 0, 0, 0),2),"NO AVG")</f>
        <v>NO AVG</v>
      </c>
    </row>
    <row r="87" spans="1:11" x14ac:dyDescent="0.25">
      <c r="A87" s="1">
        <v>44784.59101851852</v>
      </c>
      <c r="B87" s="1">
        <v>44784.591006944444</v>
      </c>
      <c r="C87">
        <v>7.9</v>
      </c>
      <c r="D87">
        <v>7.6</v>
      </c>
      <c r="E87">
        <v>42</v>
      </c>
      <c r="F87">
        <v>41</v>
      </c>
      <c r="G87" t="s">
        <v>32</v>
      </c>
      <c r="H87" t="s">
        <v>33</v>
      </c>
      <c r="J87" s="2"/>
      <c r="K87" s="2"/>
    </row>
    <row r="88" spans="1:11" x14ac:dyDescent="0.25">
      <c r="A88" s="1">
        <v>44784.597962962966</v>
      </c>
      <c r="B88" s="1">
        <v>44784.597951388889</v>
      </c>
      <c r="C88">
        <v>7.9</v>
      </c>
      <c r="D88">
        <v>7.6</v>
      </c>
      <c r="E88">
        <v>42</v>
      </c>
      <c r="F88">
        <v>41</v>
      </c>
      <c r="G88" t="s">
        <v>32</v>
      </c>
      <c r="H88" t="s">
        <v>33</v>
      </c>
      <c r="J88" s="2"/>
      <c r="K88" s="2"/>
    </row>
    <row r="89" spans="1:11" x14ac:dyDescent="0.25">
      <c r="A89" s="1">
        <v>44784.60491898148</v>
      </c>
      <c r="B89" s="1">
        <v>44784.604895833334</v>
      </c>
      <c r="C89">
        <v>7.9</v>
      </c>
      <c r="D89">
        <v>7.6</v>
      </c>
      <c r="E89">
        <v>42</v>
      </c>
      <c r="F89">
        <v>41</v>
      </c>
      <c r="G89" t="s">
        <v>32</v>
      </c>
      <c r="H89" t="s">
        <v>33</v>
      </c>
      <c r="J89" s="2"/>
      <c r="K89" s="2"/>
    </row>
    <row r="90" spans="1:11" x14ac:dyDescent="0.25">
      <c r="A90" s="1">
        <v>44784.611851851849</v>
      </c>
      <c r="B90" s="1">
        <v>44784.611840277779</v>
      </c>
      <c r="C90">
        <v>7.9</v>
      </c>
      <c r="D90">
        <v>7.6</v>
      </c>
      <c r="E90">
        <v>42</v>
      </c>
      <c r="F90">
        <v>41</v>
      </c>
      <c r="G90" t="s">
        <v>32</v>
      </c>
      <c r="H90" t="s">
        <v>33</v>
      </c>
      <c r="J90" s="2"/>
      <c r="K90" s="2"/>
    </row>
    <row r="91" spans="1:11" x14ac:dyDescent="0.25">
      <c r="A91" s="1">
        <v>44784.618807870371</v>
      </c>
      <c r="B91" s="1">
        <v>44784.618784722225</v>
      </c>
      <c r="C91">
        <v>7.9</v>
      </c>
      <c r="D91">
        <v>7.6</v>
      </c>
      <c r="E91">
        <v>42</v>
      </c>
      <c r="F91">
        <v>41</v>
      </c>
      <c r="G91" t="s">
        <v>32</v>
      </c>
      <c r="H91" t="s">
        <v>33</v>
      </c>
      <c r="J91" s="2"/>
      <c r="K91" s="2"/>
    </row>
    <row r="92" spans="1:11" x14ac:dyDescent="0.25">
      <c r="A92" s="1">
        <v>44784.625752314816</v>
      </c>
      <c r="B92" s="1">
        <v>44784.62572916667</v>
      </c>
      <c r="C92">
        <v>7.9</v>
      </c>
      <c r="D92">
        <v>7.6</v>
      </c>
      <c r="E92">
        <v>42</v>
      </c>
      <c r="F92">
        <v>41</v>
      </c>
      <c r="G92" t="s">
        <v>32</v>
      </c>
      <c r="H92" t="s">
        <v>33</v>
      </c>
      <c r="J92" t="str">
        <f>IF(COUNT(I87:I92)&gt;3.5,ROUND(AVERAGE(I87:I92),2),"")</f>
        <v/>
      </c>
      <c r="K92" t="str">
        <f>IF(COUNT(, , , , , , , , , , , , , , , , NA, NA, NA, NA, NA, NA, NA, NA)&gt;17.5,ROUND(AVERAGE(, , , , , , , , , , , , , , , , 0, 0, 0, 0, 0, 0, 0, 0),2),"NO AVG")</f>
        <v>NO AVG</v>
      </c>
    </row>
    <row r="93" spans="1:11" x14ac:dyDescent="0.25">
      <c r="A93" s="1">
        <v>44784.632673611108</v>
      </c>
      <c r="B93" s="1">
        <v>44784.632673611108</v>
      </c>
      <c r="C93">
        <v>7.9</v>
      </c>
      <c r="D93">
        <v>7.6</v>
      </c>
      <c r="E93">
        <v>42</v>
      </c>
      <c r="F93">
        <v>41</v>
      </c>
      <c r="G93" t="s">
        <v>32</v>
      </c>
      <c r="H93" t="s">
        <v>33</v>
      </c>
      <c r="J93" s="2"/>
      <c r="K93" s="2"/>
    </row>
    <row r="94" spans="1:11" x14ac:dyDescent="0.25">
      <c r="A94" s="1">
        <v>44784.639618055553</v>
      </c>
      <c r="B94" s="1">
        <v>44784.639618055553</v>
      </c>
      <c r="C94">
        <v>7.9</v>
      </c>
      <c r="D94">
        <v>7.6</v>
      </c>
      <c r="E94">
        <v>42</v>
      </c>
      <c r="F94">
        <v>41</v>
      </c>
      <c r="G94" t="s">
        <v>32</v>
      </c>
      <c r="H94" t="s">
        <v>33</v>
      </c>
      <c r="J94" s="2"/>
      <c r="K94" s="2"/>
    </row>
    <row r="95" spans="1:11" x14ac:dyDescent="0.25">
      <c r="A95" s="1">
        <v>44784.646562499998</v>
      </c>
      <c r="B95" s="1">
        <v>44784.646562499998</v>
      </c>
      <c r="C95">
        <v>7.9</v>
      </c>
      <c r="D95">
        <v>7.6</v>
      </c>
      <c r="E95">
        <v>42</v>
      </c>
      <c r="F95">
        <v>41</v>
      </c>
      <c r="G95" t="s">
        <v>32</v>
      </c>
      <c r="H95" t="s">
        <v>33</v>
      </c>
      <c r="J95" s="2"/>
      <c r="K95" s="2"/>
    </row>
    <row r="96" spans="1:11" x14ac:dyDescent="0.25">
      <c r="A96" s="1">
        <v>44784.653506944444</v>
      </c>
      <c r="B96" s="1">
        <v>44784.653506944444</v>
      </c>
      <c r="C96">
        <v>7.9</v>
      </c>
      <c r="D96">
        <v>7.6</v>
      </c>
      <c r="E96">
        <v>42</v>
      </c>
      <c r="F96">
        <v>41</v>
      </c>
      <c r="G96" t="s">
        <v>32</v>
      </c>
      <c r="H96" t="s">
        <v>33</v>
      </c>
      <c r="J96" s="2"/>
      <c r="K96" s="2"/>
    </row>
    <row r="97" spans="1:11" x14ac:dyDescent="0.25">
      <c r="A97" s="1">
        <v>44784.660451388889</v>
      </c>
      <c r="B97" s="1">
        <v>44784.660451388889</v>
      </c>
      <c r="C97">
        <v>7.9</v>
      </c>
      <c r="D97">
        <v>7.6</v>
      </c>
      <c r="E97">
        <v>42</v>
      </c>
      <c r="F97">
        <v>41</v>
      </c>
      <c r="G97" t="s">
        <v>32</v>
      </c>
      <c r="H97" t="s">
        <v>33</v>
      </c>
      <c r="J97" s="2"/>
      <c r="K97" s="2"/>
    </row>
    <row r="98" spans="1:11" x14ac:dyDescent="0.25">
      <c r="A98" s="1">
        <v>44784.667395833334</v>
      </c>
      <c r="B98" s="1">
        <v>44784.667395833334</v>
      </c>
      <c r="C98">
        <v>7.9</v>
      </c>
      <c r="D98">
        <v>7.6</v>
      </c>
      <c r="E98">
        <v>42</v>
      </c>
      <c r="F98">
        <v>41</v>
      </c>
      <c r="G98" t="s">
        <v>32</v>
      </c>
      <c r="H98" t="s">
        <v>33</v>
      </c>
      <c r="J98" t="str">
        <f>IF(COUNT(I93:I98)&gt;3.5,ROUND(AVERAGE(I93:I98),2),"")</f>
        <v/>
      </c>
      <c r="K98" t="str">
        <f>IF(COUNT(, , , , , , , , , , , , , , , , , NA, NA, NA, NA, NA, NA, NA)&gt;17.5,ROUND(AVERAGE(, , , , , , , , , , , , , , , , , 0, 0, 0, 0, 0, 0, 0),2),"NO AVG")</f>
        <v>NO AVG</v>
      </c>
    </row>
    <row r="99" spans="1:11" x14ac:dyDescent="0.25">
      <c r="A99" s="1">
        <v>44784.674328703702</v>
      </c>
      <c r="B99" s="1">
        <v>44784.674328703702</v>
      </c>
      <c r="C99">
        <v>7.9</v>
      </c>
      <c r="D99">
        <v>7.6</v>
      </c>
      <c r="E99">
        <v>42</v>
      </c>
      <c r="F99">
        <v>41</v>
      </c>
      <c r="G99" t="s">
        <v>32</v>
      </c>
      <c r="H99" t="s">
        <v>33</v>
      </c>
      <c r="J99" s="2"/>
      <c r="K99" s="2"/>
    </row>
    <row r="100" spans="1:11" x14ac:dyDescent="0.25">
      <c r="A100" s="1">
        <v>44784.681284722225</v>
      </c>
      <c r="B100" s="1">
        <v>44784.681273148148</v>
      </c>
      <c r="C100">
        <v>7.9</v>
      </c>
      <c r="D100">
        <v>7.6</v>
      </c>
      <c r="E100">
        <v>42</v>
      </c>
      <c r="F100">
        <v>41</v>
      </c>
      <c r="G100" t="s">
        <v>32</v>
      </c>
      <c r="H100" t="s">
        <v>33</v>
      </c>
      <c r="J100" s="2"/>
      <c r="K100" s="2"/>
    </row>
    <row r="101" spans="1:11" x14ac:dyDescent="0.25">
      <c r="A101" s="1">
        <v>44784.688217592593</v>
      </c>
      <c r="B101" s="1">
        <v>44784.688217592593</v>
      </c>
      <c r="C101">
        <v>7.9</v>
      </c>
      <c r="D101">
        <v>7.6</v>
      </c>
      <c r="E101">
        <v>42</v>
      </c>
      <c r="F101">
        <v>41</v>
      </c>
      <c r="G101" t="s">
        <v>32</v>
      </c>
      <c r="H101" t="s">
        <v>33</v>
      </c>
      <c r="J101" s="2"/>
      <c r="K101" s="2"/>
    </row>
    <row r="102" spans="1:11" x14ac:dyDescent="0.25">
      <c r="A102" s="1">
        <v>44784.695162037038</v>
      </c>
      <c r="B102" s="1">
        <v>44784.695162037038</v>
      </c>
      <c r="C102">
        <v>7.9</v>
      </c>
      <c r="D102">
        <v>7.6</v>
      </c>
      <c r="E102">
        <v>42</v>
      </c>
      <c r="F102">
        <v>41</v>
      </c>
      <c r="G102" t="s">
        <v>32</v>
      </c>
      <c r="H102" t="s">
        <v>33</v>
      </c>
      <c r="J102" s="2"/>
      <c r="K102" s="2"/>
    </row>
    <row r="103" spans="1:11" x14ac:dyDescent="0.25">
      <c r="A103" s="1">
        <v>44784.702106481483</v>
      </c>
      <c r="B103" s="1">
        <v>44784.702106481483</v>
      </c>
      <c r="C103">
        <v>7.9</v>
      </c>
      <c r="D103">
        <v>7.6</v>
      </c>
      <c r="E103">
        <v>42</v>
      </c>
      <c r="F103">
        <v>41</v>
      </c>
      <c r="G103" t="s">
        <v>32</v>
      </c>
      <c r="H103" t="s">
        <v>33</v>
      </c>
      <c r="J103" s="2"/>
      <c r="K103" s="2"/>
    </row>
    <row r="104" spans="1:11" x14ac:dyDescent="0.25">
      <c r="A104" s="1">
        <v>44784.709050925929</v>
      </c>
      <c r="B104" s="1">
        <v>44784.709050925929</v>
      </c>
      <c r="C104">
        <v>7.9</v>
      </c>
      <c r="D104">
        <v>7.6</v>
      </c>
      <c r="E104">
        <v>42</v>
      </c>
      <c r="F104">
        <v>41</v>
      </c>
      <c r="G104" t="s">
        <v>32</v>
      </c>
      <c r="H104" t="s">
        <v>33</v>
      </c>
      <c r="J104" t="str">
        <f>IF(COUNT(I99:I104)&gt;3.5,ROUND(AVERAGE(I99:I104),2),"")</f>
        <v/>
      </c>
      <c r="K104">
        <f>IF(COUNT(, , , , , , , , , , , , , , , , , , NA, NA, NA, NA, NA, NA)&gt;17.5,ROUND(AVERAGE(, , , , , , , , , , , , , , , , , , 0, 0, 0, 0, 0, 0),2),"NO AVG")</f>
        <v>0</v>
      </c>
    </row>
    <row r="105" spans="1:11" x14ac:dyDescent="0.25">
      <c r="A105" s="1">
        <v>44784.715995370374</v>
      </c>
      <c r="B105" s="1">
        <v>44784.715995370374</v>
      </c>
      <c r="C105">
        <v>7.9</v>
      </c>
      <c r="D105">
        <v>7.6</v>
      </c>
      <c r="E105">
        <v>42</v>
      </c>
      <c r="F105">
        <v>41</v>
      </c>
      <c r="G105" t="s">
        <v>32</v>
      </c>
      <c r="H105" t="s">
        <v>33</v>
      </c>
      <c r="J105" s="2"/>
      <c r="K105" s="2"/>
    </row>
    <row r="106" spans="1:11" x14ac:dyDescent="0.25">
      <c r="A106" s="1">
        <v>44784.722939814812</v>
      </c>
      <c r="B106" s="1">
        <v>44784.722939814812</v>
      </c>
      <c r="C106">
        <v>7.9</v>
      </c>
      <c r="D106">
        <v>7.6</v>
      </c>
      <c r="E106">
        <v>42</v>
      </c>
      <c r="F106">
        <v>41</v>
      </c>
      <c r="G106" t="s">
        <v>32</v>
      </c>
      <c r="H106" t="s">
        <v>33</v>
      </c>
      <c r="J106" s="2"/>
      <c r="K106" s="2"/>
    </row>
    <row r="107" spans="1:11" x14ac:dyDescent="0.25">
      <c r="A107" s="1">
        <v>44784.729884259257</v>
      </c>
      <c r="B107" s="1">
        <v>44784.729884259257</v>
      </c>
      <c r="C107">
        <v>7.9</v>
      </c>
      <c r="D107">
        <v>7.6</v>
      </c>
      <c r="E107">
        <v>42</v>
      </c>
      <c r="F107">
        <v>41</v>
      </c>
      <c r="G107" t="s">
        <v>32</v>
      </c>
      <c r="H107" t="s">
        <v>33</v>
      </c>
      <c r="J107" s="2"/>
      <c r="K107" s="2"/>
    </row>
    <row r="108" spans="1:11" x14ac:dyDescent="0.25">
      <c r="A108" s="1">
        <v>44784.736828703702</v>
      </c>
      <c r="B108" s="1">
        <v>44784.736828703702</v>
      </c>
      <c r="C108">
        <v>7.9</v>
      </c>
      <c r="D108">
        <v>7.6</v>
      </c>
      <c r="E108">
        <v>42</v>
      </c>
      <c r="F108">
        <v>41</v>
      </c>
      <c r="G108" t="s">
        <v>32</v>
      </c>
      <c r="H108" t="s">
        <v>33</v>
      </c>
      <c r="J108" s="2"/>
      <c r="K108" s="2"/>
    </row>
    <row r="109" spans="1:11" x14ac:dyDescent="0.25">
      <c r="A109" s="1">
        <v>44784.743773148148</v>
      </c>
      <c r="B109" s="1">
        <v>44784.743773148148</v>
      </c>
      <c r="C109">
        <v>7.9</v>
      </c>
      <c r="D109">
        <v>7.6</v>
      </c>
      <c r="E109">
        <v>42</v>
      </c>
      <c r="F109">
        <v>41</v>
      </c>
      <c r="G109" t="s">
        <v>32</v>
      </c>
      <c r="H109" t="s">
        <v>33</v>
      </c>
      <c r="J109" s="2"/>
      <c r="K109" s="2"/>
    </row>
    <row r="110" spans="1:11" x14ac:dyDescent="0.25">
      <c r="A110" s="1">
        <v>44784.750717592593</v>
      </c>
      <c r="B110" s="1">
        <v>44784.750717592593</v>
      </c>
      <c r="C110">
        <v>7.9</v>
      </c>
      <c r="D110">
        <v>7.6</v>
      </c>
      <c r="E110">
        <v>42</v>
      </c>
      <c r="F110">
        <v>41</v>
      </c>
      <c r="G110" t="s">
        <v>32</v>
      </c>
      <c r="H110" t="s">
        <v>33</v>
      </c>
      <c r="J110" t="str">
        <f>IF(COUNT(I105:I110)&gt;3.5,ROUND(AVERAGE(I105:I110),2),"")</f>
        <v/>
      </c>
      <c r="K110">
        <f>IF(COUNT(, , , , , , , , , , , , , , , , , , , NA, NA, NA, NA, NA)&gt;17.5,ROUND(AVERAGE(, , , , , , , , , , , , , , , , , , , 0, 0, 0, 0, 0),2),"NO AVG")</f>
        <v>0</v>
      </c>
    </row>
    <row r="111" spans="1:11" x14ac:dyDescent="0.25">
      <c r="A111" s="1">
        <v>44784.757673611108</v>
      </c>
      <c r="B111" s="1">
        <v>44784.757662037038</v>
      </c>
      <c r="C111">
        <v>7.9</v>
      </c>
      <c r="D111">
        <v>7.6</v>
      </c>
      <c r="E111">
        <v>42</v>
      </c>
      <c r="F111">
        <v>41</v>
      </c>
      <c r="G111" t="s">
        <v>32</v>
      </c>
      <c r="H111" t="s">
        <v>33</v>
      </c>
      <c r="J111" s="2"/>
      <c r="K111" s="2"/>
    </row>
    <row r="112" spans="1:11" x14ac:dyDescent="0.25">
      <c r="A112" s="1">
        <v>44784.764618055553</v>
      </c>
      <c r="B112" s="1">
        <v>44784.764606481483</v>
      </c>
      <c r="C112">
        <v>7.9</v>
      </c>
      <c r="D112">
        <v>7.6</v>
      </c>
      <c r="E112">
        <v>42</v>
      </c>
      <c r="F112">
        <v>41</v>
      </c>
      <c r="G112" t="s">
        <v>32</v>
      </c>
      <c r="H112" t="s">
        <v>33</v>
      </c>
      <c r="J112" s="2"/>
      <c r="K112" s="2"/>
    </row>
    <row r="113" spans="1:11" x14ac:dyDescent="0.25">
      <c r="A113" s="1">
        <v>44784.771550925929</v>
      </c>
      <c r="B113" s="1">
        <v>44784.771550925929</v>
      </c>
      <c r="C113">
        <v>7.9</v>
      </c>
      <c r="D113">
        <v>7.6</v>
      </c>
      <c r="E113">
        <v>42</v>
      </c>
      <c r="F113">
        <v>41</v>
      </c>
      <c r="G113" t="s">
        <v>32</v>
      </c>
      <c r="H113" t="s">
        <v>33</v>
      </c>
      <c r="J113" s="2"/>
      <c r="K113" s="2"/>
    </row>
    <row r="114" spans="1:11" x14ac:dyDescent="0.25">
      <c r="A114" s="1">
        <v>44784.778506944444</v>
      </c>
      <c r="B114" s="1">
        <v>44784.778495370374</v>
      </c>
      <c r="C114">
        <v>7.9</v>
      </c>
      <c r="D114">
        <v>7.6</v>
      </c>
      <c r="E114">
        <v>42</v>
      </c>
      <c r="F114">
        <v>41</v>
      </c>
      <c r="G114" t="s">
        <v>32</v>
      </c>
      <c r="H114" t="s">
        <v>33</v>
      </c>
      <c r="J114" s="2"/>
      <c r="K114" s="2"/>
    </row>
    <row r="115" spans="1:11" x14ac:dyDescent="0.25">
      <c r="A115" s="1">
        <v>44784.785439814812</v>
      </c>
      <c r="B115" s="1">
        <v>44784.785439814812</v>
      </c>
      <c r="C115">
        <v>7.9</v>
      </c>
      <c r="D115">
        <v>7.6</v>
      </c>
      <c r="E115">
        <v>42</v>
      </c>
      <c r="F115">
        <v>41</v>
      </c>
      <c r="G115" t="s">
        <v>32</v>
      </c>
      <c r="H115" t="s">
        <v>33</v>
      </c>
      <c r="J115" s="2"/>
      <c r="K115" s="2"/>
    </row>
    <row r="116" spans="1:11" x14ac:dyDescent="0.25">
      <c r="A116" s="1">
        <v>44784.792384259257</v>
      </c>
      <c r="B116" s="1">
        <v>44784.792384259257</v>
      </c>
      <c r="C116">
        <v>7.9</v>
      </c>
      <c r="D116">
        <v>7.6</v>
      </c>
      <c r="E116">
        <v>42</v>
      </c>
      <c r="F116">
        <v>41</v>
      </c>
      <c r="G116" t="s">
        <v>32</v>
      </c>
      <c r="H116" t="s">
        <v>33</v>
      </c>
      <c r="J116" t="str">
        <f>IF(COUNT(I111:I116)&gt;3.5,ROUND(AVERAGE(I111:I116),2),"")</f>
        <v/>
      </c>
      <c r="K116">
        <f>IF(COUNT(, , , , , , , , , , , , , , , , , , , , NA, NA, NA, NA)&gt;17.5,ROUND(AVERAGE(, , , , , , , , , , , , , , , , , , , , 0, 0, 0, 0),2),"NO AVG")</f>
        <v>0</v>
      </c>
    </row>
    <row r="117" spans="1:11" x14ac:dyDescent="0.25">
      <c r="A117" s="1">
        <v>44784.799328703702</v>
      </c>
      <c r="B117" s="1">
        <v>44784.799328703702</v>
      </c>
      <c r="C117">
        <v>7.9</v>
      </c>
      <c r="D117">
        <v>7.6</v>
      </c>
      <c r="E117">
        <v>42</v>
      </c>
      <c r="F117">
        <v>41</v>
      </c>
      <c r="G117" t="s">
        <v>32</v>
      </c>
      <c r="H117" t="s">
        <v>33</v>
      </c>
      <c r="J117" s="2"/>
      <c r="K117" s="2"/>
    </row>
    <row r="118" spans="1:11" x14ac:dyDescent="0.25">
      <c r="A118" s="1">
        <v>44784.806273148148</v>
      </c>
      <c r="B118" s="1">
        <v>44784.806273148148</v>
      </c>
      <c r="C118">
        <v>7.9</v>
      </c>
      <c r="D118">
        <v>7.6</v>
      </c>
      <c r="E118">
        <v>42</v>
      </c>
      <c r="F118">
        <v>41</v>
      </c>
      <c r="G118" t="s">
        <v>32</v>
      </c>
      <c r="H118" t="s">
        <v>33</v>
      </c>
      <c r="J118" s="2"/>
      <c r="K118" s="2"/>
    </row>
    <row r="119" spans="1:11" x14ac:dyDescent="0.25">
      <c r="A119" s="1">
        <v>44784.81322916667</v>
      </c>
      <c r="B119" s="1">
        <v>44784.813217592593</v>
      </c>
      <c r="C119">
        <v>7.9</v>
      </c>
      <c r="D119">
        <v>7.6</v>
      </c>
      <c r="E119">
        <v>42</v>
      </c>
      <c r="F119">
        <v>41</v>
      </c>
      <c r="G119" t="s">
        <v>32</v>
      </c>
      <c r="H119" t="s">
        <v>33</v>
      </c>
      <c r="J119" s="2"/>
      <c r="K119" s="2"/>
    </row>
    <row r="120" spans="1:11" x14ac:dyDescent="0.25">
      <c r="A120" s="1">
        <v>44784.820173611108</v>
      </c>
      <c r="B120" s="1">
        <v>44784.820162037038</v>
      </c>
      <c r="C120">
        <v>7.9</v>
      </c>
      <c r="D120">
        <v>7.6</v>
      </c>
      <c r="E120">
        <v>42</v>
      </c>
      <c r="F120">
        <v>41</v>
      </c>
      <c r="G120" t="s">
        <v>32</v>
      </c>
      <c r="H120" t="s">
        <v>33</v>
      </c>
      <c r="J120" s="2"/>
      <c r="K120" s="2"/>
    </row>
    <row r="121" spans="1:11" x14ac:dyDescent="0.25">
      <c r="A121" s="1">
        <v>44784.827118055553</v>
      </c>
      <c r="B121" s="1">
        <v>44784.827106481483</v>
      </c>
      <c r="C121">
        <v>7.9</v>
      </c>
      <c r="D121">
        <v>7.6</v>
      </c>
      <c r="E121">
        <v>42</v>
      </c>
      <c r="F121">
        <v>41</v>
      </c>
      <c r="G121" t="s">
        <v>32</v>
      </c>
      <c r="H121" t="s">
        <v>33</v>
      </c>
      <c r="J121" s="2"/>
      <c r="K121" s="2"/>
    </row>
    <row r="122" spans="1:11" x14ac:dyDescent="0.25">
      <c r="A122" s="1">
        <v>44784.834062499998</v>
      </c>
      <c r="B122" s="1">
        <v>44784.834050925929</v>
      </c>
      <c r="C122">
        <v>7.9</v>
      </c>
      <c r="D122">
        <v>7.6</v>
      </c>
      <c r="E122">
        <v>42</v>
      </c>
      <c r="F122">
        <v>41</v>
      </c>
      <c r="G122" t="s">
        <v>32</v>
      </c>
      <c r="H122" t="s">
        <v>33</v>
      </c>
      <c r="J122" t="str">
        <f>IF(COUNT(I117:I122)&gt;3.5,ROUND(AVERAGE(I117:I122),2),"")</f>
        <v/>
      </c>
      <c r="K122">
        <f>IF(COUNT(, , , , , , , , , , , , , , , , , , , , , NA, NA, NA)&gt;17.5,ROUND(AVERAGE(, , , , , , , , , , , , , , , , , , , , , 0, 0, 0),2),"NO AVG")</f>
        <v>0</v>
      </c>
    </row>
    <row r="123" spans="1:11" x14ac:dyDescent="0.25">
      <c r="A123" s="1">
        <v>44784.841006944444</v>
      </c>
      <c r="B123" s="1">
        <v>44784.840995370374</v>
      </c>
      <c r="C123">
        <v>7.9</v>
      </c>
      <c r="D123">
        <v>7.6</v>
      </c>
      <c r="E123">
        <v>42</v>
      </c>
      <c r="F123">
        <v>41</v>
      </c>
      <c r="G123" t="s">
        <v>32</v>
      </c>
      <c r="H123" t="s">
        <v>33</v>
      </c>
      <c r="J123" s="2"/>
      <c r="K123" s="2"/>
    </row>
    <row r="124" spans="1:11" x14ac:dyDescent="0.25">
      <c r="A124" s="1">
        <v>44784.847951388889</v>
      </c>
      <c r="B124" s="1">
        <v>44784.847939814812</v>
      </c>
      <c r="C124">
        <v>7.9</v>
      </c>
      <c r="D124">
        <v>7.6</v>
      </c>
      <c r="E124">
        <v>42</v>
      </c>
      <c r="F124">
        <v>41</v>
      </c>
      <c r="G124" t="s">
        <v>32</v>
      </c>
      <c r="H124" t="s">
        <v>33</v>
      </c>
      <c r="J124" s="2"/>
      <c r="K124" s="2"/>
    </row>
    <row r="125" spans="1:11" x14ac:dyDescent="0.25">
      <c r="A125" s="1">
        <v>44784.854895833334</v>
      </c>
      <c r="B125" s="1">
        <v>44784.854884259257</v>
      </c>
      <c r="C125">
        <v>7.9</v>
      </c>
      <c r="D125">
        <v>7.6</v>
      </c>
      <c r="E125">
        <v>42</v>
      </c>
      <c r="F125">
        <v>41</v>
      </c>
      <c r="G125" t="s">
        <v>32</v>
      </c>
      <c r="H125" t="s">
        <v>33</v>
      </c>
      <c r="J125" s="2"/>
      <c r="K125" s="2"/>
    </row>
    <row r="126" spans="1:11" x14ac:dyDescent="0.25">
      <c r="A126" s="1">
        <v>44784.861840277779</v>
      </c>
      <c r="B126" s="1">
        <v>44784.861828703702</v>
      </c>
      <c r="C126">
        <v>7.9</v>
      </c>
      <c r="D126">
        <v>7.6</v>
      </c>
      <c r="E126">
        <v>42</v>
      </c>
      <c r="F126">
        <v>41</v>
      </c>
      <c r="G126" t="s">
        <v>32</v>
      </c>
      <c r="H126" t="s">
        <v>33</v>
      </c>
      <c r="J126" s="2"/>
      <c r="K126" s="2"/>
    </row>
    <row r="127" spans="1:11" x14ac:dyDescent="0.25">
      <c r="A127" s="1">
        <v>44784.868784722225</v>
      </c>
      <c r="B127" s="1">
        <v>44784.868773148148</v>
      </c>
      <c r="C127">
        <v>7.9</v>
      </c>
      <c r="D127">
        <v>7.6</v>
      </c>
      <c r="E127">
        <v>42</v>
      </c>
      <c r="F127">
        <v>41</v>
      </c>
      <c r="G127" t="s">
        <v>32</v>
      </c>
      <c r="H127" t="s">
        <v>33</v>
      </c>
      <c r="J127" s="2"/>
      <c r="K127" s="2"/>
    </row>
    <row r="128" spans="1:11" x14ac:dyDescent="0.25">
      <c r="A128" s="1">
        <v>44784.87572916667</v>
      </c>
      <c r="B128" s="1">
        <v>44784.875717592593</v>
      </c>
      <c r="C128">
        <v>7.9</v>
      </c>
      <c r="D128">
        <v>7.6</v>
      </c>
      <c r="E128">
        <v>42</v>
      </c>
      <c r="F128">
        <v>41</v>
      </c>
      <c r="G128" t="s">
        <v>32</v>
      </c>
      <c r="H128" t="s">
        <v>33</v>
      </c>
      <c r="J128" t="str">
        <f>IF(COUNT(I123:I128)&gt;3.5,ROUND(AVERAGE(I123:I128),2),"")</f>
        <v/>
      </c>
      <c r="K128">
        <f>IF(COUNT(, , , , , , , , , , , , , , , , , , , , , , NA, NA)&gt;17.5,ROUND(AVERAGE(, , , , , , , , , , , , , , , , , , , , , , 0, 0),2),"NO AVG")</f>
        <v>0</v>
      </c>
    </row>
    <row r="129" spans="1:11" x14ac:dyDescent="0.25">
      <c r="A129" s="1">
        <v>44784.882673611108</v>
      </c>
      <c r="B129" s="1">
        <v>44784.882662037038</v>
      </c>
      <c r="C129">
        <v>7.9</v>
      </c>
      <c r="D129">
        <v>7.6</v>
      </c>
      <c r="E129">
        <v>42</v>
      </c>
      <c r="F129">
        <v>41</v>
      </c>
      <c r="G129" t="s">
        <v>32</v>
      </c>
      <c r="H129" t="s">
        <v>33</v>
      </c>
      <c r="J129" s="2"/>
      <c r="K129" s="2"/>
    </row>
    <row r="130" spans="1:11" x14ac:dyDescent="0.25">
      <c r="A130" s="1">
        <v>44784.889618055553</v>
      </c>
      <c r="B130" s="1">
        <v>44784.889606481483</v>
      </c>
      <c r="C130">
        <v>7.9</v>
      </c>
      <c r="D130">
        <v>7.6</v>
      </c>
      <c r="E130">
        <v>42</v>
      </c>
      <c r="F130">
        <v>41</v>
      </c>
      <c r="G130" t="s">
        <v>32</v>
      </c>
      <c r="H130" t="s">
        <v>33</v>
      </c>
      <c r="J130" s="2"/>
      <c r="K130" s="2"/>
    </row>
    <row r="131" spans="1:11" x14ac:dyDescent="0.25">
      <c r="A131" s="1">
        <v>44784.896562499998</v>
      </c>
      <c r="B131" s="1">
        <v>44784.896550925929</v>
      </c>
      <c r="C131">
        <v>7.9</v>
      </c>
      <c r="D131">
        <v>7.6</v>
      </c>
      <c r="E131">
        <v>42</v>
      </c>
      <c r="F131">
        <v>41</v>
      </c>
      <c r="G131" t="s">
        <v>32</v>
      </c>
      <c r="H131" t="s">
        <v>33</v>
      </c>
      <c r="J131" s="2"/>
      <c r="K131" s="2"/>
    </row>
    <row r="132" spans="1:11" x14ac:dyDescent="0.25">
      <c r="A132" s="1">
        <v>44784.903506944444</v>
      </c>
      <c r="B132" s="1">
        <v>44784.903495370374</v>
      </c>
      <c r="C132">
        <v>7.9</v>
      </c>
      <c r="D132">
        <v>7.6</v>
      </c>
      <c r="E132">
        <v>42</v>
      </c>
      <c r="F132">
        <v>41</v>
      </c>
      <c r="G132" t="s">
        <v>32</v>
      </c>
      <c r="H132" t="s">
        <v>33</v>
      </c>
      <c r="J132" s="2"/>
      <c r="K132" s="2"/>
    </row>
    <row r="133" spans="1:11" x14ac:dyDescent="0.25">
      <c r="A133" s="1">
        <v>44784.910451388889</v>
      </c>
      <c r="B133" s="1">
        <v>44784.910439814812</v>
      </c>
      <c r="C133">
        <v>7.9</v>
      </c>
      <c r="D133">
        <v>7.6</v>
      </c>
      <c r="E133">
        <v>42</v>
      </c>
      <c r="F133">
        <v>41</v>
      </c>
      <c r="G133" t="s">
        <v>32</v>
      </c>
      <c r="H133" t="s">
        <v>33</v>
      </c>
      <c r="J133" s="2"/>
      <c r="K133" s="2"/>
    </row>
    <row r="134" spans="1:11" x14ac:dyDescent="0.25">
      <c r="A134" s="1">
        <v>44784.917395833334</v>
      </c>
      <c r="B134" s="1">
        <v>44784.917384259257</v>
      </c>
      <c r="C134">
        <v>7.9</v>
      </c>
      <c r="D134">
        <v>7.6</v>
      </c>
      <c r="E134">
        <v>42</v>
      </c>
      <c r="F134">
        <v>41</v>
      </c>
      <c r="G134" t="s">
        <v>32</v>
      </c>
      <c r="H134" t="s">
        <v>33</v>
      </c>
      <c r="J134" t="str">
        <f>IF(COUNT(I129:I134)&gt;3.5,ROUND(AVERAGE(I129:I134),2),"")</f>
        <v/>
      </c>
      <c r="K134">
        <f>IF(COUNT(, , , , , , , , , , , , , , , , , , , , , , , NA)&gt;17.5,ROUND(AVERAGE(, , , , , , , , , , , , , , , , , , , , , , , 0),2),"NO AVG")</f>
        <v>0</v>
      </c>
    </row>
    <row r="135" spans="1:11" x14ac:dyDescent="0.25">
      <c r="A135" s="1">
        <v>44784.924340277779</v>
      </c>
      <c r="B135" s="1">
        <v>44784.924328703702</v>
      </c>
      <c r="C135">
        <v>7.9</v>
      </c>
      <c r="D135">
        <v>7.6</v>
      </c>
      <c r="E135">
        <v>42</v>
      </c>
      <c r="F135">
        <v>41</v>
      </c>
      <c r="G135" t="s">
        <v>32</v>
      </c>
      <c r="H135" t="s">
        <v>33</v>
      </c>
      <c r="J135" s="2"/>
      <c r="K135" s="2"/>
    </row>
    <row r="136" spans="1:11" x14ac:dyDescent="0.25">
      <c r="A136" s="1">
        <v>44784.931284722225</v>
      </c>
      <c r="B136" s="1">
        <v>44784.931273148148</v>
      </c>
      <c r="C136">
        <v>7.9</v>
      </c>
      <c r="D136">
        <v>7.6</v>
      </c>
      <c r="E136">
        <v>42</v>
      </c>
      <c r="F136">
        <v>41</v>
      </c>
      <c r="G136" t="s">
        <v>32</v>
      </c>
      <c r="H136" t="s">
        <v>33</v>
      </c>
      <c r="J136" s="2"/>
      <c r="K136" s="2"/>
    </row>
    <row r="137" spans="1:11" x14ac:dyDescent="0.25">
      <c r="A137" s="1">
        <v>44784.93822916667</v>
      </c>
      <c r="B137" s="1">
        <v>44784.938217592593</v>
      </c>
      <c r="C137">
        <v>7.9</v>
      </c>
      <c r="D137">
        <v>7.6</v>
      </c>
      <c r="E137">
        <v>42</v>
      </c>
      <c r="F137">
        <v>41</v>
      </c>
      <c r="G137" t="s">
        <v>32</v>
      </c>
      <c r="H137" t="s">
        <v>33</v>
      </c>
      <c r="J137" s="2"/>
      <c r="K137" s="2"/>
    </row>
    <row r="138" spans="1:11" x14ac:dyDescent="0.25">
      <c r="A138" s="1">
        <v>44784.945173611108</v>
      </c>
      <c r="B138" s="1">
        <v>44784.945162037038</v>
      </c>
      <c r="C138">
        <v>7.9</v>
      </c>
      <c r="D138">
        <v>7.6</v>
      </c>
      <c r="E138">
        <v>42</v>
      </c>
      <c r="F138">
        <v>41</v>
      </c>
      <c r="G138" t="s">
        <v>32</v>
      </c>
      <c r="H138" t="s">
        <v>33</v>
      </c>
      <c r="J138" s="2"/>
      <c r="K138" s="2"/>
    </row>
    <row r="139" spans="1:11" x14ac:dyDescent="0.25">
      <c r="A139" s="1">
        <v>44784.952118055553</v>
      </c>
      <c r="B139" s="1">
        <v>44784.952106481483</v>
      </c>
      <c r="C139">
        <v>7.9</v>
      </c>
      <c r="D139">
        <v>7.6</v>
      </c>
      <c r="E139">
        <v>42</v>
      </c>
      <c r="F139">
        <v>41</v>
      </c>
      <c r="G139" t="s">
        <v>32</v>
      </c>
      <c r="H139" t="s">
        <v>33</v>
      </c>
      <c r="J139" s="2"/>
      <c r="K139" s="2"/>
    </row>
    <row r="140" spans="1:11" x14ac:dyDescent="0.25">
      <c r="A140" s="1">
        <v>44784.959062499998</v>
      </c>
      <c r="B140" s="1">
        <v>44784.959050925929</v>
      </c>
      <c r="C140">
        <v>7.9</v>
      </c>
      <c r="D140">
        <v>7.6</v>
      </c>
      <c r="E140">
        <v>42</v>
      </c>
      <c r="F140">
        <v>41</v>
      </c>
      <c r="G140" t="s">
        <v>32</v>
      </c>
      <c r="H140" t="s">
        <v>33</v>
      </c>
      <c r="J140" t="str">
        <f>IF(COUNT(I135:I140)&gt;3.5,ROUND(AVERAGE(I135:I140),2),"")</f>
        <v/>
      </c>
      <c r="K140">
        <f>IF(COUNT(, , , , , , , , , , , , , , , , , , , , , , , )&gt;17.5,ROUND(AVERAGE(, , , , , , , , , , , , , , , , , , , , , , , ),2),"NO AVG")</f>
        <v>0</v>
      </c>
    </row>
    <row r="141" spans="1:11" x14ac:dyDescent="0.25">
      <c r="A141" s="1">
        <v>44784.966006944444</v>
      </c>
      <c r="B141" s="1">
        <v>44784.965995370374</v>
      </c>
      <c r="C141">
        <v>7.9</v>
      </c>
      <c r="D141">
        <v>7.6</v>
      </c>
      <c r="E141">
        <v>42</v>
      </c>
      <c r="F141">
        <v>41</v>
      </c>
      <c r="G141" t="s">
        <v>32</v>
      </c>
      <c r="H141" t="s">
        <v>33</v>
      </c>
      <c r="J141" s="2"/>
      <c r="K141" s="2"/>
    </row>
    <row r="142" spans="1:11" x14ac:dyDescent="0.25">
      <c r="A142" s="1">
        <v>44784.972951388889</v>
      </c>
      <c r="B142" s="1">
        <v>44784.972939814812</v>
      </c>
      <c r="C142">
        <v>7.9</v>
      </c>
      <c r="D142">
        <v>7.6</v>
      </c>
      <c r="E142">
        <v>42</v>
      </c>
      <c r="F142">
        <v>41</v>
      </c>
      <c r="G142" t="s">
        <v>32</v>
      </c>
      <c r="H142" t="s">
        <v>33</v>
      </c>
      <c r="J142" s="2"/>
      <c r="K142" s="2"/>
    </row>
    <row r="143" spans="1:11" x14ac:dyDescent="0.25">
      <c r="A143" s="1">
        <v>44784.979895833334</v>
      </c>
      <c r="B143" s="1">
        <v>44784.979884259257</v>
      </c>
      <c r="C143">
        <v>7.9</v>
      </c>
      <c r="D143">
        <v>7.6</v>
      </c>
      <c r="E143">
        <v>42</v>
      </c>
      <c r="F143">
        <v>41</v>
      </c>
      <c r="G143" t="s">
        <v>32</v>
      </c>
      <c r="H143" t="s">
        <v>33</v>
      </c>
      <c r="J143" s="2"/>
      <c r="K143" s="2"/>
    </row>
    <row r="144" spans="1:11" x14ac:dyDescent="0.25">
      <c r="A144" s="1">
        <v>44784.986840277779</v>
      </c>
      <c r="B144" s="1">
        <v>44784.986828703702</v>
      </c>
      <c r="C144">
        <v>7.9</v>
      </c>
      <c r="D144">
        <v>7.6</v>
      </c>
      <c r="E144">
        <v>42</v>
      </c>
      <c r="F144">
        <v>41</v>
      </c>
      <c r="G144" t="s">
        <v>32</v>
      </c>
      <c r="H144" t="s">
        <v>33</v>
      </c>
      <c r="J144" s="2"/>
      <c r="K144" s="2"/>
    </row>
    <row r="145" spans="1:12" x14ac:dyDescent="0.25">
      <c r="A145" s="1">
        <v>44784.993784722225</v>
      </c>
      <c r="B145" s="1">
        <v>44784.993773148148</v>
      </c>
      <c r="C145">
        <v>7.9</v>
      </c>
      <c r="D145">
        <v>7.6</v>
      </c>
      <c r="E145">
        <v>42</v>
      </c>
      <c r="F145">
        <v>41</v>
      </c>
      <c r="G145" t="s">
        <v>32</v>
      </c>
      <c r="H145" t="s">
        <v>33</v>
      </c>
      <c r="J145" s="2"/>
      <c r="K145" s="2"/>
    </row>
    <row r="146" spans="1:12" x14ac:dyDescent="0.25">
      <c r="I146" s="3"/>
      <c r="J146" s="3"/>
      <c r="K146" s="3"/>
      <c r="L146" s="3"/>
    </row>
    <row r="147" spans="1:12" x14ac:dyDescent="0.25">
      <c r="I147" s="3"/>
      <c r="J147" s="3"/>
      <c r="K147" s="3"/>
      <c r="L147" s="3"/>
    </row>
    <row r="148" spans="1:12" x14ac:dyDescent="0.25">
      <c r="I148" s="3"/>
      <c r="J148" s="3"/>
      <c r="K148" s="3"/>
      <c r="L148" s="3"/>
    </row>
    <row r="149" spans="1:12" x14ac:dyDescent="0.25">
      <c r="I149" s="3"/>
      <c r="J149" s="3"/>
      <c r="K149" s="3"/>
      <c r="L149" s="3"/>
    </row>
    <row r="150" spans="1:12" x14ac:dyDescent="0.25">
      <c r="I150" s="3"/>
      <c r="J150" s="3"/>
      <c r="K150" s="3"/>
      <c r="L150" s="3"/>
    </row>
    <row r="151" spans="1:12" x14ac:dyDescent="0.25">
      <c r="I151" s="3"/>
      <c r="J151" s="3"/>
      <c r="K151" s="3"/>
      <c r="L15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DESPurple08112022</vt:lpstr>
      <vt:lpstr>25985</vt:lpstr>
      <vt:lpstr>1202</vt:lpstr>
      <vt:lpstr>1224</vt:lpstr>
      <vt:lpstr>12188</vt:lpstr>
      <vt:lpstr>146644</vt:lpstr>
      <vt:lpstr>148555</vt:lpstr>
      <vt:lpstr>58135</vt:lpstr>
      <vt:lpstr>23443</vt:lpstr>
      <vt:lpstr>12050</vt:lpstr>
      <vt:lpstr>115703</vt:lpstr>
      <vt:lpstr>75981</vt:lpstr>
      <vt:lpstr>12178</vt:lpstr>
      <vt:lpstr>12212</vt:lpstr>
      <vt:lpstr>151706</vt:lpstr>
      <vt:lpstr>151710</vt:lpstr>
      <vt:lpstr>151712</vt:lpstr>
      <vt:lpstr>135984</vt:lpstr>
      <vt:lpstr>151700</vt:lpstr>
      <vt:lpstr>151702</vt:lpstr>
      <vt:lpstr>143456</vt:lpstr>
      <vt:lpstr>151708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Thoroughgood, Zachary</cp:lastModifiedBy>
  <dcterms:created xsi:type="dcterms:W3CDTF">2022-08-16T12:29:46Z</dcterms:created>
  <dcterms:modified xsi:type="dcterms:W3CDTF">2022-08-24T17:55:33Z</dcterms:modified>
</cp:coreProperties>
</file>