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.t.thoroughgo\DES\Environment\"/>
    </mc:Choice>
  </mc:AlternateContent>
  <xr:revisionPtr revIDLastSave="0" documentId="13_ncr:1_{6ECAD9E4-C04E-4F71-B578-E5D76C9113E3}" xr6:coauthVersionLast="47" xr6:coauthVersionMax="47" xr10:uidLastSave="{00000000-0000-0000-0000-000000000000}"/>
  <bookViews>
    <workbookView xWindow="-120" yWindow="-120" windowWidth="29040" windowHeight="15840" activeTab="1" xr2:uid="{ADDD95FE-D142-4CCC-AF14-782275B0889C}"/>
  </bookViews>
  <sheets>
    <sheet name="Sheet1" sheetId="1" r:id="rId1"/>
    <sheet name="Header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70" i="2" l="1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2" i="2"/>
  <c r="S3" i="2"/>
  <c r="AB70" i="2"/>
  <c r="AC70" i="2" s="1"/>
  <c r="Z70" i="2"/>
  <c r="Y70" i="2"/>
  <c r="AA70" i="2" s="1"/>
  <c r="X70" i="2"/>
  <c r="R70" i="2"/>
  <c r="Q70" i="2"/>
  <c r="O70" i="2"/>
  <c r="AB69" i="2"/>
  <c r="AC69" i="2" s="1"/>
  <c r="AA69" i="2"/>
  <c r="Z69" i="2"/>
  <c r="Y69" i="2"/>
  <c r="X69" i="2"/>
  <c r="R69" i="2"/>
  <c r="Q69" i="2"/>
  <c r="O69" i="2"/>
  <c r="AB68" i="2"/>
  <c r="AC68" i="2" s="1"/>
  <c r="Z68" i="2"/>
  <c r="Y68" i="2"/>
  <c r="AA68" i="2" s="1"/>
  <c r="X68" i="2"/>
  <c r="R68" i="2"/>
  <c r="Q68" i="2"/>
  <c r="O68" i="2"/>
  <c r="AB67" i="2"/>
  <c r="AC67" i="2" s="1"/>
  <c r="Z67" i="2"/>
  <c r="Y67" i="2"/>
  <c r="AA67" i="2" s="1"/>
  <c r="X67" i="2"/>
  <c r="R67" i="2"/>
  <c r="Q67" i="2"/>
  <c r="O67" i="2"/>
  <c r="AB66" i="2"/>
  <c r="AC66" i="2" s="1"/>
  <c r="Z66" i="2"/>
  <c r="Y66" i="2"/>
  <c r="AA66" i="2" s="1"/>
  <c r="X66" i="2"/>
  <c r="R66" i="2"/>
  <c r="Q66" i="2"/>
  <c r="O66" i="2"/>
  <c r="AB65" i="2"/>
  <c r="AC65" i="2" s="1"/>
  <c r="Z65" i="2"/>
  <c r="Y65" i="2"/>
  <c r="AA65" i="2" s="1"/>
  <c r="X65" i="2"/>
  <c r="R65" i="2"/>
  <c r="Q65" i="2"/>
  <c r="O65" i="2"/>
  <c r="AB64" i="2"/>
  <c r="AC64" i="2" s="1"/>
  <c r="Z64" i="2"/>
  <c r="Y64" i="2"/>
  <c r="AA64" i="2" s="1"/>
  <c r="X64" i="2"/>
  <c r="R64" i="2"/>
  <c r="Q64" i="2"/>
  <c r="O64" i="2"/>
  <c r="AB63" i="2"/>
  <c r="AC63" i="2" s="1"/>
  <c r="Z63" i="2"/>
  <c r="Y63" i="2"/>
  <c r="AA63" i="2" s="1"/>
  <c r="X63" i="2"/>
  <c r="R63" i="2"/>
  <c r="Q63" i="2"/>
  <c r="O63" i="2"/>
  <c r="AB62" i="2"/>
  <c r="AC62" i="2" s="1"/>
  <c r="Z62" i="2"/>
  <c r="Y62" i="2"/>
  <c r="AA62" i="2" s="1"/>
  <c r="X62" i="2"/>
  <c r="R62" i="2"/>
  <c r="Q62" i="2"/>
  <c r="O62" i="2"/>
  <c r="AB61" i="2"/>
  <c r="AC61" i="2" s="1"/>
  <c r="Z61" i="2"/>
  <c r="Y61" i="2"/>
  <c r="AA61" i="2" s="1"/>
  <c r="X61" i="2"/>
  <c r="R61" i="2"/>
  <c r="Q61" i="2"/>
  <c r="O61" i="2"/>
  <c r="AB60" i="2"/>
  <c r="AC60" i="2" s="1"/>
  <c r="Z60" i="2"/>
  <c r="Y60" i="2"/>
  <c r="AA60" i="2" s="1"/>
  <c r="X60" i="2"/>
  <c r="R60" i="2"/>
  <c r="Q60" i="2"/>
  <c r="O60" i="2"/>
  <c r="AB59" i="2"/>
  <c r="AC59" i="2" s="1"/>
  <c r="Z59" i="2"/>
  <c r="Y59" i="2"/>
  <c r="AA59" i="2" s="1"/>
  <c r="X59" i="2"/>
  <c r="R59" i="2"/>
  <c r="Q59" i="2"/>
  <c r="O59" i="2"/>
  <c r="AB58" i="2"/>
  <c r="AC58" i="2" s="1"/>
  <c r="Z58" i="2"/>
  <c r="Y58" i="2"/>
  <c r="AA58" i="2" s="1"/>
  <c r="X58" i="2"/>
  <c r="R58" i="2"/>
  <c r="Q58" i="2"/>
  <c r="O58" i="2"/>
  <c r="AB57" i="2"/>
  <c r="AC57" i="2" s="1"/>
  <c r="Z57" i="2"/>
  <c r="Y57" i="2"/>
  <c r="AA57" i="2" s="1"/>
  <c r="X57" i="2"/>
  <c r="R57" i="2"/>
  <c r="Q57" i="2"/>
  <c r="O57" i="2"/>
  <c r="AB56" i="2"/>
  <c r="AC56" i="2" s="1"/>
  <c r="Z56" i="2"/>
  <c r="Y56" i="2"/>
  <c r="AA56" i="2" s="1"/>
  <c r="X56" i="2"/>
  <c r="R56" i="2"/>
  <c r="Q56" i="2"/>
  <c r="O56" i="2"/>
  <c r="AB55" i="2"/>
  <c r="AC55" i="2" s="1"/>
  <c r="Z55" i="2"/>
  <c r="Y55" i="2"/>
  <c r="AA55" i="2" s="1"/>
  <c r="X55" i="2"/>
  <c r="R55" i="2"/>
  <c r="Q55" i="2"/>
  <c r="O55" i="2"/>
  <c r="AB54" i="2"/>
  <c r="AC54" i="2" s="1"/>
  <c r="Z54" i="2"/>
  <c r="Y54" i="2"/>
  <c r="AA54" i="2" s="1"/>
  <c r="X54" i="2"/>
  <c r="R54" i="2"/>
  <c r="Q54" i="2"/>
  <c r="O54" i="2"/>
  <c r="AB53" i="2"/>
  <c r="AC53" i="2" s="1"/>
  <c r="Z53" i="2"/>
  <c r="Y53" i="2"/>
  <c r="AA53" i="2" s="1"/>
  <c r="X53" i="2"/>
  <c r="R53" i="2"/>
  <c r="Q53" i="2"/>
  <c r="O53" i="2"/>
  <c r="AB52" i="2"/>
  <c r="AC52" i="2" s="1"/>
  <c r="Z52" i="2"/>
  <c r="Y52" i="2"/>
  <c r="AA52" i="2" s="1"/>
  <c r="X52" i="2"/>
  <c r="R52" i="2"/>
  <c r="Q52" i="2"/>
  <c r="O52" i="2"/>
  <c r="AB51" i="2"/>
  <c r="AC51" i="2" s="1"/>
  <c r="Z51" i="2"/>
  <c r="Y51" i="2"/>
  <c r="AA51" i="2" s="1"/>
  <c r="X51" i="2"/>
  <c r="R51" i="2"/>
  <c r="Q51" i="2"/>
  <c r="O51" i="2"/>
  <c r="AB50" i="2"/>
  <c r="AC50" i="2" s="1"/>
  <c r="Z50" i="2"/>
  <c r="Y50" i="2"/>
  <c r="AA50" i="2" s="1"/>
  <c r="X50" i="2"/>
  <c r="R50" i="2"/>
  <c r="Q50" i="2"/>
  <c r="O50" i="2"/>
  <c r="AB49" i="2"/>
  <c r="AC49" i="2" s="1"/>
  <c r="Z49" i="2"/>
  <c r="AA49" i="2" s="1"/>
  <c r="Y49" i="2"/>
  <c r="X49" i="2"/>
  <c r="R49" i="2"/>
  <c r="Q49" i="2"/>
  <c r="O49" i="2"/>
  <c r="AC48" i="2"/>
  <c r="AB48" i="2"/>
  <c r="Z48" i="2"/>
  <c r="Y48" i="2"/>
  <c r="AA48" i="2" s="1"/>
  <c r="X48" i="2"/>
  <c r="R48" i="2"/>
  <c r="Q48" i="2"/>
  <c r="O48" i="2"/>
  <c r="AB47" i="2"/>
  <c r="AC47" i="2" s="1"/>
  <c r="Z47" i="2"/>
  <c r="Y47" i="2"/>
  <c r="AA47" i="2" s="1"/>
  <c r="X47" i="2"/>
  <c r="R47" i="2"/>
  <c r="Q47" i="2"/>
  <c r="O47" i="2"/>
  <c r="AB46" i="2"/>
  <c r="AC46" i="2" s="1"/>
  <c r="AA46" i="2"/>
  <c r="Z46" i="2"/>
  <c r="Y46" i="2"/>
  <c r="X46" i="2"/>
  <c r="R46" i="2"/>
  <c r="Q46" i="2"/>
  <c r="O46" i="2"/>
  <c r="AB45" i="2"/>
  <c r="AC45" i="2" s="1"/>
  <c r="Z45" i="2"/>
  <c r="Y45" i="2"/>
  <c r="AA45" i="2" s="1"/>
  <c r="X45" i="2"/>
  <c r="R45" i="2"/>
  <c r="Q45" i="2"/>
  <c r="O45" i="2"/>
  <c r="AB44" i="2"/>
  <c r="AC44" i="2" s="1"/>
  <c r="Z44" i="2"/>
  <c r="Y44" i="2"/>
  <c r="X44" i="2"/>
  <c r="R44" i="2"/>
  <c r="Q44" i="2"/>
  <c r="O44" i="2"/>
  <c r="AB43" i="2"/>
  <c r="AC43" i="2" s="1"/>
  <c r="Z43" i="2"/>
  <c r="AA43" i="2" s="1"/>
  <c r="Y43" i="2"/>
  <c r="X43" i="2"/>
  <c r="R43" i="2"/>
  <c r="Q43" i="2"/>
  <c r="O43" i="2"/>
  <c r="AC42" i="2"/>
  <c r="AB42" i="2"/>
  <c r="Z42" i="2"/>
  <c r="Y42" i="2"/>
  <c r="AA42" i="2" s="1"/>
  <c r="X42" i="2"/>
  <c r="R42" i="2"/>
  <c r="Q42" i="2"/>
  <c r="O42" i="2"/>
  <c r="AB41" i="2"/>
  <c r="AC41" i="2" s="1"/>
  <c r="Z41" i="2"/>
  <c r="Y41" i="2"/>
  <c r="AA41" i="2" s="1"/>
  <c r="X41" i="2"/>
  <c r="R41" i="2"/>
  <c r="Q41" i="2"/>
  <c r="O41" i="2"/>
  <c r="AB40" i="2"/>
  <c r="AC40" i="2" s="1"/>
  <c r="Z40" i="2"/>
  <c r="Y40" i="2"/>
  <c r="AA40" i="2" s="1"/>
  <c r="X40" i="2"/>
  <c r="R40" i="2"/>
  <c r="Q40" i="2"/>
  <c r="O40" i="2"/>
  <c r="AB39" i="2"/>
  <c r="AC39" i="2" s="1"/>
  <c r="Z39" i="2"/>
  <c r="AA39" i="2" s="1"/>
  <c r="Y39" i="2"/>
  <c r="X39" i="2"/>
  <c r="R39" i="2"/>
  <c r="Q39" i="2"/>
  <c r="O39" i="2"/>
  <c r="AC38" i="2"/>
  <c r="AB38" i="2"/>
  <c r="Z38" i="2"/>
  <c r="Y38" i="2"/>
  <c r="X38" i="2"/>
  <c r="R38" i="2"/>
  <c r="Q38" i="2"/>
  <c r="O38" i="2"/>
  <c r="AB37" i="2"/>
  <c r="AC37" i="2" s="1"/>
  <c r="Z37" i="2"/>
  <c r="Y37" i="2"/>
  <c r="AA37" i="2" s="1"/>
  <c r="X37" i="2"/>
  <c r="R37" i="2"/>
  <c r="Q37" i="2"/>
  <c r="O37" i="2"/>
  <c r="AB36" i="2"/>
  <c r="AC36" i="2" s="1"/>
  <c r="AA36" i="2"/>
  <c r="Z36" i="2"/>
  <c r="Y36" i="2"/>
  <c r="X36" i="2"/>
  <c r="R36" i="2"/>
  <c r="Q36" i="2"/>
  <c r="O36" i="2"/>
  <c r="AB35" i="2"/>
  <c r="AC35" i="2" s="1"/>
  <c r="Z35" i="2"/>
  <c r="Y35" i="2"/>
  <c r="AA35" i="2" s="1"/>
  <c r="X35" i="2"/>
  <c r="R35" i="2"/>
  <c r="Q35" i="2"/>
  <c r="O35" i="2"/>
  <c r="AB34" i="2"/>
  <c r="AC34" i="2" s="1"/>
  <c r="Z34" i="2"/>
  <c r="Y34" i="2"/>
  <c r="AA34" i="2" s="1"/>
  <c r="X34" i="2"/>
  <c r="R34" i="2"/>
  <c r="Q34" i="2"/>
  <c r="O34" i="2"/>
  <c r="AB33" i="2"/>
  <c r="AC33" i="2" s="1"/>
  <c r="Z33" i="2"/>
  <c r="Y33" i="2"/>
  <c r="AA33" i="2" s="1"/>
  <c r="X33" i="2"/>
  <c r="R33" i="2"/>
  <c r="Q33" i="2"/>
  <c r="O33" i="2"/>
  <c r="AC32" i="2"/>
  <c r="AB32" i="2"/>
  <c r="Z32" i="2"/>
  <c r="Y32" i="2"/>
  <c r="AA32" i="2" s="1"/>
  <c r="X32" i="2"/>
  <c r="R32" i="2"/>
  <c r="Q32" i="2"/>
  <c r="O32" i="2"/>
  <c r="AB31" i="2"/>
  <c r="AC31" i="2" s="1"/>
  <c r="Z31" i="2"/>
  <c r="AA31" i="2" s="1"/>
  <c r="Y31" i="2"/>
  <c r="X31" i="2"/>
  <c r="R31" i="2"/>
  <c r="Q31" i="2"/>
  <c r="O31" i="2"/>
  <c r="AC30" i="2"/>
  <c r="AB30" i="2"/>
  <c r="Z30" i="2"/>
  <c r="Y30" i="2"/>
  <c r="AA30" i="2" s="1"/>
  <c r="X30" i="2"/>
  <c r="R30" i="2"/>
  <c r="Q30" i="2"/>
  <c r="O30" i="2"/>
  <c r="AB29" i="2"/>
  <c r="AC29" i="2" s="1"/>
  <c r="Z29" i="2"/>
  <c r="Y29" i="2"/>
  <c r="AA29" i="2" s="1"/>
  <c r="X29" i="2"/>
  <c r="R29" i="2"/>
  <c r="Q29" i="2"/>
  <c r="O29" i="2"/>
  <c r="AB28" i="2"/>
  <c r="AC28" i="2" s="1"/>
  <c r="AA28" i="2"/>
  <c r="Z28" i="2"/>
  <c r="Y28" i="2"/>
  <c r="X28" i="2"/>
  <c r="R28" i="2"/>
  <c r="Q28" i="2"/>
  <c r="O28" i="2"/>
  <c r="AB27" i="2"/>
  <c r="AC27" i="2" s="1"/>
  <c r="Z27" i="2"/>
  <c r="Y27" i="2"/>
  <c r="AA27" i="2" s="1"/>
  <c r="X27" i="2"/>
  <c r="R27" i="2"/>
  <c r="Q27" i="2"/>
  <c r="O27" i="2"/>
  <c r="AB26" i="2"/>
  <c r="AC26" i="2" s="1"/>
  <c r="Z26" i="2"/>
  <c r="Y26" i="2"/>
  <c r="X26" i="2"/>
  <c r="R26" i="2"/>
  <c r="Q26" i="2"/>
  <c r="O26" i="2"/>
  <c r="AB25" i="2"/>
  <c r="AC25" i="2" s="1"/>
  <c r="Z25" i="2"/>
  <c r="AA25" i="2" s="1"/>
  <c r="Y25" i="2"/>
  <c r="X25" i="2"/>
  <c r="R25" i="2"/>
  <c r="Q25" i="2"/>
  <c r="O25" i="2"/>
  <c r="AB24" i="2"/>
  <c r="AC24" i="2" s="1"/>
  <c r="Z24" i="2"/>
  <c r="Y24" i="2"/>
  <c r="X24" i="2"/>
  <c r="R24" i="2"/>
  <c r="Q24" i="2"/>
  <c r="O24" i="2"/>
  <c r="AB23" i="2"/>
  <c r="AC23" i="2" s="1"/>
  <c r="Z23" i="2"/>
  <c r="Y23" i="2"/>
  <c r="X23" i="2"/>
  <c r="R23" i="2"/>
  <c r="Q23" i="2"/>
  <c r="O23" i="2"/>
  <c r="AB22" i="2"/>
  <c r="AC22" i="2" s="1"/>
  <c r="Z22" i="2"/>
  <c r="Y22" i="2"/>
  <c r="AA22" i="2" s="1"/>
  <c r="X22" i="2"/>
  <c r="R22" i="2"/>
  <c r="Q22" i="2"/>
  <c r="O22" i="2"/>
  <c r="AB21" i="2"/>
  <c r="AC21" i="2" s="1"/>
  <c r="Z21" i="2"/>
  <c r="Y21" i="2"/>
  <c r="X21" i="2"/>
  <c r="R21" i="2"/>
  <c r="Q21" i="2"/>
  <c r="O21" i="2"/>
  <c r="AB20" i="2"/>
  <c r="AC20" i="2" s="1"/>
  <c r="Z20" i="2"/>
  <c r="Y20" i="2"/>
  <c r="X20" i="2"/>
  <c r="R20" i="2"/>
  <c r="Q20" i="2"/>
  <c r="O20" i="2"/>
  <c r="AB19" i="2"/>
  <c r="AC19" i="2" s="1"/>
  <c r="Z19" i="2"/>
  <c r="Y19" i="2"/>
  <c r="AA19" i="2" s="1"/>
  <c r="X19" i="2"/>
  <c r="R19" i="2"/>
  <c r="Q19" i="2"/>
  <c r="O19" i="2"/>
  <c r="AB18" i="2"/>
  <c r="AC18" i="2" s="1"/>
  <c r="AA18" i="2"/>
  <c r="Z18" i="2"/>
  <c r="Y18" i="2"/>
  <c r="X18" i="2"/>
  <c r="R18" i="2"/>
  <c r="Q18" i="2"/>
  <c r="O18" i="2"/>
  <c r="AB17" i="2"/>
  <c r="AC17" i="2" s="1"/>
  <c r="Z17" i="2"/>
  <c r="Y17" i="2"/>
  <c r="X17" i="2"/>
  <c r="R17" i="2"/>
  <c r="Q17" i="2"/>
  <c r="O17" i="2"/>
  <c r="AB16" i="2"/>
  <c r="AC16" i="2" s="1"/>
  <c r="Z16" i="2"/>
  <c r="Y16" i="2"/>
  <c r="AA16" i="2" s="1"/>
  <c r="X16" i="2"/>
  <c r="R16" i="2"/>
  <c r="Q16" i="2"/>
  <c r="O16" i="2"/>
  <c r="AB15" i="2"/>
  <c r="AC15" i="2" s="1"/>
  <c r="AA15" i="2"/>
  <c r="Z15" i="2"/>
  <c r="Y15" i="2"/>
  <c r="X15" i="2"/>
  <c r="R15" i="2"/>
  <c r="Q15" i="2"/>
  <c r="O15" i="2"/>
  <c r="AB14" i="2"/>
  <c r="AC14" i="2" s="1"/>
  <c r="Z14" i="2"/>
  <c r="Y14" i="2"/>
  <c r="AA14" i="2" s="1"/>
  <c r="X14" i="2"/>
  <c r="R14" i="2"/>
  <c r="Q14" i="2"/>
  <c r="O14" i="2"/>
  <c r="AB13" i="2"/>
  <c r="AC13" i="2" s="1"/>
  <c r="Z13" i="2"/>
  <c r="Y13" i="2"/>
  <c r="AA13" i="2" s="1"/>
  <c r="X13" i="2"/>
  <c r="R13" i="2"/>
  <c r="Q13" i="2"/>
  <c r="O13" i="2"/>
  <c r="AB12" i="2"/>
  <c r="AC12" i="2" s="1"/>
  <c r="Z12" i="2"/>
  <c r="AA12" i="2" s="1"/>
  <c r="Y12" i="2"/>
  <c r="X12" i="2"/>
  <c r="R12" i="2"/>
  <c r="Q12" i="2"/>
  <c r="O12" i="2"/>
  <c r="AB11" i="2"/>
  <c r="AC11" i="2" s="1"/>
  <c r="Z11" i="2"/>
  <c r="Y11" i="2"/>
  <c r="X11" i="2"/>
  <c r="R11" i="2"/>
  <c r="Q11" i="2"/>
  <c r="O11" i="2"/>
  <c r="AB10" i="2"/>
  <c r="AC10" i="2" s="1"/>
  <c r="Z10" i="2"/>
  <c r="Y10" i="2"/>
  <c r="AA10" i="2" s="1"/>
  <c r="X10" i="2"/>
  <c r="R10" i="2"/>
  <c r="Q10" i="2"/>
  <c r="O10" i="2"/>
  <c r="AB9" i="2"/>
  <c r="AC9" i="2" s="1"/>
  <c r="Z9" i="2"/>
  <c r="Y9" i="2"/>
  <c r="AA9" i="2" s="1"/>
  <c r="X9" i="2"/>
  <c r="R9" i="2"/>
  <c r="Q9" i="2"/>
  <c r="O9" i="2"/>
  <c r="AB8" i="2"/>
  <c r="AC8" i="2" s="1"/>
  <c r="Z8" i="2"/>
  <c r="Y8" i="2"/>
  <c r="X8" i="2"/>
  <c r="R8" i="2"/>
  <c r="Q8" i="2"/>
  <c r="O8" i="2"/>
  <c r="AB7" i="2"/>
  <c r="AC7" i="2" s="1"/>
  <c r="Z7" i="2"/>
  <c r="Y7" i="2"/>
  <c r="AA7" i="2" s="1"/>
  <c r="X7" i="2"/>
  <c r="R7" i="2"/>
  <c r="Q7" i="2"/>
  <c r="O7" i="2"/>
  <c r="AB6" i="2"/>
  <c r="AC6" i="2" s="1"/>
  <c r="Z6" i="2"/>
  <c r="Y6" i="2"/>
  <c r="AA6" i="2" s="1"/>
  <c r="X6" i="2"/>
  <c r="R6" i="2"/>
  <c r="Q6" i="2"/>
  <c r="O6" i="2"/>
  <c r="AB5" i="2"/>
  <c r="AC5" i="2" s="1"/>
  <c r="Z5" i="2"/>
  <c r="Y5" i="2"/>
  <c r="X5" i="2"/>
  <c r="R5" i="2"/>
  <c r="Q5" i="2"/>
  <c r="O5" i="2"/>
  <c r="AB4" i="2"/>
  <c r="AC4" i="2" s="1"/>
  <c r="Z4" i="2"/>
  <c r="Y4" i="2"/>
  <c r="AA4" i="2" s="1"/>
  <c r="X4" i="2"/>
  <c r="R4" i="2"/>
  <c r="Q4" i="2"/>
  <c r="O4" i="2"/>
  <c r="AB3" i="2"/>
  <c r="AC3" i="2" s="1"/>
  <c r="Z3" i="2"/>
  <c r="Y3" i="2"/>
  <c r="AA3" i="2" s="1"/>
  <c r="X3" i="2"/>
  <c r="R3" i="2"/>
  <c r="Q3" i="2"/>
  <c r="O3" i="2"/>
  <c r="AB2" i="2"/>
  <c r="AC2" i="2" s="1"/>
  <c r="Z2" i="2"/>
  <c r="Y2" i="2"/>
  <c r="AA2" i="2" s="1"/>
  <c r="X2" i="2"/>
  <c r="AA21" i="2" l="1"/>
  <c r="AA38" i="2"/>
  <c r="AA5" i="2"/>
  <c r="AA23" i="2"/>
  <c r="AA26" i="2"/>
  <c r="AA44" i="2"/>
  <c r="AA24" i="2"/>
  <c r="AA11" i="2"/>
  <c r="AA20" i="2"/>
  <c r="AA8" i="2"/>
  <c r="AA17" i="2"/>
  <c r="R2" i="2"/>
  <c r="Q2" i="2"/>
  <c r="T2" i="2" s="1"/>
  <c r="O2" i="2"/>
  <c r="U2" i="2" l="1"/>
  <c r="T3" i="2"/>
  <c r="U3" i="2" s="1"/>
  <c r="T4" i="2" l="1"/>
  <c r="U4" i="2" l="1"/>
  <c r="T5" i="2"/>
  <c r="U5" i="2" l="1"/>
  <c r="T6" i="2"/>
  <c r="U6" i="2" l="1"/>
  <c r="T7" i="2"/>
  <c r="U7" i="2" l="1"/>
  <c r="T8" i="2"/>
  <c r="U8" i="2" l="1"/>
  <c r="T9" i="2"/>
  <c r="U9" i="2" l="1"/>
  <c r="T10" i="2"/>
  <c r="U10" i="2" l="1"/>
  <c r="T11" i="2"/>
  <c r="U11" i="2" l="1"/>
  <c r="T12" i="2"/>
  <c r="U12" i="2" l="1"/>
  <c r="T13" i="2"/>
  <c r="U13" i="2" l="1"/>
  <c r="T14" i="2"/>
  <c r="U14" i="2" l="1"/>
  <c r="T15" i="2"/>
  <c r="U15" i="2" l="1"/>
  <c r="T16" i="2"/>
  <c r="U16" i="2" l="1"/>
  <c r="T17" i="2"/>
  <c r="U17" i="2" l="1"/>
  <c r="T18" i="2"/>
  <c r="U18" i="2" l="1"/>
  <c r="T19" i="2"/>
  <c r="U19" i="2" l="1"/>
  <c r="T20" i="2"/>
  <c r="U20" i="2" l="1"/>
  <c r="T21" i="2"/>
  <c r="U21" i="2" l="1"/>
  <c r="T22" i="2"/>
  <c r="U22" i="2" l="1"/>
  <c r="T23" i="2"/>
  <c r="U23" i="2" l="1"/>
  <c r="T24" i="2"/>
  <c r="U24" i="2" l="1"/>
  <c r="T25" i="2"/>
  <c r="U25" i="2" l="1"/>
  <c r="T26" i="2"/>
  <c r="U26" i="2" l="1"/>
  <c r="T27" i="2"/>
  <c r="U27" i="2" l="1"/>
  <c r="T28" i="2"/>
  <c r="U28" i="2" l="1"/>
  <c r="T29" i="2"/>
  <c r="U29" i="2" l="1"/>
  <c r="T30" i="2"/>
  <c r="U30" i="2" l="1"/>
  <c r="T31" i="2"/>
  <c r="U31" i="2" l="1"/>
  <c r="T32" i="2"/>
  <c r="U32" i="2" l="1"/>
  <c r="T33" i="2"/>
  <c r="U33" i="2" l="1"/>
  <c r="T34" i="2"/>
  <c r="U34" i="2" l="1"/>
  <c r="T35" i="2"/>
  <c r="U35" i="2" l="1"/>
  <c r="T36" i="2"/>
  <c r="U36" i="2" l="1"/>
  <c r="T37" i="2"/>
  <c r="U37" i="2" l="1"/>
  <c r="T38" i="2"/>
  <c r="U38" i="2" l="1"/>
  <c r="T39" i="2"/>
  <c r="U39" i="2" l="1"/>
  <c r="T40" i="2"/>
  <c r="U40" i="2" l="1"/>
  <c r="T41" i="2"/>
  <c r="U41" i="2" l="1"/>
  <c r="T42" i="2"/>
  <c r="T43" i="2" l="1"/>
  <c r="U42" i="2"/>
  <c r="U43" i="2" l="1"/>
  <c r="T44" i="2"/>
  <c r="U44" i="2" l="1"/>
  <c r="T45" i="2"/>
  <c r="U45" i="2" l="1"/>
  <c r="T46" i="2"/>
  <c r="U46" i="2" l="1"/>
  <c r="T47" i="2"/>
  <c r="U47" i="2" l="1"/>
  <c r="T48" i="2"/>
  <c r="U48" i="2" l="1"/>
  <c r="T49" i="2"/>
  <c r="U49" i="2" l="1"/>
  <c r="T50" i="2"/>
  <c r="U50" i="2" l="1"/>
  <c r="T51" i="2"/>
  <c r="U51" i="2" l="1"/>
  <c r="T52" i="2"/>
  <c r="U52" i="2" l="1"/>
  <c r="T53" i="2"/>
  <c r="U53" i="2" l="1"/>
  <c r="T54" i="2"/>
  <c r="U54" i="2" l="1"/>
  <c r="T55" i="2"/>
  <c r="U55" i="2" l="1"/>
  <c r="T56" i="2"/>
  <c r="U56" i="2" l="1"/>
  <c r="T57" i="2"/>
  <c r="U57" i="2" l="1"/>
  <c r="T58" i="2"/>
  <c r="U58" i="2" l="1"/>
  <c r="T59" i="2"/>
  <c r="U59" i="2" l="1"/>
  <c r="T60" i="2"/>
  <c r="U60" i="2" l="1"/>
  <c r="T61" i="2"/>
  <c r="U61" i="2" l="1"/>
  <c r="T62" i="2"/>
  <c r="U62" i="2" l="1"/>
  <c r="T63" i="2"/>
  <c r="U63" i="2" l="1"/>
  <c r="T64" i="2"/>
  <c r="U64" i="2" l="1"/>
  <c r="T65" i="2"/>
  <c r="U65" i="2" l="1"/>
  <c r="T66" i="2"/>
  <c r="U66" i="2" l="1"/>
  <c r="T67" i="2"/>
  <c r="U67" i="2" l="1"/>
  <c r="T68" i="2"/>
  <c r="U68" i="2" l="1"/>
  <c r="T69" i="2"/>
  <c r="U69" i="2" l="1"/>
  <c r="T70" i="2"/>
  <c r="U70" i="2" s="1"/>
</calcChain>
</file>

<file path=xl/sharedStrings.xml><?xml version="1.0" encoding="utf-8"?>
<sst xmlns="http://schemas.openxmlformats.org/spreadsheetml/2006/main" count="211" uniqueCount="155">
  <si>
    <t xml:space="preserve">    }</t>
  </si>
  <si>
    <t xml:space="preserve">  }</t>
  </si>
  <si>
    <t>}</t>
  </si>
  <si>
    <t xml:space="preserve">  "api_version"</t>
  </si>
  <si>
    <t xml:space="preserve">  "time_stamp"</t>
  </si>
  <si>
    <t xml:space="preserve">  "data_time_stamp"</t>
  </si>
  <si>
    <t xml:space="preserve">  "sensor"</t>
  </si>
  <si>
    <t xml:space="preserve"> {</t>
  </si>
  <si>
    <t xml:space="preserve">    "sensor_index"</t>
  </si>
  <si>
    <t xml:space="preserve">    "last_modified"</t>
  </si>
  <si>
    <t xml:space="preserve">    "date_created"</t>
  </si>
  <si>
    <t xml:space="preserve">    "last_seen"</t>
  </si>
  <si>
    <t xml:space="preserve">    "private"</t>
  </si>
  <si>
    <t xml:space="preserve">    "is_owner"</t>
  </si>
  <si>
    <t xml:space="preserve">    "name"</t>
  </si>
  <si>
    <t xml:space="preserve">    "icon"</t>
  </si>
  <si>
    <t xml:space="preserve">    "location_type"</t>
  </si>
  <si>
    <t xml:space="preserve">    "model"</t>
  </si>
  <si>
    <t xml:space="preserve">    "hardware"</t>
  </si>
  <si>
    <t xml:space="preserve">    "led_brightness"</t>
  </si>
  <si>
    <t xml:space="preserve">    "firmware_version"</t>
  </si>
  <si>
    <t xml:space="preserve">    "rssi"</t>
  </si>
  <si>
    <t xml:space="preserve">    "uptime"</t>
  </si>
  <si>
    <t xml:space="preserve">    "pa_latency"</t>
  </si>
  <si>
    <t xml:space="preserve">    "memory"</t>
  </si>
  <si>
    <t xml:space="preserve">    "position_rating"</t>
  </si>
  <si>
    <t xml:space="preserve">    "latitude"</t>
  </si>
  <si>
    <t xml:space="preserve">    "longitude"</t>
  </si>
  <si>
    <t xml:space="preserve">    "altitude"</t>
  </si>
  <si>
    <t xml:space="preserve">    "channel_state"</t>
  </si>
  <si>
    <t xml:space="preserve">    "channel_flags"</t>
  </si>
  <si>
    <t xml:space="preserve">    "channel_flags_manual"</t>
  </si>
  <si>
    <t xml:space="preserve">    "channel_flags_auto"</t>
  </si>
  <si>
    <t xml:space="preserve">    "confidence"</t>
  </si>
  <si>
    <t xml:space="preserve">    "confidence_auto"</t>
  </si>
  <si>
    <t xml:space="preserve">    "confidence_manual"</t>
  </si>
  <si>
    <t xml:space="preserve">    "humidity"</t>
  </si>
  <si>
    <t xml:space="preserve">    "humidity_a"</t>
  </si>
  <si>
    <t xml:space="preserve">    "humidity_b"</t>
  </si>
  <si>
    <t xml:space="preserve">    "temperature"</t>
  </si>
  <si>
    <t xml:space="preserve">    "temperature_a"</t>
  </si>
  <si>
    <t xml:space="preserve">    "temperature_b"</t>
  </si>
  <si>
    <t xml:space="preserve">    "pressure"</t>
  </si>
  <si>
    <t xml:space="preserve">    "pressure_a"</t>
  </si>
  <si>
    <t xml:space="preserve">    "pressure_b"</t>
  </si>
  <si>
    <t xml:space="preserve">    "voc"</t>
  </si>
  <si>
    <t xml:space="preserve">    "voc_b"</t>
  </si>
  <si>
    <t xml:space="preserve">    "analog_input"</t>
  </si>
  <si>
    <t xml:space="preserve">    "pm1.0"</t>
  </si>
  <si>
    <t xml:space="preserve">    "pm1.0_a"</t>
  </si>
  <si>
    <t xml:space="preserve">    "pm1.0_b"</t>
  </si>
  <si>
    <t xml:space="preserve">    "pm2.5"</t>
  </si>
  <si>
    <t xml:space="preserve">    "pm2.5_a"</t>
  </si>
  <si>
    <t xml:space="preserve">    "pm2.5_b"</t>
  </si>
  <si>
    <t xml:space="preserve">    "pm2.5_alt"</t>
  </si>
  <si>
    <t xml:space="preserve">    "pm2.5_alt_a"</t>
  </si>
  <si>
    <t xml:space="preserve">    "pm2.5_alt_b"</t>
  </si>
  <si>
    <t xml:space="preserve">    "pm10.0"</t>
  </si>
  <si>
    <t xml:space="preserve">    "pm10.0_a"</t>
  </si>
  <si>
    <t xml:space="preserve">    "pm10.0_b"</t>
  </si>
  <si>
    <t xml:space="preserve">    "0.3_um_count"</t>
  </si>
  <si>
    <t xml:space="preserve">    "0.3_um_count_a"</t>
  </si>
  <si>
    <t xml:space="preserve">    "0.3_um_count_b"</t>
  </si>
  <si>
    <t xml:space="preserve">    "0.5_um_count"</t>
  </si>
  <si>
    <t xml:space="preserve">    "0.5_um_count_a"</t>
  </si>
  <si>
    <t xml:space="preserve">    "0.5_um_count_b"</t>
  </si>
  <si>
    <t xml:space="preserve">    "1.0_um_count"</t>
  </si>
  <si>
    <t xml:space="preserve">    "1.0_um_count_a"</t>
  </si>
  <si>
    <t xml:space="preserve">    "1.0_um_count_b"</t>
  </si>
  <si>
    <t xml:space="preserve">    "2.5_um_count"</t>
  </si>
  <si>
    <t xml:space="preserve">    "2.5_um_count_a"</t>
  </si>
  <si>
    <t xml:space="preserve">    "2.5_um_count_b"</t>
  </si>
  <si>
    <t xml:space="preserve">    "5.0_um_count"</t>
  </si>
  <si>
    <t xml:space="preserve">    "5.0_um_count_a"</t>
  </si>
  <si>
    <t xml:space="preserve">    "5.0_um_count_b"</t>
  </si>
  <si>
    <t xml:space="preserve">    "10.0_um_count"</t>
  </si>
  <si>
    <t xml:space="preserve">    "10.0_um_count_a"</t>
  </si>
  <si>
    <t xml:space="preserve">    "10.0_um_count_b"</t>
  </si>
  <si>
    <t xml:space="preserve">    "pm1.0_cf_1"</t>
  </si>
  <si>
    <t xml:space="preserve">    "pm1.0_cf_1_a"</t>
  </si>
  <si>
    <t xml:space="preserve">    "pm1.0_cf_1_b"</t>
  </si>
  <si>
    <t xml:space="preserve">    "pm1.0_atm"</t>
  </si>
  <si>
    <t xml:space="preserve">    "pm1.0_atm_a"</t>
  </si>
  <si>
    <t xml:space="preserve">    "pm1.0_atm_b"</t>
  </si>
  <si>
    <t xml:space="preserve">    "pm2.5_atm"</t>
  </si>
  <si>
    <t xml:space="preserve">    "pm2.5_atm_a"</t>
  </si>
  <si>
    <t xml:space="preserve">    "pm2.5_atm_b"</t>
  </si>
  <si>
    <t xml:space="preserve">    "pm2.5_cf_1"</t>
  </si>
  <si>
    <t xml:space="preserve">    "pm2.5_cf_1_a"</t>
  </si>
  <si>
    <t xml:space="preserve">    "pm2.5_cf_1_b"</t>
  </si>
  <si>
    <t xml:space="preserve">    "pm10.0_atm"</t>
  </si>
  <si>
    <t xml:space="preserve">    "pm10.0_atm_a"</t>
  </si>
  <si>
    <t xml:space="preserve">    "pm10.0_atm_b"</t>
  </si>
  <si>
    <t xml:space="preserve">    "pm10.0_cf_1"</t>
  </si>
  <si>
    <t xml:space="preserve">    "pm10.0_cf_1_a"</t>
  </si>
  <si>
    <t xml:space="preserve">    "pm10.0_cf_1_b"</t>
  </si>
  <si>
    <t xml:space="preserve">    "primary_id_a"</t>
  </si>
  <si>
    <t xml:space="preserve">    "primary_key_a"</t>
  </si>
  <si>
    <t xml:space="preserve">    "primary_id_b"</t>
  </si>
  <si>
    <t xml:space="preserve">    "primary_key_b"</t>
  </si>
  <si>
    <t xml:space="preserve">    "secondary_id_a"</t>
  </si>
  <si>
    <t xml:space="preserve">    "secondary_key_a"</t>
  </si>
  <si>
    <t xml:space="preserve">    "secondary_id_b"</t>
  </si>
  <si>
    <t xml:space="preserve">    "secondary_key_b"</t>
  </si>
  <si>
    <t xml:space="preserve">    "stats"</t>
  </si>
  <si>
    <t xml:space="preserve">      "pm2.5"</t>
  </si>
  <si>
    <t xml:space="preserve">      "pm2.5_10minute"</t>
  </si>
  <si>
    <t xml:space="preserve">      "pm2.5_30minute"</t>
  </si>
  <si>
    <t xml:space="preserve">      "pm2.5_60minute"</t>
  </si>
  <si>
    <t xml:space="preserve">      "pm2.5_6hour"</t>
  </si>
  <si>
    <t xml:space="preserve">      "pm2.5_24hour"</t>
  </si>
  <si>
    <t xml:space="preserve">      "pm2.5_1week"</t>
  </si>
  <si>
    <t xml:space="preserve">      "time_stamp"</t>
  </si>
  <si>
    <t xml:space="preserve">    "stats_a"</t>
  </si>
  <si>
    <t xml:space="preserve">    "stats_b"</t>
  </si>
  <si>
    <t xml:space="preserve"> "V1.0.11-0.0.33"</t>
  </si>
  <si>
    <t xml:space="preserve"> "12 Noyes Street</t>
  </si>
  <si>
    <t xml:space="preserve"> Concord</t>
  </si>
  <si>
    <t xml:space="preserve"> NH"</t>
  </si>
  <si>
    <t xml:space="preserve"> "PA-II-SD"</t>
  </si>
  <si>
    <t xml:space="preserve"> "2.0+OPENLOG+31037 MB+DS3231+BME280+BME680+PMSX003-B+PMSX003-A"</t>
  </si>
  <si>
    <t xml:space="preserve"> "7.00"</t>
  </si>
  <si>
    <t xml:space="preserve"> "RECLPTF41NFVAGZS"</t>
  </si>
  <si>
    <t xml:space="preserve"> "F5P8XN29WYFV4N87"</t>
  </si>
  <si>
    <t xml:space="preserve"> "SX1Z89WJKRZTSAKK"</t>
  </si>
  <si>
    <t xml:space="preserve"> "7LDKL9Q9YP56VMU9"</t>
  </si>
  <si>
    <t>Time Executed</t>
  </si>
  <si>
    <t>time_stamp</t>
  </si>
  <si>
    <t>last_seen</t>
  </si>
  <si>
    <t>sensor_index</t>
  </si>
  <si>
    <t>name</t>
  </si>
  <si>
    <t>model</t>
  </si>
  <si>
    <t>firmware_version</t>
  </si>
  <si>
    <t>latitude</t>
  </si>
  <si>
    <t>longitude</t>
  </si>
  <si>
    <t>altitude</t>
  </si>
  <si>
    <t>humidity_a</t>
  </si>
  <si>
    <t>humidity_b</t>
  </si>
  <si>
    <t>temperature_a</t>
  </si>
  <si>
    <t>temperature_b</t>
  </si>
  <si>
    <t>pm2.5_10minute</t>
  </si>
  <si>
    <t>PM2.5_Diff</t>
  </si>
  <si>
    <t>PM2.5_Rel%Diff</t>
  </si>
  <si>
    <t>PM2.5_JumpA</t>
  </si>
  <si>
    <t>PM2.5_JumpB</t>
  </si>
  <si>
    <t>PM2.5_JumpRel%Diff</t>
  </si>
  <si>
    <t>PM2.5 QA Flag</t>
  </si>
  <si>
    <t>PM2.5 Uncorrected Avg</t>
  </si>
  <si>
    <t>RH_Diff</t>
  </si>
  <si>
    <t>RH_JumpA</t>
  </si>
  <si>
    <t>RH_JumpB</t>
  </si>
  <si>
    <t>RH_JumpDiff</t>
  </si>
  <si>
    <t>RH QA Flag</t>
  </si>
  <si>
    <t>RH Avg</t>
  </si>
  <si>
    <t xml:space="preserve">PM2.5 Corrected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</si>
</sst>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5ED0-98BA-4813-B17A-BD5AD984A9D1}">
  <sheetPr codeName="Sheet1"/>
  <dimension ref="A1:P133"/>
  <sheetViews>
    <sheetView workbookViewId="0">
      <selection sqref="A1:Q1"/>
    </sheetView>
  </sheetViews>
  <sheetFormatPr defaultRowHeight="15" x14ac:dyDescent="0.25"/>
  <cols>
    <col min="1" max="1" width="24.5703125" bestFit="1" customWidth="1"/>
    <col min="2" max="2" width="15.7109375" customWidth="1"/>
    <col min="3" max="3" width="11" bestFit="1" customWidth="1"/>
    <col min="6" max="6" width="24.7109375" customWidth="1"/>
    <col min="7" max="7" width="9.140625" customWidth="1"/>
  </cols>
  <sheetData>
    <row r="1" spans="1:16" x14ac:dyDescent="0.25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140</v>
      </c>
    </row>
    <row r="2" spans="1:16" x14ac:dyDescent="0.25">
      <c r="A2" t="s">
        <v>3</v>
      </c>
      <c r="B2" t="s">
        <v>115</v>
      </c>
    </row>
    <row r="3" spans="1:16" x14ac:dyDescent="0.25">
      <c r="A3" s="1" t="s">
        <v>4</v>
      </c>
      <c r="B3">
        <v>1659359752</v>
      </c>
    </row>
    <row r="4" spans="1:16" x14ac:dyDescent="0.25">
      <c r="A4" s="2" t="s">
        <v>5</v>
      </c>
      <c r="B4">
        <v>1659359706</v>
      </c>
    </row>
    <row r="5" spans="1:16" x14ac:dyDescent="0.25">
      <c r="A5" t="s">
        <v>6</v>
      </c>
      <c r="B5" t="s">
        <v>7</v>
      </c>
    </row>
    <row r="6" spans="1:16" x14ac:dyDescent="0.25">
      <c r="A6" s="1" t="s">
        <v>8</v>
      </c>
      <c r="B6">
        <v>151708</v>
      </c>
    </row>
    <row r="7" spans="1:16" x14ac:dyDescent="0.25">
      <c r="A7" t="s">
        <v>9</v>
      </c>
      <c r="B7">
        <v>1657734651</v>
      </c>
    </row>
    <row r="8" spans="1:16" x14ac:dyDescent="0.25">
      <c r="A8" t="s">
        <v>10</v>
      </c>
      <c r="B8">
        <v>1656505783</v>
      </c>
    </row>
    <row r="9" spans="1:16" x14ac:dyDescent="0.25">
      <c r="A9" s="1" t="s">
        <v>11</v>
      </c>
      <c r="B9">
        <v>1659359621</v>
      </c>
    </row>
    <row r="10" spans="1:16" x14ac:dyDescent="0.25">
      <c r="A10" t="s">
        <v>12</v>
      </c>
      <c r="B10">
        <v>0</v>
      </c>
    </row>
    <row r="11" spans="1:16" x14ac:dyDescent="0.25">
      <c r="A11" t="s">
        <v>13</v>
      </c>
      <c r="B11">
        <v>0</v>
      </c>
    </row>
    <row r="12" spans="1:16" x14ac:dyDescent="0.25">
      <c r="A12" s="1" t="s">
        <v>14</v>
      </c>
      <c r="B12" t="s">
        <v>116</v>
      </c>
      <c r="C12" t="s">
        <v>117</v>
      </c>
      <c r="D12" t="s">
        <v>118</v>
      </c>
    </row>
    <row r="13" spans="1:16" x14ac:dyDescent="0.25">
      <c r="A13" t="s">
        <v>15</v>
      </c>
      <c r="B13">
        <v>0</v>
      </c>
    </row>
    <row r="14" spans="1:16" x14ac:dyDescent="0.25">
      <c r="A14" t="s">
        <v>16</v>
      </c>
      <c r="B14">
        <v>0</v>
      </c>
    </row>
    <row r="15" spans="1:16" x14ac:dyDescent="0.25">
      <c r="A15" s="1" t="s">
        <v>17</v>
      </c>
      <c r="B15" t="s">
        <v>119</v>
      </c>
    </row>
    <row r="16" spans="1:16" x14ac:dyDescent="0.25">
      <c r="A16" t="s">
        <v>18</v>
      </c>
      <c r="B16" t="s">
        <v>120</v>
      </c>
    </row>
    <row r="17" spans="1:2" x14ac:dyDescent="0.25">
      <c r="A17" t="s">
        <v>19</v>
      </c>
      <c r="B17">
        <v>35</v>
      </c>
    </row>
    <row r="18" spans="1:2" x14ac:dyDescent="0.25">
      <c r="A18" s="1" t="s">
        <v>20</v>
      </c>
      <c r="B18" t="s">
        <v>121</v>
      </c>
    </row>
    <row r="19" spans="1:2" x14ac:dyDescent="0.25">
      <c r="A19" t="s">
        <v>21</v>
      </c>
      <c r="B19">
        <v>-78</v>
      </c>
    </row>
    <row r="20" spans="1:2" x14ac:dyDescent="0.25">
      <c r="A20" t="s">
        <v>22</v>
      </c>
      <c r="B20">
        <v>30241</v>
      </c>
    </row>
    <row r="21" spans="1:2" x14ac:dyDescent="0.25">
      <c r="A21" t="s">
        <v>23</v>
      </c>
      <c r="B21">
        <v>281</v>
      </c>
    </row>
    <row r="22" spans="1:2" x14ac:dyDescent="0.25">
      <c r="A22" t="s">
        <v>24</v>
      </c>
      <c r="B22">
        <v>15072</v>
      </c>
    </row>
    <row r="23" spans="1:2" x14ac:dyDescent="0.25">
      <c r="A23" t="s">
        <v>25</v>
      </c>
      <c r="B23">
        <v>5</v>
      </c>
    </row>
    <row r="24" spans="1:2" x14ac:dyDescent="0.25">
      <c r="A24" s="1" t="s">
        <v>26</v>
      </c>
      <c r="B24">
        <v>43.192042999999998</v>
      </c>
    </row>
    <row r="25" spans="1:2" x14ac:dyDescent="0.25">
      <c r="A25" s="1" t="s">
        <v>27</v>
      </c>
      <c r="B25">
        <v>-71.541579999999996</v>
      </c>
    </row>
    <row r="26" spans="1:2" x14ac:dyDescent="0.25">
      <c r="A26" s="1" t="s">
        <v>28</v>
      </c>
      <c r="B26">
        <v>291</v>
      </c>
    </row>
    <row r="27" spans="1:2" x14ac:dyDescent="0.25">
      <c r="A27" t="s">
        <v>29</v>
      </c>
      <c r="B27">
        <v>3</v>
      </c>
    </row>
    <row r="28" spans="1:2" x14ac:dyDescent="0.25">
      <c r="A28" t="s">
        <v>30</v>
      </c>
      <c r="B28">
        <v>0</v>
      </c>
    </row>
    <row r="29" spans="1:2" x14ac:dyDescent="0.25">
      <c r="A29" t="s">
        <v>31</v>
      </c>
      <c r="B29">
        <v>0</v>
      </c>
    </row>
    <row r="30" spans="1:2" x14ac:dyDescent="0.25">
      <c r="A30" t="s">
        <v>32</v>
      </c>
      <c r="B30">
        <v>0</v>
      </c>
    </row>
    <row r="31" spans="1:2" x14ac:dyDescent="0.25">
      <c r="A31" t="s">
        <v>33</v>
      </c>
      <c r="B31">
        <v>100</v>
      </c>
    </row>
    <row r="32" spans="1:2" x14ac:dyDescent="0.25">
      <c r="A32" t="s">
        <v>34</v>
      </c>
      <c r="B32">
        <v>100</v>
      </c>
    </row>
    <row r="33" spans="1:2" x14ac:dyDescent="0.25">
      <c r="A33" t="s">
        <v>35</v>
      </c>
      <c r="B33">
        <v>100</v>
      </c>
    </row>
    <row r="34" spans="1:2" x14ac:dyDescent="0.25">
      <c r="A34" t="s">
        <v>36</v>
      </c>
      <c r="B34">
        <v>56</v>
      </c>
    </row>
    <row r="35" spans="1:2" x14ac:dyDescent="0.25">
      <c r="A35" s="1" t="s">
        <v>37</v>
      </c>
      <c r="B35">
        <v>57</v>
      </c>
    </row>
    <row r="36" spans="1:2" x14ac:dyDescent="0.25">
      <c r="A36" s="1" t="s">
        <v>38</v>
      </c>
      <c r="B36">
        <v>56</v>
      </c>
    </row>
    <row r="37" spans="1:2" x14ac:dyDescent="0.25">
      <c r="A37" t="s">
        <v>39</v>
      </c>
      <c r="B37">
        <v>80</v>
      </c>
    </row>
    <row r="38" spans="1:2" x14ac:dyDescent="0.25">
      <c r="A38" s="1" t="s">
        <v>40</v>
      </c>
      <c r="B38">
        <v>79</v>
      </c>
    </row>
    <row r="39" spans="1:2" x14ac:dyDescent="0.25">
      <c r="A39" s="1" t="s">
        <v>41</v>
      </c>
      <c r="B39">
        <v>81</v>
      </c>
    </row>
    <row r="40" spans="1:2" x14ac:dyDescent="0.25">
      <c r="A40" t="s">
        <v>42</v>
      </c>
      <c r="B40">
        <v>1005.96</v>
      </c>
    </row>
    <row r="41" spans="1:2" x14ac:dyDescent="0.25">
      <c r="A41" t="s">
        <v>43</v>
      </c>
      <c r="B41">
        <v>1005.61</v>
      </c>
    </row>
    <row r="42" spans="1:2" x14ac:dyDescent="0.25">
      <c r="A42" t="s">
        <v>44</v>
      </c>
      <c r="B42">
        <v>1006.31</v>
      </c>
    </row>
    <row r="43" spans="1:2" x14ac:dyDescent="0.25">
      <c r="A43" t="s">
        <v>45</v>
      </c>
      <c r="B43">
        <v>110.8</v>
      </c>
    </row>
    <row r="44" spans="1:2" x14ac:dyDescent="0.25">
      <c r="A44" t="s">
        <v>46</v>
      </c>
      <c r="B44">
        <v>110.83</v>
      </c>
    </row>
    <row r="45" spans="1:2" x14ac:dyDescent="0.25">
      <c r="A45" t="s">
        <v>47</v>
      </c>
      <c r="B45">
        <v>0</v>
      </c>
    </row>
    <row r="46" spans="1:2" x14ac:dyDescent="0.25">
      <c r="A46" t="s">
        <v>48</v>
      </c>
      <c r="B46">
        <v>2.6</v>
      </c>
    </row>
    <row r="47" spans="1:2" x14ac:dyDescent="0.25">
      <c r="A47" t="s">
        <v>49</v>
      </c>
      <c r="B47">
        <v>2.7</v>
      </c>
    </row>
    <row r="48" spans="1:2" x14ac:dyDescent="0.25">
      <c r="A48" t="s">
        <v>50</v>
      </c>
      <c r="B48">
        <v>2.5</v>
      </c>
    </row>
    <row r="49" spans="1:2" x14ac:dyDescent="0.25">
      <c r="A49" t="s">
        <v>51</v>
      </c>
      <c r="B49">
        <v>5.2</v>
      </c>
    </row>
    <row r="50" spans="1:2" x14ac:dyDescent="0.25">
      <c r="A50" t="s">
        <v>52</v>
      </c>
      <c r="B50">
        <v>5.5</v>
      </c>
    </row>
    <row r="51" spans="1:2" x14ac:dyDescent="0.25">
      <c r="A51" t="s">
        <v>53</v>
      </c>
      <c r="B51">
        <v>4.8</v>
      </c>
    </row>
    <row r="52" spans="1:2" x14ac:dyDescent="0.25">
      <c r="A52" t="s">
        <v>54</v>
      </c>
      <c r="B52">
        <v>2.6</v>
      </c>
    </row>
    <row r="53" spans="1:2" x14ac:dyDescent="0.25">
      <c r="A53" t="s">
        <v>55</v>
      </c>
      <c r="B53">
        <v>2.9</v>
      </c>
    </row>
    <row r="54" spans="1:2" x14ac:dyDescent="0.25">
      <c r="A54" t="s">
        <v>56</v>
      </c>
      <c r="B54">
        <v>2.2999999999999998</v>
      </c>
    </row>
    <row r="55" spans="1:2" x14ac:dyDescent="0.25">
      <c r="A55" t="s">
        <v>57</v>
      </c>
      <c r="B55">
        <v>5.5</v>
      </c>
    </row>
    <row r="56" spans="1:2" x14ac:dyDescent="0.25">
      <c r="A56" t="s">
        <v>58</v>
      </c>
      <c r="B56">
        <v>5.6</v>
      </c>
    </row>
    <row r="57" spans="1:2" x14ac:dyDescent="0.25">
      <c r="A57" t="s">
        <v>59</v>
      </c>
      <c r="B57">
        <v>5.3</v>
      </c>
    </row>
    <row r="58" spans="1:2" x14ac:dyDescent="0.25">
      <c r="A58" t="s">
        <v>60</v>
      </c>
      <c r="B58">
        <v>418</v>
      </c>
    </row>
    <row r="59" spans="1:2" x14ac:dyDescent="0.25">
      <c r="A59" t="s">
        <v>61</v>
      </c>
      <c r="B59">
        <v>457</v>
      </c>
    </row>
    <row r="60" spans="1:2" x14ac:dyDescent="0.25">
      <c r="A60" t="s">
        <v>62</v>
      </c>
      <c r="B60">
        <v>380</v>
      </c>
    </row>
    <row r="61" spans="1:2" x14ac:dyDescent="0.25">
      <c r="A61" t="s">
        <v>63</v>
      </c>
      <c r="B61">
        <v>349</v>
      </c>
    </row>
    <row r="62" spans="1:2" x14ac:dyDescent="0.25">
      <c r="A62" t="s">
        <v>64</v>
      </c>
      <c r="B62">
        <v>360</v>
      </c>
    </row>
    <row r="63" spans="1:2" x14ac:dyDescent="0.25">
      <c r="A63" t="s">
        <v>65</v>
      </c>
      <c r="B63">
        <v>339</v>
      </c>
    </row>
    <row r="64" spans="1:2" x14ac:dyDescent="0.25">
      <c r="A64" t="s">
        <v>66</v>
      </c>
      <c r="B64">
        <v>10</v>
      </c>
    </row>
    <row r="65" spans="1:2" x14ac:dyDescent="0.25">
      <c r="A65" t="s">
        <v>67</v>
      </c>
      <c r="B65">
        <v>14</v>
      </c>
    </row>
    <row r="66" spans="1:2" x14ac:dyDescent="0.25">
      <c r="A66" t="s">
        <v>68</v>
      </c>
      <c r="B66">
        <v>6</v>
      </c>
    </row>
    <row r="67" spans="1:2" x14ac:dyDescent="0.25">
      <c r="A67" t="s">
        <v>69</v>
      </c>
      <c r="B67">
        <v>0</v>
      </c>
    </row>
    <row r="68" spans="1:2" x14ac:dyDescent="0.25">
      <c r="A68" t="s">
        <v>70</v>
      </c>
      <c r="B68">
        <v>0</v>
      </c>
    </row>
    <row r="69" spans="1:2" x14ac:dyDescent="0.25">
      <c r="A69" t="s">
        <v>71</v>
      </c>
      <c r="B69">
        <v>0</v>
      </c>
    </row>
    <row r="70" spans="1:2" x14ac:dyDescent="0.25">
      <c r="A70" t="s">
        <v>72</v>
      </c>
      <c r="B70">
        <v>0</v>
      </c>
    </row>
    <row r="71" spans="1:2" x14ac:dyDescent="0.25">
      <c r="A71" t="s">
        <v>73</v>
      </c>
      <c r="B71">
        <v>0</v>
      </c>
    </row>
    <row r="72" spans="1:2" x14ac:dyDescent="0.25">
      <c r="A72" t="s">
        <v>74</v>
      </c>
      <c r="B72">
        <v>0</v>
      </c>
    </row>
    <row r="73" spans="1:2" x14ac:dyDescent="0.25">
      <c r="A73" t="s">
        <v>75</v>
      </c>
      <c r="B73">
        <v>0</v>
      </c>
    </row>
    <row r="74" spans="1:2" x14ac:dyDescent="0.25">
      <c r="A74" t="s">
        <v>76</v>
      </c>
      <c r="B74">
        <v>0</v>
      </c>
    </row>
    <row r="75" spans="1:2" x14ac:dyDescent="0.25">
      <c r="A75" t="s">
        <v>77</v>
      </c>
      <c r="B75">
        <v>0</v>
      </c>
    </row>
    <row r="76" spans="1:2" x14ac:dyDescent="0.25">
      <c r="A76" t="s">
        <v>78</v>
      </c>
      <c r="B76">
        <v>2.6</v>
      </c>
    </row>
    <row r="77" spans="1:2" x14ac:dyDescent="0.25">
      <c r="A77" t="s">
        <v>79</v>
      </c>
      <c r="B77">
        <v>2.74</v>
      </c>
    </row>
    <row r="78" spans="1:2" x14ac:dyDescent="0.25">
      <c r="A78" t="s">
        <v>80</v>
      </c>
      <c r="B78">
        <v>2.52</v>
      </c>
    </row>
    <row r="79" spans="1:2" x14ac:dyDescent="0.25">
      <c r="A79" t="s">
        <v>81</v>
      </c>
      <c r="B79">
        <v>2.6</v>
      </c>
    </row>
    <row r="80" spans="1:2" x14ac:dyDescent="0.25">
      <c r="A80" t="s">
        <v>82</v>
      </c>
      <c r="B80">
        <v>2.74</v>
      </c>
    </row>
    <row r="81" spans="1:2" x14ac:dyDescent="0.25">
      <c r="A81" t="s">
        <v>83</v>
      </c>
      <c r="B81">
        <v>2.52</v>
      </c>
    </row>
    <row r="82" spans="1:2" x14ac:dyDescent="0.25">
      <c r="A82" t="s">
        <v>84</v>
      </c>
      <c r="B82">
        <v>5.2</v>
      </c>
    </row>
    <row r="83" spans="1:2" x14ac:dyDescent="0.25">
      <c r="A83" t="s">
        <v>85</v>
      </c>
      <c r="B83">
        <v>5.53</v>
      </c>
    </row>
    <row r="84" spans="1:2" x14ac:dyDescent="0.25">
      <c r="A84" t="s">
        <v>86</v>
      </c>
      <c r="B84">
        <v>4.7699999999999996</v>
      </c>
    </row>
    <row r="85" spans="1:2" x14ac:dyDescent="0.25">
      <c r="A85" t="s">
        <v>87</v>
      </c>
      <c r="B85">
        <v>5.2</v>
      </c>
    </row>
    <row r="86" spans="1:2" x14ac:dyDescent="0.25">
      <c r="A86" t="s">
        <v>88</v>
      </c>
      <c r="B86">
        <v>5.53</v>
      </c>
    </row>
    <row r="87" spans="1:2" x14ac:dyDescent="0.25">
      <c r="A87" t="s">
        <v>89</v>
      </c>
      <c r="B87">
        <v>4.7699999999999996</v>
      </c>
    </row>
    <row r="88" spans="1:2" x14ac:dyDescent="0.25">
      <c r="A88" t="s">
        <v>90</v>
      </c>
      <c r="B88">
        <v>5.5</v>
      </c>
    </row>
    <row r="89" spans="1:2" x14ac:dyDescent="0.25">
      <c r="A89" t="s">
        <v>91</v>
      </c>
      <c r="B89">
        <v>5.62</v>
      </c>
    </row>
    <row r="90" spans="1:2" x14ac:dyDescent="0.25">
      <c r="A90" t="s">
        <v>92</v>
      </c>
      <c r="B90">
        <v>5.34</v>
      </c>
    </row>
    <row r="91" spans="1:2" x14ac:dyDescent="0.25">
      <c r="A91" t="s">
        <v>93</v>
      </c>
      <c r="B91">
        <v>5.5</v>
      </c>
    </row>
    <row r="92" spans="1:2" x14ac:dyDescent="0.25">
      <c r="A92" t="s">
        <v>94</v>
      </c>
      <c r="B92">
        <v>5.62</v>
      </c>
    </row>
    <row r="93" spans="1:2" x14ac:dyDescent="0.25">
      <c r="A93" t="s">
        <v>95</v>
      </c>
      <c r="B93">
        <v>5.34</v>
      </c>
    </row>
    <row r="94" spans="1:2" x14ac:dyDescent="0.25">
      <c r="A94" t="s">
        <v>96</v>
      </c>
      <c r="B94">
        <v>1784473</v>
      </c>
    </row>
    <row r="95" spans="1:2" x14ac:dyDescent="0.25">
      <c r="A95" t="s">
        <v>97</v>
      </c>
      <c r="B95" t="s">
        <v>122</v>
      </c>
    </row>
    <row r="96" spans="1:2" x14ac:dyDescent="0.25">
      <c r="A96" t="s">
        <v>98</v>
      </c>
      <c r="B96">
        <v>1784475</v>
      </c>
    </row>
    <row r="97" spans="1:2" x14ac:dyDescent="0.25">
      <c r="A97" t="s">
        <v>99</v>
      </c>
      <c r="B97" t="s">
        <v>123</v>
      </c>
    </row>
    <row r="98" spans="1:2" x14ac:dyDescent="0.25">
      <c r="A98" t="s">
        <v>100</v>
      </c>
      <c r="B98">
        <v>1784474</v>
      </c>
    </row>
    <row r="99" spans="1:2" x14ac:dyDescent="0.25">
      <c r="A99" t="s">
        <v>101</v>
      </c>
      <c r="B99" t="s">
        <v>124</v>
      </c>
    </row>
    <row r="100" spans="1:2" x14ac:dyDescent="0.25">
      <c r="A100" t="s">
        <v>102</v>
      </c>
      <c r="B100">
        <v>1784476</v>
      </c>
    </row>
    <row r="101" spans="1:2" x14ac:dyDescent="0.25">
      <c r="A101" t="s">
        <v>103</v>
      </c>
      <c r="B101" t="s">
        <v>125</v>
      </c>
    </row>
    <row r="102" spans="1:2" x14ac:dyDescent="0.25">
      <c r="A102" t="s">
        <v>104</v>
      </c>
      <c r="B102" t="s">
        <v>7</v>
      </c>
    </row>
    <row r="103" spans="1:2" x14ac:dyDescent="0.25">
      <c r="A103" t="s">
        <v>105</v>
      </c>
      <c r="B103">
        <v>5.2</v>
      </c>
    </row>
    <row r="104" spans="1:2" x14ac:dyDescent="0.25">
      <c r="A104" t="s">
        <v>106</v>
      </c>
      <c r="B104">
        <v>4.8</v>
      </c>
    </row>
    <row r="105" spans="1:2" x14ac:dyDescent="0.25">
      <c r="A105" t="s">
        <v>107</v>
      </c>
      <c r="B105">
        <v>4.4000000000000004</v>
      </c>
    </row>
    <row r="106" spans="1:2" x14ac:dyDescent="0.25">
      <c r="A106" t="s">
        <v>108</v>
      </c>
      <c r="B106">
        <v>4.2</v>
      </c>
    </row>
    <row r="107" spans="1:2" x14ac:dyDescent="0.25">
      <c r="A107" t="s">
        <v>109</v>
      </c>
      <c r="B107">
        <v>2.9</v>
      </c>
    </row>
    <row r="108" spans="1:2" x14ac:dyDescent="0.25">
      <c r="A108" t="s">
        <v>110</v>
      </c>
      <c r="B108">
        <v>3.4</v>
      </c>
    </row>
    <row r="109" spans="1:2" x14ac:dyDescent="0.25">
      <c r="A109" t="s">
        <v>111</v>
      </c>
      <c r="B109">
        <v>6.2</v>
      </c>
    </row>
    <row r="110" spans="1:2" x14ac:dyDescent="0.25">
      <c r="A110" t="s">
        <v>112</v>
      </c>
      <c r="B110">
        <v>1659359621</v>
      </c>
    </row>
    <row r="111" spans="1:2" x14ac:dyDescent="0.25">
      <c r="A111" t="s">
        <v>0</v>
      </c>
    </row>
    <row r="112" spans="1:2" x14ac:dyDescent="0.25">
      <c r="A112" t="s">
        <v>113</v>
      </c>
      <c r="B112" t="s">
        <v>7</v>
      </c>
    </row>
    <row r="113" spans="1:2" x14ac:dyDescent="0.25">
      <c r="A113" t="s">
        <v>105</v>
      </c>
      <c r="B113">
        <v>5.5</v>
      </c>
    </row>
    <row r="114" spans="1:2" x14ac:dyDescent="0.25">
      <c r="A114" s="1" t="s">
        <v>106</v>
      </c>
      <c r="B114">
        <v>4.9000000000000004</v>
      </c>
    </row>
    <row r="115" spans="1:2" x14ac:dyDescent="0.25">
      <c r="A115" t="s">
        <v>107</v>
      </c>
      <c r="B115">
        <v>4.5999999999999996</v>
      </c>
    </row>
    <row r="116" spans="1:2" x14ac:dyDescent="0.25">
      <c r="A116" t="s">
        <v>108</v>
      </c>
      <c r="B116">
        <v>4.3</v>
      </c>
    </row>
    <row r="117" spans="1:2" x14ac:dyDescent="0.25">
      <c r="A117" t="s">
        <v>109</v>
      </c>
      <c r="B117">
        <v>3</v>
      </c>
    </row>
    <row r="118" spans="1:2" x14ac:dyDescent="0.25">
      <c r="A118" t="s">
        <v>110</v>
      </c>
      <c r="B118">
        <v>3.5</v>
      </c>
    </row>
    <row r="119" spans="1:2" x14ac:dyDescent="0.25">
      <c r="A119" t="s">
        <v>111</v>
      </c>
      <c r="B119">
        <v>6.2</v>
      </c>
    </row>
    <row r="120" spans="1:2" x14ac:dyDescent="0.25">
      <c r="A120" t="s">
        <v>112</v>
      </c>
      <c r="B120">
        <v>1659359621</v>
      </c>
    </row>
    <row r="121" spans="1:2" x14ac:dyDescent="0.25">
      <c r="A121" t="s">
        <v>0</v>
      </c>
    </row>
    <row r="122" spans="1:2" x14ac:dyDescent="0.25">
      <c r="A122" t="s">
        <v>114</v>
      </c>
      <c r="B122" t="s">
        <v>7</v>
      </c>
    </row>
    <row r="123" spans="1:2" x14ac:dyDescent="0.25">
      <c r="A123" t="s">
        <v>105</v>
      </c>
      <c r="B123">
        <v>4.8</v>
      </c>
    </row>
    <row r="124" spans="1:2" x14ac:dyDescent="0.25">
      <c r="A124" s="1" t="s">
        <v>106</v>
      </c>
      <c r="B124">
        <v>4.7</v>
      </c>
    </row>
    <row r="125" spans="1:2" x14ac:dyDescent="0.25">
      <c r="A125" t="s">
        <v>107</v>
      </c>
      <c r="B125">
        <v>4.3</v>
      </c>
    </row>
    <row r="126" spans="1:2" x14ac:dyDescent="0.25">
      <c r="A126" t="s">
        <v>108</v>
      </c>
      <c r="B126">
        <v>4.0999999999999996</v>
      </c>
    </row>
    <row r="127" spans="1:2" x14ac:dyDescent="0.25">
      <c r="A127" t="s">
        <v>109</v>
      </c>
      <c r="B127">
        <v>2.8</v>
      </c>
    </row>
    <row r="128" spans="1:2" x14ac:dyDescent="0.25">
      <c r="A128" t="s">
        <v>110</v>
      </c>
      <c r="B128">
        <v>3.3</v>
      </c>
    </row>
    <row r="129" spans="1:2" x14ac:dyDescent="0.25">
      <c r="A129" t="s">
        <v>111</v>
      </c>
      <c r="B129">
        <v>6.1</v>
      </c>
    </row>
    <row r="130" spans="1:2" x14ac:dyDescent="0.25">
      <c r="A130" t="s">
        <v>112</v>
      </c>
      <c r="B130">
        <v>1659359621</v>
      </c>
    </row>
    <row r="131" spans="1:2" x14ac:dyDescent="0.25">
      <c r="A131" t="s">
        <v>0</v>
      </c>
    </row>
    <row r="132" spans="1:2" x14ac:dyDescent="0.25">
      <c r="A132" t="s">
        <v>1</v>
      </c>
    </row>
    <row r="133" spans="1:2" x14ac:dyDescent="0.25">
      <c r="A133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F56EE-3B82-422F-B274-C7BFC7BB56F6}">
  <sheetPr codeName="Sheet2"/>
  <dimension ref="A1:AY70"/>
  <sheetViews>
    <sheetView tabSelected="1" topLeftCell="AE1" workbookViewId="0">
      <selection activeCell="AU1" sqref="AU1:AU1048576"/>
    </sheetView>
  </sheetViews>
  <sheetFormatPr defaultRowHeight="15" x14ac:dyDescent="0.25"/>
  <cols>
    <col min="1" max="1" width="11.5703125" bestFit="1" customWidth="1"/>
    <col min="2" max="2" width="9.42578125" bestFit="1" customWidth="1"/>
    <col min="3" max="3" width="12.85546875" bestFit="1" customWidth="1"/>
    <col min="4" max="4" width="6" bestFit="1" customWidth="1"/>
    <col min="5" max="5" width="6.7109375" bestFit="1" customWidth="1"/>
    <col min="6" max="6" width="16.85546875" bestFit="1" customWidth="1"/>
    <col min="7" max="7" width="8" bestFit="1" customWidth="1"/>
    <col min="8" max="8" width="9.5703125" bestFit="1" customWidth="1"/>
    <col min="9" max="9" width="8" bestFit="1" customWidth="1"/>
    <col min="10" max="10" width="14.42578125" bestFit="1" customWidth="1"/>
    <col min="11" max="11" width="14.5703125" bestFit="1" customWidth="1"/>
    <col min="12" max="12" width="14.140625" bestFit="1" customWidth="1"/>
    <col min="13" max="14" width="16" bestFit="1" customWidth="1"/>
    <col min="15" max="15" width="10.7109375" bestFit="1" customWidth="1"/>
    <col min="16" max="16" width="15.28515625" bestFit="1" customWidth="1"/>
    <col min="17" max="17" width="13.5703125" bestFit="1" customWidth="1"/>
    <col min="18" max="18" width="13.42578125" bestFit="1" customWidth="1"/>
    <col min="19" max="19" width="20.140625" style="7" bestFit="1" customWidth="1"/>
    <col min="20" max="20" width="13.7109375" style="5" bestFit="1" customWidth="1"/>
    <col min="21" max="21" width="21.85546875" bestFit="1" customWidth="1"/>
    <col min="22" max="22" width="11" bestFit="1" customWidth="1"/>
    <col min="23" max="23" width="11.140625" bestFit="1" customWidth="1"/>
    <col min="24" max="24" width="7.7109375" bestFit="1" customWidth="1"/>
    <col min="25" max="25" width="10.42578125" bestFit="1" customWidth="1"/>
    <col min="26" max="26" width="10.28515625" bestFit="1" customWidth="1"/>
    <col min="27" max="27" width="12.42578125" bestFit="1" customWidth="1"/>
    <col min="28" max="28" width="10.5703125" bestFit="1" customWidth="1"/>
    <col min="30" max="30" width="16.140625" bestFit="1" customWidth="1"/>
    <col min="34" max="35" width="16" bestFit="1" customWidth="1"/>
    <col min="36" max="36" width="10.7109375" bestFit="1" customWidth="1"/>
    <col min="37" max="37" width="15.28515625" bestFit="1" customWidth="1"/>
    <col min="38" max="38" width="13.5703125" bestFit="1" customWidth="1"/>
    <col min="39" max="39" width="13.42578125" bestFit="1" customWidth="1"/>
    <col min="40" max="40" width="20.140625" bestFit="1" customWidth="1"/>
    <col min="41" max="41" width="13.7109375" bestFit="1" customWidth="1"/>
    <col min="42" max="42" width="21.85546875" bestFit="1" customWidth="1"/>
    <col min="43" max="43" width="11" bestFit="1" customWidth="1"/>
    <col min="44" max="44" width="11.140625" bestFit="1" customWidth="1"/>
    <col min="45" max="45" width="7.7109375" bestFit="1" customWidth="1"/>
    <col min="46" max="46" width="10.42578125" bestFit="1" customWidth="1"/>
    <col min="47" max="47" width="10.28515625" bestFit="1" customWidth="1"/>
    <col min="48" max="48" width="12.42578125" bestFit="1" customWidth="1"/>
    <col min="49" max="49" width="10.5703125" bestFit="1" customWidth="1"/>
    <col min="50" max="50" width="7.140625" bestFit="1" customWidth="1"/>
    <col min="51" max="51" width="16.140625" bestFit="1" customWidth="1"/>
  </cols>
  <sheetData>
    <row r="1" spans="1:51" x14ac:dyDescent="0.25">
      <c r="A1" s="4" t="s">
        <v>127</v>
      </c>
      <c r="B1" s="4" t="s">
        <v>128</v>
      </c>
      <c r="C1" s="4" t="s">
        <v>129</v>
      </c>
      <c r="D1" s="4" t="s">
        <v>130</v>
      </c>
      <c r="E1" s="4" t="s">
        <v>131</v>
      </c>
      <c r="F1" s="4" t="s">
        <v>132</v>
      </c>
      <c r="G1" s="4" t="s">
        <v>133</v>
      </c>
      <c r="H1" s="4" t="s">
        <v>134</v>
      </c>
      <c r="I1" s="4" t="s">
        <v>135</v>
      </c>
      <c r="J1" s="4" t="s">
        <v>138</v>
      </c>
      <c r="K1" s="4" t="s">
        <v>139</v>
      </c>
      <c r="L1" s="3" t="s">
        <v>126</v>
      </c>
      <c r="M1" s="4" t="s">
        <v>140</v>
      </c>
      <c r="N1" s="4" t="s">
        <v>140</v>
      </c>
      <c r="O1" s="3" t="s">
        <v>141</v>
      </c>
      <c r="P1" s="3" t="s">
        <v>142</v>
      </c>
      <c r="Q1" s="3" t="s">
        <v>143</v>
      </c>
      <c r="R1" s="3" t="s">
        <v>144</v>
      </c>
      <c r="S1" s="7" t="s">
        <v>145</v>
      </c>
      <c r="T1" s="5" t="s">
        <v>146</v>
      </c>
      <c r="U1" s="3" t="s">
        <v>147</v>
      </c>
      <c r="V1" s="4" t="s">
        <v>136</v>
      </c>
      <c r="W1" s="4" t="s">
        <v>137</v>
      </c>
      <c r="X1" s="3" t="s">
        <v>148</v>
      </c>
      <c r="Y1" s="3" t="s">
        <v>149</v>
      </c>
      <c r="Z1" s="3" t="s">
        <v>150</v>
      </c>
      <c r="AA1" s="3" t="s">
        <v>151</v>
      </c>
      <c r="AB1" s="3" t="s">
        <v>152</v>
      </c>
      <c r="AC1" s="3" t="s">
        <v>153</v>
      </c>
      <c r="AD1" s="3" t="s">
        <v>154</v>
      </c>
      <c r="AH1" s="8" t="s">
        <v>140</v>
      </c>
      <c r="AI1" s="8" t="s">
        <v>140</v>
      </c>
      <c r="AJ1" s="8" t="s">
        <v>141</v>
      </c>
      <c r="AK1" s="8" t="s">
        <v>142</v>
      </c>
      <c r="AL1" s="8" t="s">
        <v>143</v>
      </c>
      <c r="AM1" s="8" t="s">
        <v>144</v>
      </c>
      <c r="AN1" s="8" t="s">
        <v>145</v>
      </c>
      <c r="AO1" s="8" t="s">
        <v>146</v>
      </c>
      <c r="AP1" s="8" t="s">
        <v>147</v>
      </c>
      <c r="AQ1" s="8" t="s">
        <v>136</v>
      </c>
      <c r="AR1" s="8" t="s">
        <v>137</v>
      </c>
      <c r="AS1" s="8" t="s">
        <v>148</v>
      </c>
      <c r="AT1" s="8" t="s">
        <v>149</v>
      </c>
      <c r="AU1" s="8" t="s">
        <v>150</v>
      </c>
      <c r="AV1" s="8" t="s">
        <v>151</v>
      </c>
      <c r="AW1" s="8" t="s">
        <v>152</v>
      </c>
      <c r="AX1" s="8" t="s">
        <v>153</v>
      </c>
      <c r="AY1" s="8" t="s">
        <v>154</v>
      </c>
    </row>
    <row r="2" spans="1:51" x14ac:dyDescent="0.25">
      <c r="M2" s="5">
        <v>8.8000000000000007</v>
      </c>
      <c r="N2" s="5">
        <v>9.6999999999999993</v>
      </c>
      <c r="O2" s="5">
        <f>ABS(IF(AND(M2&gt;0,N2&gt;0),(M2-N2),0))</f>
        <v>0.89999999999999858</v>
      </c>
      <c r="P2" s="6">
        <f>ROUND(ABS((M2-N2)/((M2+N2)/2))*100,0)</f>
        <v>10</v>
      </c>
      <c r="Q2" s="5">
        <f>IFERROR(ABS(M2-M1),0)</f>
        <v>0</v>
      </c>
      <c r="R2" s="5">
        <f>IFERROR(ABS(N2-N1),0)</f>
        <v>0</v>
      </c>
      <c r="S2" s="7">
        <f t="shared" ref="S2" si="0">IFERROR(ROUND(ABS((Q2-R2)/((Q2+R2)/2))*100,0),0)</f>
        <v>0</v>
      </c>
      <c r="T2" s="5" t="str">
        <f>IF(AND(M2=0,N2=0),"ZAB",IF(M2=0,"ZA",IF(N2=0,"ZB",IF(AND(S2&gt;125,Q2&lt;=7,R2&gt;7),"JB",IF(AND(S2&gt;125,Q2&gt;7,R2&lt;=7),"JA",IF(AND(T1="JB",Q2&lt;10,P2&gt;50,O2&gt;7),"JB",IF(AND(T1="JA",R2&lt;10,P2&gt;50,O2&gt;7),"JA",IF(AND(O2&gt;10,P2&gt;50),"QQ",""))))))))</f>
        <v/>
      </c>
      <c r="U2">
        <f>IF(T2="JA",N2,IF(T2="JB",M2,IF(OR(T2="QQ",T2="ZA",T2="ZB",T2="ZAB"),"",AVERAGE(M2:N2))))</f>
        <v>9.25</v>
      </c>
      <c r="V2">
        <v>42</v>
      </c>
      <c r="W2">
        <v>0</v>
      </c>
      <c r="X2">
        <f>ABS(V2-W2)</f>
        <v>42</v>
      </c>
      <c r="Y2">
        <f>IFERROR(ABS(V2-V1),0)</f>
        <v>0</v>
      </c>
      <c r="Z2">
        <f>IFERROR(ABS(W2-W1),0)</f>
        <v>0</v>
      </c>
      <c r="AA2">
        <f>ABS(Y2-Z2)</f>
        <v>0</v>
      </c>
      <c r="AB2" t="str">
        <f>IF(AND(V2=0,W2=0),"RHZAB",IF(V2=0,"RHZA",IF(W2=0,"RHZB",IF(AND(AA2&gt;10,Y2&lt;=10,Z2&gt;10),"RHJB",IF(AND(AA2&gt;10,Y2&gt;10,Z2&lt;=10),"RHJA",IF(X2&gt;10,"QQ",""))))))</f>
        <v>RHZB</v>
      </c>
      <c r="AC2">
        <f>IF(OR(AB2="RHJA",AB2="RHZA"),W2,IF(OR(AB2="RHJB",AB2="RHZB"),V2,IF(OR(AB2="RHZAB",AB2="QQ"),"",AVERAGE(V2:W2))))</f>
        <v>42</v>
      </c>
      <c r="AD2">
        <f>IFERROR(ROUND(((0.61*U2)-(0.07*AC2)+2.16),2),"")</f>
        <v>4.8600000000000003</v>
      </c>
    </row>
    <row r="3" spans="1:51" x14ac:dyDescent="0.25">
      <c r="M3" s="5">
        <v>8.6999999999999993</v>
      </c>
      <c r="N3" s="5">
        <v>9.6</v>
      </c>
      <c r="O3" s="5">
        <f t="shared" ref="O3:O66" si="1">ABS(IF(AND(M3&gt;0,N3&gt;0),(M3-N3),0))</f>
        <v>0.90000000000000036</v>
      </c>
      <c r="P3" s="6">
        <f t="shared" ref="P3:P66" si="2">ROUND(ABS((M3-N3)/((M3+N3)/2))*100,0)</f>
        <v>10</v>
      </c>
      <c r="Q3" s="5">
        <f t="shared" ref="Q3:Q66" si="3">IFERROR(ABS(M3-M2),0)</f>
        <v>0.10000000000000142</v>
      </c>
      <c r="R3" s="5">
        <f t="shared" ref="R3:R66" si="4">IFERROR(ABS(N3-N2),0)</f>
        <v>9.9999999999999645E-2</v>
      </c>
      <c r="S3" s="7">
        <f>IFERROR(ROUND(ABS((Q3-R3)/((Q3+R3)/2))*100,0),0)</f>
        <v>0</v>
      </c>
      <c r="T3" s="5" t="str">
        <f t="shared" ref="T3:T66" si="5">IF(AND(M3=0,N3=0),"ZAB",IF(M3=0,"ZA",IF(N3=0,"ZB",IF(AND(S3&gt;125,Q3&lt;=7,R3&gt;7),"JB",IF(AND(S3&gt;125,Q3&gt;7,R3&lt;=7),"JA",IF(AND(T2="JB",Q3&lt;10,P3&gt;50,O3&gt;7),"JB",IF(AND(T2="JA",R3&lt;10,P3&gt;50,O3&gt;7),"JA",IF(AND(O3&gt;10,P3&gt;50),"QQ",""))))))))</f>
        <v/>
      </c>
      <c r="U3">
        <f t="shared" ref="U3:U66" si="6">IF(T3="JA",N3,IF(T3="JB",M3,IF(OR(T3="QQ",T3="ZA",T3="ZB",T3="ZAB"),"",AVERAGE(M3:N3))))</f>
        <v>9.1499999999999986</v>
      </c>
      <c r="V3">
        <v>43</v>
      </c>
      <c r="W3">
        <v>0</v>
      </c>
      <c r="X3">
        <f t="shared" ref="X3:X66" si="7">ABS(V3-W3)</f>
        <v>43</v>
      </c>
      <c r="Y3">
        <f t="shared" ref="Y3:Y66" si="8">IFERROR(ABS(V3-V2),0)</f>
        <v>1</v>
      </c>
      <c r="Z3">
        <f t="shared" ref="Z3:Z66" si="9">IFERROR(ABS(W3-W2),0)</f>
        <v>0</v>
      </c>
      <c r="AA3">
        <f t="shared" ref="AA3:AA66" si="10">ABS(Y3-Z3)</f>
        <v>1</v>
      </c>
      <c r="AB3" t="str">
        <f t="shared" ref="AB3:AB66" si="11">IF(AND(V3=0,W3=0),"RHZAB",IF(V3=0,"RHZA",IF(W3=0,"RHZB",IF(AND(AA3&gt;10,Y3&lt;=10,Z3&gt;10),"RHJB",IF(AND(AA3&gt;10,Y3&gt;10,Z3&lt;=10),"RHJA",IF(X3&gt;10,"QQ",""))))))</f>
        <v>RHZB</v>
      </c>
      <c r="AC3">
        <f t="shared" ref="AC3:AC66" si="12">IF(OR(AB3="RHJA",AB3="RHZA"),W3,IF(OR(AB3="RHJB",AB3="RHZB"),V3,IF(OR(AB3="RHZAB",AB3="QQ"),"",AVERAGE(V3:W3))))</f>
        <v>43</v>
      </c>
      <c r="AD3">
        <f t="shared" ref="AD3:AD66" si="13">IFERROR(ROUND(((0.61*U3)-(0.07*AC3)+2.16),2),"")</f>
        <v>4.7300000000000004</v>
      </c>
    </row>
    <row r="4" spans="1:51" x14ac:dyDescent="0.25">
      <c r="M4" s="5">
        <v>8.6</v>
      </c>
      <c r="N4" s="5">
        <v>9.6999999999999993</v>
      </c>
      <c r="O4" s="5">
        <f t="shared" si="1"/>
        <v>1.0999999999999996</v>
      </c>
      <c r="P4" s="6">
        <f t="shared" si="2"/>
        <v>12</v>
      </c>
      <c r="Q4">
        <f t="shared" si="3"/>
        <v>9.9999999999999645E-2</v>
      </c>
      <c r="R4">
        <f t="shared" si="4"/>
        <v>9.9999999999999645E-2</v>
      </c>
      <c r="S4" s="7">
        <f t="shared" ref="S4:S67" si="14">IFERROR(ROUND(ABS((Q4-R4)/((Q4+R4)/2))*100,0),0)</f>
        <v>0</v>
      </c>
      <c r="T4" s="5" t="str">
        <f t="shared" si="5"/>
        <v/>
      </c>
      <c r="U4">
        <f t="shared" si="6"/>
        <v>9.1499999999999986</v>
      </c>
      <c r="V4">
        <v>43</v>
      </c>
      <c r="W4">
        <v>0</v>
      </c>
      <c r="X4">
        <f t="shared" si="7"/>
        <v>43</v>
      </c>
      <c r="Y4">
        <f t="shared" si="8"/>
        <v>0</v>
      </c>
      <c r="Z4">
        <f t="shared" si="9"/>
        <v>0</v>
      </c>
      <c r="AA4">
        <f t="shared" si="10"/>
        <v>0</v>
      </c>
      <c r="AB4" t="str">
        <f t="shared" si="11"/>
        <v>RHZB</v>
      </c>
      <c r="AC4">
        <f t="shared" si="12"/>
        <v>43</v>
      </c>
      <c r="AD4">
        <f t="shared" si="13"/>
        <v>4.7300000000000004</v>
      </c>
    </row>
    <row r="5" spans="1:51" x14ac:dyDescent="0.25">
      <c r="M5" s="5">
        <v>8.6</v>
      </c>
      <c r="N5" s="5">
        <v>9.6999999999999993</v>
      </c>
      <c r="O5" s="5">
        <f t="shared" si="1"/>
        <v>1.0999999999999996</v>
      </c>
      <c r="P5" s="6">
        <f t="shared" si="2"/>
        <v>12</v>
      </c>
      <c r="Q5">
        <f t="shared" si="3"/>
        <v>0</v>
      </c>
      <c r="R5">
        <f t="shared" si="4"/>
        <v>0</v>
      </c>
      <c r="S5" s="7">
        <f t="shared" si="14"/>
        <v>0</v>
      </c>
      <c r="T5" s="5" t="str">
        <f t="shared" si="5"/>
        <v/>
      </c>
      <c r="U5">
        <f t="shared" si="6"/>
        <v>9.1499999999999986</v>
      </c>
      <c r="V5">
        <v>42</v>
      </c>
      <c r="W5">
        <v>0</v>
      </c>
      <c r="X5">
        <f t="shared" si="7"/>
        <v>42</v>
      </c>
      <c r="Y5">
        <f t="shared" si="8"/>
        <v>1</v>
      </c>
      <c r="Z5">
        <f t="shared" si="9"/>
        <v>0</v>
      </c>
      <c r="AA5">
        <f t="shared" si="10"/>
        <v>1</v>
      </c>
      <c r="AB5" t="str">
        <f t="shared" si="11"/>
        <v>RHZB</v>
      </c>
      <c r="AC5">
        <f t="shared" si="12"/>
        <v>42</v>
      </c>
      <c r="AD5">
        <f t="shared" si="13"/>
        <v>4.8</v>
      </c>
    </row>
    <row r="6" spans="1:51" x14ac:dyDescent="0.25">
      <c r="M6" s="5">
        <v>8.4</v>
      </c>
      <c r="N6" s="5">
        <v>9.6</v>
      </c>
      <c r="O6" s="5">
        <f t="shared" si="1"/>
        <v>1.1999999999999993</v>
      </c>
      <c r="P6" s="6">
        <f t="shared" si="2"/>
        <v>13</v>
      </c>
      <c r="Q6">
        <f t="shared" si="3"/>
        <v>0.19999999999999929</v>
      </c>
      <c r="R6">
        <f t="shared" si="4"/>
        <v>9.9999999999999645E-2</v>
      </c>
      <c r="S6" s="7">
        <f t="shared" si="14"/>
        <v>67</v>
      </c>
      <c r="T6" s="5" t="str">
        <f t="shared" si="5"/>
        <v/>
      </c>
      <c r="U6">
        <f t="shared" si="6"/>
        <v>9</v>
      </c>
      <c r="V6">
        <v>40</v>
      </c>
      <c r="W6">
        <v>0</v>
      </c>
      <c r="X6">
        <f t="shared" si="7"/>
        <v>40</v>
      </c>
      <c r="Y6">
        <f t="shared" si="8"/>
        <v>2</v>
      </c>
      <c r="Z6">
        <f t="shared" si="9"/>
        <v>0</v>
      </c>
      <c r="AA6">
        <f t="shared" si="10"/>
        <v>2</v>
      </c>
      <c r="AB6" t="str">
        <f t="shared" si="11"/>
        <v>RHZB</v>
      </c>
      <c r="AC6">
        <f t="shared" si="12"/>
        <v>40</v>
      </c>
      <c r="AD6">
        <f t="shared" si="13"/>
        <v>4.8499999999999996</v>
      </c>
    </row>
    <row r="7" spans="1:51" x14ac:dyDescent="0.25">
      <c r="M7" s="5">
        <v>8.1999999999999993</v>
      </c>
      <c r="N7" s="5">
        <v>9.6</v>
      </c>
      <c r="O7" s="5">
        <f t="shared" si="1"/>
        <v>1.4000000000000004</v>
      </c>
      <c r="P7" s="6">
        <f t="shared" si="2"/>
        <v>16</v>
      </c>
      <c r="Q7">
        <f t="shared" si="3"/>
        <v>0.20000000000000107</v>
      </c>
      <c r="R7">
        <f t="shared" si="4"/>
        <v>0</v>
      </c>
      <c r="S7" s="7">
        <f t="shared" si="14"/>
        <v>200</v>
      </c>
      <c r="T7" s="5" t="str">
        <f t="shared" si="5"/>
        <v/>
      </c>
      <c r="U7">
        <f t="shared" si="6"/>
        <v>8.8999999999999986</v>
      </c>
      <c r="V7">
        <v>42</v>
      </c>
      <c r="W7">
        <v>0</v>
      </c>
      <c r="X7">
        <f t="shared" si="7"/>
        <v>42</v>
      </c>
      <c r="Y7">
        <f t="shared" si="8"/>
        <v>2</v>
      </c>
      <c r="Z7">
        <f t="shared" si="9"/>
        <v>0</v>
      </c>
      <c r="AA7">
        <f t="shared" si="10"/>
        <v>2</v>
      </c>
      <c r="AB7" t="str">
        <f t="shared" si="11"/>
        <v>RHZB</v>
      </c>
      <c r="AC7">
        <f t="shared" si="12"/>
        <v>42</v>
      </c>
      <c r="AD7">
        <f t="shared" si="13"/>
        <v>4.6500000000000004</v>
      </c>
    </row>
    <row r="8" spans="1:51" x14ac:dyDescent="0.25">
      <c r="M8" s="5">
        <v>8.3000000000000007</v>
      </c>
      <c r="N8" s="5">
        <v>9.4</v>
      </c>
      <c r="O8" s="5">
        <f t="shared" si="1"/>
        <v>1.0999999999999996</v>
      </c>
      <c r="P8" s="6">
        <f t="shared" si="2"/>
        <v>12</v>
      </c>
      <c r="Q8">
        <f t="shared" si="3"/>
        <v>0.10000000000000142</v>
      </c>
      <c r="R8">
        <f t="shared" si="4"/>
        <v>0.19999999999999929</v>
      </c>
      <c r="S8" s="7">
        <f t="shared" si="14"/>
        <v>67</v>
      </c>
      <c r="T8" s="5" t="str">
        <f t="shared" si="5"/>
        <v/>
      </c>
      <c r="U8">
        <f t="shared" si="6"/>
        <v>8.8500000000000014</v>
      </c>
      <c r="V8">
        <v>42</v>
      </c>
      <c r="W8">
        <v>0</v>
      </c>
      <c r="X8">
        <f t="shared" si="7"/>
        <v>42</v>
      </c>
      <c r="Y8">
        <f t="shared" si="8"/>
        <v>0</v>
      </c>
      <c r="Z8">
        <f t="shared" si="9"/>
        <v>0</v>
      </c>
      <c r="AA8">
        <f t="shared" si="10"/>
        <v>0</v>
      </c>
      <c r="AB8" t="str">
        <f t="shared" si="11"/>
        <v>RHZB</v>
      </c>
      <c r="AC8">
        <f t="shared" si="12"/>
        <v>42</v>
      </c>
      <c r="AD8">
        <f t="shared" si="13"/>
        <v>4.62</v>
      </c>
    </row>
    <row r="9" spans="1:51" x14ac:dyDescent="0.25">
      <c r="M9" s="5">
        <v>8.5</v>
      </c>
      <c r="N9" s="5">
        <v>9.4</v>
      </c>
      <c r="O9" s="5">
        <f t="shared" si="1"/>
        <v>0.90000000000000036</v>
      </c>
      <c r="P9" s="6">
        <f t="shared" si="2"/>
        <v>10</v>
      </c>
      <c r="Q9">
        <f t="shared" si="3"/>
        <v>0.19999999999999929</v>
      </c>
      <c r="R9">
        <f t="shared" si="4"/>
        <v>0</v>
      </c>
      <c r="S9" s="7">
        <f t="shared" si="14"/>
        <v>200</v>
      </c>
      <c r="T9" s="5" t="str">
        <f t="shared" si="5"/>
        <v/>
      </c>
      <c r="U9">
        <f t="shared" si="6"/>
        <v>8.9499999999999993</v>
      </c>
      <c r="V9">
        <v>40</v>
      </c>
      <c r="W9">
        <v>0</v>
      </c>
      <c r="X9">
        <f t="shared" si="7"/>
        <v>40</v>
      </c>
      <c r="Y9">
        <f t="shared" si="8"/>
        <v>2</v>
      </c>
      <c r="Z9">
        <f t="shared" si="9"/>
        <v>0</v>
      </c>
      <c r="AA9">
        <f t="shared" si="10"/>
        <v>2</v>
      </c>
      <c r="AB9" t="str">
        <f t="shared" si="11"/>
        <v>RHZB</v>
      </c>
      <c r="AC9">
        <f t="shared" si="12"/>
        <v>40</v>
      </c>
      <c r="AD9">
        <f t="shared" si="13"/>
        <v>4.82</v>
      </c>
    </row>
    <row r="10" spans="1:51" x14ac:dyDescent="0.25">
      <c r="M10" s="5">
        <v>8.3000000000000007</v>
      </c>
      <c r="N10" s="5">
        <v>9.3000000000000007</v>
      </c>
      <c r="O10" s="5">
        <f t="shared" si="1"/>
        <v>1</v>
      </c>
      <c r="P10" s="6">
        <f t="shared" si="2"/>
        <v>11</v>
      </c>
      <c r="Q10">
        <f t="shared" si="3"/>
        <v>0.19999999999999929</v>
      </c>
      <c r="R10">
        <f t="shared" si="4"/>
        <v>9.9999999999999645E-2</v>
      </c>
      <c r="S10" s="7">
        <f t="shared" si="14"/>
        <v>67</v>
      </c>
      <c r="T10" s="5" t="str">
        <f t="shared" si="5"/>
        <v/>
      </c>
      <c r="U10">
        <f t="shared" si="6"/>
        <v>8.8000000000000007</v>
      </c>
      <c r="V10">
        <v>39</v>
      </c>
      <c r="W10">
        <v>0</v>
      </c>
      <c r="X10">
        <f t="shared" si="7"/>
        <v>39</v>
      </c>
      <c r="Y10">
        <f t="shared" si="8"/>
        <v>1</v>
      </c>
      <c r="Z10">
        <f t="shared" si="9"/>
        <v>0</v>
      </c>
      <c r="AA10">
        <f t="shared" si="10"/>
        <v>1</v>
      </c>
      <c r="AB10" t="str">
        <f t="shared" si="11"/>
        <v>RHZB</v>
      </c>
      <c r="AC10">
        <f t="shared" si="12"/>
        <v>39</v>
      </c>
      <c r="AD10">
        <f t="shared" si="13"/>
        <v>4.8</v>
      </c>
    </row>
    <row r="11" spans="1:51" x14ac:dyDescent="0.25">
      <c r="M11">
        <v>8.1999999999999993</v>
      </c>
      <c r="N11">
        <v>9.3000000000000007</v>
      </c>
      <c r="O11" s="5">
        <f t="shared" si="1"/>
        <v>1.1000000000000014</v>
      </c>
      <c r="P11" s="6">
        <f t="shared" si="2"/>
        <v>13</v>
      </c>
      <c r="Q11">
        <f t="shared" si="3"/>
        <v>0.10000000000000142</v>
      </c>
      <c r="R11">
        <f t="shared" si="4"/>
        <v>0</v>
      </c>
      <c r="S11" s="7">
        <f t="shared" si="14"/>
        <v>200</v>
      </c>
      <c r="T11" s="5" t="str">
        <f t="shared" si="5"/>
        <v/>
      </c>
      <c r="U11">
        <f t="shared" si="6"/>
        <v>8.75</v>
      </c>
      <c r="V11">
        <v>38</v>
      </c>
      <c r="W11">
        <v>0</v>
      </c>
      <c r="X11">
        <f t="shared" si="7"/>
        <v>38</v>
      </c>
      <c r="Y11">
        <f t="shared" si="8"/>
        <v>1</v>
      </c>
      <c r="Z11">
        <f t="shared" si="9"/>
        <v>0</v>
      </c>
      <c r="AA11">
        <f t="shared" si="10"/>
        <v>1</v>
      </c>
      <c r="AB11" t="str">
        <f t="shared" si="11"/>
        <v>RHZB</v>
      </c>
      <c r="AC11">
        <f t="shared" si="12"/>
        <v>38</v>
      </c>
      <c r="AD11">
        <f t="shared" si="13"/>
        <v>4.84</v>
      </c>
      <c r="AF11" s="5"/>
    </row>
    <row r="12" spans="1:51" x14ac:dyDescent="0.25">
      <c r="M12">
        <v>8.1999999999999993</v>
      </c>
      <c r="N12">
        <v>9.5</v>
      </c>
      <c r="O12">
        <f t="shared" si="1"/>
        <v>1.3000000000000007</v>
      </c>
      <c r="P12">
        <f t="shared" si="2"/>
        <v>15</v>
      </c>
      <c r="Q12">
        <f t="shared" si="3"/>
        <v>0</v>
      </c>
      <c r="R12">
        <f t="shared" si="4"/>
        <v>0.19999999999999929</v>
      </c>
      <c r="S12" s="7">
        <f t="shared" si="14"/>
        <v>200</v>
      </c>
      <c r="T12" s="5" t="str">
        <f t="shared" si="5"/>
        <v/>
      </c>
      <c r="U12">
        <f t="shared" si="6"/>
        <v>8.85</v>
      </c>
      <c r="V12">
        <v>38</v>
      </c>
      <c r="W12">
        <v>0</v>
      </c>
      <c r="X12">
        <f t="shared" si="7"/>
        <v>38</v>
      </c>
      <c r="Y12">
        <f t="shared" si="8"/>
        <v>0</v>
      </c>
      <c r="Z12">
        <f t="shared" si="9"/>
        <v>0</v>
      </c>
      <c r="AA12">
        <f t="shared" si="10"/>
        <v>0</v>
      </c>
      <c r="AB12" t="str">
        <f t="shared" si="11"/>
        <v>RHZB</v>
      </c>
      <c r="AC12">
        <f t="shared" si="12"/>
        <v>38</v>
      </c>
      <c r="AD12">
        <f t="shared" si="13"/>
        <v>4.9000000000000004</v>
      </c>
    </row>
    <row r="13" spans="1:51" x14ac:dyDescent="0.25">
      <c r="M13">
        <v>8.1999999999999993</v>
      </c>
      <c r="N13">
        <v>9.1999999999999993</v>
      </c>
      <c r="O13">
        <f t="shared" si="1"/>
        <v>1</v>
      </c>
      <c r="P13">
        <f t="shared" si="2"/>
        <v>11</v>
      </c>
      <c r="Q13">
        <f t="shared" si="3"/>
        <v>0</v>
      </c>
      <c r="R13">
        <f t="shared" si="4"/>
        <v>0.30000000000000071</v>
      </c>
      <c r="S13" s="7">
        <f t="shared" si="14"/>
        <v>200</v>
      </c>
      <c r="T13" s="5" t="str">
        <f t="shared" si="5"/>
        <v/>
      </c>
      <c r="U13">
        <f t="shared" si="6"/>
        <v>8.6999999999999993</v>
      </c>
      <c r="V13">
        <v>37</v>
      </c>
      <c r="W13">
        <v>0</v>
      </c>
      <c r="X13">
        <f t="shared" si="7"/>
        <v>37</v>
      </c>
      <c r="Y13">
        <f t="shared" si="8"/>
        <v>1</v>
      </c>
      <c r="Z13">
        <f t="shared" si="9"/>
        <v>0</v>
      </c>
      <c r="AA13">
        <f t="shared" si="10"/>
        <v>1</v>
      </c>
      <c r="AB13" t="str">
        <f t="shared" si="11"/>
        <v>RHZB</v>
      </c>
      <c r="AC13">
        <f t="shared" si="12"/>
        <v>37</v>
      </c>
      <c r="AD13">
        <f t="shared" si="13"/>
        <v>4.88</v>
      </c>
    </row>
    <row r="14" spans="1:51" x14ac:dyDescent="0.25">
      <c r="M14">
        <v>8.1999999999999993</v>
      </c>
      <c r="N14">
        <v>9.3000000000000007</v>
      </c>
      <c r="O14">
        <f t="shared" si="1"/>
        <v>1.1000000000000014</v>
      </c>
      <c r="P14">
        <f t="shared" si="2"/>
        <v>13</v>
      </c>
      <c r="Q14">
        <f t="shared" si="3"/>
        <v>0</v>
      </c>
      <c r="R14">
        <f t="shared" si="4"/>
        <v>0.10000000000000142</v>
      </c>
      <c r="S14" s="7">
        <f t="shared" si="14"/>
        <v>200</v>
      </c>
      <c r="T14" s="5" t="str">
        <f t="shared" si="5"/>
        <v/>
      </c>
      <c r="U14">
        <f t="shared" si="6"/>
        <v>8.75</v>
      </c>
      <c r="V14">
        <v>37</v>
      </c>
      <c r="W14">
        <v>0</v>
      </c>
      <c r="X14">
        <f t="shared" si="7"/>
        <v>37</v>
      </c>
      <c r="Y14">
        <f t="shared" si="8"/>
        <v>0</v>
      </c>
      <c r="Z14">
        <f t="shared" si="9"/>
        <v>0</v>
      </c>
      <c r="AA14">
        <f t="shared" si="10"/>
        <v>0</v>
      </c>
      <c r="AB14" t="str">
        <f t="shared" si="11"/>
        <v>RHZB</v>
      </c>
      <c r="AC14">
        <f t="shared" si="12"/>
        <v>37</v>
      </c>
      <c r="AD14">
        <f t="shared" si="13"/>
        <v>4.91</v>
      </c>
    </row>
    <row r="15" spans="1:51" x14ac:dyDescent="0.25">
      <c r="M15">
        <v>8.3000000000000007</v>
      </c>
      <c r="N15">
        <v>9.3000000000000007</v>
      </c>
      <c r="O15">
        <f t="shared" si="1"/>
        <v>1</v>
      </c>
      <c r="P15">
        <f t="shared" si="2"/>
        <v>11</v>
      </c>
      <c r="Q15">
        <f t="shared" si="3"/>
        <v>0.10000000000000142</v>
      </c>
      <c r="R15">
        <f t="shared" si="4"/>
        <v>0</v>
      </c>
      <c r="S15" s="7">
        <f t="shared" si="14"/>
        <v>200</v>
      </c>
      <c r="T15" s="5" t="str">
        <f t="shared" si="5"/>
        <v/>
      </c>
      <c r="U15">
        <f t="shared" si="6"/>
        <v>8.8000000000000007</v>
      </c>
      <c r="V15">
        <v>36</v>
      </c>
      <c r="W15">
        <v>0</v>
      </c>
      <c r="X15">
        <f t="shared" si="7"/>
        <v>36</v>
      </c>
      <c r="Y15">
        <f t="shared" si="8"/>
        <v>1</v>
      </c>
      <c r="Z15">
        <f t="shared" si="9"/>
        <v>0</v>
      </c>
      <c r="AA15">
        <f t="shared" si="10"/>
        <v>1</v>
      </c>
      <c r="AB15" t="str">
        <f t="shared" si="11"/>
        <v>RHZB</v>
      </c>
      <c r="AC15">
        <f t="shared" si="12"/>
        <v>36</v>
      </c>
      <c r="AD15">
        <f t="shared" si="13"/>
        <v>5.01</v>
      </c>
    </row>
    <row r="16" spans="1:51" x14ac:dyDescent="0.25">
      <c r="M16">
        <v>8.5</v>
      </c>
      <c r="N16">
        <v>9.5</v>
      </c>
      <c r="O16">
        <f t="shared" si="1"/>
        <v>1</v>
      </c>
      <c r="P16">
        <f t="shared" si="2"/>
        <v>11</v>
      </c>
      <c r="Q16">
        <f t="shared" si="3"/>
        <v>0.19999999999999929</v>
      </c>
      <c r="R16">
        <f t="shared" si="4"/>
        <v>0.19999999999999929</v>
      </c>
      <c r="S16" s="7">
        <f t="shared" si="14"/>
        <v>0</v>
      </c>
      <c r="T16" s="5" t="str">
        <f t="shared" si="5"/>
        <v/>
      </c>
      <c r="U16">
        <f t="shared" si="6"/>
        <v>9</v>
      </c>
      <c r="V16">
        <v>36</v>
      </c>
      <c r="W16">
        <v>0</v>
      </c>
      <c r="X16">
        <f t="shared" si="7"/>
        <v>36</v>
      </c>
      <c r="Y16">
        <f t="shared" si="8"/>
        <v>0</v>
      </c>
      <c r="Z16">
        <f t="shared" si="9"/>
        <v>0</v>
      </c>
      <c r="AA16">
        <f t="shared" si="10"/>
        <v>0</v>
      </c>
      <c r="AB16" t="str">
        <f t="shared" si="11"/>
        <v>RHZB</v>
      </c>
      <c r="AC16">
        <f t="shared" si="12"/>
        <v>36</v>
      </c>
      <c r="AD16">
        <f t="shared" si="13"/>
        <v>5.13</v>
      </c>
    </row>
    <row r="17" spans="13:30" x14ac:dyDescent="0.25">
      <c r="M17">
        <v>8.6999999999999993</v>
      </c>
      <c r="N17">
        <v>9.6999999999999993</v>
      </c>
      <c r="O17">
        <f t="shared" si="1"/>
        <v>1</v>
      </c>
      <c r="P17">
        <f t="shared" si="2"/>
        <v>11</v>
      </c>
      <c r="Q17">
        <f t="shared" si="3"/>
        <v>0.19999999999999929</v>
      </c>
      <c r="R17">
        <f t="shared" si="4"/>
        <v>0.19999999999999929</v>
      </c>
      <c r="S17" s="7">
        <f t="shared" si="14"/>
        <v>0</v>
      </c>
      <c r="T17" s="5" t="str">
        <f t="shared" si="5"/>
        <v/>
      </c>
      <c r="U17">
        <f t="shared" si="6"/>
        <v>9.1999999999999993</v>
      </c>
      <c r="V17">
        <v>36</v>
      </c>
      <c r="W17">
        <v>0</v>
      </c>
      <c r="X17">
        <f t="shared" si="7"/>
        <v>36</v>
      </c>
      <c r="Y17">
        <f t="shared" si="8"/>
        <v>0</v>
      </c>
      <c r="Z17">
        <f t="shared" si="9"/>
        <v>0</v>
      </c>
      <c r="AA17">
        <f t="shared" si="10"/>
        <v>0</v>
      </c>
      <c r="AB17" t="str">
        <f t="shared" si="11"/>
        <v>RHZB</v>
      </c>
      <c r="AC17">
        <f t="shared" si="12"/>
        <v>36</v>
      </c>
      <c r="AD17">
        <f t="shared" si="13"/>
        <v>5.25</v>
      </c>
    </row>
    <row r="18" spans="13:30" x14ac:dyDescent="0.25">
      <c r="M18">
        <v>8.9</v>
      </c>
      <c r="N18">
        <v>9.8000000000000007</v>
      </c>
      <c r="O18">
        <f t="shared" si="1"/>
        <v>0.90000000000000036</v>
      </c>
      <c r="P18">
        <f t="shared" si="2"/>
        <v>10</v>
      </c>
      <c r="Q18">
        <f t="shared" si="3"/>
        <v>0.20000000000000107</v>
      </c>
      <c r="R18">
        <f t="shared" si="4"/>
        <v>0.10000000000000142</v>
      </c>
      <c r="S18" s="7">
        <f t="shared" si="14"/>
        <v>67</v>
      </c>
      <c r="T18" s="5" t="str">
        <f t="shared" si="5"/>
        <v/>
      </c>
      <c r="U18">
        <f t="shared" si="6"/>
        <v>9.3500000000000014</v>
      </c>
      <c r="V18">
        <v>36</v>
      </c>
      <c r="W18">
        <v>0</v>
      </c>
      <c r="X18">
        <f t="shared" si="7"/>
        <v>36</v>
      </c>
      <c r="Y18">
        <f t="shared" si="8"/>
        <v>0</v>
      </c>
      <c r="Z18">
        <f t="shared" si="9"/>
        <v>0</v>
      </c>
      <c r="AA18">
        <f t="shared" si="10"/>
        <v>0</v>
      </c>
      <c r="AB18" t="str">
        <f t="shared" si="11"/>
        <v>RHZB</v>
      </c>
      <c r="AC18">
        <f t="shared" si="12"/>
        <v>36</v>
      </c>
      <c r="AD18">
        <f t="shared" si="13"/>
        <v>5.34</v>
      </c>
    </row>
    <row r="19" spans="13:30" x14ac:dyDescent="0.25">
      <c r="M19">
        <v>8.9</v>
      </c>
      <c r="N19">
        <v>9.6</v>
      </c>
      <c r="O19">
        <f t="shared" si="1"/>
        <v>0.69999999999999929</v>
      </c>
      <c r="P19">
        <f t="shared" si="2"/>
        <v>8</v>
      </c>
      <c r="Q19">
        <f t="shared" si="3"/>
        <v>0</v>
      </c>
      <c r="R19">
        <f t="shared" si="4"/>
        <v>0.20000000000000107</v>
      </c>
      <c r="S19" s="7">
        <f t="shared" si="14"/>
        <v>200</v>
      </c>
      <c r="T19" s="5" t="str">
        <f t="shared" si="5"/>
        <v/>
      </c>
      <c r="U19">
        <f t="shared" si="6"/>
        <v>9.25</v>
      </c>
      <c r="V19">
        <v>35</v>
      </c>
      <c r="W19">
        <v>0</v>
      </c>
      <c r="X19">
        <f t="shared" si="7"/>
        <v>35</v>
      </c>
      <c r="Y19">
        <f t="shared" si="8"/>
        <v>1</v>
      </c>
      <c r="Z19">
        <f t="shared" si="9"/>
        <v>0</v>
      </c>
      <c r="AA19">
        <f t="shared" si="10"/>
        <v>1</v>
      </c>
      <c r="AB19" t="str">
        <f t="shared" si="11"/>
        <v>RHZB</v>
      </c>
      <c r="AC19">
        <f t="shared" si="12"/>
        <v>35</v>
      </c>
      <c r="AD19">
        <f t="shared" si="13"/>
        <v>5.35</v>
      </c>
    </row>
    <row r="20" spans="13:30" x14ac:dyDescent="0.25">
      <c r="M20">
        <v>8.9</v>
      </c>
      <c r="N20">
        <v>9.9</v>
      </c>
      <c r="O20">
        <f t="shared" si="1"/>
        <v>1</v>
      </c>
      <c r="P20">
        <f t="shared" si="2"/>
        <v>11</v>
      </c>
      <c r="Q20">
        <f t="shared" si="3"/>
        <v>0</v>
      </c>
      <c r="R20">
        <f t="shared" si="4"/>
        <v>0.30000000000000071</v>
      </c>
      <c r="S20" s="7">
        <f t="shared" si="14"/>
        <v>200</v>
      </c>
      <c r="T20" s="5" t="str">
        <f t="shared" si="5"/>
        <v/>
      </c>
      <c r="U20">
        <f t="shared" si="6"/>
        <v>9.4</v>
      </c>
      <c r="V20">
        <v>37</v>
      </c>
      <c r="W20">
        <v>0</v>
      </c>
      <c r="X20">
        <f t="shared" si="7"/>
        <v>37</v>
      </c>
      <c r="Y20">
        <f t="shared" si="8"/>
        <v>2</v>
      </c>
      <c r="Z20">
        <f t="shared" si="9"/>
        <v>0</v>
      </c>
      <c r="AA20">
        <f t="shared" si="10"/>
        <v>2</v>
      </c>
      <c r="AB20" t="str">
        <f t="shared" si="11"/>
        <v>RHZB</v>
      </c>
      <c r="AC20">
        <f t="shared" si="12"/>
        <v>37</v>
      </c>
      <c r="AD20">
        <f t="shared" si="13"/>
        <v>5.3</v>
      </c>
    </row>
    <row r="21" spans="13:30" x14ac:dyDescent="0.25">
      <c r="M21">
        <v>8.9</v>
      </c>
      <c r="N21">
        <v>10.1</v>
      </c>
      <c r="O21">
        <f t="shared" si="1"/>
        <v>1.1999999999999993</v>
      </c>
      <c r="P21">
        <f t="shared" si="2"/>
        <v>13</v>
      </c>
      <c r="Q21">
        <f t="shared" si="3"/>
        <v>0</v>
      </c>
      <c r="R21">
        <f t="shared" si="4"/>
        <v>0.19999999999999929</v>
      </c>
      <c r="S21" s="7">
        <f t="shared" si="14"/>
        <v>200</v>
      </c>
      <c r="T21" s="5" t="str">
        <f t="shared" si="5"/>
        <v/>
      </c>
      <c r="U21">
        <f t="shared" si="6"/>
        <v>9.5</v>
      </c>
      <c r="V21">
        <v>37</v>
      </c>
      <c r="W21">
        <v>0</v>
      </c>
      <c r="X21">
        <f t="shared" si="7"/>
        <v>37</v>
      </c>
      <c r="Y21">
        <f t="shared" si="8"/>
        <v>0</v>
      </c>
      <c r="Z21">
        <f t="shared" si="9"/>
        <v>0</v>
      </c>
      <c r="AA21">
        <f t="shared" si="10"/>
        <v>0</v>
      </c>
      <c r="AB21" t="str">
        <f t="shared" si="11"/>
        <v>RHZB</v>
      </c>
      <c r="AC21">
        <f t="shared" si="12"/>
        <v>37</v>
      </c>
      <c r="AD21">
        <f t="shared" si="13"/>
        <v>5.37</v>
      </c>
    </row>
    <row r="22" spans="13:30" x14ac:dyDescent="0.25">
      <c r="M22">
        <v>8.8000000000000007</v>
      </c>
      <c r="N22">
        <v>10</v>
      </c>
      <c r="O22">
        <f t="shared" si="1"/>
        <v>1.1999999999999993</v>
      </c>
      <c r="P22">
        <f t="shared" si="2"/>
        <v>13</v>
      </c>
      <c r="Q22">
        <f t="shared" si="3"/>
        <v>9.9999999999999645E-2</v>
      </c>
      <c r="R22">
        <f t="shared" si="4"/>
        <v>9.9999999999999645E-2</v>
      </c>
      <c r="S22" s="7">
        <f t="shared" si="14"/>
        <v>0</v>
      </c>
      <c r="T22" s="5" t="str">
        <f t="shared" si="5"/>
        <v/>
      </c>
      <c r="U22">
        <f t="shared" si="6"/>
        <v>9.4</v>
      </c>
      <c r="V22">
        <v>37</v>
      </c>
      <c r="W22">
        <v>0</v>
      </c>
      <c r="X22">
        <f t="shared" si="7"/>
        <v>37</v>
      </c>
      <c r="Y22">
        <f t="shared" si="8"/>
        <v>0</v>
      </c>
      <c r="Z22">
        <f t="shared" si="9"/>
        <v>0</v>
      </c>
      <c r="AA22">
        <f t="shared" si="10"/>
        <v>0</v>
      </c>
      <c r="AB22" t="str">
        <f t="shared" si="11"/>
        <v>RHZB</v>
      </c>
      <c r="AC22">
        <f t="shared" si="12"/>
        <v>37</v>
      </c>
      <c r="AD22">
        <f t="shared" si="13"/>
        <v>5.3</v>
      </c>
    </row>
    <row r="23" spans="13:30" x14ac:dyDescent="0.25">
      <c r="M23">
        <v>9</v>
      </c>
      <c r="N23">
        <v>10</v>
      </c>
      <c r="O23">
        <f t="shared" si="1"/>
        <v>1</v>
      </c>
      <c r="P23">
        <f t="shared" si="2"/>
        <v>11</v>
      </c>
      <c r="Q23">
        <f t="shared" si="3"/>
        <v>0.19999999999999929</v>
      </c>
      <c r="R23">
        <f t="shared" si="4"/>
        <v>0</v>
      </c>
      <c r="S23" s="7">
        <f t="shared" si="14"/>
        <v>200</v>
      </c>
      <c r="T23" s="5" t="str">
        <f t="shared" si="5"/>
        <v/>
      </c>
      <c r="U23">
        <f t="shared" si="6"/>
        <v>9.5</v>
      </c>
      <c r="V23">
        <v>38</v>
      </c>
      <c r="W23">
        <v>0</v>
      </c>
      <c r="X23">
        <f t="shared" si="7"/>
        <v>38</v>
      </c>
      <c r="Y23">
        <f t="shared" si="8"/>
        <v>1</v>
      </c>
      <c r="Z23">
        <f t="shared" si="9"/>
        <v>0</v>
      </c>
      <c r="AA23">
        <f t="shared" si="10"/>
        <v>1</v>
      </c>
      <c r="AB23" t="str">
        <f t="shared" si="11"/>
        <v>RHZB</v>
      </c>
      <c r="AC23">
        <f t="shared" si="12"/>
        <v>38</v>
      </c>
      <c r="AD23">
        <f t="shared" si="13"/>
        <v>5.3</v>
      </c>
    </row>
    <row r="24" spans="13:30" x14ac:dyDescent="0.25">
      <c r="M24">
        <v>9.1</v>
      </c>
      <c r="N24">
        <v>10.1</v>
      </c>
      <c r="O24">
        <f t="shared" si="1"/>
        <v>1</v>
      </c>
      <c r="P24">
        <f t="shared" si="2"/>
        <v>10</v>
      </c>
      <c r="Q24">
        <f t="shared" si="3"/>
        <v>9.9999999999999645E-2</v>
      </c>
      <c r="R24">
        <f t="shared" si="4"/>
        <v>9.9999999999999645E-2</v>
      </c>
      <c r="S24" s="7">
        <f t="shared" si="14"/>
        <v>0</v>
      </c>
      <c r="T24" s="5" t="str">
        <f t="shared" si="5"/>
        <v/>
      </c>
      <c r="U24">
        <f t="shared" si="6"/>
        <v>9.6</v>
      </c>
      <c r="V24">
        <v>37</v>
      </c>
      <c r="W24">
        <v>0</v>
      </c>
      <c r="X24">
        <f t="shared" si="7"/>
        <v>37</v>
      </c>
      <c r="Y24">
        <f t="shared" si="8"/>
        <v>1</v>
      </c>
      <c r="Z24">
        <f t="shared" si="9"/>
        <v>0</v>
      </c>
      <c r="AA24">
        <f t="shared" si="10"/>
        <v>1</v>
      </c>
      <c r="AB24" t="str">
        <f t="shared" si="11"/>
        <v>RHZB</v>
      </c>
      <c r="AC24">
        <f t="shared" si="12"/>
        <v>37</v>
      </c>
      <c r="AD24">
        <f t="shared" si="13"/>
        <v>5.43</v>
      </c>
    </row>
    <row r="25" spans="13:30" x14ac:dyDescent="0.25">
      <c r="M25">
        <v>8.9</v>
      </c>
      <c r="N25">
        <v>10</v>
      </c>
      <c r="O25">
        <f t="shared" si="1"/>
        <v>1.0999999999999996</v>
      </c>
      <c r="P25">
        <f t="shared" si="2"/>
        <v>12</v>
      </c>
      <c r="Q25">
        <f t="shared" si="3"/>
        <v>0.19999999999999929</v>
      </c>
      <c r="R25">
        <f t="shared" si="4"/>
        <v>9.9999999999999645E-2</v>
      </c>
      <c r="S25" s="7">
        <f t="shared" si="14"/>
        <v>67</v>
      </c>
      <c r="T25" s="5" t="str">
        <f t="shared" si="5"/>
        <v/>
      </c>
      <c r="U25">
        <f t="shared" si="6"/>
        <v>9.4499999999999993</v>
      </c>
      <c r="V25">
        <v>38</v>
      </c>
      <c r="W25">
        <v>0</v>
      </c>
      <c r="X25">
        <f t="shared" si="7"/>
        <v>38</v>
      </c>
      <c r="Y25">
        <f t="shared" si="8"/>
        <v>1</v>
      </c>
      <c r="Z25">
        <f t="shared" si="9"/>
        <v>0</v>
      </c>
      <c r="AA25">
        <f t="shared" si="10"/>
        <v>1</v>
      </c>
      <c r="AB25" t="str">
        <f t="shared" si="11"/>
        <v>RHZB</v>
      </c>
      <c r="AC25">
        <f t="shared" si="12"/>
        <v>38</v>
      </c>
      <c r="AD25">
        <f t="shared" si="13"/>
        <v>5.26</v>
      </c>
    </row>
    <row r="26" spans="13:30" x14ac:dyDescent="0.25">
      <c r="M26">
        <v>9</v>
      </c>
      <c r="N26">
        <v>10.4</v>
      </c>
      <c r="O26">
        <f t="shared" si="1"/>
        <v>1.4000000000000004</v>
      </c>
      <c r="P26">
        <f t="shared" si="2"/>
        <v>14</v>
      </c>
      <c r="Q26">
        <f t="shared" si="3"/>
        <v>9.9999999999999645E-2</v>
      </c>
      <c r="R26">
        <f t="shared" si="4"/>
        <v>0.40000000000000036</v>
      </c>
      <c r="S26" s="7">
        <f t="shared" si="14"/>
        <v>120</v>
      </c>
      <c r="T26" s="5" t="str">
        <f t="shared" si="5"/>
        <v/>
      </c>
      <c r="U26">
        <f t="shared" si="6"/>
        <v>9.6999999999999993</v>
      </c>
      <c r="V26">
        <v>38</v>
      </c>
      <c r="W26">
        <v>0</v>
      </c>
      <c r="X26">
        <f t="shared" si="7"/>
        <v>38</v>
      </c>
      <c r="Y26">
        <f t="shared" si="8"/>
        <v>0</v>
      </c>
      <c r="Z26">
        <f t="shared" si="9"/>
        <v>0</v>
      </c>
      <c r="AA26">
        <f t="shared" si="10"/>
        <v>0</v>
      </c>
      <c r="AB26" t="str">
        <f t="shared" si="11"/>
        <v>RHZB</v>
      </c>
      <c r="AC26">
        <f t="shared" si="12"/>
        <v>38</v>
      </c>
      <c r="AD26">
        <f t="shared" si="13"/>
        <v>5.42</v>
      </c>
    </row>
    <row r="27" spans="13:30" x14ac:dyDescent="0.25">
      <c r="M27">
        <v>9.1999999999999993</v>
      </c>
      <c r="N27">
        <v>10.4</v>
      </c>
      <c r="O27">
        <f t="shared" si="1"/>
        <v>1.2000000000000011</v>
      </c>
      <c r="P27">
        <f t="shared" si="2"/>
        <v>12</v>
      </c>
      <c r="Q27">
        <f t="shared" si="3"/>
        <v>0.19999999999999929</v>
      </c>
      <c r="R27">
        <f t="shared" si="4"/>
        <v>0</v>
      </c>
      <c r="S27" s="7">
        <f t="shared" si="14"/>
        <v>200</v>
      </c>
      <c r="T27" s="5" t="str">
        <f t="shared" si="5"/>
        <v/>
      </c>
      <c r="U27">
        <f t="shared" si="6"/>
        <v>9.8000000000000007</v>
      </c>
      <c r="V27">
        <v>40</v>
      </c>
      <c r="W27">
        <v>0</v>
      </c>
      <c r="X27">
        <f t="shared" si="7"/>
        <v>40</v>
      </c>
      <c r="Y27">
        <f t="shared" si="8"/>
        <v>2</v>
      </c>
      <c r="Z27">
        <f t="shared" si="9"/>
        <v>0</v>
      </c>
      <c r="AA27">
        <f t="shared" si="10"/>
        <v>2</v>
      </c>
      <c r="AB27" t="str">
        <f t="shared" si="11"/>
        <v>RHZB</v>
      </c>
      <c r="AC27">
        <f t="shared" si="12"/>
        <v>40</v>
      </c>
      <c r="AD27">
        <f t="shared" si="13"/>
        <v>5.34</v>
      </c>
    </row>
    <row r="28" spans="13:30" x14ac:dyDescent="0.25">
      <c r="M28">
        <v>9.5</v>
      </c>
      <c r="N28">
        <v>10.6</v>
      </c>
      <c r="O28">
        <f t="shared" si="1"/>
        <v>1.0999999999999996</v>
      </c>
      <c r="P28">
        <f t="shared" si="2"/>
        <v>11</v>
      </c>
      <c r="Q28">
        <f t="shared" si="3"/>
        <v>0.30000000000000071</v>
      </c>
      <c r="R28">
        <f t="shared" si="4"/>
        <v>0.19999999999999929</v>
      </c>
      <c r="S28" s="7">
        <f t="shared" si="14"/>
        <v>40</v>
      </c>
      <c r="T28" s="5" t="str">
        <f t="shared" si="5"/>
        <v/>
      </c>
      <c r="U28">
        <f t="shared" si="6"/>
        <v>10.050000000000001</v>
      </c>
      <c r="V28">
        <v>39</v>
      </c>
      <c r="W28">
        <v>0</v>
      </c>
      <c r="X28">
        <f t="shared" si="7"/>
        <v>39</v>
      </c>
      <c r="Y28">
        <f t="shared" si="8"/>
        <v>1</v>
      </c>
      <c r="Z28">
        <f t="shared" si="9"/>
        <v>0</v>
      </c>
      <c r="AA28">
        <f t="shared" si="10"/>
        <v>1</v>
      </c>
      <c r="AB28" t="str">
        <f t="shared" si="11"/>
        <v>RHZB</v>
      </c>
      <c r="AC28">
        <f t="shared" si="12"/>
        <v>39</v>
      </c>
      <c r="AD28">
        <f t="shared" si="13"/>
        <v>5.56</v>
      </c>
    </row>
    <row r="29" spans="13:30" x14ac:dyDescent="0.25">
      <c r="M29">
        <v>9.9</v>
      </c>
      <c r="N29">
        <v>11.2</v>
      </c>
      <c r="O29">
        <f t="shared" si="1"/>
        <v>1.2999999999999989</v>
      </c>
      <c r="P29">
        <f t="shared" si="2"/>
        <v>12</v>
      </c>
      <c r="Q29">
        <f t="shared" si="3"/>
        <v>0.40000000000000036</v>
      </c>
      <c r="R29">
        <f t="shared" si="4"/>
        <v>0.59999999999999964</v>
      </c>
      <c r="S29" s="7">
        <f t="shared" si="14"/>
        <v>40</v>
      </c>
      <c r="T29" s="5" t="str">
        <f t="shared" si="5"/>
        <v/>
      </c>
      <c r="U29">
        <f t="shared" si="6"/>
        <v>10.55</v>
      </c>
      <c r="V29">
        <v>40</v>
      </c>
      <c r="W29">
        <v>0</v>
      </c>
      <c r="X29">
        <f t="shared" si="7"/>
        <v>40</v>
      </c>
      <c r="Y29">
        <f t="shared" si="8"/>
        <v>1</v>
      </c>
      <c r="Z29">
        <f t="shared" si="9"/>
        <v>0</v>
      </c>
      <c r="AA29">
        <f t="shared" si="10"/>
        <v>1</v>
      </c>
      <c r="AB29" t="str">
        <f t="shared" si="11"/>
        <v>RHZB</v>
      </c>
      <c r="AC29">
        <f t="shared" si="12"/>
        <v>40</v>
      </c>
      <c r="AD29">
        <f t="shared" si="13"/>
        <v>5.8</v>
      </c>
    </row>
    <row r="30" spans="13:30" x14ac:dyDescent="0.25">
      <c r="M30">
        <v>10.6</v>
      </c>
      <c r="N30">
        <v>12.1</v>
      </c>
      <c r="O30">
        <f t="shared" si="1"/>
        <v>1.5</v>
      </c>
      <c r="P30">
        <f t="shared" si="2"/>
        <v>13</v>
      </c>
      <c r="Q30">
        <f t="shared" si="3"/>
        <v>0.69999999999999929</v>
      </c>
      <c r="R30">
        <f t="shared" si="4"/>
        <v>0.90000000000000036</v>
      </c>
      <c r="S30" s="7">
        <f t="shared" si="14"/>
        <v>25</v>
      </c>
      <c r="T30" s="5" t="str">
        <f t="shared" si="5"/>
        <v/>
      </c>
      <c r="U30">
        <f t="shared" si="6"/>
        <v>11.35</v>
      </c>
      <c r="V30">
        <v>40</v>
      </c>
      <c r="W30">
        <v>0</v>
      </c>
      <c r="X30">
        <f t="shared" si="7"/>
        <v>40</v>
      </c>
      <c r="Y30">
        <f t="shared" si="8"/>
        <v>0</v>
      </c>
      <c r="Z30">
        <f t="shared" si="9"/>
        <v>0</v>
      </c>
      <c r="AA30">
        <f t="shared" si="10"/>
        <v>0</v>
      </c>
      <c r="AB30" t="str">
        <f t="shared" si="11"/>
        <v>RHZB</v>
      </c>
      <c r="AC30">
        <f t="shared" si="12"/>
        <v>40</v>
      </c>
      <c r="AD30">
        <f t="shared" si="13"/>
        <v>6.28</v>
      </c>
    </row>
    <row r="31" spans="13:30" x14ac:dyDescent="0.25">
      <c r="M31">
        <v>10.7</v>
      </c>
      <c r="N31">
        <v>12.1</v>
      </c>
      <c r="O31">
        <f t="shared" si="1"/>
        <v>1.4000000000000004</v>
      </c>
      <c r="P31">
        <f t="shared" si="2"/>
        <v>12</v>
      </c>
      <c r="Q31">
        <f t="shared" si="3"/>
        <v>9.9999999999999645E-2</v>
      </c>
      <c r="R31">
        <f t="shared" si="4"/>
        <v>0</v>
      </c>
      <c r="S31" s="7">
        <f t="shared" si="14"/>
        <v>200</v>
      </c>
      <c r="T31" s="5" t="str">
        <f t="shared" si="5"/>
        <v/>
      </c>
      <c r="U31">
        <f t="shared" si="6"/>
        <v>11.399999999999999</v>
      </c>
      <c r="V31">
        <v>40</v>
      </c>
      <c r="W31">
        <v>0</v>
      </c>
      <c r="X31">
        <f t="shared" si="7"/>
        <v>40</v>
      </c>
      <c r="Y31">
        <f t="shared" si="8"/>
        <v>0</v>
      </c>
      <c r="Z31">
        <f t="shared" si="9"/>
        <v>0</v>
      </c>
      <c r="AA31">
        <f t="shared" si="10"/>
        <v>0</v>
      </c>
      <c r="AB31" t="str">
        <f t="shared" si="11"/>
        <v>RHZB</v>
      </c>
      <c r="AC31">
        <f t="shared" si="12"/>
        <v>40</v>
      </c>
      <c r="AD31">
        <f t="shared" si="13"/>
        <v>6.31</v>
      </c>
    </row>
    <row r="32" spans="13:30" x14ac:dyDescent="0.25">
      <c r="M32">
        <v>10.6</v>
      </c>
      <c r="N32">
        <v>12.2</v>
      </c>
      <c r="O32">
        <f t="shared" si="1"/>
        <v>1.5999999999999996</v>
      </c>
      <c r="P32">
        <f t="shared" si="2"/>
        <v>14</v>
      </c>
      <c r="Q32">
        <f t="shared" si="3"/>
        <v>9.9999999999999645E-2</v>
      </c>
      <c r="R32">
        <f t="shared" si="4"/>
        <v>9.9999999999999645E-2</v>
      </c>
      <c r="S32" s="7">
        <f t="shared" si="14"/>
        <v>0</v>
      </c>
      <c r="T32" s="5" t="str">
        <f t="shared" si="5"/>
        <v/>
      </c>
      <c r="U32">
        <f t="shared" si="6"/>
        <v>11.399999999999999</v>
      </c>
      <c r="V32">
        <v>40</v>
      </c>
      <c r="W32">
        <v>0</v>
      </c>
      <c r="X32">
        <f t="shared" si="7"/>
        <v>40</v>
      </c>
      <c r="Y32">
        <f t="shared" si="8"/>
        <v>0</v>
      </c>
      <c r="Z32">
        <f t="shared" si="9"/>
        <v>0</v>
      </c>
      <c r="AA32">
        <f t="shared" si="10"/>
        <v>0</v>
      </c>
      <c r="AB32" t="str">
        <f t="shared" si="11"/>
        <v>RHZB</v>
      </c>
      <c r="AC32">
        <f t="shared" si="12"/>
        <v>40</v>
      </c>
      <c r="AD32">
        <f t="shared" si="13"/>
        <v>6.31</v>
      </c>
    </row>
    <row r="33" spans="13:30" x14ac:dyDescent="0.25">
      <c r="M33">
        <v>10.7</v>
      </c>
      <c r="N33">
        <v>12.1</v>
      </c>
      <c r="O33">
        <f t="shared" si="1"/>
        <v>1.4000000000000004</v>
      </c>
      <c r="P33">
        <f t="shared" si="2"/>
        <v>12</v>
      </c>
      <c r="Q33">
        <f t="shared" si="3"/>
        <v>9.9999999999999645E-2</v>
      </c>
      <c r="R33">
        <f t="shared" si="4"/>
        <v>9.9999999999999645E-2</v>
      </c>
      <c r="S33" s="7">
        <f t="shared" si="14"/>
        <v>0</v>
      </c>
      <c r="T33" s="5" t="str">
        <f t="shared" si="5"/>
        <v/>
      </c>
      <c r="U33">
        <f t="shared" si="6"/>
        <v>11.399999999999999</v>
      </c>
      <c r="V33">
        <v>40</v>
      </c>
      <c r="W33">
        <v>0</v>
      </c>
      <c r="X33">
        <f t="shared" si="7"/>
        <v>40</v>
      </c>
      <c r="Y33">
        <f t="shared" si="8"/>
        <v>0</v>
      </c>
      <c r="Z33">
        <f t="shared" si="9"/>
        <v>0</v>
      </c>
      <c r="AA33">
        <f t="shared" si="10"/>
        <v>0</v>
      </c>
      <c r="AB33" t="str">
        <f t="shared" si="11"/>
        <v>RHZB</v>
      </c>
      <c r="AC33">
        <f t="shared" si="12"/>
        <v>40</v>
      </c>
      <c r="AD33">
        <f t="shared" si="13"/>
        <v>6.31</v>
      </c>
    </row>
    <row r="34" spans="13:30" x14ac:dyDescent="0.25">
      <c r="M34">
        <v>10.9</v>
      </c>
      <c r="N34">
        <v>12.4</v>
      </c>
      <c r="O34">
        <f t="shared" si="1"/>
        <v>1.5</v>
      </c>
      <c r="P34">
        <f t="shared" si="2"/>
        <v>13</v>
      </c>
      <c r="Q34">
        <f t="shared" si="3"/>
        <v>0.20000000000000107</v>
      </c>
      <c r="R34">
        <f t="shared" si="4"/>
        <v>0.30000000000000071</v>
      </c>
      <c r="S34" s="7">
        <f t="shared" si="14"/>
        <v>40</v>
      </c>
      <c r="T34" s="5" t="str">
        <f t="shared" si="5"/>
        <v/>
      </c>
      <c r="U34">
        <f t="shared" si="6"/>
        <v>11.65</v>
      </c>
      <c r="V34">
        <v>41</v>
      </c>
      <c r="W34">
        <v>0</v>
      </c>
      <c r="X34">
        <f t="shared" si="7"/>
        <v>41</v>
      </c>
      <c r="Y34">
        <f t="shared" si="8"/>
        <v>1</v>
      </c>
      <c r="Z34">
        <f t="shared" si="9"/>
        <v>0</v>
      </c>
      <c r="AA34">
        <f t="shared" si="10"/>
        <v>1</v>
      </c>
      <c r="AB34" t="str">
        <f t="shared" si="11"/>
        <v>RHZB</v>
      </c>
      <c r="AC34">
        <f t="shared" si="12"/>
        <v>41</v>
      </c>
      <c r="AD34">
        <f t="shared" si="13"/>
        <v>6.4</v>
      </c>
    </row>
    <row r="35" spans="13:30" x14ac:dyDescent="0.25">
      <c r="M35">
        <v>10.8</v>
      </c>
      <c r="N35">
        <v>12.1</v>
      </c>
      <c r="O35">
        <f t="shared" si="1"/>
        <v>1.2999999999999989</v>
      </c>
      <c r="P35">
        <f t="shared" si="2"/>
        <v>11</v>
      </c>
      <c r="Q35">
        <f t="shared" si="3"/>
        <v>9.9999999999999645E-2</v>
      </c>
      <c r="R35">
        <f t="shared" si="4"/>
        <v>0.30000000000000071</v>
      </c>
      <c r="S35" s="7">
        <f t="shared" si="14"/>
        <v>100</v>
      </c>
      <c r="T35" s="5" t="str">
        <f t="shared" si="5"/>
        <v/>
      </c>
      <c r="U35">
        <f t="shared" si="6"/>
        <v>11.45</v>
      </c>
      <c r="V35">
        <v>41</v>
      </c>
      <c r="W35">
        <v>0</v>
      </c>
      <c r="X35">
        <f t="shared" si="7"/>
        <v>41</v>
      </c>
      <c r="Y35">
        <f t="shared" si="8"/>
        <v>0</v>
      </c>
      <c r="Z35">
        <f t="shared" si="9"/>
        <v>0</v>
      </c>
      <c r="AA35">
        <f t="shared" si="10"/>
        <v>0</v>
      </c>
      <c r="AB35" t="str">
        <f t="shared" si="11"/>
        <v>RHZB</v>
      </c>
      <c r="AC35">
        <f t="shared" si="12"/>
        <v>41</v>
      </c>
      <c r="AD35">
        <f t="shared" si="13"/>
        <v>6.27</v>
      </c>
    </row>
    <row r="36" spans="13:30" x14ac:dyDescent="0.25">
      <c r="M36">
        <v>11</v>
      </c>
      <c r="N36">
        <v>11.9</v>
      </c>
      <c r="O36">
        <f t="shared" si="1"/>
        <v>0.90000000000000036</v>
      </c>
      <c r="P36">
        <f t="shared" si="2"/>
        <v>8</v>
      </c>
      <c r="Q36">
        <f t="shared" si="3"/>
        <v>0.19999999999999929</v>
      </c>
      <c r="R36">
        <f t="shared" si="4"/>
        <v>0.19999999999999929</v>
      </c>
      <c r="S36" s="7">
        <f t="shared" si="14"/>
        <v>0</v>
      </c>
      <c r="T36" s="5" t="str">
        <f t="shared" si="5"/>
        <v/>
      </c>
      <c r="U36">
        <f t="shared" si="6"/>
        <v>11.45</v>
      </c>
      <c r="V36">
        <v>42</v>
      </c>
      <c r="W36">
        <v>0</v>
      </c>
      <c r="X36">
        <f t="shared" si="7"/>
        <v>42</v>
      </c>
      <c r="Y36">
        <f t="shared" si="8"/>
        <v>1</v>
      </c>
      <c r="Z36">
        <f t="shared" si="9"/>
        <v>0</v>
      </c>
      <c r="AA36">
        <f t="shared" si="10"/>
        <v>1</v>
      </c>
      <c r="AB36" t="str">
        <f t="shared" si="11"/>
        <v>RHZB</v>
      </c>
      <c r="AC36">
        <f t="shared" si="12"/>
        <v>42</v>
      </c>
      <c r="AD36">
        <f t="shared" si="13"/>
        <v>6.2</v>
      </c>
    </row>
    <row r="37" spans="13:30" x14ac:dyDescent="0.25">
      <c r="M37">
        <v>10.9</v>
      </c>
      <c r="N37">
        <v>12.2</v>
      </c>
      <c r="O37">
        <f t="shared" si="1"/>
        <v>1.2999999999999989</v>
      </c>
      <c r="P37">
        <f t="shared" si="2"/>
        <v>11</v>
      </c>
      <c r="Q37">
        <f t="shared" si="3"/>
        <v>9.9999999999999645E-2</v>
      </c>
      <c r="R37">
        <f t="shared" si="4"/>
        <v>0.29999999999999893</v>
      </c>
      <c r="S37" s="7">
        <f t="shared" si="14"/>
        <v>100</v>
      </c>
      <c r="T37" s="5" t="str">
        <f t="shared" si="5"/>
        <v/>
      </c>
      <c r="U37">
        <f t="shared" si="6"/>
        <v>11.55</v>
      </c>
      <c r="V37">
        <v>42</v>
      </c>
      <c r="W37">
        <v>0</v>
      </c>
      <c r="X37">
        <f t="shared" si="7"/>
        <v>42</v>
      </c>
      <c r="Y37">
        <f t="shared" si="8"/>
        <v>0</v>
      </c>
      <c r="Z37">
        <f t="shared" si="9"/>
        <v>0</v>
      </c>
      <c r="AA37">
        <f t="shared" si="10"/>
        <v>0</v>
      </c>
      <c r="AB37" t="str">
        <f t="shared" si="11"/>
        <v>RHZB</v>
      </c>
      <c r="AC37">
        <f t="shared" si="12"/>
        <v>42</v>
      </c>
      <c r="AD37">
        <f t="shared" si="13"/>
        <v>6.27</v>
      </c>
    </row>
    <row r="38" spans="13:30" x14ac:dyDescent="0.25">
      <c r="M38">
        <v>10.8</v>
      </c>
      <c r="N38">
        <v>12.1</v>
      </c>
      <c r="O38">
        <f t="shared" si="1"/>
        <v>1.2999999999999989</v>
      </c>
      <c r="P38">
        <f t="shared" si="2"/>
        <v>11</v>
      </c>
      <c r="Q38">
        <f t="shared" si="3"/>
        <v>9.9999999999999645E-2</v>
      </c>
      <c r="R38">
        <f t="shared" si="4"/>
        <v>9.9999999999999645E-2</v>
      </c>
      <c r="S38" s="7">
        <f t="shared" si="14"/>
        <v>0</v>
      </c>
      <c r="T38" s="5" t="str">
        <f t="shared" si="5"/>
        <v/>
      </c>
      <c r="U38">
        <f t="shared" si="6"/>
        <v>11.45</v>
      </c>
      <c r="V38">
        <v>43</v>
      </c>
      <c r="W38">
        <v>0</v>
      </c>
      <c r="X38">
        <f t="shared" si="7"/>
        <v>43</v>
      </c>
      <c r="Y38">
        <f t="shared" si="8"/>
        <v>1</v>
      </c>
      <c r="Z38">
        <f t="shared" si="9"/>
        <v>0</v>
      </c>
      <c r="AA38">
        <f t="shared" si="10"/>
        <v>1</v>
      </c>
      <c r="AB38" t="str">
        <f t="shared" si="11"/>
        <v>RHZB</v>
      </c>
      <c r="AC38">
        <f t="shared" si="12"/>
        <v>43</v>
      </c>
      <c r="AD38">
        <f t="shared" si="13"/>
        <v>6.13</v>
      </c>
    </row>
    <row r="39" spans="13:30" x14ac:dyDescent="0.25">
      <c r="M39">
        <v>10.9</v>
      </c>
      <c r="N39">
        <v>12.2</v>
      </c>
      <c r="O39">
        <f t="shared" si="1"/>
        <v>1.2999999999999989</v>
      </c>
      <c r="P39">
        <f t="shared" si="2"/>
        <v>11</v>
      </c>
      <c r="Q39">
        <f t="shared" si="3"/>
        <v>9.9999999999999645E-2</v>
      </c>
      <c r="R39">
        <f t="shared" si="4"/>
        <v>9.9999999999999645E-2</v>
      </c>
      <c r="S39" s="7">
        <f t="shared" si="14"/>
        <v>0</v>
      </c>
      <c r="T39" s="5" t="str">
        <f t="shared" si="5"/>
        <v/>
      </c>
      <c r="U39">
        <f t="shared" si="6"/>
        <v>11.55</v>
      </c>
      <c r="V39">
        <v>43</v>
      </c>
      <c r="W39">
        <v>0</v>
      </c>
      <c r="X39">
        <f t="shared" si="7"/>
        <v>43</v>
      </c>
      <c r="Y39">
        <f t="shared" si="8"/>
        <v>0</v>
      </c>
      <c r="Z39">
        <f t="shared" si="9"/>
        <v>0</v>
      </c>
      <c r="AA39">
        <f t="shared" si="10"/>
        <v>0</v>
      </c>
      <c r="AB39" t="str">
        <f t="shared" si="11"/>
        <v>RHZB</v>
      </c>
      <c r="AC39">
        <f t="shared" si="12"/>
        <v>43</v>
      </c>
      <c r="AD39">
        <f t="shared" si="13"/>
        <v>6.2</v>
      </c>
    </row>
    <row r="40" spans="13:30" x14ac:dyDescent="0.25">
      <c r="M40">
        <v>11.3</v>
      </c>
      <c r="N40">
        <v>12.2</v>
      </c>
      <c r="O40">
        <f t="shared" si="1"/>
        <v>0.89999999999999858</v>
      </c>
      <c r="P40">
        <f t="shared" si="2"/>
        <v>8</v>
      </c>
      <c r="Q40">
        <f t="shared" si="3"/>
        <v>0.40000000000000036</v>
      </c>
      <c r="R40">
        <f t="shared" si="4"/>
        <v>0</v>
      </c>
      <c r="S40" s="7">
        <f t="shared" si="14"/>
        <v>200</v>
      </c>
      <c r="T40" s="5" t="str">
        <f t="shared" si="5"/>
        <v/>
      </c>
      <c r="U40">
        <f t="shared" si="6"/>
        <v>11.75</v>
      </c>
      <c r="V40">
        <v>44</v>
      </c>
      <c r="W40">
        <v>0</v>
      </c>
      <c r="X40">
        <f t="shared" si="7"/>
        <v>44</v>
      </c>
      <c r="Y40">
        <f t="shared" si="8"/>
        <v>1</v>
      </c>
      <c r="Z40">
        <f t="shared" si="9"/>
        <v>0</v>
      </c>
      <c r="AA40">
        <f t="shared" si="10"/>
        <v>1</v>
      </c>
      <c r="AB40" t="str">
        <f t="shared" si="11"/>
        <v>RHZB</v>
      </c>
      <c r="AC40">
        <f t="shared" si="12"/>
        <v>44</v>
      </c>
      <c r="AD40">
        <f t="shared" si="13"/>
        <v>6.25</v>
      </c>
    </row>
    <row r="41" spans="13:30" x14ac:dyDescent="0.25">
      <c r="M41">
        <v>11.4</v>
      </c>
      <c r="N41">
        <v>12.4</v>
      </c>
      <c r="O41">
        <f t="shared" si="1"/>
        <v>1</v>
      </c>
      <c r="P41">
        <f t="shared" si="2"/>
        <v>8</v>
      </c>
      <c r="Q41">
        <f t="shared" si="3"/>
        <v>9.9999999999999645E-2</v>
      </c>
      <c r="R41">
        <f t="shared" si="4"/>
        <v>0.20000000000000107</v>
      </c>
      <c r="S41" s="7">
        <f t="shared" si="14"/>
        <v>67</v>
      </c>
      <c r="T41" s="5" t="str">
        <f t="shared" si="5"/>
        <v/>
      </c>
      <c r="U41">
        <f t="shared" si="6"/>
        <v>11.9</v>
      </c>
      <c r="V41">
        <v>45</v>
      </c>
      <c r="W41">
        <v>0</v>
      </c>
      <c r="X41">
        <f t="shared" si="7"/>
        <v>45</v>
      </c>
      <c r="Y41">
        <f t="shared" si="8"/>
        <v>1</v>
      </c>
      <c r="Z41">
        <f t="shared" si="9"/>
        <v>0</v>
      </c>
      <c r="AA41">
        <f t="shared" si="10"/>
        <v>1</v>
      </c>
      <c r="AB41" t="str">
        <f t="shared" si="11"/>
        <v>RHZB</v>
      </c>
      <c r="AC41">
        <f t="shared" si="12"/>
        <v>45</v>
      </c>
      <c r="AD41">
        <f t="shared" si="13"/>
        <v>6.27</v>
      </c>
    </row>
    <row r="42" spans="13:30" x14ac:dyDescent="0.25">
      <c r="M42">
        <v>11.3</v>
      </c>
      <c r="N42">
        <v>12.6</v>
      </c>
      <c r="O42">
        <f t="shared" si="1"/>
        <v>1.2999999999999989</v>
      </c>
      <c r="P42">
        <f t="shared" si="2"/>
        <v>11</v>
      </c>
      <c r="Q42">
        <f t="shared" si="3"/>
        <v>9.9999999999999645E-2</v>
      </c>
      <c r="R42">
        <f t="shared" si="4"/>
        <v>0.19999999999999929</v>
      </c>
      <c r="S42" s="7">
        <f t="shared" si="14"/>
        <v>67</v>
      </c>
      <c r="T42" s="5" t="str">
        <f t="shared" si="5"/>
        <v/>
      </c>
      <c r="U42">
        <f t="shared" si="6"/>
        <v>11.95</v>
      </c>
      <c r="V42">
        <v>45</v>
      </c>
      <c r="W42">
        <v>0</v>
      </c>
      <c r="X42">
        <f t="shared" si="7"/>
        <v>45</v>
      </c>
      <c r="Y42">
        <f t="shared" si="8"/>
        <v>0</v>
      </c>
      <c r="Z42">
        <f t="shared" si="9"/>
        <v>0</v>
      </c>
      <c r="AA42">
        <f t="shared" si="10"/>
        <v>0</v>
      </c>
      <c r="AB42" t="str">
        <f t="shared" si="11"/>
        <v>RHZB</v>
      </c>
      <c r="AC42">
        <f t="shared" si="12"/>
        <v>45</v>
      </c>
      <c r="AD42">
        <f t="shared" si="13"/>
        <v>6.3</v>
      </c>
    </row>
    <row r="43" spans="13:30" x14ac:dyDescent="0.25">
      <c r="M43">
        <v>11.1</v>
      </c>
      <c r="N43">
        <v>12.7</v>
      </c>
      <c r="O43">
        <f t="shared" si="1"/>
        <v>1.5999999999999996</v>
      </c>
      <c r="P43">
        <f t="shared" si="2"/>
        <v>13</v>
      </c>
      <c r="Q43">
        <f t="shared" si="3"/>
        <v>0.20000000000000107</v>
      </c>
      <c r="R43">
        <f t="shared" si="4"/>
        <v>9.9999999999999645E-2</v>
      </c>
      <c r="S43" s="7">
        <f t="shared" si="14"/>
        <v>67</v>
      </c>
      <c r="T43" s="5" t="str">
        <f t="shared" si="5"/>
        <v/>
      </c>
      <c r="U43">
        <f t="shared" si="6"/>
        <v>11.899999999999999</v>
      </c>
      <c r="V43">
        <v>45</v>
      </c>
      <c r="W43">
        <v>0</v>
      </c>
      <c r="X43">
        <f t="shared" si="7"/>
        <v>45</v>
      </c>
      <c r="Y43">
        <f t="shared" si="8"/>
        <v>0</v>
      </c>
      <c r="Z43">
        <f t="shared" si="9"/>
        <v>0</v>
      </c>
      <c r="AA43">
        <f t="shared" si="10"/>
        <v>0</v>
      </c>
      <c r="AB43" t="str">
        <f t="shared" si="11"/>
        <v>RHZB</v>
      </c>
      <c r="AC43">
        <f t="shared" si="12"/>
        <v>45</v>
      </c>
      <c r="AD43">
        <f t="shared" si="13"/>
        <v>6.27</v>
      </c>
    </row>
    <row r="44" spans="13:30" x14ac:dyDescent="0.25">
      <c r="M44">
        <v>11.2</v>
      </c>
      <c r="N44">
        <v>12.8</v>
      </c>
      <c r="O44">
        <f t="shared" si="1"/>
        <v>1.6000000000000014</v>
      </c>
      <c r="P44">
        <f t="shared" si="2"/>
        <v>13</v>
      </c>
      <c r="Q44">
        <f t="shared" si="3"/>
        <v>9.9999999999999645E-2</v>
      </c>
      <c r="R44">
        <f t="shared" si="4"/>
        <v>0.10000000000000142</v>
      </c>
      <c r="S44" s="7">
        <f t="shared" si="14"/>
        <v>0</v>
      </c>
      <c r="T44" s="5" t="str">
        <f t="shared" si="5"/>
        <v/>
      </c>
      <c r="U44">
        <f t="shared" si="6"/>
        <v>12</v>
      </c>
      <c r="V44">
        <v>46</v>
      </c>
      <c r="W44">
        <v>0</v>
      </c>
      <c r="X44">
        <f t="shared" si="7"/>
        <v>46</v>
      </c>
      <c r="Y44">
        <f t="shared" si="8"/>
        <v>1</v>
      </c>
      <c r="Z44">
        <f t="shared" si="9"/>
        <v>0</v>
      </c>
      <c r="AA44">
        <f t="shared" si="10"/>
        <v>1</v>
      </c>
      <c r="AB44" t="str">
        <f t="shared" si="11"/>
        <v>RHZB</v>
      </c>
      <c r="AC44">
        <f t="shared" si="12"/>
        <v>46</v>
      </c>
      <c r="AD44">
        <f t="shared" si="13"/>
        <v>6.26</v>
      </c>
    </row>
    <row r="45" spans="13:30" x14ac:dyDescent="0.25">
      <c r="M45">
        <v>11.3</v>
      </c>
      <c r="N45">
        <v>12.7</v>
      </c>
      <c r="O45">
        <f t="shared" si="1"/>
        <v>1.3999999999999986</v>
      </c>
      <c r="P45">
        <f t="shared" si="2"/>
        <v>12</v>
      </c>
      <c r="Q45">
        <f t="shared" si="3"/>
        <v>0.10000000000000142</v>
      </c>
      <c r="R45">
        <f t="shared" si="4"/>
        <v>0.10000000000000142</v>
      </c>
      <c r="S45" s="7">
        <f t="shared" si="14"/>
        <v>0</v>
      </c>
      <c r="T45" s="5" t="str">
        <f t="shared" si="5"/>
        <v/>
      </c>
      <c r="U45">
        <f t="shared" si="6"/>
        <v>12</v>
      </c>
      <c r="V45">
        <v>47</v>
      </c>
      <c r="W45">
        <v>0</v>
      </c>
      <c r="X45">
        <f t="shared" si="7"/>
        <v>47</v>
      </c>
      <c r="Y45">
        <f t="shared" si="8"/>
        <v>1</v>
      </c>
      <c r="Z45">
        <f t="shared" si="9"/>
        <v>0</v>
      </c>
      <c r="AA45">
        <f t="shared" si="10"/>
        <v>1</v>
      </c>
      <c r="AB45" t="str">
        <f t="shared" si="11"/>
        <v>RHZB</v>
      </c>
      <c r="AC45">
        <f t="shared" si="12"/>
        <v>47</v>
      </c>
      <c r="AD45">
        <f t="shared" si="13"/>
        <v>6.19</v>
      </c>
    </row>
    <row r="46" spans="13:30" x14ac:dyDescent="0.25">
      <c r="M46">
        <v>10.5</v>
      </c>
      <c r="N46">
        <v>11.4</v>
      </c>
      <c r="O46">
        <f t="shared" si="1"/>
        <v>0.90000000000000036</v>
      </c>
      <c r="P46">
        <f t="shared" si="2"/>
        <v>8</v>
      </c>
      <c r="Q46">
        <f t="shared" si="3"/>
        <v>0.80000000000000071</v>
      </c>
      <c r="R46">
        <f t="shared" si="4"/>
        <v>1.2999999999999989</v>
      </c>
      <c r="S46" s="7">
        <f t="shared" si="14"/>
        <v>48</v>
      </c>
      <c r="T46" s="5" t="str">
        <f t="shared" si="5"/>
        <v/>
      </c>
      <c r="U46">
        <f t="shared" si="6"/>
        <v>10.95</v>
      </c>
      <c r="V46">
        <v>56</v>
      </c>
      <c r="W46">
        <v>0</v>
      </c>
      <c r="X46">
        <f t="shared" si="7"/>
        <v>56</v>
      </c>
      <c r="Y46">
        <f t="shared" si="8"/>
        <v>9</v>
      </c>
      <c r="Z46">
        <f t="shared" si="9"/>
        <v>0</v>
      </c>
      <c r="AA46">
        <f t="shared" si="10"/>
        <v>9</v>
      </c>
      <c r="AB46" t="str">
        <f t="shared" si="11"/>
        <v>RHZB</v>
      </c>
      <c r="AC46">
        <f t="shared" si="12"/>
        <v>56</v>
      </c>
      <c r="AD46">
        <f t="shared" si="13"/>
        <v>4.92</v>
      </c>
    </row>
    <row r="47" spans="13:30" x14ac:dyDescent="0.25">
      <c r="M47">
        <v>9.1999999999999993</v>
      </c>
      <c r="N47">
        <v>9.9</v>
      </c>
      <c r="O47">
        <f t="shared" si="1"/>
        <v>0.70000000000000107</v>
      </c>
      <c r="P47">
        <f t="shared" si="2"/>
        <v>7</v>
      </c>
      <c r="Q47">
        <f t="shared" si="3"/>
        <v>1.3000000000000007</v>
      </c>
      <c r="R47">
        <f t="shared" si="4"/>
        <v>1.5</v>
      </c>
      <c r="S47" s="7">
        <f t="shared" si="14"/>
        <v>14</v>
      </c>
      <c r="T47" s="5" t="str">
        <f t="shared" si="5"/>
        <v/>
      </c>
      <c r="U47">
        <f t="shared" si="6"/>
        <v>9.5500000000000007</v>
      </c>
      <c r="V47">
        <v>61</v>
      </c>
      <c r="W47">
        <v>0</v>
      </c>
      <c r="X47">
        <f t="shared" si="7"/>
        <v>61</v>
      </c>
      <c r="Y47">
        <f t="shared" si="8"/>
        <v>5</v>
      </c>
      <c r="Z47">
        <f t="shared" si="9"/>
        <v>0</v>
      </c>
      <c r="AA47">
        <f t="shared" si="10"/>
        <v>5</v>
      </c>
      <c r="AB47" t="str">
        <f t="shared" si="11"/>
        <v>RHZB</v>
      </c>
      <c r="AC47">
        <f t="shared" si="12"/>
        <v>61</v>
      </c>
      <c r="AD47">
        <f t="shared" si="13"/>
        <v>3.72</v>
      </c>
    </row>
    <row r="48" spans="13:30" x14ac:dyDescent="0.25">
      <c r="M48">
        <v>8.6999999999999993</v>
      </c>
      <c r="N48">
        <v>9.1999999999999993</v>
      </c>
      <c r="O48">
        <f t="shared" si="1"/>
        <v>0.5</v>
      </c>
      <c r="P48">
        <f t="shared" si="2"/>
        <v>6</v>
      </c>
      <c r="Q48">
        <f t="shared" si="3"/>
        <v>0.5</v>
      </c>
      <c r="R48">
        <f t="shared" si="4"/>
        <v>0.70000000000000107</v>
      </c>
      <c r="S48" s="7">
        <f t="shared" si="14"/>
        <v>33</v>
      </c>
      <c r="T48" s="5" t="str">
        <f t="shared" si="5"/>
        <v/>
      </c>
      <c r="U48">
        <f t="shared" si="6"/>
        <v>8.9499999999999993</v>
      </c>
      <c r="V48">
        <v>62</v>
      </c>
      <c r="W48">
        <v>0</v>
      </c>
      <c r="X48">
        <f t="shared" si="7"/>
        <v>62</v>
      </c>
      <c r="Y48">
        <f t="shared" si="8"/>
        <v>1</v>
      </c>
      <c r="Z48">
        <f t="shared" si="9"/>
        <v>0</v>
      </c>
      <c r="AA48">
        <f t="shared" si="10"/>
        <v>1</v>
      </c>
      <c r="AB48" t="str">
        <f t="shared" si="11"/>
        <v>RHZB</v>
      </c>
      <c r="AC48">
        <f t="shared" si="12"/>
        <v>62</v>
      </c>
      <c r="AD48">
        <f t="shared" si="13"/>
        <v>3.28</v>
      </c>
    </row>
    <row r="49" spans="13:30" x14ac:dyDescent="0.25">
      <c r="M49">
        <v>8.1999999999999993</v>
      </c>
      <c r="N49">
        <v>8.8000000000000007</v>
      </c>
      <c r="O49">
        <f t="shared" si="1"/>
        <v>0.60000000000000142</v>
      </c>
      <c r="P49">
        <f t="shared" si="2"/>
        <v>7</v>
      </c>
      <c r="Q49">
        <f t="shared" si="3"/>
        <v>0.5</v>
      </c>
      <c r="R49">
        <f t="shared" si="4"/>
        <v>0.39999999999999858</v>
      </c>
      <c r="S49" s="7">
        <f t="shared" si="14"/>
        <v>22</v>
      </c>
      <c r="T49" s="5" t="str">
        <f t="shared" si="5"/>
        <v/>
      </c>
      <c r="U49">
        <f t="shared" si="6"/>
        <v>8.5</v>
      </c>
      <c r="V49">
        <v>65</v>
      </c>
      <c r="W49">
        <v>0</v>
      </c>
      <c r="X49">
        <f t="shared" si="7"/>
        <v>65</v>
      </c>
      <c r="Y49">
        <f t="shared" si="8"/>
        <v>3</v>
      </c>
      <c r="Z49">
        <f t="shared" si="9"/>
        <v>0</v>
      </c>
      <c r="AA49">
        <f t="shared" si="10"/>
        <v>3</v>
      </c>
      <c r="AB49" t="str">
        <f t="shared" si="11"/>
        <v>RHZB</v>
      </c>
      <c r="AC49">
        <f t="shared" si="12"/>
        <v>65</v>
      </c>
      <c r="AD49">
        <f t="shared" si="13"/>
        <v>2.8</v>
      </c>
    </row>
    <row r="50" spans="13:30" x14ac:dyDescent="0.25">
      <c r="M50">
        <v>8.1</v>
      </c>
      <c r="N50">
        <v>8.9</v>
      </c>
      <c r="O50">
        <f t="shared" si="1"/>
        <v>0.80000000000000071</v>
      </c>
      <c r="P50">
        <f t="shared" si="2"/>
        <v>9</v>
      </c>
      <c r="Q50">
        <f t="shared" si="3"/>
        <v>9.9999999999999645E-2</v>
      </c>
      <c r="R50">
        <f t="shared" si="4"/>
        <v>9.9999999999999645E-2</v>
      </c>
      <c r="S50" s="7">
        <f t="shared" si="14"/>
        <v>0</v>
      </c>
      <c r="T50" s="5" t="str">
        <f t="shared" si="5"/>
        <v/>
      </c>
      <c r="U50">
        <f t="shared" si="6"/>
        <v>8.5</v>
      </c>
      <c r="V50">
        <v>65</v>
      </c>
      <c r="W50">
        <v>0</v>
      </c>
      <c r="X50">
        <f t="shared" si="7"/>
        <v>65</v>
      </c>
      <c r="Y50">
        <f t="shared" si="8"/>
        <v>0</v>
      </c>
      <c r="Z50">
        <f t="shared" si="9"/>
        <v>0</v>
      </c>
      <c r="AA50">
        <f t="shared" si="10"/>
        <v>0</v>
      </c>
      <c r="AB50" t="str">
        <f t="shared" si="11"/>
        <v>RHZB</v>
      </c>
      <c r="AC50">
        <f t="shared" si="12"/>
        <v>65</v>
      </c>
      <c r="AD50">
        <f t="shared" si="13"/>
        <v>2.8</v>
      </c>
    </row>
    <row r="51" spans="13:30" x14ac:dyDescent="0.25">
      <c r="M51">
        <v>8.1</v>
      </c>
      <c r="N51">
        <v>9</v>
      </c>
      <c r="O51">
        <f t="shared" si="1"/>
        <v>0.90000000000000036</v>
      </c>
      <c r="P51">
        <f t="shared" si="2"/>
        <v>11</v>
      </c>
      <c r="Q51">
        <f t="shared" si="3"/>
        <v>0</v>
      </c>
      <c r="R51">
        <f t="shared" si="4"/>
        <v>9.9999999999999645E-2</v>
      </c>
      <c r="S51" s="7">
        <f t="shared" si="14"/>
        <v>200</v>
      </c>
      <c r="T51" s="5" t="str">
        <f t="shared" si="5"/>
        <v/>
      </c>
      <c r="U51">
        <f t="shared" si="6"/>
        <v>8.5500000000000007</v>
      </c>
      <c r="V51">
        <v>66</v>
      </c>
      <c r="W51">
        <v>0</v>
      </c>
      <c r="X51">
        <f t="shared" si="7"/>
        <v>66</v>
      </c>
      <c r="Y51">
        <f t="shared" si="8"/>
        <v>1</v>
      </c>
      <c r="Z51">
        <f t="shared" si="9"/>
        <v>0</v>
      </c>
      <c r="AA51">
        <f t="shared" si="10"/>
        <v>1</v>
      </c>
      <c r="AB51" t="str">
        <f t="shared" si="11"/>
        <v>RHZB</v>
      </c>
      <c r="AC51">
        <f t="shared" si="12"/>
        <v>66</v>
      </c>
      <c r="AD51">
        <f t="shared" si="13"/>
        <v>2.76</v>
      </c>
    </row>
    <row r="52" spans="13:30" x14ac:dyDescent="0.25">
      <c r="M52">
        <v>8.1999999999999993</v>
      </c>
      <c r="N52">
        <v>9</v>
      </c>
      <c r="O52">
        <f t="shared" si="1"/>
        <v>0.80000000000000071</v>
      </c>
      <c r="P52">
        <f t="shared" si="2"/>
        <v>9</v>
      </c>
      <c r="Q52">
        <f t="shared" si="3"/>
        <v>9.9999999999999645E-2</v>
      </c>
      <c r="R52">
        <f t="shared" si="4"/>
        <v>0</v>
      </c>
      <c r="S52" s="7">
        <f t="shared" si="14"/>
        <v>200</v>
      </c>
      <c r="T52" s="5" t="str">
        <f t="shared" si="5"/>
        <v/>
      </c>
      <c r="U52">
        <f t="shared" si="6"/>
        <v>8.6</v>
      </c>
      <c r="V52">
        <v>67</v>
      </c>
      <c r="W52">
        <v>0</v>
      </c>
      <c r="X52">
        <f t="shared" si="7"/>
        <v>67</v>
      </c>
      <c r="Y52">
        <f t="shared" si="8"/>
        <v>1</v>
      </c>
      <c r="Z52">
        <f t="shared" si="9"/>
        <v>0</v>
      </c>
      <c r="AA52">
        <f t="shared" si="10"/>
        <v>1</v>
      </c>
      <c r="AB52" t="str">
        <f t="shared" si="11"/>
        <v>RHZB</v>
      </c>
      <c r="AC52">
        <f t="shared" si="12"/>
        <v>67</v>
      </c>
      <c r="AD52">
        <f t="shared" si="13"/>
        <v>2.72</v>
      </c>
    </row>
    <row r="53" spans="13:30" x14ac:dyDescent="0.25">
      <c r="M53">
        <v>8.5</v>
      </c>
      <c r="N53">
        <v>9.4</v>
      </c>
      <c r="O53">
        <f t="shared" si="1"/>
        <v>0.90000000000000036</v>
      </c>
      <c r="P53">
        <f t="shared" si="2"/>
        <v>10</v>
      </c>
      <c r="Q53">
        <f t="shared" si="3"/>
        <v>0.30000000000000071</v>
      </c>
      <c r="R53">
        <f t="shared" si="4"/>
        <v>0.40000000000000036</v>
      </c>
      <c r="S53" s="7">
        <f t="shared" si="14"/>
        <v>29</v>
      </c>
      <c r="T53" s="5" t="str">
        <f t="shared" si="5"/>
        <v/>
      </c>
      <c r="U53">
        <f t="shared" si="6"/>
        <v>8.9499999999999993</v>
      </c>
      <c r="V53">
        <v>67</v>
      </c>
      <c r="W53">
        <v>0</v>
      </c>
      <c r="X53">
        <f t="shared" si="7"/>
        <v>67</v>
      </c>
      <c r="Y53">
        <f t="shared" si="8"/>
        <v>0</v>
      </c>
      <c r="Z53">
        <f t="shared" si="9"/>
        <v>0</v>
      </c>
      <c r="AA53">
        <f t="shared" si="10"/>
        <v>0</v>
      </c>
      <c r="AB53" t="str">
        <f t="shared" si="11"/>
        <v>RHZB</v>
      </c>
      <c r="AC53">
        <f t="shared" si="12"/>
        <v>67</v>
      </c>
      <c r="AD53">
        <f t="shared" si="13"/>
        <v>2.93</v>
      </c>
    </row>
    <row r="54" spans="13:30" x14ac:dyDescent="0.25">
      <c r="M54">
        <v>8.5</v>
      </c>
      <c r="N54">
        <v>9.5</v>
      </c>
      <c r="O54">
        <f t="shared" si="1"/>
        <v>1</v>
      </c>
      <c r="P54">
        <f t="shared" si="2"/>
        <v>11</v>
      </c>
      <c r="Q54">
        <f t="shared" si="3"/>
        <v>0</v>
      </c>
      <c r="R54">
        <f t="shared" si="4"/>
        <v>9.9999999999999645E-2</v>
      </c>
      <c r="S54" s="7">
        <f t="shared" si="14"/>
        <v>200</v>
      </c>
      <c r="T54" s="5" t="str">
        <f t="shared" si="5"/>
        <v/>
      </c>
      <c r="U54">
        <f t="shared" si="6"/>
        <v>9</v>
      </c>
      <c r="V54">
        <v>68</v>
      </c>
      <c r="W54">
        <v>0</v>
      </c>
      <c r="X54">
        <f t="shared" si="7"/>
        <v>68</v>
      </c>
      <c r="Y54">
        <f t="shared" si="8"/>
        <v>1</v>
      </c>
      <c r="Z54">
        <f t="shared" si="9"/>
        <v>0</v>
      </c>
      <c r="AA54">
        <f t="shared" si="10"/>
        <v>1</v>
      </c>
      <c r="AB54" t="str">
        <f t="shared" si="11"/>
        <v>RHZB</v>
      </c>
      <c r="AC54">
        <f t="shared" si="12"/>
        <v>68</v>
      </c>
      <c r="AD54">
        <f t="shared" si="13"/>
        <v>2.89</v>
      </c>
    </row>
    <row r="55" spans="13:30" x14ac:dyDescent="0.25">
      <c r="M55">
        <v>8.4</v>
      </c>
      <c r="N55">
        <v>9.6</v>
      </c>
      <c r="O55">
        <f t="shared" si="1"/>
        <v>1.1999999999999993</v>
      </c>
      <c r="P55">
        <f t="shared" si="2"/>
        <v>13</v>
      </c>
      <c r="Q55">
        <f t="shared" si="3"/>
        <v>9.9999999999999645E-2</v>
      </c>
      <c r="R55">
        <f t="shared" si="4"/>
        <v>9.9999999999999645E-2</v>
      </c>
      <c r="S55" s="7">
        <f t="shared" si="14"/>
        <v>0</v>
      </c>
      <c r="T55" s="5" t="str">
        <f t="shared" si="5"/>
        <v/>
      </c>
      <c r="U55">
        <f t="shared" si="6"/>
        <v>9</v>
      </c>
      <c r="V55">
        <v>68</v>
      </c>
      <c r="W55">
        <v>0</v>
      </c>
      <c r="X55">
        <f t="shared" si="7"/>
        <v>68</v>
      </c>
      <c r="Y55">
        <f t="shared" si="8"/>
        <v>0</v>
      </c>
      <c r="Z55">
        <f t="shared" si="9"/>
        <v>0</v>
      </c>
      <c r="AA55">
        <f t="shared" si="10"/>
        <v>0</v>
      </c>
      <c r="AB55" t="str">
        <f t="shared" si="11"/>
        <v>RHZB</v>
      </c>
      <c r="AC55">
        <f t="shared" si="12"/>
        <v>68</v>
      </c>
      <c r="AD55">
        <f t="shared" si="13"/>
        <v>2.89</v>
      </c>
    </row>
    <row r="56" spans="13:30" x14ac:dyDescent="0.25">
      <c r="M56">
        <v>8.4</v>
      </c>
      <c r="N56">
        <v>9.6999999999999993</v>
      </c>
      <c r="O56">
        <f t="shared" si="1"/>
        <v>1.2999999999999989</v>
      </c>
      <c r="P56">
        <f t="shared" si="2"/>
        <v>14</v>
      </c>
      <c r="Q56">
        <f t="shared" si="3"/>
        <v>0</v>
      </c>
      <c r="R56">
        <f t="shared" si="4"/>
        <v>9.9999999999999645E-2</v>
      </c>
      <c r="S56" s="7">
        <f t="shared" si="14"/>
        <v>200</v>
      </c>
      <c r="T56" s="5" t="str">
        <f t="shared" si="5"/>
        <v/>
      </c>
      <c r="U56">
        <f t="shared" si="6"/>
        <v>9.0500000000000007</v>
      </c>
      <c r="V56">
        <v>69</v>
      </c>
      <c r="W56">
        <v>0</v>
      </c>
      <c r="X56">
        <f t="shared" si="7"/>
        <v>69</v>
      </c>
      <c r="Y56">
        <f t="shared" si="8"/>
        <v>1</v>
      </c>
      <c r="Z56">
        <f t="shared" si="9"/>
        <v>0</v>
      </c>
      <c r="AA56">
        <f t="shared" si="10"/>
        <v>1</v>
      </c>
      <c r="AB56" t="str">
        <f t="shared" si="11"/>
        <v>RHZB</v>
      </c>
      <c r="AC56">
        <f t="shared" si="12"/>
        <v>69</v>
      </c>
      <c r="AD56">
        <f t="shared" si="13"/>
        <v>2.85</v>
      </c>
    </row>
    <row r="57" spans="13:30" x14ac:dyDescent="0.25">
      <c r="M57">
        <v>8.5</v>
      </c>
      <c r="N57">
        <v>9.5</v>
      </c>
      <c r="O57">
        <f t="shared" si="1"/>
        <v>1</v>
      </c>
      <c r="P57">
        <f t="shared" si="2"/>
        <v>11</v>
      </c>
      <c r="Q57">
        <f t="shared" si="3"/>
        <v>9.9999999999999645E-2</v>
      </c>
      <c r="R57">
        <f t="shared" si="4"/>
        <v>0.19999999999999929</v>
      </c>
      <c r="S57" s="7">
        <f t="shared" si="14"/>
        <v>67</v>
      </c>
      <c r="T57" s="5" t="str">
        <f t="shared" si="5"/>
        <v/>
      </c>
      <c r="U57">
        <f t="shared" si="6"/>
        <v>9</v>
      </c>
      <c r="V57">
        <v>70</v>
      </c>
      <c r="W57">
        <v>0</v>
      </c>
      <c r="X57">
        <f t="shared" si="7"/>
        <v>70</v>
      </c>
      <c r="Y57">
        <f t="shared" si="8"/>
        <v>1</v>
      </c>
      <c r="Z57">
        <f t="shared" si="9"/>
        <v>0</v>
      </c>
      <c r="AA57">
        <f t="shared" si="10"/>
        <v>1</v>
      </c>
      <c r="AB57" t="str">
        <f t="shared" si="11"/>
        <v>RHZB</v>
      </c>
      <c r="AC57">
        <f t="shared" si="12"/>
        <v>70</v>
      </c>
      <c r="AD57">
        <f t="shared" si="13"/>
        <v>2.75</v>
      </c>
    </row>
    <row r="58" spans="13:30" x14ac:dyDescent="0.25">
      <c r="M58">
        <v>7.9</v>
      </c>
      <c r="N58">
        <v>8.6</v>
      </c>
      <c r="O58">
        <f t="shared" si="1"/>
        <v>0.69999999999999929</v>
      </c>
      <c r="P58">
        <f t="shared" si="2"/>
        <v>8</v>
      </c>
      <c r="Q58">
        <f t="shared" si="3"/>
        <v>0.59999999999999964</v>
      </c>
      <c r="R58">
        <f t="shared" si="4"/>
        <v>0.90000000000000036</v>
      </c>
      <c r="S58" s="7">
        <f t="shared" si="14"/>
        <v>40</v>
      </c>
      <c r="T58" s="5" t="str">
        <f t="shared" si="5"/>
        <v/>
      </c>
      <c r="U58">
        <f t="shared" si="6"/>
        <v>8.25</v>
      </c>
      <c r="V58">
        <v>69</v>
      </c>
      <c r="W58">
        <v>0</v>
      </c>
      <c r="X58">
        <f t="shared" si="7"/>
        <v>69</v>
      </c>
      <c r="Y58">
        <f t="shared" si="8"/>
        <v>1</v>
      </c>
      <c r="Z58">
        <f t="shared" si="9"/>
        <v>0</v>
      </c>
      <c r="AA58">
        <f t="shared" si="10"/>
        <v>1</v>
      </c>
      <c r="AB58" t="str">
        <f t="shared" si="11"/>
        <v>RHZB</v>
      </c>
      <c r="AC58">
        <f t="shared" si="12"/>
        <v>69</v>
      </c>
      <c r="AD58">
        <f t="shared" si="13"/>
        <v>2.36</v>
      </c>
    </row>
    <row r="59" spans="13:30" x14ac:dyDescent="0.25">
      <c r="M59">
        <v>7.5</v>
      </c>
      <c r="N59">
        <v>8.1999999999999993</v>
      </c>
      <c r="O59">
        <f t="shared" si="1"/>
        <v>0.69999999999999929</v>
      </c>
      <c r="P59">
        <f t="shared" si="2"/>
        <v>9</v>
      </c>
      <c r="Q59">
        <f t="shared" si="3"/>
        <v>0.40000000000000036</v>
      </c>
      <c r="R59">
        <f t="shared" si="4"/>
        <v>0.40000000000000036</v>
      </c>
      <c r="S59" s="7">
        <f t="shared" si="14"/>
        <v>0</v>
      </c>
      <c r="T59" s="5" t="str">
        <f t="shared" si="5"/>
        <v/>
      </c>
      <c r="U59">
        <f t="shared" si="6"/>
        <v>7.85</v>
      </c>
      <c r="V59">
        <v>69</v>
      </c>
      <c r="W59">
        <v>0</v>
      </c>
      <c r="X59">
        <f t="shared" si="7"/>
        <v>69</v>
      </c>
      <c r="Y59">
        <f t="shared" si="8"/>
        <v>0</v>
      </c>
      <c r="Z59">
        <f t="shared" si="9"/>
        <v>0</v>
      </c>
      <c r="AA59">
        <f t="shared" si="10"/>
        <v>0</v>
      </c>
      <c r="AB59" t="str">
        <f t="shared" si="11"/>
        <v>RHZB</v>
      </c>
      <c r="AC59">
        <f t="shared" si="12"/>
        <v>69</v>
      </c>
      <c r="AD59">
        <f t="shared" si="13"/>
        <v>2.12</v>
      </c>
    </row>
    <row r="60" spans="13:30" x14ac:dyDescent="0.25">
      <c r="M60">
        <v>7.2</v>
      </c>
      <c r="N60">
        <v>8.1</v>
      </c>
      <c r="O60">
        <f t="shared" si="1"/>
        <v>0.89999999999999947</v>
      </c>
      <c r="P60">
        <f t="shared" si="2"/>
        <v>12</v>
      </c>
      <c r="Q60">
        <f t="shared" si="3"/>
        <v>0.29999999999999982</v>
      </c>
      <c r="R60">
        <f t="shared" si="4"/>
        <v>9.9999999999999645E-2</v>
      </c>
      <c r="S60" s="7">
        <f t="shared" si="14"/>
        <v>100</v>
      </c>
      <c r="T60" s="5" t="str">
        <f t="shared" si="5"/>
        <v/>
      </c>
      <c r="U60">
        <f t="shared" si="6"/>
        <v>7.65</v>
      </c>
      <c r="V60">
        <v>69</v>
      </c>
      <c r="W60">
        <v>0</v>
      </c>
      <c r="X60">
        <f t="shared" si="7"/>
        <v>69</v>
      </c>
      <c r="Y60">
        <f t="shared" si="8"/>
        <v>0</v>
      </c>
      <c r="Z60">
        <f t="shared" si="9"/>
        <v>0</v>
      </c>
      <c r="AA60">
        <f t="shared" si="10"/>
        <v>0</v>
      </c>
      <c r="AB60" t="str">
        <f t="shared" si="11"/>
        <v>RHZB</v>
      </c>
      <c r="AC60">
        <f t="shared" si="12"/>
        <v>69</v>
      </c>
      <c r="AD60">
        <f t="shared" si="13"/>
        <v>2</v>
      </c>
    </row>
    <row r="61" spans="13:30" x14ac:dyDescent="0.25">
      <c r="M61">
        <v>7.3</v>
      </c>
      <c r="N61">
        <v>7.8</v>
      </c>
      <c r="O61">
        <f t="shared" si="1"/>
        <v>0.5</v>
      </c>
      <c r="P61">
        <f t="shared" si="2"/>
        <v>7</v>
      </c>
      <c r="Q61">
        <f t="shared" si="3"/>
        <v>9.9999999999999645E-2</v>
      </c>
      <c r="R61">
        <f t="shared" si="4"/>
        <v>0.29999999999999982</v>
      </c>
      <c r="S61" s="7">
        <f t="shared" si="14"/>
        <v>100</v>
      </c>
      <c r="T61" s="5" t="str">
        <f t="shared" si="5"/>
        <v/>
      </c>
      <c r="U61">
        <f t="shared" si="6"/>
        <v>7.55</v>
      </c>
      <c r="V61">
        <v>70</v>
      </c>
      <c r="W61">
        <v>0</v>
      </c>
      <c r="X61">
        <f t="shared" si="7"/>
        <v>70</v>
      </c>
      <c r="Y61">
        <f t="shared" si="8"/>
        <v>1</v>
      </c>
      <c r="Z61">
        <f t="shared" si="9"/>
        <v>0</v>
      </c>
      <c r="AA61">
        <f t="shared" si="10"/>
        <v>1</v>
      </c>
      <c r="AB61" t="str">
        <f t="shared" si="11"/>
        <v>RHZB</v>
      </c>
      <c r="AC61">
        <f t="shared" si="12"/>
        <v>70</v>
      </c>
      <c r="AD61">
        <f t="shared" si="13"/>
        <v>1.87</v>
      </c>
    </row>
    <row r="62" spans="13:30" x14ac:dyDescent="0.25">
      <c r="M62">
        <v>7.6</v>
      </c>
      <c r="N62">
        <v>8.4</v>
      </c>
      <c r="O62">
        <f t="shared" si="1"/>
        <v>0.80000000000000071</v>
      </c>
      <c r="P62">
        <f t="shared" si="2"/>
        <v>10</v>
      </c>
      <c r="Q62">
        <f t="shared" si="3"/>
        <v>0.29999999999999982</v>
      </c>
      <c r="R62">
        <f t="shared" si="4"/>
        <v>0.60000000000000053</v>
      </c>
      <c r="S62" s="7">
        <f t="shared" si="14"/>
        <v>67</v>
      </c>
      <c r="T62" s="5" t="str">
        <f t="shared" si="5"/>
        <v/>
      </c>
      <c r="U62">
        <f t="shared" si="6"/>
        <v>8</v>
      </c>
      <c r="V62">
        <v>70</v>
      </c>
      <c r="W62">
        <v>0</v>
      </c>
      <c r="X62">
        <f t="shared" si="7"/>
        <v>70</v>
      </c>
      <c r="Y62">
        <f t="shared" si="8"/>
        <v>0</v>
      </c>
      <c r="Z62">
        <f t="shared" si="9"/>
        <v>0</v>
      </c>
      <c r="AA62">
        <f t="shared" si="10"/>
        <v>0</v>
      </c>
      <c r="AB62" t="str">
        <f t="shared" si="11"/>
        <v>RHZB</v>
      </c>
      <c r="AC62">
        <f t="shared" si="12"/>
        <v>70</v>
      </c>
      <c r="AD62">
        <f t="shared" si="13"/>
        <v>2.14</v>
      </c>
    </row>
    <row r="63" spans="13:30" x14ac:dyDescent="0.25">
      <c r="M63">
        <v>8.4</v>
      </c>
      <c r="N63">
        <v>9.4</v>
      </c>
      <c r="O63">
        <f t="shared" si="1"/>
        <v>1</v>
      </c>
      <c r="P63">
        <f t="shared" si="2"/>
        <v>11</v>
      </c>
      <c r="Q63">
        <f t="shared" si="3"/>
        <v>0.80000000000000071</v>
      </c>
      <c r="R63">
        <f t="shared" si="4"/>
        <v>1</v>
      </c>
      <c r="S63" s="7">
        <f t="shared" si="14"/>
        <v>22</v>
      </c>
      <c r="T63" s="5" t="str">
        <f t="shared" si="5"/>
        <v/>
      </c>
      <c r="U63">
        <f t="shared" si="6"/>
        <v>8.9</v>
      </c>
      <c r="V63">
        <v>71</v>
      </c>
      <c r="W63">
        <v>0</v>
      </c>
      <c r="X63">
        <f t="shared" si="7"/>
        <v>71</v>
      </c>
      <c r="Y63">
        <f t="shared" si="8"/>
        <v>1</v>
      </c>
      <c r="Z63">
        <f t="shared" si="9"/>
        <v>0</v>
      </c>
      <c r="AA63">
        <f t="shared" si="10"/>
        <v>1</v>
      </c>
      <c r="AB63" t="str">
        <f t="shared" si="11"/>
        <v>RHZB</v>
      </c>
      <c r="AC63">
        <f t="shared" si="12"/>
        <v>71</v>
      </c>
      <c r="AD63">
        <f t="shared" si="13"/>
        <v>2.62</v>
      </c>
    </row>
    <row r="64" spans="13:30" x14ac:dyDescent="0.25">
      <c r="M64">
        <v>9.1999999999999993</v>
      </c>
      <c r="N64">
        <v>10.1</v>
      </c>
      <c r="O64">
        <f t="shared" si="1"/>
        <v>0.90000000000000036</v>
      </c>
      <c r="P64">
        <f t="shared" si="2"/>
        <v>9</v>
      </c>
      <c r="Q64">
        <f t="shared" si="3"/>
        <v>0.79999999999999893</v>
      </c>
      <c r="R64">
        <f t="shared" si="4"/>
        <v>0.69999999999999929</v>
      </c>
      <c r="S64" s="7">
        <f t="shared" si="14"/>
        <v>13</v>
      </c>
      <c r="T64" s="5" t="str">
        <f t="shared" si="5"/>
        <v/>
      </c>
      <c r="U64">
        <f t="shared" si="6"/>
        <v>9.6499999999999986</v>
      </c>
      <c r="V64">
        <v>74</v>
      </c>
      <c r="W64">
        <v>0</v>
      </c>
      <c r="X64">
        <f t="shared" si="7"/>
        <v>74</v>
      </c>
      <c r="Y64">
        <f t="shared" si="8"/>
        <v>3</v>
      </c>
      <c r="Z64">
        <f t="shared" si="9"/>
        <v>0</v>
      </c>
      <c r="AA64">
        <f t="shared" si="10"/>
        <v>3</v>
      </c>
      <c r="AB64" t="str">
        <f t="shared" si="11"/>
        <v>RHZB</v>
      </c>
      <c r="AC64">
        <f t="shared" si="12"/>
        <v>74</v>
      </c>
      <c r="AD64">
        <f t="shared" si="13"/>
        <v>2.87</v>
      </c>
    </row>
    <row r="65" spans="13:30" x14ac:dyDescent="0.25">
      <c r="M65">
        <v>8.3000000000000007</v>
      </c>
      <c r="N65">
        <v>9.1</v>
      </c>
      <c r="O65">
        <f t="shared" si="1"/>
        <v>0.79999999999999893</v>
      </c>
      <c r="P65">
        <f t="shared" si="2"/>
        <v>9</v>
      </c>
      <c r="Q65">
        <f t="shared" si="3"/>
        <v>0.89999999999999858</v>
      </c>
      <c r="R65">
        <f t="shared" si="4"/>
        <v>1</v>
      </c>
      <c r="S65" s="7">
        <f t="shared" si="14"/>
        <v>11</v>
      </c>
      <c r="T65" s="5" t="str">
        <f t="shared" si="5"/>
        <v/>
      </c>
      <c r="U65">
        <f t="shared" si="6"/>
        <v>8.6999999999999993</v>
      </c>
      <c r="V65">
        <v>75</v>
      </c>
      <c r="W65">
        <v>0</v>
      </c>
      <c r="X65">
        <f t="shared" si="7"/>
        <v>75</v>
      </c>
      <c r="Y65">
        <f t="shared" si="8"/>
        <v>1</v>
      </c>
      <c r="Z65">
        <f t="shared" si="9"/>
        <v>0</v>
      </c>
      <c r="AA65">
        <f t="shared" si="10"/>
        <v>1</v>
      </c>
      <c r="AB65" t="str">
        <f t="shared" si="11"/>
        <v>RHZB</v>
      </c>
      <c r="AC65">
        <f t="shared" si="12"/>
        <v>75</v>
      </c>
      <c r="AD65">
        <f t="shared" si="13"/>
        <v>2.2200000000000002</v>
      </c>
    </row>
    <row r="66" spans="13:30" x14ac:dyDescent="0.25">
      <c r="M66">
        <v>7.5</v>
      </c>
      <c r="N66">
        <v>8.3000000000000007</v>
      </c>
      <c r="O66">
        <f t="shared" si="1"/>
        <v>0.80000000000000071</v>
      </c>
      <c r="P66">
        <f t="shared" si="2"/>
        <v>10</v>
      </c>
      <c r="Q66">
        <f t="shared" si="3"/>
        <v>0.80000000000000071</v>
      </c>
      <c r="R66">
        <f t="shared" si="4"/>
        <v>0.79999999999999893</v>
      </c>
      <c r="S66" s="7">
        <f t="shared" si="14"/>
        <v>0</v>
      </c>
      <c r="T66" s="5" t="str">
        <f t="shared" si="5"/>
        <v/>
      </c>
      <c r="U66">
        <f t="shared" si="6"/>
        <v>7.9</v>
      </c>
      <c r="V66">
        <v>75</v>
      </c>
      <c r="W66">
        <v>0</v>
      </c>
      <c r="X66">
        <f t="shared" si="7"/>
        <v>75</v>
      </c>
      <c r="Y66">
        <f t="shared" si="8"/>
        <v>0</v>
      </c>
      <c r="Z66">
        <f t="shared" si="9"/>
        <v>0</v>
      </c>
      <c r="AA66">
        <f t="shared" si="10"/>
        <v>0</v>
      </c>
      <c r="AB66" t="str">
        <f t="shared" si="11"/>
        <v>RHZB</v>
      </c>
      <c r="AC66">
        <f t="shared" si="12"/>
        <v>75</v>
      </c>
      <c r="AD66">
        <f t="shared" si="13"/>
        <v>1.73</v>
      </c>
    </row>
    <row r="67" spans="13:30" x14ac:dyDescent="0.25">
      <c r="M67">
        <v>7</v>
      </c>
      <c r="N67">
        <v>7.9</v>
      </c>
      <c r="O67">
        <f t="shared" ref="O67:O70" si="15">ABS(IF(AND(M67&gt;0,N67&gt;0),(M67-N67),0))</f>
        <v>0.90000000000000036</v>
      </c>
      <c r="P67">
        <f t="shared" ref="P67:P70" si="16">ROUND(ABS((M67-N67)/((M67+N67)/2))*100,0)</f>
        <v>12</v>
      </c>
      <c r="Q67">
        <f t="shared" ref="Q67:Q70" si="17">IFERROR(ABS(M67-M66),0)</f>
        <v>0.5</v>
      </c>
      <c r="R67">
        <f t="shared" ref="R67:R70" si="18">IFERROR(ABS(N67-N66),0)</f>
        <v>0.40000000000000036</v>
      </c>
      <c r="S67" s="7">
        <f t="shared" si="14"/>
        <v>22</v>
      </c>
      <c r="T67" s="5" t="str">
        <f t="shared" ref="T67:T70" si="19">IF(AND(M67=0,N67=0),"ZAB",IF(M67=0,"ZA",IF(N67=0,"ZB",IF(AND(S67&gt;125,Q67&lt;=7,R67&gt;7),"JB",IF(AND(S67&gt;125,Q67&gt;7,R67&lt;=7),"JA",IF(AND(T66="JB",Q67&lt;10,P67&gt;50,O67&gt;7),"JB",IF(AND(T66="JA",R67&lt;10,P67&gt;50,O67&gt;7),"JA",IF(AND(O67&gt;10,P67&gt;50),"QQ",""))))))))</f>
        <v/>
      </c>
      <c r="U67">
        <f t="shared" ref="U67:U70" si="20">IF(T67="JA",N67,IF(T67="JB",M67,IF(OR(T67="QQ",T67="ZA",T67="ZB",T67="ZAB"),"",AVERAGE(M67:N67))))</f>
        <v>7.45</v>
      </c>
      <c r="V67">
        <v>76</v>
      </c>
      <c r="W67">
        <v>0</v>
      </c>
      <c r="X67">
        <f t="shared" ref="X67:X70" si="21">ABS(V67-W67)</f>
        <v>76</v>
      </c>
      <c r="Y67">
        <f t="shared" ref="Y67:Y70" si="22">IFERROR(ABS(V67-V66),0)</f>
        <v>1</v>
      </c>
      <c r="Z67">
        <f t="shared" ref="Z67:Z70" si="23">IFERROR(ABS(W67-W66),0)</f>
        <v>0</v>
      </c>
      <c r="AA67">
        <f t="shared" ref="AA67:AA70" si="24">ABS(Y67-Z67)</f>
        <v>1</v>
      </c>
      <c r="AB67" t="str">
        <f t="shared" ref="AB67:AB70" si="25">IF(AND(V67=0,W67=0),"RHZAB",IF(V67=0,"RHZA",IF(W67=0,"RHZB",IF(AND(AA67&gt;10,Y67&lt;=10,Z67&gt;10),"RHJB",IF(AND(AA67&gt;10,Y67&gt;10,Z67&lt;=10),"RHJA",IF(X67&gt;10,"QQ",""))))))</f>
        <v>RHZB</v>
      </c>
      <c r="AC67">
        <f t="shared" ref="AC67:AC70" si="26">IF(OR(AB67="RHJA",AB67="RHZA"),W67,IF(OR(AB67="RHJB",AB67="RHZB"),V67,IF(OR(AB67="RHZAB",AB67="QQ"),"",AVERAGE(V67:W67))))</f>
        <v>76</v>
      </c>
      <c r="AD67">
        <f t="shared" ref="AD67:AD70" si="27">IFERROR(ROUND(((0.61*U67)-(0.07*AC67)+2.16),2),"")</f>
        <v>1.38</v>
      </c>
    </row>
    <row r="68" spans="13:30" x14ac:dyDescent="0.25">
      <c r="M68">
        <v>6.3</v>
      </c>
      <c r="N68">
        <v>7.5</v>
      </c>
      <c r="O68">
        <f t="shared" si="15"/>
        <v>1.2000000000000002</v>
      </c>
      <c r="P68">
        <f t="shared" si="16"/>
        <v>17</v>
      </c>
      <c r="Q68">
        <f t="shared" si="17"/>
        <v>0.70000000000000018</v>
      </c>
      <c r="R68">
        <f t="shared" si="18"/>
        <v>0.40000000000000036</v>
      </c>
      <c r="S68" s="7">
        <f t="shared" ref="S68:S70" si="28">IFERROR(ROUND(ABS((Q68-R68)/((Q68+R68)/2))*100,0),0)</f>
        <v>55</v>
      </c>
      <c r="T68" s="5" t="str">
        <f t="shared" si="19"/>
        <v/>
      </c>
      <c r="U68">
        <f t="shared" si="20"/>
        <v>6.9</v>
      </c>
      <c r="V68">
        <v>75</v>
      </c>
      <c r="W68">
        <v>0</v>
      </c>
      <c r="X68">
        <f t="shared" si="21"/>
        <v>75</v>
      </c>
      <c r="Y68">
        <f t="shared" si="22"/>
        <v>1</v>
      </c>
      <c r="Z68">
        <f t="shared" si="23"/>
        <v>0</v>
      </c>
      <c r="AA68">
        <f t="shared" si="24"/>
        <v>1</v>
      </c>
      <c r="AB68" t="str">
        <f t="shared" si="25"/>
        <v>RHZB</v>
      </c>
      <c r="AC68">
        <f t="shared" si="26"/>
        <v>75</v>
      </c>
      <c r="AD68">
        <f t="shared" si="27"/>
        <v>1.1200000000000001</v>
      </c>
    </row>
    <row r="69" spans="13:30" x14ac:dyDescent="0.25">
      <c r="M69">
        <v>6.1</v>
      </c>
      <c r="N69">
        <v>7.2</v>
      </c>
      <c r="O69">
        <f t="shared" si="15"/>
        <v>1.1000000000000005</v>
      </c>
      <c r="P69">
        <f t="shared" si="16"/>
        <v>17</v>
      </c>
      <c r="Q69">
        <f t="shared" si="17"/>
        <v>0.20000000000000018</v>
      </c>
      <c r="R69">
        <f t="shared" si="18"/>
        <v>0.29999999999999982</v>
      </c>
      <c r="S69" s="7">
        <f t="shared" si="28"/>
        <v>40</v>
      </c>
      <c r="T69" s="5" t="str">
        <f t="shared" si="19"/>
        <v/>
      </c>
      <c r="U69">
        <f t="shared" si="20"/>
        <v>6.65</v>
      </c>
      <c r="V69">
        <v>75</v>
      </c>
      <c r="W69">
        <v>0</v>
      </c>
      <c r="X69">
        <f t="shared" si="21"/>
        <v>75</v>
      </c>
      <c r="Y69">
        <f t="shared" si="22"/>
        <v>0</v>
      </c>
      <c r="Z69">
        <f t="shared" si="23"/>
        <v>0</v>
      </c>
      <c r="AA69">
        <f t="shared" si="24"/>
        <v>0</v>
      </c>
      <c r="AB69" t="str">
        <f t="shared" si="25"/>
        <v>RHZB</v>
      </c>
      <c r="AC69">
        <f t="shared" si="26"/>
        <v>75</v>
      </c>
      <c r="AD69">
        <f t="shared" si="27"/>
        <v>0.97</v>
      </c>
    </row>
    <row r="70" spans="13:30" x14ac:dyDescent="0.25">
      <c r="M70">
        <v>6</v>
      </c>
      <c r="N70">
        <v>7.2</v>
      </c>
      <c r="O70">
        <f t="shared" si="15"/>
        <v>1.2000000000000002</v>
      </c>
      <c r="P70">
        <f t="shared" si="16"/>
        <v>18</v>
      </c>
      <c r="Q70">
        <f t="shared" si="17"/>
        <v>9.9999999999999645E-2</v>
      </c>
      <c r="R70">
        <f t="shared" si="18"/>
        <v>0</v>
      </c>
      <c r="S70" s="7">
        <f t="shared" si="28"/>
        <v>200</v>
      </c>
      <c r="T70" s="5" t="str">
        <f t="shared" si="19"/>
        <v/>
      </c>
      <c r="U70">
        <f t="shared" si="20"/>
        <v>6.6</v>
      </c>
      <c r="V70">
        <v>75</v>
      </c>
      <c r="W70">
        <v>0</v>
      </c>
      <c r="X70">
        <f t="shared" si="21"/>
        <v>75</v>
      </c>
      <c r="Y70">
        <f t="shared" si="22"/>
        <v>0</v>
      </c>
      <c r="Z70">
        <f t="shared" si="23"/>
        <v>0</v>
      </c>
      <c r="AA70">
        <f t="shared" si="24"/>
        <v>0</v>
      </c>
      <c r="AB70" t="str">
        <f t="shared" si="25"/>
        <v>RHZB</v>
      </c>
      <c r="AC70">
        <f t="shared" si="26"/>
        <v>75</v>
      </c>
      <c r="AD70">
        <f t="shared" si="27"/>
        <v>0.94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Headers</vt:lpstr>
    </vt:vector>
  </TitlesOfParts>
  <Company>State of New Hampshire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Chase, Marcus</dc:creator>
  <cp:lastModifiedBy>Thoroughgood, Zachary</cp:lastModifiedBy>
  <dcterms:created xsi:type="dcterms:W3CDTF">2022-08-02T14:47:39Z</dcterms:created>
  <dcterms:modified xsi:type="dcterms:W3CDTF">2022-08-09T16:18:02Z</dcterms:modified>
</cp:coreProperties>
</file>